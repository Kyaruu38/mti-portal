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10560" tabRatio="714"/>
  </bookViews>
  <sheets>
    <sheet name="local items" sheetId="40" r:id="rId1"/>
    <sheet name="expert items" sheetId="41" r:id="rId2"/>
    <sheet name="Sheet1" sheetId="39" r:id="rId3"/>
    <sheet name="销售需求表" sheetId="23" r:id="rId4"/>
    <sheet name="7月排产计划" sheetId="15" r:id="rId5"/>
    <sheet name="排产对比表对比" sheetId="22" r:id="rId6"/>
    <sheet name="生产吨位汇总" sheetId="13" r:id="rId7"/>
    <sheet name="生产问题点说明" sheetId="35" state="hidden" r:id="rId8"/>
    <sheet name="成型机分布" sheetId="36" r:id="rId9"/>
    <sheet name="轮胎重量" sheetId="5" state="hidden" r:id="rId10"/>
    <sheet name="硫化工艺" sheetId="19" state="hidden" r:id="rId11"/>
    <sheet name="投产规格" sheetId="38" state="hidden" r:id="rId12"/>
    <sheet name="集装箱CONTAINER" sheetId="27" state="hidden" r:id="rId13"/>
  </sheets>
  <externalReferences>
    <externalReference r:id="rId14"/>
    <externalReference r:id="rId15"/>
    <externalReference r:id="rId16"/>
  </externalReferences>
  <definedNames>
    <definedName name="_xlnm._FilterDatabase" localSheetId="3" hidden="1">销售需求表!$A$1:$K$397</definedName>
    <definedName name="_xlnm._FilterDatabase" localSheetId="9" hidden="1">轮胎重量!$B$3:$H$750</definedName>
    <definedName name="_xlnm._FilterDatabase" localSheetId="10" hidden="1">硫化工艺!$B$1:$J$1921</definedName>
    <definedName name="_xlnm._FilterDatabase" localSheetId="11" hidden="1">投产规格!$A$2:$AC$832</definedName>
    <definedName name="_xlnm._FilterDatabase" localSheetId="4" hidden="1">'7月排产计划'!$A$2:$CO$548</definedName>
    <definedName name="_xlnm._FilterDatabase" localSheetId="2" hidden="1">Sheet1!$A$1:$R$62</definedName>
    <definedName name="_xlnm._FilterDatabase" localSheetId="1" hidden="1">'expert items'!$A$1:$Q$49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<sst xmlns="http://schemas.openxmlformats.org/spreadsheetml/2006/main" count="16367" uniqueCount="4806">
  <si>
    <t>market</t>
  </si>
  <si>
    <t>ERP Label Code - Chinese</t>
  </si>
  <si>
    <t>ERP Label Code - English</t>
  </si>
  <si>
    <r>
      <t>规格</t>
    </r>
    <r>
      <rPr>
        <sz val="11"/>
        <color rgb="FF000000"/>
        <rFont val="Calibri"/>
        <charset val="134"/>
      </rPr>
      <t xml:space="preserve">
 specification</t>
    </r>
  </si>
  <si>
    <t>有无模版template</t>
  </si>
  <si>
    <t>EANCODE</t>
  </si>
  <si>
    <t>ERP CODE</t>
  </si>
  <si>
    <t>品牌
 Brand</t>
  </si>
  <si>
    <t>TT/TL</t>
  </si>
  <si>
    <t>M+S标记</t>
  </si>
  <si>
    <t>泥雪地 牵引标识位置</t>
  </si>
  <si>
    <t>QTY</t>
  </si>
  <si>
    <t>RR</t>
  </si>
  <si>
    <t>W1.24t</t>
  </si>
  <si>
    <t>噪音</t>
  </si>
  <si>
    <t>噪音等级</t>
  </si>
  <si>
    <t>pickup date</t>
  </si>
  <si>
    <t>SNI</t>
  </si>
  <si>
    <t>(ID-TIANLI-TBR-SNI)ID11.00R20-18PR(152/149F)[TZ101]TIANLI</t>
  </si>
  <si>
    <t>ID11.00R20-18PR(152/149F)[TZ101]TIANLI</t>
  </si>
  <si>
    <t>0105045752ID</t>
  </si>
  <si>
    <t>TIANLI</t>
  </si>
  <si>
    <t>TT</t>
  </si>
  <si>
    <t>18J</t>
  </si>
  <si>
    <t>(ID-EFFIPLUS-TBR-SNI)ID11.00R20-18PR(152/149K)[AM4S.Q679]EFFIPLUS</t>
  </si>
  <si>
    <t>ID11.00R20-18PR(152/149K)[AM4S.Q679]EFFIPLUS</t>
  </si>
  <si>
    <t>01050457782ID</t>
  </si>
  <si>
    <t>EFFIPLUS</t>
  </si>
  <si>
    <t>(ID-EFFIPLUS-TBR-SNI)ID11.00R20-18PR(152/149L)[FOLO.R109]EFFIPLUS</t>
  </si>
  <si>
    <t>ID11.00R20-18PR(152/149L)[FOLO.R109]EFFIPLUS</t>
  </si>
  <si>
    <t>01050457786ID</t>
  </si>
  <si>
    <t>(ID-YR-TBR-SNI)ID12.00R20-20PR(156/153F)[EZ345]雅度</t>
  </si>
  <si>
    <t>(ID-YR-TBR-SNI)ID12.00R20-20PR(156/153F)[EZ345]YARTU</t>
  </si>
  <si>
    <t>ID12.00R20-20PR(156/153F)[EZ345]雅度</t>
  </si>
  <si>
    <t>0105045809319ID</t>
  </si>
  <si>
    <t>YARTU</t>
  </si>
  <si>
    <t>20L</t>
  </si>
  <si>
    <t>(ID-TN-TBR-SNI)ID12.00R20-22PR(158/155F)[TRD-79]TRAZANO(全诺) 东南亚</t>
  </si>
  <si>
    <t>(ID-TN-TBR-SNI)ID12.00R20-22PR(158/155F)[TRD-79]TRAZANO</t>
  </si>
  <si>
    <t>ID12.00R20-22PR(158/155F)[TRD-79]TRAZANO(全诺) 东南亚</t>
  </si>
  <si>
    <t>0105045809529ID</t>
  </si>
  <si>
    <t>TRAZANO</t>
  </si>
  <si>
    <t>22M</t>
  </si>
  <si>
    <t>(ID-YR-TBR-SNI)ID12.00R24-20PR(160/157F)[CB972]雅度</t>
  </si>
  <si>
    <t>(ID-YR-TBR-SNI)ID12.00R24-20PR(160/157F)[CB972]YARTU</t>
  </si>
  <si>
    <t>ID12.00R24-20PR(160/157F)[CB972]雅度</t>
  </si>
  <si>
    <t>010504245ID</t>
  </si>
  <si>
    <t>(ID-TN-TBR-SNI)ID12.00R24-20PR(160/157F)[TRD-79]TRAZANO(全诺)</t>
  </si>
  <si>
    <t>(ID-TN-TBR-SNI)ID12.00R24-20PR(160/157F)[TRD-79]TRAZANO</t>
  </si>
  <si>
    <t>ID12.00R24-20PR(160/157F)[TRD-79]TRAZANO(全诺)</t>
  </si>
  <si>
    <t>0105045809530ID</t>
  </si>
  <si>
    <t>(ID-TIANLI-TBR-SNI)ID7.50R16-14PR(122/118L)[TZ202]TIANLI</t>
  </si>
  <si>
    <t>ID7.50R16-14PR(122/118L)[TZ202]TIANLI</t>
  </si>
  <si>
    <t>0105045754ID</t>
  </si>
  <si>
    <t>14G</t>
  </si>
  <si>
    <t>(ID-WL-BIAS-SNI)ID7.50-16LT-14PR[MR881]122/118K 威狮</t>
  </si>
  <si>
    <t>(ID-WL-BIAS-SNI)ID7.50-16LT-14PR[MR881]122/118K WESTLAKE</t>
  </si>
  <si>
    <t>ID7.50-16LT-14PR[MR881]122/118K 威狮</t>
  </si>
  <si>
    <t>0105045809259ID</t>
  </si>
  <si>
    <t>WESTLAKE</t>
  </si>
  <si>
    <t>newitems</t>
  </si>
  <si>
    <t>(ID-YR-TBR-SNI)ID7.50R16-14PR(122/118F)[CB972pro]雅度</t>
  </si>
  <si>
    <t>(ID-YR-TBR-SNI)ID7.50R16-14PR(122/118F)[CB972pro]YARTU</t>
  </si>
  <si>
    <t>ID7.50R16-14PR(122/118F)[CB972pro]雅度</t>
  </si>
  <si>
    <t>0721688040064</t>
  </si>
  <si>
    <t>01050458095324ID</t>
  </si>
  <si>
    <t>/</t>
  </si>
  <si>
    <t>(ID-GR-TBR-SNI)ID7.50R16-14PR(122/118F)[CB972pro]好运</t>
  </si>
  <si>
    <t>(ID-GR-TBR-SNI)ID7.50R16-14PR(122/118F)[CB972pro]GOODRIDE</t>
  </si>
  <si>
    <t>ID7.50R16-14PR(122/118F)[CB972pro]好运</t>
  </si>
  <si>
    <t>0721688040071</t>
  </si>
  <si>
    <t>01050458095325ID</t>
  </si>
  <si>
    <t>GOODRIDE</t>
  </si>
  <si>
    <t>(ID-WL-TBR-SNI)ID7.50R16-14PR(122/118F)[CB972pro]威狮</t>
  </si>
  <si>
    <t>(ID-WL-TBR-SNI)ID7.50R16-14PR(122/118F)[CB972pro]WESTLAKE</t>
  </si>
  <si>
    <t>ID7.50R16-14PR(122/118F)[CB972pro]威狮</t>
  </si>
  <si>
    <t>0721688040088</t>
  </si>
  <si>
    <t>01050458095326ID</t>
  </si>
  <si>
    <t>(ID-WL-TBR-SNI)ID7.50R16-14PR(122/118L)[AZ601+]威狮</t>
  </si>
  <si>
    <t>(ID-WL-TBR-SNI)ID7.50R16-14PR(122/118L)[AZ601+]WESTLAKE</t>
  </si>
  <si>
    <t>ID7.50R16-14PR(122/118L)[AZ601+]威狮</t>
  </si>
  <si>
    <t>0721688040057</t>
  </si>
  <si>
    <t>0105045809532ID</t>
  </si>
  <si>
    <t>OEM</t>
  </si>
  <si>
    <t>(ID-ITARO-TBR-OEM)ID11R22.5-16PR(146/143L)[KOBE DPM]ITARO无内</t>
  </si>
  <si>
    <t>(ID-ITARO-TBR-OEM)ID11R22.5-16PR(146/143L)[KOBE DPM]ITARO TL</t>
  </si>
  <si>
    <t>ID11R22.5-16PR(146/143L)[KOBE DPM]ITARO无内</t>
  </si>
  <si>
    <t>✅</t>
  </si>
  <si>
    <t>0105045740ID</t>
  </si>
  <si>
    <t>ITARO</t>
  </si>
  <si>
    <t>TL</t>
  </si>
  <si>
    <t>16H</t>
  </si>
  <si>
    <t>PT</t>
  </si>
  <si>
    <t>(ID-WL-TBR-PT)ID11R22.5-16PR(148/145L)[AZ599]威狮无内</t>
  </si>
  <si>
    <t>(ID-WL-TBR-PT)ID11R22.5-16PR(148/145L)[AZ599]WESTLAKE TL</t>
  </si>
  <si>
    <t>ID11R22.5-16PR(148/145L)[AZ599]威狮无内</t>
  </si>
  <si>
    <t>0105045672ID</t>
  </si>
  <si>
    <t>ATD</t>
  </si>
  <si>
    <t>(ID-IRONMAN-TBR-ATD)ID11R22.5-16PR(148/145L)[I-28D]IRONMAN无内 SMARTWAY</t>
  </si>
  <si>
    <t>(ID-IRONMAN-TBR-ATD)ID11R22.5-16PR(148/145L)[I-28D]IRONMAN TL SMARTWAY</t>
  </si>
  <si>
    <t>ID11R22.5-16PR(148/145L)[I-28D]IRONMAN无内 SMARTWAY</t>
  </si>
  <si>
    <t>0105045792ID</t>
  </si>
  <si>
    <t>IRONMAN</t>
  </si>
  <si>
    <t>(ID-IRONMAN-TBR-OEM)ID215/75R17.5-16PR(135/133L)[I-19A]IRONMAN无内</t>
  </si>
  <si>
    <t>(ID-IRONMAN-TBR-OEM)ID215/75R17.5-16PR(135/133L)[I-19A]IRONMAN TL</t>
  </si>
  <si>
    <t>ID215/75R17.5-16PR(135/133L)[I-19A]IRONMAN无内</t>
  </si>
  <si>
    <t>010504326ID</t>
  </si>
  <si>
    <t>(ID-HERCULES-TBR-OEM)ID215/75R17.5-16PR(135/133L)[Strong Guard H-RA]HERCULES无内</t>
  </si>
  <si>
    <t>(ID-HERCULES-TBR-OEM)ID215/75R17.5-16PR(135/133L)[Strong Guard H-RA]HERCULES TL</t>
  </si>
  <si>
    <t>ID215/75R17.5-16PR(135/133L)[Strong Guard H-RA]HERCULES无内</t>
  </si>
  <si>
    <t>01050457999ID</t>
  </si>
  <si>
    <t>HERCULES</t>
  </si>
  <si>
    <t>(ID-HERCULES-TBR-OEM)ID225/70R19.5-14PR(128/126L)[Strong Guard H-RA]HERCULES无内</t>
  </si>
  <si>
    <t>(ID-HERCULES-TBR-OEM)ID225/70R19.5-14PR(128/126L)[Strong Guard H-RA]HERCULES TL</t>
  </si>
  <si>
    <t>ID225/70R19.5-14PR(128/126L)[Strong Guard H-RA]HERCULES无内</t>
  </si>
  <si>
    <t>01050458001ID</t>
  </si>
  <si>
    <t>(ID-IRONMAN-TBR-OEM)ID225/70R19.5-14PR(128/126N)[I-19A]IRONMAN无内</t>
  </si>
  <si>
    <t>(ID-IRONMAN-TBR-OEM)ID225/70R19.5-14PR(128/126N)[I-19A]IRONMAN TL</t>
  </si>
  <si>
    <t>ID225/70R19.5-14PR(128/126N)[I-19A]IRONMAN无内</t>
  </si>
  <si>
    <t>01050458003ID</t>
  </si>
  <si>
    <t>(ID-IRONMAN-TBR-OEM)ID255/70R22.5-16PR(140/137M)[I-19A]IRONMAN无内</t>
  </si>
  <si>
    <t>(ID-IRONMAN-TBR-OEM)ID255/70R22.5-16PR(140/137M)[I-19A]IRONMAN TL</t>
  </si>
  <si>
    <t>ID255/70R22.5-16PR(140/137M)[I-19A]IRONMAN无内</t>
  </si>
  <si>
    <t>01050458004ID</t>
  </si>
  <si>
    <t>(ID-MASTERTRACK-TBR-OEM)ID255/70R22.5-16PR(140/137M)[M-TRAC AP]MASTERTRACK无内</t>
  </si>
  <si>
    <t>(ID-MASTERTRACK-TBR-OEM)ID255/70R22.5-16PR(140/137M)[M-TRAC AP]MASTERTRACK TL</t>
  </si>
  <si>
    <t>ID255/70R22.5-16PR(140/137M)[M-TRAC AP]MASTERTRACK无内</t>
  </si>
  <si>
    <t>01050458007ID</t>
  </si>
  <si>
    <t>MASTERTRACK</t>
  </si>
  <si>
    <t>(ID-MASTERTRACK-TBR-PT)ID295/75R22.5-14PR(144/141L)[M-TRAC AP]MASTERTRACK无内</t>
  </si>
  <si>
    <t>(ID-MASTERTRACK-TBR-PT)ID295/75R22.5-14PR(144/141L)[M-TRAC AP]MASTERTRACK TL</t>
  </si>
  <si>
    <t>ID295/75R22.5-14PR(144/141L)[M-TRAC AP]MASTERTRACK无内</t>
  </si>
  <si>
    <t>0105045809501ID</t>
  </si>
  <si>
    <t>(ID-IRONMAN-TBR-OEM)ID295/75R22.5-14PR(144/141M)[I-19A]IRONMAN无内 SMARTWAY</t>
  </si>
  <si>
    <t>(ID-IRONMAN-TBR-OEM)ID295/75R22.5-14PR(144/141M)[I-19A]IRONMAN TL SMARTWAY</t>
  </si>
  <si>
    <t>ID295/75R22.5-14PR(144/141M)[I-19A]IRONMAN无内 SMARTWAY</t>
  </si>
  <si>
    <t>0105045809270ID</t>
  </si>
  <si>
    <t>(ID-IRONMAN-TBR-OEM)ID295/75R22.5-14PR(144/141M)[I-48T]IRONMAN无内 SMARTWAY</t>
  </si>
  <si>
    <t>(ID-IRONMAN-TBR-OEM)ID295/75R22.5-14PR(144/141M)[I-48T]IRONMAN TL SMARTWAY</t>
  </si>
  <si>
    <t>ID295/75R22.5-14PR(144/141M)[I-48T]IRONMAN无内 SMARTWAY</t>
  </si>
  <si>
    <t>01050458006ID</t>
  </si>
  <si>
    <t>(ID-ITARO-TBR-OEM)ID295/75R22.5-16PR(146/143L)[KOBE APM]ITARO无内</t>
  </si>
  <si>
    <t>(ID-ITARO-TBR-OEM)ID295/75R22.5-16PR(146/143L)[KOBE APM]ITARO TL</t>
  </si>
  <si>
    <t>ID295/75R22.5-16PR(146/143L)[KOBE APM]ITARO无内</t>
  </si>
  <si>
    <t>0105045739ID</t>
  </si>
  <si>
    <t>(ID-ITARO-TBR-OEM)ID295/75R22.5-16PR(146/143M)[KOBE TPM]ITARO无内</t>
  </si>
  <si>
    <t>(ID-ITARO-TBR-OEM)ID295/75R22.5-16PR(146/143M)[KOBE TPM]ITARO TL</t>
  </si>
  <si>
    <t>ID295/75R22.5-16PR(146/143M)[KOBE TPM]ITARO无内</t>
  </si>
  <si>
    <t>0105045742ID</t>
  </si>
  <si>
    <t>(ID-XBRI-TBR-OEM)ID295/80R22.5-18PR(150/147M)[ECOPLUS]XBRI无内 巴拉圭</t>
  </si>
  <si>
    <t>ID295/80R22.5-18PR(150/147M)[ECOPLUS]XBRI无内 巴拉圭</t>
  </si>
  <si>
    <t>0105045726ID</t>
  </si>
  <si>
    <t>XBRI</t>
  </si>
  <si>
    <t>(ID-WL-TBR-PT)ID315/80R22.5-20PR(157/154K)[CR926B]威狮无内</t>
  </si>
  <si>
    <t>(ID-WL-TBR-PT)ID315/80R22.5-20PR(157/154K)[CR926B]WESTLAKE TL</t>
  </si>
  <si>
    <t>ID315/80R22.5-20PR(157/154K)[CR926B]威狮无内</t>
  </si>
  <si>
    <t>01050457955ID</t>
  </si>
  <si>
    <t>(ID-YR-TBR-PT)ID11.00R20-18PR(152/149F)[EZ330A]雅度</t>
  </si>
  <si>
    <t>(ID-YR-TBR-PT)ID11.00R20-18PR(152/149F)[EZ330A]YARTU</t>
  </si>
  <si>
    <t>ID11.00R20-18PR(152/149F)[EZ330A]雅度</t>
  </si>
  <si>
    <t>0105045809269ID</t>
  </si>
  <si>
    <t>BX</t>
  </si>
  <si>
    <t>(ID-WL-PCR-BX)ID175/65R14PR[Z-108]82H 西湖无内</t>
  </si>
  <si>
    <t>(ID-WL-PCR-BX)ID175/65R14PR[Z-108]82H WESTLAKE TL</t>
  </si>
  <si>
    <t>ID175/65R14PR[Z-108]82H 西湖无内</t>
  </si>
  <si>
    <t>0105045809491ID</t>
  </si>
  <si>
    <t>F</t>
  </si>
  <si>
    <t>E</t>
  </si>
  <si>
    <t>(ID-WL-PCR-BX)ID185/70R14PR[Z-108]88T 西湖无内</t>
  </si>
  <si>
    <t>(ID-WL-PCR-BX)ID185/70R14PR[Z-108]88T WESTLAKE TL</t>
  </si>
  <si>
    <t>ID185/70R14PR[Z-108]88T 西湖无内</t>
  </si>
  <si>
    <t>0105045809490ID</t>
  </si>
  <si>
    <t>(ID-WL-PCR-BX)ID175/70R14PR[Z-108]84T 西湖无内</t>
  </si>
  <si>
    <t>(ID-WL-PCR-BX)ID175/70R14PR[Z-108]84T WESTLAKE TL</t>
  </si>
  <si>
    <t>ID175/70R14PR[Z-108]84T 西湖无内</t>
  </si>
  <si>
    <t>0105045809492ID</t>
  </si>
  <si>
    <t>(ID-WL-ST-PT)IDST175/80R13-6PR[ST100]91/87M 西湖无内</t>
  </si>
  <si>
    <t>(ID-WL-ST-PT)IDST175/80R13-6PR[ST100]91/87M WESTLAKE TL</t>
  </si>
  <si>
    <t>IDST175/80R13-6PR[ST100]91/87M 西湖无内</t>
  </si>
  <si>
    <t>0105045809485ID</t>
  </si>
  <si>
    <t>6C</t>
  </si>
  <si>
    <t>(ID-GR-ST-PT)IDST205/75R15-6PR[ST200]101/97M GOODRIDE(好运)无内</t>
  </si>
  <si>
    <t>(ID-GR-ST-PT)IDST205/75R15-6PR[ST200]101/97M GOODRIDE TL</t>
  </si>
  <si>
    <t>IDST205/75R15-6PR[ST200]101/97M GOODRIDE(好运)无内</t>
  </si>
  <si>
    <t>0105045809384ID</t>
  </si>
  <si>
    <t>(ID-WL-ST-PT)IDST235/80R16-10PR[ST100]124/120M 西湖无内</t>
  </si>
  <si>
    <t>(ID-WL-ST-PT)IDST235/80R16-10PR[ST100]124/120M WESTLAKE TL</t>
  </si>
  <si>
    <t>IDST235/80R16-10PR[ST100]124/120M 西湖无内</t>
  </si>
  <si>
    <t>0105045809477ID</t>
  </si>
  <si>
    <t>10E</t>
  </si>
  <si>
    <t>(ID-MASTERTRACK-TBR-OEM)ID285/75R24.5-16PR(147/144L)[M-TRAC CSD]MASTERTRACK无内</t>
  </si>
  <si>
    <t>(ID-MASTERTRACK-TBR-OEM)ID285/75R24.5-16PR(147/144L)[M-TRAC CSD]MASTERTRACK TL</t>
  </si>
  <si>
    <t>ID285/75R24.5-16PR(147/144L)[M-TRAC CSD]MASTERTRACK无内</t>
  </si>
  <si>
    <t>01050458095323ID</t>
  </si>
  <si>
    <t>ID295/80R22.5-18PR(152/149M)[AT161]SUDESTE无内</t>
  </si>
  <si>
    <t>SUDESTE</t>
  </si>
  <si>
    <t>(ID-HERCULES-BIAS-OEM)ID5.70-12-6PR[STRONG GUARD SS]97A2 HERCULES无内</t>
  </si>
  <si>
    <t>(ID-HERCULES-BIAS-OEM)ID5.70-12-6PR[STRONG GUARD SS]97A2 HERCULES TL</t>
  </si>
  <si>
    <t>ID5.70-12-6PR[STRONG GUARD SS]97A2 HERCULES无内</t>
  </si>
  <si>
    <t>01050458095327ID</t>
  </si>
  <si>
    <t>(ID-HERCULES-BIAS-OEM)ID14.5/75-16.1SL-10PR[STRONG GUARD F-3]121A8 HERCULES无内</t>
  </si>
  <si>
    <t>(ID-HERCULES-BIAS-OEM)ID14.5/75-16.1SL-10PR[STRONG GUARD F-3]121A8 HERCULES TL</t>
  </si>
  <si>
    <t>ID14.5/75-16.1SL-10PR[STRONG GUARD F-3]121A8 HERCULES无内</t>
  </si>
  <si>
    <t>01050458095328ID</t>
  </si>
  <si>
    <t>(ID-TN-PCR-BX)ID165/70R13PR[T-118]79T TRAZANO(全诺)无内</t>
  </si>
  <si>
    <t>(ID-TN-PCR-BX)ID165/70R13PR[T-118]79T TRAZANO TL</t>
  </si>
  <si>
    <t>ID165/70R13PR[T-118]79T TRAZANO(全诺)无内</t>
  </si>
  <si>
    <t>等认证</t>
  </si>
  <si>
    <t>0721688040095</t>
  </si>
  <si>
    <t>01050458095329ID</t>
  </si>
  <si>
    <t>(ID-WL-PCR-BX)ID165/70R13PR[Z-108]79T 西湖无内</t>
  </si>
  <si>
    <t>(ID-WL-PCR-BX)ID165/70R13PR[Z-108]79T WESTLAKE TL</t>
  </si>
  <si>
    <t>ID165/70R13PR[Z-108]79T 西湖无内</t>
  </si>
  <si>
    <t>0721688040101</t>
  </si>
  <si>
    <t>01050458095330ID</t>
  </si>
  <si>
    <t>(ID-TN-PCR-BX)ID175/70R13PR[T-118]82T TRAZANO(全诺)无内</t>
  </si>
  <si>
    <t>(ID-TN-PCR-BX)ID175/70R13PR[T-118]82T TRAZANO TL</t>
  </si>
  <si>
    <t>ID175/70R13PR[T-118]82T TRAZANO(全诺)无内</t>
  </si>
  <si>
    <t>0721688040118</t>
  </si>
  <si>
    <t>01050458095331ID</t>
  </si>
  <si>
    <t>(ID-WL-PCR-BX)ID175/70R13PR[Z-108]82T 西湖无内</t>
  </si>
  <si>
    <t>(ID-WL-PCR-BX)ID175/70R13PR[Z-108]82T WESTLAKE TL</t>
  </si>
  <si>
    <t>ID175/70R13PR[Z-108]82T 西湖无内</t>
  </si>
  <si>
    <t>0721688040125</t>
  </si>
  <si>
    <t>01050458095332ID</t>
  </si>
  <si>
    <t>(ID-TN-PCR-BX)ID175/65R14PR[T-118]82H TRAZANO(全诺)无内</t>
  </si>
  <si>
    <t>(ID-TN-PCR-BX)ID175/65R14PR[T-118]82H TRAZANO TL</t>
  </si>
  <si>
    <t>ID175/65R14PR[T-118]82H TRAZANO(全诺)无内</t>
  </si>
  <si>
    <t>0721688040132</t>
  </si>
  <si>
    <t>01050458095333ID</t>
  </si>
  <si>
    <t>(ID-TN-PCR-BX)ID165/70R14PR[T-118]81T TRAZANO(全诺)无内</t>
  </si>
  <si>
    <t>(ID-TN-PCR-BX)ID165/70R14PR[T-118]81T TRAZANO TL</t>
  </si>
  <si>
    <t>ID165/70R14PR[T-118]81T TRAZANO(全诺)无内</t>
  </si>
  <si>
    <t>0721688040149</t>
  </si>
  <si>
    <t>01050458095334ID</t>
  </si>
  <si>
    <t>(ID-WL-PCR-BX)ID165/70R14PR[Z-108]81T 西湖无内</t>
  </si>
  <si>
    <t>(ID-WL-PCR-BX)ID165/70R14PR[Z-108]81T WESTLAKE TL</t>
  </si>
  <si>
    <t>ID165/70R14PR[Z-108]81T 西湖无内</t>
  </si>
  <si>
    <t>0721688040156</t>
  </si>
  <si>
    <t>01050458095335ID</t>
  </si>
  <si>
    <t>(ID-TN-PCR-BX)ID185/65R14PR[T-118]86H TRAZANO(全诺)无内</t>
  </si>
  <si>
    <t>(ID-TN-PCR-BX)ID185/65R14PR[T-118]86H TRAZANO TL</t>
  </si>
  <si>
    <t>ID185/65R14PR[T-118]86H TRAZANO(全诺)无内</t>
  </si>
  <si>
    <t>0721688040163</t>
  </si>
  <si>
    <t>01050458095336ID</t>
  </si>
  <si>
    <t>(ID-WL-PCR-BX)ID185/65R14PR[Z-108]86H 西湖无内</t>
  </si>
  <si>
    <t>(ID-WL-PCR-BX)ID185/65R14PR[Z-108]86H WESTLAKE TL</t>
  </si>
  <si>
    <t>ID185/65R14PR[Z-108]86H 西湖无内</t>
  </si>
  <si>
    <t>0721688040170</t>
  </si>
  <si>
    <t>01050458095337ID</t>
  </si>
  <si>
    <t>(ID-TN-PCR-BX)ID185/70R14PR[T-118]88T TRAZANO(全诺)无内</t>
  </si>
  <si>
    <t>(ID-TN-PCR-BX)ID185/70R14PR[T-118]88T TRAZANO TL</t>
  </si>
  <si>
    <t>ID185/70R14PR[T-118]88T TRAZANO(全诺)无内</t>
  </si>
  <si>
    <t>0721688040187</t>
  </si>
  <si>
    <t>01050458095338ID</t>
  </si>
  <si>
    <t>(ID-TN-PCR-BX)ID175/70R14PR[T-118]84T TRAZANO(全诺)无内</t>
  </si>
  <si>
    <t>(ID-TN-PCR-BX)ID175/70R14PR[T-118]84T TRAZANO TL</t>
  </si>
  <si>
    <t>ID175/70R14PR[T-118]84T TRAZANO(全诺)无内</t>
  </si>
  <si>
    <t>0721688040194</t>
  </si>
  <si>
    <t>01050458095339ID</t>
  </si>
  <si>
    <t>(ID-GR-ST-PT)IDST175/80R13-6PR[ST200]91/87M GOODRIDE(好运)无内 NR</t>
  </si>
  <si>
    <t>(ID-GR-ST-PT)IDST175/80R13-6PR[ST200]91/87M GOODRIDE TL NR</t>
  </si>
  <si>
    <t>IDST175/80R13-6PR[ST200]91/87M GOODRIDE(好运)无内 NR</t>
  </si>
  <si>
    <t>0721688040200</t>
  </si>
  <si>
    <t>01050458095340ID</t>
  </si>
  <si>
    <t>(ID-ARISUN-ST-PT)IDST225/75R15-10PR[ST100]117/112M ARISUN无内</t>
  </si>
  <si>
    <t>(ID-ARISUN-ST-PT)IDST225/75R15-10PR[ST100]117/112M ARISUN TL</t>
  </si>
  <si>
    <t>IDST225/75R15-10PR[ST100]117/112M ARISUN无内</t>
  </si>
  <si>
    <t>0721688040217</t>
  </si>
  <si>
    <t>01050458095341ID</t>
  </si>
  <si>
    <t>ARISUN</t>
  </si>
  <si>
    <t>(ID-ARISUN-ST-PT)IDST205/75R15-8PR[ST100]107/102M ARISUN无内</t>
  </si>
  <si>
    <t>(ID-ARISUN-ST-PT)IDST205/75R15-8PR[ST100]107/102M ARISUN TL</t>
  </si>
  <si>
    <t>IDST205/75R15-8PR[ST100]107/102M ARISUN无内</t>
  </si>
  <si>
    <t>0721688040224</t>
  </si>
  <si>
    <t>01050458095342ID</t>
  </si>
  <si>
    <t>8D</t>
  </si>
  <si>
    <t>(ID-WL-ST-PT)IDST185R14CPR[TRAILER ST290]104/102N 西湖无内 NR</t>
  </si>
  <si>
    <t>(ID-WL-ST-PT)IDST185R14CPR[TRAILER ST290]104/102N WESTLAKE TL NR</t>
  </si>
  <si>
    <t>IDST185R14CPR[TRAILER ST290]104/102N 西湖无内 NR</t>
  </si>
  <si>
    <t>0721688040231</t>
  </si>
  <si>
    <t>01050458095343ID</t>
  </si>
  <si>
    <t>(ID-WL-ST-PT)IDST195/70R14PR[ST290]96N 威狮无内 XL NR</t>
  </si>
  <si>
    <t>(ID-WL-ST-PT)IDST195/70R14PR[ST290]96N WESTLAKE TL XL NR</t>
  </si>
  <si>
    <t>IDST195/70R14PR[ST290]96N 威狮无内 XL NR</t>
  </si>
  <si>
    <t>0721688040248</t>
  </si>
  <si>
    <t>01050458095344ID</t>
  </si>
  <si>
    <t>(ID-HERCULES-OTR-OEM)ID23×8.50-12-6PR[STRONG GUARD SS]101A2 HERCULES无内</t>
  </si>
  <si>
    <t>(ID-HERCULES-OTR-OEM)ID23×8.50-12-6PR[STRONG GUARD SS]101A2 HERCULES TL</t>
  </si>
  <si>
    <t>ID23×8.50-12-6PR[STRONG GUARD SS]101A2 HERCULES无内</t>
  </si>
  <si>
    <t>90mmx60mm</t>
  </si>
  <si>
    <t>0105045809316ID</t>
  </si>
  <si>
    <t>(ID-HERCULES-OTR-OEM)ID26×12-12-8PR[STRONG GUARD R1]119A2 HERCULES无内</t>
  </si>
  <si>
    <t>(ID-HERCULES-OTR-OEM)ID26×12-12-8PR[STRONG GUARD R1]119A2 HERCULES TL</t>
  </si>
  <si>
    <t>ID26×12-12-8PR[STRONG GUARD R1]119A2 HERCULES无内</t>
  </si>
  <si>
    <t>0105045809317ID</t>
  </si>
  <si>
    <t>(ID-HERCULES-OTR-OEM)ID27×8.5-15-8PR[STRONG GUARD SS]HERCULES无内</t>
  </si>
  <si>
    <t>(ID-HERCULES-OTR-OEM)ID27×8.5-15-8PR[STRONG GUARD SS]HERCULES TL</t>
  </si>
  <si>
    <t>ID27×8.5-15-8PR[STRONG GUARD SS]HERCULES无内</t>
  </si>
  <si>
    <t>0105045809322ID</t>
  </si>
  <si>
    <t>(ID-HERCULES-OTR-OEM)ID29×12.5-15-8PR[STRONG GUARD R1]123A2 HERCULES无内</t>
  </si>
  <si>
    <t>(ID-HERCULES-OTR-OEM)ID29×12.5-15-8PR[STRONG GUARD R1]123A2 HERCULES TL</t>
  </si>
  <si>
    <t>ID29×12.5-15-8PR[STRONG GUARD R1]123A2 HERCULES无内</t>
  </si>
  <si>
    <t>0105045809315ID</t>
  </si>
  <si>
    <t>PR</t>
  </si>
  <si>
    <t>(ID-WL-PCR-PT)ID175/65R14PR[Z-108]82H 西湖无内</t>
  </si>
  <si>
    <t>(ID-WL-PCR-PT)ID175/65R14PR[Z-108]82H WESTLAKE TL</t>
  </si>
  <si>
    <t>(ID-WL-PCR-PT)ID185/70R14PR[Z-108]88T 西湖无内</t>
  </si>
  <si>
    <t>(ID-WL-PCR-PT)ID185/70R14PR[Z-108]88T WESTLAKE TL</t>
  </si>
  <si>
    <t>(ID-WL-PCR-PT)ID175/70R14PR[Z-108]84T 西湖无内</t>
  </si>
  <si>
    <t>(ID-WL-PCR-PT)ID175/70R14PR[Z-108]84T WESTLAKE TL</t>
  </si>
  <si>
    <t>2025年7月外贸印尼计划需求</t>
  </si>
  <si>
    <t>产品名称</t>
  </si>
  <si>
    <t>ID10.00-20-14PR[CR918]威狮</t>
  </si>
  <si>
    <t>北美</t>
  </si>
  <si>
    <t>载重</t>
  </si>
  <si>
    <t>ID10.00-20-16PR[CR952]146/142G 威狮</t>
  </si>
  <si>
    <t>亚</t>
  </si>
  <si>
    <t>ID10.00-20-16PR[R9037]146/142G 朝阳</t>
  </si>
  <si>
    <t>ID10.00-20-16PR[R9037]146/142G 金冠</t>
  </si>
  <si>
    <t>ID10.00-20-18PR[AB111]150/145G ASCENDO</t>
  </si>
  <si>
    <t>ID10.00-20-18PR[AB316]150/145G ASCENDO</t>
  </si>
  <si>
    <t>ID10.00-20-18PR[CL956]150/145G 金冠</t>
  </si>
  <si>
    <t>ID10.00-20-18PR[CR952]150/145G TRAZANO(全诺)</t>
  </si>
  <si>
    <t>ID10.00-20-18PR[CR952]150/145G 金冠</t>
  </si>
  <si>
    <t>ID10.00-20-18PR[CR952]150/145G 威狮</t>
  </si>
  <si>
    <t>ID10.00-20-18PR[M9097]150/145G 朝阳</t>
  </si>
  <si>
    <t>ID10.00-20-18PR[M9097]150/145G 金冠</t>
  </si>
  <si>
    <t>ID10.00-20-18PR[M9097]150/145G 威狮</t>
  </si>
  <si>
    <t>ID10.00-20-18PR[R9037]150/145G 朝阳</t>
  </si>
  <si>
    <t>ID10.00-20-18PR[R9037]150/145G 金冠</t>
  </si>
  <si>
    <t>ID10.00-20-18PR[R9037]150/145G 威狮</t>
  </si>
  <si>
    <t>ID10.00-20-18PR[R9038]150/145G GOODRIDE(好运)</t>
  </si>
  <si>
    <t>ID11.00-20-18PR[CL969]153/148G 朝阳</t>
  </si>
  <si>
    <t>ID11.00-20-18PR[CL969]153/148G 金冠</t>
  </si>
  <si>
    <t>ID11.00-20-18PR[CL969]153/148G 威狮</t>
  </si>
  <si>
    <t>ID11.00-20-18PR[CR952]153/148G TRAZANO(全诺)</t>
  </si>
  <si>
    <t>ID11.00-20-18PR[CR952]153/148G 朝阳</t>
  </si>
  <si>
    <t>ID11.00-20-18PR[CR952]153/148G 金冠</t>
  </si>
  <si>
    <t>ID11.00-20-18PR[CR952]153/148G 威狮</t>
  </si>
  <si>
    <t>ID11.00-20-18PR[CR952]153/148G 雅度</t>
  </si>
  <si>
    <t>ID11.00-20-18PR[CR952PRO]153/148G 金冠</t>
  </si>
  <si>
    <t>ID7.50-15-12PR[R8037]119/115J 金冠</t>
  </si>
  <si>
    <t>轻卡</t>
  </si>
  <si>
    <t>ID7.50-16-14PR[AB111]122/118J ASCENDO</t>
  </si>
  <si>
    <t>ID7.50-16-14PR[L8056]122/118G 朝阳</t>
  </si>
  <si>
    <t>ID7.50-16-14PR[M8087]122/118G TRAZANO(全诺)</t>
  </si>
  <si>
    <t>ID7.50-16-14PR[M8087]122/118G 朝阳</t>
  </si>
  <si>
    <t>ID7.50-16-14PR[M8087]122/118G 金冠</t>
  </si>
  <si>
    <t>ID7.50-16-14PR[M8087]122/118G 威狮</t>
  </si>
  <si>
    <t>ID7.50-16-14PR[R8037]122/118J TRAZANO(全诺)</t>
  </si>
  <si>
    <t>ID7.50-16-14PR[R8037]122/118J 朝阳</t>
  </si>
  <si>
    <t>ID7.50-16-14PR[R8038]122/118J GOODRIDE(好运)</t>
  </si>
  <si>
    <t>ID7.50-16-14PR[R8038]122/118J 金冠</t>
  </si>
  <si>
    <t>ID7.50-16LT-14PR[CL891]122/118B 威狮</t>
  </si>
  <si>
    <t>ID7.50-16LT-14PR[MX882]122/118K 威狮</t>
  </si>
  <si>
    <t>IDST205/75D15-6PR[TE898]101/97L TRANSEAGLE无内</t>
  </si>
  <si>
    <t>ST</t>
  </si>
  <si>
    <t>天津</t>
  </si>
  <si>
    <t>ID23.5-25-20PR[T318]天力</t>
  </si>
  <si>
    <t>OTR</t>
  </si>
  <si>
    <t>工程胎</t>
  </si>
  <si>
    <t>ID23.5-25-24PR[CL728]威狮 东南亚</t>
  </si>
  <si>
    <t>ID11R22.5-14PR(144/142M)[AT552]ARISUN无内</t>
  </si>
  <si>
    <t>ID11R22.5-14PR(144/142M)[AT563]ARISUN无内</t>
  </si>
  <si>
    <t>ID11R22.5-14PR(144/142M)[CR915]威狮无内</t>
  </si>
  <si>
    <t>ID11R22.5-14PR(144/142M)[HT1 Plus]SUPERMAX无内</t>
  </si>
  <si>
    <t>ID11R22.5-14PR(144/142M)[I-48T]IRONMAN无内 SMARTWAY</t>
  </si>
  <si>
    <t>ID11R22.5-14PR(144/142M)[M-TRAC TR]MASTERTRACK无内</t>
  </si>
  <si>
    <t>ID11R22.5-14PR(144/142M)[Strong Guard H-TL]HERCULES无内</t>
  </si>
  <si>
    <t>ID11R22.5-16PR(146/143L)[DOMINATE D01]BLACKARROW无内</t>
  </si>
  <si>
    <t>ID11R22.5-16PR(146/143L)[HD1 PlusX]SUPERMAX ECO无内</t>
  </si>
  <si>
    <t>ID11R22.5-16PR(146/143L)[M-TRAC CSD+]MASTERTRACK无内</t>
  </si>
  <si>
    <t>ID11R22.5-16PR(146/143L)[M-TRAC HS+]MASTERTRACK无内</t>
  </si>
  <si>
    <t>ID11R22.5-16PR(146/143L)[M-TRAC MS]MASTERTRACK无内</t>
  </si>
  <si>
    <t>ID11R22.5-16PR(146/143L)[M-TRAC OSD]MASTERTRACK无内</t>
  </si>
  <si>
    <t>ID11R22.5-16PR(146/143L)[RLINE-S1]REDCLIFF无内</t>
  </si>
  <si>
    <t>ID11R22.5-16PR(146/143L)[Strong Guard H-RD]HERCULES无内</t>
  </si>
  <si>
    <t>ID11R22.5-16PR(146/143M)[HF1 PlusX]SUPERMAX ECO无内</t>
  </si>
  <si>
    <t>ID11R22.5-16PR(146/143M)[KOBE APM]ITARO无内</t>
  </si>
  <si>
    <t>ID11R22.5-16PR(148/145K)[Strong Guard H-MD]HERCULES无内</t>
  </si>
  <si>
    <t>ID11R22.5-16PR(148/145L)[AD716]GOODRIDE(好运)无内</t>
  </si>
  <si>
    <t>ID11R22.5-16PR(148/145L)[AS858]GOODRIDE(好运)无内</t>
  </si>
  <si>
    <t>ID11R22.5-16PR(148/145L)[AS868]金冠无内</t>
  </si>
  <si>
    <t>ID11R22.5-16PR(148/145L)[ECO-MILE CSD]TRAVELSTAR无内</t>
  </si>
  <si>
    <t>ID11R22.5-16PR(148/145L)[HD1 Plus]SUPERMAX无内</t>
  </si>
  <si>
    <t>ID11R22.5-16PR(148/145L)[HF1 Plus]SUPERMAX无内</t>
  </si>
  <si>
    <t>ID11R22.5-16PR(148/145L)[I-31M]IRONMAN无内</t>
  </si>
  <si>
    <t>ID11R22.5-16PR(148/145L)[I-37D]IRONMAN无内</t>
  </si>
  <si>
    <t>ID11R22.5-16PR(148/145L)[I-52A]IRONMAN无内 SMARTWAY</t>
  </si>
  <si>
    <t>ID11R22.5-16PR(148/145L)[M-TRAC AP]MASTERTRACK无内</t>
  </si>
  <si>
    <t>ID11R22.5-16PR(148/145L)[M-TRAC CSD]MASTERTRACK无内</t>
  </si>
  <si>
    <t>ID11R22.5-16PR(148/145L)[ZM41]威狮无内</t>
  </si>
  <si>
    <t>ID11R22.5-16PR(148/145M)[I-19A]IRONMAN无内 SMARTWAY</t>
  </si>
  <si>
    <t>ID11R22.5-16PR(148/145M)[I-61S]IRONMAN无内 SMARTWAY</t>
  </si>
  <si>
    <t>ID11R22.5-16PR(148/145M)[M-TRAC MST]MASTERTRACK无内</t>
  </si>
  <si>
    <t>ID11R22.5-18PR(149/146L)[AS858]雅度无内</t>
  </si>
  <si>
    <t>ID11R22.5-18PR(149/146L)[AZ850]雅度无内</t>
  </si>
  <si>
    <t>ID11R22.5-18PR(149/146L)[YTB-50]雅度无内</t>
  </si>
  <si>
    <t>ID11R22.5-16PR(146/143L)[VD998]VITOUR无内</t>
  </si>
  <si>
    <t>ID11R22.5-16PR(146/143M)[VA996]VITOUR无内</t>
  </si>
  <si>
    <t>ID11R22.5-16PR(146/143L)[VA991]VITOUR无内</t>
  </si>
  <si>
    <t>ID11R22.5-16PR(146/143L)[VD908]VITOUR无内</t>
  </si>
  <si>
    <t>ID11R22.5-16PR(146/143L)[VXD932]VITOUR无内</t>
  </si>
  <si>
    <t>ID11R24.5-14PR(146/143M)[I-48T]IRONMAN无内 SMARTWAY</t>
  </si>
  <si>
    <t>ID11R24.5-14PR(146/143M)[Strong Guard H-TL]HERCULES无内</t>
  </si>
  <si>
    <t>ID11R24.5-16PR(149/146K)[Strong Guard H-MD]HERCULES无内</t>
  </si>
  <si>
    <t>ID11R24.5-16PR(149/146L)[DOMINATE D01]BLACKARROW无内</t>
  </si>
  <si>
    <t>ID11R24.5-16PR(149/146L)[HF1 Plus]SUPERMAX无内</t>
  </si>
  <si>
    <t>ID11R24.5-16PR(149/146L)[HF1 PlusX]SUPERMAX ECO无内</t>
  </si>
  <si>
    <t>ID11R24.5-16PR(149/146L)[I-37D]IRONMAN无内</t>
  </si>
  <si>
    <t>ID11R24.5-16PR(149/146L)[KOBE DPM]ITARO无内</t>
  </si>
  <si>
    <t>ID11R24.5-16PR(149/146L)[M-TRAC AP]MASTERTRACK无内</t>
  </si>
  <si>
    <t>ID11R24.5-16PR(149/146L)[M-TRAC CSD]MASTERTRACK无内</t>
  </si>
  <si>
    <t>ID11R24.5-16PR(149/146L)[M-TRAC MS]MASTERTRACK无内</t>
  </si>
  <si>
    <t>ID11R24.5-16PR(149/146L)[M-TRAC MST]MASTERTRACK无内</t>
  </si>
  <si>
    <t>ID11R24.5-16PR(149/146L)[M-TRAC OSD]MASTERTRACK无内</t>
  </si>
  <si>
    <t>ID11R24.5-16PR(149/146M)[I-19A]IRONMAN无内 SMARTWAY</t>
  </si>
  <si>
    <t>ID11R24.5-16PR(149/146L)[VD998]VITOUR无内</t>
  </si>
  <si>
    <t>ID11R24.5-16PR(149/146M)[VA996]VITOUR无内</t>
  </si>
  <si>
    <t>ID11R24.5-16PR(149/146L)[VA991]VITOUR无内</t>
  </si>
  <si>
    <t>ID12R22.5-18PR(152/149F)[EZ870]雅度无内</t>
  </si>
  <si>
    <t>ID12R22.5-18PR(152/149K)[EZ867]雅度无内</t>
  </si>
  <si>
    <t>ID12R22.5-18PR(152/149L)[I-181]IRONMAN无内</t>
  </si>
  <si>
    <t>ID12R22.5-20PR(154/151K)[EZ867]雅度无内</t>
  </si>
  <si>
    <t>ID12R22.5-20PR(154/151L)[AS898H]雅度无内</t>
  </si>
  <si>
    <t>ID215/75R17.5-16PR(135/133J)[AP-7318]VANTAGE无内</t>
  </si>
  <si>
    <t>ID215/75R17.5-18PR(135/133L)[AZ599]威狮无内</t>
  </si>
  <si>
    <t>ID215/75R17.5-18PR(135/133L)[M-TRAC AP]MASTERTRACK无内</t>
  </si>
  <si>
    <t>ID225/70R19.5-14PR(128/126L)[CM983]威狮无内</t>
  </si>
  <si>
    <t>ID225/70R19.5-14PR(128/126L)[I-208]IRONMAN无内</t>
  </si>
  <si>
    <t>ID225/70R19.5-14PR(128/126M)[ECO-MILE RDW]TRAVELSTAR无内</t>
  </si>
  <si>
    <t>ID225/70R19.5-14PR(128/126M)[M-TRAC RDW]MASTERTRACK无内</t>
  </si>
  <si>
    <t>ID225/70R19.5-14PR(128/126N)[AP-7318]VANTAGE无内</t>
  </si>
  <si>
    <t>ID225/70R19.5-14PR(128/126N)[DR-7318]VANTAGE无内</t>
  </si>
  <si>
    <t>ID225/70R19.5-14PR(128/126N)[ECO-MILE AP]TRAVELSTAR无内</t>
  </si>
  <si>
    <t>ID225/70R19.5-14PR(128/126N)[ECO-MILE HTD]TRAVELSTAR无内</t>
  </si>
  <si>
    <t>ID225/70R19.5-14PR(128/126N)[I-37D]IRONMAN无内</t>
  </si>
  <si>
    <t>ID225/70R19.5-14PR(128/126N)[M-TRAC AP]MASTERTRACK无内</t>
  </si>
  <si>
    <t>ID225/70R19.5-14PR(128/126N)[M-TRAC HTD]MASTERTRACK无内</t>
  </si>
  <si>
    <t>ID225/70R19.5-14PR(128/126M)[VD935]VITOUR无内</t>
  </si>
  <si>
    <t>ID235/75R17.5-18PR(143/141L)[AP-7318]VANTAGE无内</t>
  </si>
  <si>
    <t>ID235/75R17.5-18PR(143/141L)[I-19A]IRONMAN无内</t>
  </si>
  <si>
    <t>ID235/75R17.5-18PR(143/141L)[M-TRAC AP]MASTERTRACK无内</t>
  </si>
  <si>
    <t>ID235/75R17.5-18PR(143/141L)[Strong Guard H-RA]HERCULES无内</t>
  </si>
  <si>
    <t>ID235/75R17.5-18PR(143/141L)[VA933]VITOUR无内</t>
  </si>
  <si>
    <t>ID245/70R17.5-18PR(143/141J)[AP-7318]VANTAGE无内</t>
  </si>
  <si>
    <t>ID245/70R17.5-18PR(143/141J)[I-19A]IRONMAN无内</t>
  </si>
  <si>
    <t>ID245/70R19.5-16PR(136/134J)[ECO-MILE RDW]TRAVELSTAR无内</t>
  </si>
  <si>
    <t>ID245/70R19.5-16PR(136/134M)[AP-7318]VANTAGE无内</t>
  </si>
  <si>
    <t>ID245/70R19.5-16PR(136/134M)[DR-7318]VANTAGE无内</t>
  </si>
  <si>
    <t>ID245/70R19.5-16PR(136/134M)[ECO-MILE AP]TRAVELSTAR无内</t>
  </si>
  <si>
    <t>ID245/70R19.5-16PR(136/134M)[M-TRAC AP]MASTERTRACK无内</t>
  </si>
  <si>
    <t>ID245/70R19.5-16PR(136/134M)[M-TRAC HTD]MASTERTRACK无内</t>
  </si>
  <si>
    <t>ID245/70R19.5-16PR(136/134N)[I-19A]IRONMAN无内</t>
  </si>
  <si>
    <t>ID245/70R19.5-16PR(136/134N)[I-37D]IRONMAN无内</t>
  </si>
  <si>
    <t>ID245/75R22.5-14PR(134/131L)[Strong Guard H-RA]HERCULES无内</t>
  </si>
  <si>
    <t>ID255/70R22.5-16PR(140/137L)[Strong Guard H-RA]HERCULES无内</t>
  </si>
  <si>
    <t>ID255/70R22.5-16PR(140/137M)[AZ599]威狮无内</t>
  </si>
  <si>
    <t>ID255/70R22.5-16PR(140/137M)[ECO-MILE AP]TRAVELSTAR无内</t>
  </si>
  <si>
    <t>ID265/70R19.5-18PR(143/141K)[I-19A]IRONMAN无内</t>
  </si>
  <si>
    <t>ID275/70R22.5-16PR(148/145L)[M-TRAC AP]MASTERTRACK无内</t>
  </si>
  <si>
    <t>ID275/70R22.5-16PR(148/145M)[Strong Guard H-RA]HERCULES无内</t>
  </si>
  <si>
    <t>ID275/70R22.5-18PR(152/148L)[I-19A]IRONMAN无内 美国</t>
  </si>
  <si>
    <t>ID275/80R22.5-16PR(149/146L)[AD153]威狮无内</t>
  </si>
  <si>
    <t>南美</t>
  </si>
  <si>
    <t>ID275/80R22.5-16PR(149/146L)[EZ573A]金冠无内</t>
  </si>
  <si>
    <t>ID275/80R22.5-16PR(149/146L)[EZ573A]力奔无内</t>
  </si>
  <si>
    <t>ID275/80R22.5-16PR(149/146L)[G-PERFORM D]GRIPMASTER无内</t>
  </si>
  <si>
    <t>ID275/80R22.5-16PR(149/146L)[G-PRO MSA]GRIPMASTER无内</t>
  </si>
  <si>
    <t>ID275/80R22.5-16PR(149/146M)[AD528]TRAZANO(全诺)无内</t>
  </si>
  <si>
    <t>ID275/80R22.5-16PR(149/146M)[AD528]威狮无内</t>
  </si>
  <si>
    <t>ID275/80R22.5-16PR(149/146M)[AD528]雅度无内</t>
  </si>
  <si>
    <t>ID275/80R22.5-16PR(149/146M)[AS678]朝阳无内</t>
  </si>
  <si>
    <t>ID275/80R22.5-16PR(149/146M)[AS678]威狮无内</t>
  </si>
  <si>
    <t>ID275/80R22.5-16PR(149/146M)[AZ179]金冠无内</t>
  </si>
  <si>
    <t>ID275/80R22.5-16PR(149/146M)[BMD06 PRO]BRANSALES无内</t>
  </si>
  <si>
    <t>ID275/80R22.5-16PR(149/146M)[BRA04]BRANSALES无内</t>
  </si>
  <si>
    <t>ID275/80R22.5-16PR(149/146M)[CR976A]威狮无内</t>
  </si>
  <si>
    <t>ID275/80R22.5-16PR(149/146M)[G-PRO MSD]GRIPMASTER无内</t>
  </si>
  <si>
    <t>ID275/80R22.5-18PR(149/146L)[AZ179]金冠无内</t>
  </si>
  <si>
    <t>ID275/80R22.5-18PR(149/146L)[AZ179]力奔无内</t>
  </si>
  <si>
    <t>ID275/80R22.5-18PR(149/146L)[AZ179]欧耐特无内</t>
  </si>
  <si>
    <t>ID285/75R24.5-14PR(144/141L)[HD1 Plus]SUPERMAX无内</t>
  </si>
  <si>
    <t>ID285/75R24.5-14PR(144/141L)[HF1 Plus]SUPERMAX无内</t>
  </si>
  <si>
    <t>ID285/75R24.5-14PR(144/141L)[I-28D]IRONMAN无内 SMARTWAY</t>
  </si>
  <si>
    <t>ID285/75R24.5-14PR(144/141L)[I-37D]IRONMAN无内</t>
  </si>
  <si>
    <t>ID285/75R24.5-14PR(144/141L)[Strong Guard H-TL]HERCULES无内</t>
  </si>
  <si>
    <t>ID285/75R24.5-14PR(144/141M)[I-19A]IRONMAN无内 SMARTWAY</t>
  </si>
  <si>
    <t>ID285/75R24.5-14PR(144/141M)[I-48T]IRONMAN无内 SMARTWAY</t>
  </si>
  <si>
    <t>ID285/75R24.5-16PR(147/144L)[M-TRAC AP]MASTERTRACK无内</t>
  </si>
  <si>
    <t>ID285/75R24.5-16PR(147/144M)[I-61S]IRONMAN无内 SMARTWAY</t>
  </si>
  <si>
    <t>ID285/75R24.5-16PR(147/144L)[VA996]VITOUR无内</t>
  </si>
  <si>
    <t>ID295/75R22.5-14PR(144/141L)[AS600]ARISUN无内</t>
  </si>
  <si>
    <t>ID295/75R22.5-14PR(144/141L)[HD1 Plus]SUPERMAX无内</t>
  </si>
  <si>
    <t>ID295/75R22.5-14PR(144/141L)[HT1 Plus]SUPERMAX无内</t>
  </si>
  <si>
    <t>ID295/75R22.5-14PR(144/141L)[I-28D]IRONMAN无内 SMARTWAY</t>
  </si>
  <si>
    <t>ID295/75R22.5-14PR(144/141L)[M-TRAC CSD]MASTERTRACK无内</t>
  </si>
  <si>
    <t>ID295/75R22.5-14PR(144/141L)[M-TRAC OSD]MASTERTRACK无内</t>
  </si>
  <si>
    <t>ID295/75R22.5-14PR(144/141L)[M-TRAC TR]MASTERTRACK无内</t>
  </si>
  <si>
    <t>ID295/75R22.5-14PR(144/141L)[Strong Guard H-RD]HERCULES无内</t>
  </si>
  <si>
    <t>ID295/75R22.5-14PR(144/141M)[AT552]ARISUN无内</t>
  </si>
  <si>
    <t>ID295/75R22.5-14PR(144/141M)[CR915]TRAZANO(全诺)无内</t>
  </si>
  <si>
    <t>ID295/75R22.5-16PR(146/143L)[DOMINATE D01]BLACKARROW无内</t>
  </si>
  <si>
    <t>ID295/75R22.5-16PR(146/143L)[ECO-MILE CSD]TRAVELSTAR无内</t>
  </si>
  <si>
    <t>ID295/75R22.5-16PR(146/143L)[HD1 PlusX]SUPERMAX ECO无内</t>
  </si>
  <si>
    <t>ID295/75R22.5-16PR(146/143L)[HF1 PlusX]SUPERMAX ECO无内</t>
  </si>
  <si>
    <t>ID295/75R22.5-16PR(146/143L)[I-52A]IRONMAN无内 SMARTWAY</t>
  </si>
  <si>
    <t>ID295/75R22.5-16PR(146/143L)[KOBE DPM]ITARO无内</t>
  </si>
  <si>
    <t>ID295/75R22.5-16PR(146/143L)[M-TRAC AP]MASTERTRACK无内</t>
  </si>
  <si>
    <t>ID295/75R22.5-16PR(146/143L)[M-TRAC CSD]MASTERTRACK无内</t>
  </si>
  <si>
    <t>ID295/75R22.5-16PR(146/143L)[M-TRAC CSD+]MASTERTRACK无内</t>
  </si>
  <si>
    <t>ID295/75R22.5-16PR(146/143L)[M-TRAC HS+]MASTERTRACK无内</t>
  </si>
  <si>
    <t>ID295/75R22.5-16PR(146/143L)[RLINE-S1]REDCLIFF无内</t>
  </si>
  <si>
    <t>ID295/75R22.5-16PR(146/143M)[CR915]威狮无内 SMARTWAY</t>
  </si>
  <si>
    <t>ID295/75R22.5-16PR(146/143M)[I-19A]IRONMAN无内 SMARTWAY</t>
  </si>
  <si>
    <t>ID295/75R22.5-16PR(146/143M)[RLINE-TⅡ]REDCLIFF无内</t>
  </si>
  <si>
    <t>ID295/75R22.5-16PR(146/143M)[Strong Guard H-RA]HERCULES无内</t>
  </si>
  <si>
    <t>ID295/75R22.5-16PR(146/143M)[STEALTH S01]BLACKARROW无内</t>
  </si>
  <si>
    <t>ID295/75R22.5-16PR(146/143L)[VXD932]VITOUR无内</t>
  </si>
  <si>
    <t>ID295/75R22.5-16PR(146/143M)[VA996]VITOUR无内</t>
  </si>
  <si>
    <t>ID295/75R22.5-16PR(146/143M)[VT993]VITOUR无内</t>
  </si>
  <si>
    <t>ID295/80R22.5-18PR(152/149J)[EZ177]金冠无内</t>
  </si>
  <si>
    <t>ID295/80R22.5-18PR(152/149K)[G-PRO MSD]GRIPMASTER无内</t>
  </si>
  <si>
    <t>ID295/80R22.5-18PR(152/149K)[MD777]朝阳无内</t>
  </si>
  <si>
    <t>ID295/80R22.5-18PR(152/149K)[MD777]威狮无内</t>
  </si>
  <si>
    <t>ID295/80R22.5-18PR(152/149L)[AZ183]金冠无内</t>
  </si>
  <si>
    <t>ID295/80R22.5-18PR(152/149L)[AZ183]欧耐特无内</t>
  </si>
  <si>
    <t>ID295/80R22.5-18PR(152/149L)[BMA07 ECO]BRANSALES无内</t>
  </si>
  <si>
    <t>ID295/80R22.5-18PR(152/149L)[EZ573]威狮无内</t>
  </si>
  <si>
    <t>ID295/80R22.5-18PR(152/149L)[G-PRO U]GRIPMASTER无内</t>
  </si>
  <si>
    <t>ID295/80R22.5-18PR(152/149M)[AD156A]金冠无内</t>
  </si>
  <si>
    <t>ID295/80R22.5-18PR(152/149M)[AD528]威狮无内</t>
  </si>
  <si>
    <t>ID295/80R22.5-18PR(152/149M)[AD733pro]威狮无内</t>
  </si>
  <si>
    <t>ID295/80R22.5-18PR(152/149M)[AS589]威狮无内</t>
  </si>
  <si>
    <t>ID295/80R22.5-18PR(152/149M)[AS678]朝阳无内</t>
  </si>
  <si>
    <t>ID295/80R22.5-18PR(152/149M)[AS678]威狮无内</t>
  </si>
  <si>
    <t>ID295/80R22.5-18PR(152/149M)[AS858Pro]威狮无内</t>
  </si>
  <si>
    <t>ID295/80R22.5-18PR(152/149M)[AS858Pro]雅度无内</t>
  </si>
  <si>
    <t>ID295/80R22.5-18PR(152/149M)[AS868Pro]TRAZANO(全诺)无内</t>
  </si>
  <si>
    <t>ID295/80R22.5-18PR(152/149M)[AS868Pro]朝阳无内</t>
  </si>
  <si>
    <t>ID295/80R22.5-18PR(152/149M)[AS898]雅度无内</t>
  </si>
  <si>
    <t>ID295/80R22.5-18PR(152/149M)[AT161]威狮无内</t>
  </si>
  <si>
    <t>ID295/80R22.5-18PR(152/149M)[AT186]金冠无内</t>
  </si>
  <si>
    <t>ID295/80R22.5-18PR(152/149M)[AT186]力奔无内</t>
  </si>
  <si>
    <t>ID295/80R22.5-18PR(152/149M)[AT186]欧耐特无内</t>
  </si>
  <si>
    <t>ID295/80R22.5-18PR(152/149M)[AT196]力奔无内</t>
  </si>
  <si>
    <t>ID295/80R22.5-18PR(152/149M)[AT196]雅度无内</t>
  </si>
  <si>
    <t>ID295/80R22.5-18PR(152/149M)[BRA07 ECO]BRANSALES无内</t>
  </si>
  <si>
    <t>ID295/80R22.5-18PR(152/149M)[BRD06 PRO]BRANSALES无内</t>
  </si>
  <si>
    <t>ID295/80R22.5-18PR(152/149M)[CR976A]ARISUN无内</t>
  </si>
  <si>
    <t>ID295/80R22.5-18PR(152/149M)[G-PRO D]GRIPMASTER无内</t>
  </si>
  <si>
    <t>ID295/80R22.5-18PR(152/149M)[G-PRO S]GRIPMASTER无内</t>
  </si>
  <si>
    <t>ID295/80R22.5-18PR(152/149M)[RF45]RODOFORT无内</t>
  </si>
  <si>
    <t>ID295/80R22.5-18PR(152/149M)[TUCSON A]STRYKER无内</t>
  </si>
  <si>
    <t>ID295/80R22.5-18PR(152/149M)[TUCSON D]STRYKER无内</t>
  </si>
  <si>
    <t>ID295/80R22.5-18PR(152/149M)[WDR1]威狮无内</t>
  </si>
  <si>
    <t>ID295/80R22.5-18PR(154/149M)[BRA06 PRO]BRANSALES无内</t>
  </si>
  <si>
    <t>ID315/80R22.5-20PR(157/154K)[CM958]雅度无内</t>
  </si>
  <si>
    <t>非</t>
  </si>
  <si>
    <t>ID315/80R22.5-20PR(157/154K)[HCC1 PlusX]SUPERMAX ECO无内</t>
  </si>
  <si>
    <t>ID315/80R22.5-20PR(161/157K)[I-31M]IRONMAN无内</t>
  </si>
  <si>
    <t>ID315/80R22.5-20PR(161/157K)[I-52A]IRONMAN无内</t>
  </si>
  <si>
    <t>ID315/80R22.5-20PR(161/157K)[M-TRAC MS]MASTERTRACK无内</t>
  </si>
  <si>
    <t>ID315/80R22.5-20PR(161/157L)[Strong Guard H-RD]HERCULES无内</t>
  </si>
  <si>
    <t>ID315/80R22.5-20PR(161/157K)[VA996]VITOUR无内</t>
  </si>
  <si>
    <t>ID325/95R24-22PR(162/160F)[CB972]威狮无内</t>
  </si>
  <si>
    <t>ID325/95R24-22PR(162/160K)[AZ828]威狮无内</t>
  </si>
  <si>
    <t>ID325/95R24-22PR(162/160K)[MD752]TRAZANO(全诺)无内</t>
  </si>
  <si>
    <t>ID325/95R24-22PR(162/160K)[MD752]威狮无内</t>
  </si>
  <si>
    <t>ID385/65R22.5-20PR(160K)[HA4 Plus]SUPERMAX无内</t>
  </si>
  <si>
    <t>ID385/65R22.5-20PR(160K)[I-42W]IRONMAN无内</t>
  </si>
  <si>
    <t>ID385/65R22.5-20PR(160K)[M-TRAC MSF]MASTERTRACK无内</t>
  </si>
  <si>
    <t>ID385/65R22.5-20PR(160K)[Strong Guard H-MW]HERCULES无内</t>
  </si>
  <si>
    <t>ID385/65R22.5-20PR(160K)[VA916]VITOUR无内</t>
  </si>
  <si>
    <t>ID425/65R22.5-20PR(165K)[HA4 Plus]SUPERMAX无内</t>
  </si>
  <si>
    <t>ID425/65R22.5-20PR(165K)[I-42W]IRONMAN无内</t>
  </si>
  <si>
    <t>ID425/65R22.5-20PR(165K)[M-TRAC MSF]MASTERTRACK无内</t>
  </si>
  <si>
    <t>ID425/65R22.5-20PR(165K)[Strong Guard H-MW]HERCULES无内</t>
  </si>
  <si>
    <t>ID425/65R22.5-20PR(165K)[VA916]VITOUR无内</t>
  </si>
  <si>
    <t>ID445/50R22.5-20PR(161L)[AD755]ARISUN无内</t>
  </si>
  <si>
    <t>ID445/50R22.5-20PR(161L)[AD781]GOODRIDE(好运)无内</t>
  </si>
  <si>
    <t>ID445/50R22.5-20PR(161L)[AT566]GOODRIDE(好运)无内</t>
  </si>
  <si>
    <t>ID445/50R22.5-20PR(161L)[AT566]TRAZANO(全诺)无内</t>
  </si>
  <si>
    <t>ID445/50R22.5-20PR(161L)[AT570]ARISUN无内</t>
  </si>
  <si>
    <t>ID445/50R22.5-20PR(161L)[HT2 Plus]SUPERMAX无内</t>
  </si>
  <si>
    <t>ID445/65R22.5-20PR(169K)[I-42W]IRONMAN无内</t>
  </si>
  <si>
    <t>ID10.00R20-18PR(149/146F)[CB332]威狮</t>
  </si>
  <si>
    <t>ID10.00R20-18PR(149/146F)[CB972]威狮</t>
  </si>
  <si>
    <t>ID10.00R20-18PR(149/146F)[MT100]UNITED</t>
  </si>
  <si>
    <t>ID10.00R20-18PR(149/146J)[AZ601]威狮</t>
  </si>
  <si>
    <t>ID10.00R20-18PR(149/146J)[AZ676]TRAZANO(全诺)</t>
  </si>
  <si>
    <t>ID10.00R20-18PR(149/146J)[AZ686]GOODRIDE(好运)</t>
  </si>
  <si>
    <t>ID10.00R20-18PR(149/146J)[AZ686]雅度</t>
  </si>
  <si>
    <t>ID10.00R20-18PR(149/146J)[AZ850]朝阳</t>
  </si>
  <si>
    <t>ID10.00R20-18PR(149/146J)[AZ850]雅度</t>
  </si>
  <si>
    <t>ID10.00R20-18PR(149/146J)[BMA08]BRANSALES</t>
  </si>
  <si>
    <t>ID10.00R20-18PR(149/146J)[CM988]威狮</t>
  </si>
  <si>
    <t>ID10.00R20-18PR(149/146J)[CR926]GOODRIDE(好运)</t>
  </si>
  <si>
    <t>ID10.00R20-18PR(149/146J)[CR926]朝阳</t>
  </si>
  <si>
    <t>ID10.00R20-18PR(149/146J)[CR926]金冠</t>
  </si>
  <si>
    <t>ID10.00R20-18PR(149/146J)[CR926]威狮</t>
  </si>
  <si>
    <t>ID10.00R20-18PR(149/146J)[EZ369]雅度</t>
  </si>
  <si>
    <t>ID10.00R20-18PR(149/146J)[MT200]UNITED</t>
  </si>
  <si>
    <t>ID10.00R20-18PR(149/146J)[TZ202]TIANLI</t>
  </si>
  <si>
    <t>ID10.00R20-18PR(149/146J)[TZ303]TIANLI</t>
  </si>
  <si>
    <t>ID10.00R20-18PR(149/146K)[FOLO.R109]EFFIPLUS</t>
  </si>
  <si>
    <t>ID10.00R20-18PR(149/146K)[MOBY.R856X]EFFIPLUS</t>
  </si>
  <si>
    <t>ID11.00R20-18PR(152/149F)[CB332A]威狮</t>
  </si>
  <si>
    <t>ID11.00R20-18PR(152/149F)[CB972]朝阳</t>
  </si>
  <si>
    <t>ID11.00R20-18PR(152/149F)[CB972]威狮</t>
  </si>
  <si>
    <t>ID11.00R20-18PR(152/149F)[CB972]雅度</t>
  </si>
  <si>
    <t>ID11.00R20-18PR(152/149K)[AS578]雅度</t>
  </si>
  <si>
    <t>ID11.00R20-18PR(152/149K)[AZ676]TRAZANO(全诺)</t>
  </si>
  <si>
    <t>ID11.00R20-18PR(152/149K)[AZ850]朝阳</t>
  </si>
  <si>
    <t>ID11.00R20-18PR(152/149K)[CM988]金冠</t>
  </si>
  <si>
    <t>ID11.00R20-18PR(152/149K)[CR926+]GOODRIDE(好运)</t>
  </si>
  <si>
    <t>ID11.00R20-18PR(152/149K)[CR926+]金冠</t>
  </si>
  <si>
    <t>ID11.00R20-18PR(152/149K)[CR926+]威狮</t>
  </si>
  <si>
    <t>ID11.00R20-18PR(152/149K)[EZ369]朝阳</t>
  </si>
  <si>
    <t>ID11.00R20-18PR(152/149K)[EZ867]金冠</t>
  </si>
  <si>
    <t>ID11.00R20-18PR(152/149K)[MT200]UNITED</t>
  </si>
  <si>
    <t>ID11.00R20-18PR(152/149K)[TZ202]TIANLI</t>
  </si>
  <si>
    <t>ID11.00R20-20PR(154/151D)[AZ850]雅度 东南亚</t>
  </si>
  <si>
    <t>ID11.00R20-20PR(154/151D)[CB905A]雅度 东南亚</t>
  </si>
  <si>
    <t>ID12.00R20-18PR(154/151F)[CB919]ARISUN</t>
  </si>
  <si>
    <t>ID12.00R20-18PR(154/151F)[EZ336]雅度</t>
  </si>
  <si>
    <t>ID12.00R20-18PR(154/151F)[MT100]UNITED</t>
  </si>
  <si>
    <t>ID12.00R20-20PR(156/153F)[CB332]威狮</t>
  </si>
  <si>
    <t>ID12.00R20-20PR(156/153F)[CB972]朝阳</t>
  </si>
  <si>
    <t>ID12.00R20-20PR(156/153F)[CB972]威狮</t>
  </si>
  <si>
    <t>ID12.00R20-20PR(156/153F)[EZ336]雅度</t>
  </si>
  <si>
    <t>ID12.00R20-20PR(156/153F)[TZ101]天力</t>
  </si>
  <si>
    <t>ID12.00R20-22PR(158/155F)[CB919]雅度</t>
  </si>
  <si>
    <t>ID12.00R20-22PR(158/155F)[CB972]雅度 东南亚</t>
  </si>
  <si>
    <t>ID12.00R20-22PR(158/155F)[EZ310 pro]雅度</t>
  </si>
  <si>
    <t>ID12.00R20-22PR(158/155J)[AZ850]雅度 东南亚</t>
  </si>
  <si>
    <t>ID12.00R20-22PR(158/155J)[EZ867]雅度 东南亚</t>
  </si>
  <si>
    <t>ID12.00R20-☆☆(158/155C)PR[XC809]路诚 综合型</t>
  </si>
  <si>
    <t>ID12.00R24-20PR(160/156F)[ETOT]TECHKING</t>
  </si>
  <si>
    <t>ID12.00R24-20PR(160/157F)[CB332]威狮</t>
  </si>
  <si>
    <t>ID12.00R24-20PR(160/157F)[CB972E]GOODRIDE(好运)</t>
  </si>
  <si>
    <t>ID12.00R24-20PR(160/157F)[CB972E]威狮</t>
  </si>
  <si>
    <t>ID12.00R24-20PR(160/157F)[CB972E]雅度</t>
  </si>
  <si>
    <t>ID12.00R24-20PR(160/157F)[TZ101 PRO]天力</t>
  </si>
  <si>
    <t>ID12.00R24-20PR(160/157F)[TZ101]TIANLI</t>
  </si>
  <si>
    <t>ID12.00R24-20PR(160/157F)[TZ304]天力</t>
  </si>
  <si>
    <t>ID12.00R24-20PR(160/157K)[I-301]IRONMAN</t>
  </si>
  <si>
    <t>ID12.00R24-☆☆(162/160C)PR[XC819]路诚 综合型</t>
  </si>
  <si>
    <t>ID7.50R16-14PR(122/118F)[EZ377]威狮</t>
  </si>
  <si>
    <t>ID7.50R16-14PR(122/118L)[CB981]ARISUN</t>
  </si>
  <si>
    <t>ID7.50R16-14PR(122/118L)[CM988]GOODRIDE(好运)</t>
  </si>
  <si>
    <t>ID7.50R16-14PR(122/118L)[CM988]威狮</t>
  </si>
  <si>
    <t>ID7.50R16-14PR(122/118L)[CR926]GOODRIDE(好运)</t>
  </si>
  <si>
    <t>ID7.50R16-14PR(122/118L)[CR926]朝阳</t>
  </si>
  <si>
    <t>ID7.50R16-14PR(122/118L)[CR926]威狮</t>
  </si>
  <si>
    <t>ID7.50R16-14PR(122/118L)[EZ369]朝阳</t>
  </si>
  <si>
    <t>ID7.50R16-14PR(122/118L)[EZ369]金冠</t>
  </si>
  <si>
    <t>ID7.50R16-14PR(122/118L)[FOLO.R109]EFFIPLUS</t>
  </si>
  <si>
    <t>ID7.50R16-14PR(122/118L)[MOBY.R856X]EFFIPLUS</t>
  </si>
  <si>
    <t>ID7.50R16-14PR(122/118L)[MT200]UNITED</t>
  </si>
  <si>
    <t>ID7.50R16-14PR(122/118L)[TZ303]TIANLI</t>
  </si>
  <si>
    <t>ID8.25R16-16PR(128/124L)[CR926]威狮</t>
  </si>
  <si>
    <t xml:space="preserve"> 北美</t>
  </si>
  <si>
    <t>半钢ST</t>
  </si>
  <si>
    <t>ID11R24.5-16PR(149/146L)[KOBE APM]ITARO无内</t>
  </si>
  <si>
    <t>,</t>
  </si>
  <si>
    <t>定额</t>
  </si>
  <si>
    <t>计划产生</t>
  </si>
  <si>
    <t>市场</t>
  </si>
  <si>
    <t>尺寸</t>
  </si>
  <si>
    <t>规格花纹</t>
  </si>
  <si>
    <t>全钢规格</t>
  </si>
  <si>
    <t>订单数</t>
  </si>
  <si>
    <t>模具</t>
  </si>
  <si>
    <t>发出模具</t>
  </si>
  <si>
    <t>优先级别</t>
  </si>
  <si>
    <t>硫化时间</t>
  </si>
  <si>
    <t>运转率</t>
  </si>
  <si>
    <t>轮胎库存</t>
  </si>
  <si>
    <t>单胎重量</t>
  </si>
  <si>
    <t>中策价</t>
  </si>
  <si>
    <t>硫化机                          条/天</t>
  </si>
  <si>
    <t>合计</t>
  </si>
  <si>
    <t>吨位</t>
  </si>
  <si>
    <t>产值(万元)</t>
  </si>
  <si>
    <t>原材料</t>
  </si>
  <si>
    <t>动力</t>
  </si>
  <si>
    <t>工资</t>
  </si>
  <si>
    <t>车间经费</t>
  </si>
  <si>
    <t>全钢</t>
  </si>
  <si>
    <t>美国</t>
  </si>
  <si>
    <t>✔</t>
  </si>
  <si>
    <t>巴西</t>
  </si>
  <si>
    <r>
      <rPr>
        <sz val="11"/>
        <color rgb="FF000000"/>
        <rFont val="宋体"/>
        <charset val="204"/>
      </rPr>
      <t>切换</t>
    </r>
    <r>
      <rPr>
        <sz val="11"/>
        <color rgb="FF000000"/>
        <rFont val="Arial"/>
        <charset val="204"/>
      </rPr>
      <t>255/70</t>
    </r>
  </si>
  <si>
    <t>印尼</t>
  </si>
  <si>
    <t>斜交规格</t>
  </si>
  <si>
    <t>计划数</t>
  </si>
  <si>
    <t>产值</t>
  </si>
  <si>
    <t>轻卡重量</t>
  </si>
  <si>
    <t>载重重量</t>
  </si>
  <si>
    <r>
      <rPr>
        <sz val="11"/>
        <color rgb="FF000000"/>
        <rFont val="Arial"/>
        <charset val="204"/>
      </rPr>
      <t>ST</t>
    </r>
    <r>
      <rPr>
        <sz val="11"/>
        <color rgb="FF000000"/>
        <rFont val="宋体"/>
        <charset val="204"/>
      </rPr>
      <t>重量</t>
    </r>
  </si>
  <si>
    <r>
      <rPr>
        <sz val="11"/>
        <color rgb="FF000000"/>
        <rFont val="Arial"/>
        <charset val="204"/>
      </rPr>
      <t>ATV</t>
    </r>
    <r>
      <rPr>
        <sz val="11"/>
        <color rgb="FF000000"/>
        <rFont val="宋体"/>
        <charset val="204"/>
      </rPr>
      <t>重量</t>
    </r>
  </si>
  <si>
    <t>工程胎重量</t>
  </si>
  <si>
    <t>内胎重量</t>
  </si>
  <si>
    <t>全钢重量</t>
  </si>
  <si>
    <t>70/90-14-4PR-H999A</t>
  </si>
  <si>
    <t>ID(D105001)70/90-14-4P[H-999-A]34P GOLDEN CROWN 纳米高抓 TL</t>
  </si>
  <si>
    <t>摩胎</t>
  </si>
  <si>
    <t>80/80-14-/-H999A</t>
  </si>
  <si>
    <t>ID(D105002)80/80-14-4P[H-999-A]37P GOLDEN CROWN 纳米高抓 TL E4-75R-0015453</t>
  </si>
  <si>
    <t>ID(D105002)80/80-14-4P[H-999-A]37P GOLDEN CROWN 纳米高抓 TL</t>
  </si>
  <si>
    <t>80/90-14-4PR-H999-A</t>
  </si>
  <si>
    <t>ID(D105003)80/90-14-4P[H-999-A]40P GOLDEN CROWN 纳米高抓 TL E4-75R-0018686</t>
  </si>
  <si>
    <t>ID(D105003)80/90-14-4P[H-999-A]40P GOLDEN CROWN 纳米高抓 TL</t>
  </si>
  <si>
    <t>90/80-14-4PR-H999-A</t>
  </si>
  <si>
    <t>ID(D105004)90/80-14-4P[H-999-A]43P GOLDEN CROWN 纳米高抓 TL</t>
  </si>
  <si>
    <t>90/90-14-4PR-H999A</t>
  </si>
  <si>
    <t>ID(D105005)90/90-14-4P[H-999-A]46P GOLDEN CROWN 纳米高抓 TL E4-75R-0014568</t>
  </si>
  <si>
    <t>ID(D105005)90/90-14-4P[H-999-A]46P GOLDEN CROWN 纳米高抓 TL</t>
  </si>
  <si>
    <t>100/80-14-4PR-H999-A</t>
  </si>
  <si>
    <t>4层级：ID(D105006)100/80-14-4P[H-999-A]48P GOLDEN CROWN 纳米高抓 TL E4-75R-0017425</t>
  </si>
  <si>
    <t>4层级：ID(D105006)100/80-14-4P[H-999-A]48P GOLDEN CROWN 纳米高抓 TL</t>
  </si>
  <si>
    <t>80/90-14-6PR-H577</t>
  </si>
  <si>
    <t>ID(G105003)80/90-14-4P[H-577]40P GOODRIDE 纳米高抓 TL E4-75R-0018686</t>
  </si>
  <si>
    <t>ID(G105003)80/90-14-4P[H-577]40P GOODRIDE 纳米高抓 TL</t>
  </si>
  <si>
    <t>90/80-14-4PR-H577</t>
  </si>
  <si>
    <t>ID(G105004)90/80-14-4P[H-577]43P GOODRIDE 纳米高抓 TL E4-75R-0018739</t>
  </si>
  <si>
    <t>ID(G105004)90/80-14-4P[H-577]43P GOODRIDE 纳米高抓 TL</t>
  </si>
  <si>
    <t>90/90-14-4PR-H577</t>
  </si>
  <si>
    <t>ID(G105005)90/90-14-4P[H-577]46P GOODRIDE 纳米高抓 TL E4-75R-0014568</t>
  </si>
  <si>
    <t>ID(G105005)90/90-14-4P[H-577]46P GOODRIDE 纳米高抓 TL</t>
  </si>
  <si>
    <t>100/80-14-4PR-H577</t>
  </si>
  <si>
    <t>ID(G105006)100/80-14-4P[H-577]48P GOODRIDE 纳米高抓 TL E4-75R-0017425</t>
  </si>
  <si>
    <t>ID(G105006)100/80-14-4P[H-577]48P GOODRIDE 纳米高抓 TL</t>
  </si>
  <si>
    <t>100/90-12-4PR-H566</t>
  </si>
  <si>
    <t>ID(D104004)100/90-12-4P[H-566]59P GOLDEN CROWN  纳米高抓 TL</t>
  </si>
  <si>
    <t>110/70-12-6PR-H566</t>
  </si>
  <si>
    <t>ID(D104008)110/70-12-6P[H-566]52P GOLDEN CROWN  纳米高抓 TL</t>
  </si>
  <si>
    <t>ID(A105003)80/90-14-4P[H-577]40P ARISUN 纳米高抓 TL</t>
  </si>
  <si>
    <t>ID(A105004)90/80-14-4P[H-577]43P ARISUN 纳米高抓 TL</t>
  </si>
  <si>
    <t>ID(A105005)90/90-14-4P[H-577]46P ARISUN 纳米高抓 TL</t>
  </si>
  <si>
    <t>ID(A105006)100/80-14-4P[H-577]48P ARISUN 纳米高抓 TL</t>
  </si>
  <si>
    <t>100/90-12-4PR-H-565-2</t>
  </si>
  <si>
    <t>ID(A104001)100/90-12-4P[H-565-2]59P ARISUN 纳米高抓 TL</t>
  </si>
  <si>
    <t>110/70-12-6PR-H565-2</t>
  </si>
  <si>
    <t>ID(A104002)110/70-12-6P[H-565-2]52P ARISUN _x001c_纳米高抓 TL</t>
  </si>
  <si>
    <t>80/80-14-/-H597</t>
  </si>
  <si>
    <t>80/80-14-H597ARISUN _x001c_纳米高抓 TL</t>
  </si>
  <si>
    <t>80/90-14-6PR-H597</t>
  </si>
  <si>
    <t>80/90-14-H597ARISUN _x001c_纳米高抓 TL</t>
  </si>
  <si>
    <t>90/80-14-6PR-H597</t>
  </si>
  <si>
    <t>90/80-14-H597ARISUN _x001c_纳米高抓 TL</t>
  </si>
  <si>
    <t>90/90-14-4PR-H597</t>
  </si>
  <si>
    <t>90/90-14-H597ARISUN _x001c_纳米高抓 TL</t>
  </si>
  <si>
    <t>100/80-14-6PR-H597</t>
  </si>
  <si>
    <t>100/80-14-H597ARISUN _x001c_纳米高抓 TL</t>
  </si>
  <si>
    <t>ATV</t>
  </si>
  <si>
    <t>25 X 8-12-6PR-A033</t>
  </si>
  <si>
    <t>25 X 10-12-6PR-A033</t>
  </si>
  <si>
    <t>26 X11.00-12-6PR-A033</t>
  </si>
  <si>
    <t>27 X 9.00-12-6PR-A033</t>
  </si>
  <si>
    <t>23X8.50-12-6PR-STRONG GUARD SS</t>
  </si>
  <si>
    <t>29X12-15-8PR-STRONG GUARD R1</t>
  </si>
  <si>
    <t>5.70-12-6PR-STRONG GUARD SS</t>
  </si>
  <si>
    <t>14.5/75-16.1SL-10PR-STRONG GUARD F-3</t>
  </si>
  <si>
    <t>ID23.5-25-24PR[EL36A]朝阳</t>
  </si>
  <si>
    <t>ID23.5-25-24PR[DF60]TRUST TRACK</t>
  </si>
  <si>
    <t>17.5-25-16PR-CL729(TT)</t>
  </si>
  <si>
    <t>ID17.5-25-16PR[CL729]威狮</t>
  </si>
  <si>
    <t>17.5-25-16PR-EL36(TT)</t>
  </si>
  <si>
    <t>ID17.5-25-16PR[CL729]威狮无内</t>
  </si>
  <si>
    <t>半钢ST规格</t>
  </si>
  <si>
    <t>需求数</t>
  </si>
  <si>
    <t>165/70R13-T-118</t>
  </si>
  <si>
    <r>
      <rPr>
        <sz val="11"/>
        <color rgb="FF000000"/>
        <rFont val="宋体"/>
        <charset val="204"/>
      </rPr>
      <t>半钢</t>
    </r>
    <r>
      <rPr>
        <sz val="11"/>
        <color rgb="FF000000"/>
        <rFont val="Arial"/>
        <charset val="204"/>
      </rPr>
      <t>ST</t>
    </r>
  </si>
  <si>
    <t>半钢/半钢ST</t>
  </si>
  <si>
    <t>165/70R13-Z-108</t>
  </si>
  <si>
    <t>175/70R13-T-118</t>
  </si>
  <si>
    <t>175/70R13-Z-108</t>
  </si>
  <si>
    <t>175/65R14-T-118</t>
  </si>
  <si>
    <t>175/65R14-Z-108</t>
  </si>
  <si>
    <t>165/70R14-T-118</t>
  </si>
  <si>
    <t>165/70R14-Z-108</t>
  </si>
  <si>
    <t>185/65R14-T-118</t>
  </si>
  <si>
    <t>185/65R14-Z-108</t>
  </si>
  <si>
    <t>185/70R14-T-118</t>
  </si>
  <si>
    <t>185/70R14-Z-108</t>
  </si>
  <si>
    <t>175/70R14-T-118</t>
  </si>
  <si>
    <t>175/70R14-Z-108</t>
  </si>
  <si>
    <t>IDST225/75R15-10PR[ST200]117/112M GOODRIDE(好运)无内NR</t>
  </si>
  <si>
    <t>IDST225/75R15-8PR[ST200]113/108M GOODRIDE(好运)无内NR</t>
  </si>
  <si>
    <t>IDST205/75R15-8PR[ST100]107/102M 西湖无内</t>
  </si>
  <si>
    <t>IDST235/80R16-10PR[ST200]124/120M GOODRIDE(好运)无内NR</t>
  </si>
  <si>
    <t>185R14CPR[TRAILER ST290]104/102N 西湖无内 NR</t>
  </si>
  <si>
    <t>195/70R14PR[ST290]96N 威狮无内 XL NR</t>
  </si>
  <si>
    <t>内胎</t>
  </si>
  <si>
    <t>品牌</t>
  </si>
  <si>
    <t>12.00R24</t>
  </si>
  <si>
    <t>12.00R24中策</t>
  </si>
  <si>
    <t>12.00R24金冠</t>
  </si>
  <si>
    <t>12.00R20</t>
  </si>
  <si>
    <t>12.00R20金冠</t>
  </si>
  <si>
    <t>11.00R20</t>
  </si>
  <si>
    <t>11.00R20金冠</t>
  </si>
  <si>
    <t>10.00R20</t>
  </si>
  <si>
    <t>10.00R20金冠</t>
  </si>
  <si>
    <t>7.50R16</t>
  </si>
  <si>
    <t>8.25R16</t>
  </si>
  <si>
    <t>7.50R15</t>
  </si>
  <si>
    <t>7.00R15</t>
  </si>
  <si>
    <t>垫带</t>
  </si>
  <si>
    <r>
      <rPr>
        <sz val="18"/>
        <color rgb="FF000000"/>
        <rFont val="Arial"/>
        <charset val="0"/>
      </rPr>
      <t>2026</t>
    </r>
    <r>
      <rPr>
        <sz val="18"/>
        <color rgb="FF000000"/>
        <rFont val="宋体"/>
        <charset val="0"/>
      </rPr>
      <t>年</t>
    </r>
    <r>
      <rPr>
        <sz val="18"/>
        <color rgb="FF000000"/>
        <rFont val="Arial"/>
        <charset val="0"/>
      </rPr>
      <t>6</t>
    </r>
    <r>
      <rPr>
        <sz val="18"/>
        <color rgb="FF000000"/>
        <rFont val="宋体"/>
        <charset val="0"/>
      </rPr>
      <t>月销售给出的全钢计划与产能差异</t>
    </r>
  </si>
  <si>
    <t>销售区域</t>
  </si>
  <si>
    <t>规格尺寸</t>
  </si>
  <si>
    <t>销售给出规格数(个）</t>
  </si>
  <si>
    <t>销售排产需求（条）</t>
  </si>
  <si>
    <t>生产排产（条）</t>
  </si>
  <si>
    <t>产销差异（条）</t>
  </si>
  <si>
    <t>预估箱数</t>
  </si>
  <si>
    <t>销售需求（条）</t>
  </si>
  <si>
    <r>
      <rPr>
        <sz val="12"/>
        <color rgb="FF000000"/>
        <rFont val="Arial"/>
        <charset val="0"/>
      </rPr>
      <t>16</t>
    </r>
    <r>
      <rPr>
        <sz val="12"/>
        <color rgb="FF000000"/>
        <rFont val="宋体"/>
        <charset val="134"/>
      </rPr>
      <t>寸</t>
    </r>
  </si>
  <si>
    <r>
      <rPr>
        <sz val="12"/>
        <color rgb="FF000000"/>
        <rFont val="Arial"/>
        <charset val="0"/>
      </rPr>
      <t>17.5</t>
    </r>
    <r>
      <rPr>
        <sz val="12"/>
        <color rgb="FF000000"/>
        <rFont val="宋体"/>
        <charset val="134"/>
      </rPr>
      <t>寸</t>
    </r>
  </si>
  <si>
    <r>
      <rPr>
        <sz val="12"/>
        <color rgb="FF000000"/>
        <rFont val="Arial"/>
        <charset val="0"/>
      </rPr>
      <t>19.5</t>
    </r>
    <r>
      <rPr>
        <sz val="12"/>
        <color rgb="FF000000"/>
        <rFont val="宋体"/>
        <charset val="134"/>
      </rPr>
      <t>寸</t>
    </r>
  </si>
  <si>
    <r>
      <rPr>
        <sz val="12"/>
        <color rgb="FF000000"/>
        <rFont val="Arial"/>
        <charset val="0"/>
      </rPr>
      <t>20</t>
    </r>
    <r>
      <rPr>
        <sz val="12"/>
        <color rgb="FF000000"/>
        <rFont val="宋体"/>
        <charset val="134"/>
      </rPr>
      <t>寸</t>
    </r>
  </si>
  <si>
    <r>
      <rPr>
        <sz val="12"/>
        <color rgb="FF000000"/>
        <rFont val="Arial"/>
        <charset val="0"/>
      </rPr>
      <t>22.5</t>
    </r>
    <r>
      <rPr>
        <sz val="12"/>
        <color rgb="FF000000"/>
        <rFont val="宋体"/>
        <charset val="134"/>
      </rPr>
      <t>寸</t>
    </r>
  </si>
  <si>
    <r>
      <rPr>
        <sz val="12"/>
        <color rgb="FF000000"/>
        <rFont val="Arial"/>
        <charset val="0"/>
      </rPr>
      <t>24</t>
    </r>
    <r>
      <rPr>
        <sz val="12"/>
        <color rgb="FF000000"/>
        <rFont val="宋体"/>
        <charset val="134"/>
      </rPr>
      <t>寸</t>
    </r>
  </si>
  <si>
    <t>24.5寸</t>
  </si>
  <si>
    <t>说明：</t>
  </si>
  <si>
    <r>
      <rPr>
        <sz val="18"/>
        <color rgb="FF000000"/>
        <rFont val="Arial"/>
        <charset val="0"/>
      </rPr>
      <t>2026</t>
    </r>
    <r>
      <rPr>
        <sz val="18"/>
        <color rgb="FF000000"/>
        <rFont val="宋体"/>
        <charset val="0"/>
      </rPr>
      <t>年</t>
    </r>
    <r>
      <rPr>
        <sz val="18"/>
        <color rgb="FF000000"/>
        <rFont val="Arial"/>
        <charset val="0"/>
      </rPr>
      <t>6</t>
    </r>
    <r>
      <rPr>
        <sz val="18"/>
        <color rgb="FF000000"/>
        <rFont val="宋体"/>
        <charset val="0"/>
      </rPr>
      <t>月销售给出的斜交计划与产能差异</t>
    </r>
  </si>
  <si>
    <t>排产需求（条）</t>
  </si>
  <si>
    <t>8寸</t>
  </si>
  <si>
    <t>10寸</t>
  </si>
  <si>
    <t>12寸</t>
  </si>
  <si>
    <t>13寸</t>
  </si>
  <si>
    <t>14寸</t>
  </si>
  <si>
    <t>15寸</t>
  </si>
  <si>
    <t>16寸</t>
  </si>
  <si>
    <t>16.1寸</t>
  </si>
  <si>
    <t>20寸</t>
  </si>
  <si>
    <t>25寸</t>
  </si>
  <si>
    <t>2026年7月生产吨位汇总表</t>
  </si>
  <si>
    <t>2026年7月生产条数汇总表</t>
  </si>
  <si>
    <t>2026年7月生产产值汇总表</t>
  </si>
  <si>
    <t>系列</t>
  </si>
  <si>
    <t>第一周(7天)</t>
  </si>
  <si>
    <t>第二周(7天)</t>
  </si>
  <si>
    <t>第三周(8天)</t>
  </si>
  <si>
    <t>第四周(9天)</t>
  </si>
  <si>
    <t>年度规划</t>
  </si>
  <si>
    <t>差异</t>
  </si>
  <si>
    <t>日均条数</t>
  </si>
  <si>
    <t>斜交汇总</t>
  </si>
  <si>
    <t>斜交</t>
  </si>
  <si>
    <r>
      <rPr>
        <sz val="12"/>
        <color rgb="FF000000"/>
        <rFont val="宋体"/>
        <charset val="204"/>
      </rPr>
      <t>半钢/半钢</t>
    </r>
    <r>
      <rPr>
        <sz val="12"/>
        <color rgb="FF000000"/>
        <rFont val="Arial"/>
        <charset val="204"/>
      </rPr>
      <t>ST</t>
    </r>
  </si>
  <si>
    <t>周平均</t>
  </si>
  <si>
    <t>日均差异</t>
  </si>
  <si>
    <t>总日平均吨位：</t>
  </si>
  <si>
    <t>总日平均条数：</t>
  </si>
  <si>
    <t>总日平均产值：</t>
  </si>
  <si>
    <t>生产问题点说明</t>
  </si>
  <si>
    <t>销售地</t>
  </si>
  <si>
    <t>销售计划（条）</t>
  </si>
  <si>
    <t>排产计划（条）</t>
  </si>
  <si>
    <t>产销差异（销-产）</t>
  </si>
  <si>
    <t>问题点说明</t>
  </si>
  <si>
    <t>备注（其他）</t>
  </si>
  <si>
    <t>模具类相关</t>
  </si>
  <si>
    <t>成型类相关</t>
  </si>
  <si>
    <t>硫化类相关</t>
  </si>
  <si>
    <t>工装类相关</t>
  </si>
  <si>
    <t>其它类相关</t>
  </si>
  <si>
    <t>试制类相关</t>
  </si>
  <si>
    <t>美国产品</t>
  </si>
  <si>
    <t>19.5寸订单数缺口预计还需要上2台成型</t>
  </si>
  <si>
    <r>
      <rPr>
        <sz val="9"/>
        <color rgb="FF000000"/>
        <rFont val="Arial"/>
        <charset val="204"/>
      </rPr>
      <t>275/70R22.5</t>
    </r>
    <r>
      <rPr>
        <sz val="9"/>
        <color rgb="FF000000"/>
        <rFont val="宋体"/>
        <charset val="204"/>
      </rPr>
      <t>规格模具不够，需要与其他系列搭配互换规格</t>
    </r>
  </si>
  <si>
    <r>
      <rPr>
        <sz val="9"/>
        <color rgb="FF000000"/>
        <rFont val="Arial"/>
        <charset val="204"/>
      </rPr>
      <t>19.5</t>
    </r>
    <r>
      <rPr>
        <sz val="9"/>
        <color rgb="FF000000"/>
        <rFont val="宋体"/>
        <charset val="204"/>
      </rPr>
      <t>寸成型鼓坏了一个，无法修复，无备用鼓，需要新购</t>
    </r>
  </si>
  <si>
    <t>我部启动19.5寸成型鼓申请新购报告</t>
  </si>
  <si>
    <t>巴西产品</t>
  </si>
  <si>
    <r>
      <rPr>
        <sz val="11"/>
        <color rgb="FF000000"/>
        <rFont val="宋体"/>
        <charset val="204"/>
      </rPr>
      <t>1、整体产能不足；</t>
    </r>
    <r>
      <rPr>
        <sz val="11"/>
        <color rgb="FF000000"/>
        <rFont val="Arial"/>
        <charset val="204"/>
      </rPr>
      <t xml:space="preserve">
2</t>
    </r>
    <r>
      <rPr>
        <sz val="11"/>
        <color rgb="FF000000"/>
        <rFont val="宋体"/>
        <charset val="204"/>
      </rPr>
      <t>、巴西产品库存偏高</t>
    </r>
  </si>
  <si>
    <t>埃及产品</t>
  </si>
  <si>
    <t>印尼产品</t>
  </si>
  <si>
    <t>整体产能不足</t>
  </si>
  <si>
    <t>斜交轻卡</t>
  </si>
  <si>
    <t>产能不足</t>
  </si>
  <si>
    <t>斜交载重</t>
  </si>
  <si>
    <t>斜交工程</t>
  </si>
  <si>
    <t>订单数不够</t>
  </si>
  <si>
    <r>
      <rPr>
        <sz val="12"/>
        <color rgb="FF000000"/>
        <rFont val="宋体"/>
        <charset val="204"/>
      </rPr>
      <t>斜交</t>
    </r>
    <r>
      <rPr>
        <sz val="12"/>
        <color rgb="FF000000"/>
        <rFont val="Arial"/>
        <charset val="204"/>
      </rPr>
      <t>ST</t>
    </r>
  </si>
  <si>
    <t>斜交ST订单数严重偏少，比年度规划少1990条/日</t>
  </si>
  <si>
    <t>半钢</t>
  </si>
  <si>
    <r>
      <rPr>
        <sz val="9"/>
        <color rgb="FF000000"/>
        <rFont val="Arial"/>
        <charset val="204"/>
      </rPr>
      <t>12</t>
    </r>
    <r>
      <rPr>
        <sz val="9"/>
        <color rgb="FF000000"/>
        <rFont val="宋体"/>
        <charset val="204"/>
      </rPr>
      <t>寸模具只有</t>
    </r>
    <r>
      <rPr>
        <sz val="9"/>
        <color rgb="FF000000"/>
        <rFont val="Arial"/>
        <charset val="204"/>
      </rPr>
      <t>2</t>
    </r>
    <r>
      <rPr>
        <sz val="9"/>
        <color rgb="FF000000"/>
        <rFont val="宋体"/>
        <charset val="204"/>
      </rPr>
      <t>付，暂无转移计划</t>
    </r>
  </si>
  <si>
    <t>活络模硫化机交付延迟</t>
  </si>
  <si>
    <r>
      <rPr>
        <sz val="11"/>
        <color rgb="FF000000"/>
        <rFont val="宋体"/>
        <charset val="204"/>
      </rPr>
      <t>工装小车不足，预计</t>
    </r>
    <r>
      <rPr>
        <sz val="11"/>
        <color rgb="FF000000"/>
        <rFont val="Arial"/>
        <charset val="204"/>
      </rPr>
      <t>5</t>
    </r>
    <r>
      <rPr>
        <sz val="11"/>
        <color rgb="FF000000"/>
        <rFont val="宋体"/>
        <charset val="204"/>
      </rPr>
      <t>月初到位</t>
    </r>
  </si>
  <si>
    <t>1.日排产4983条，与年度计划5700条相差1100条/日。目前交付的48寸硫化机只有8台，无法满足订单的需要,至少需要18台。4月3日再交付5台。后续因厂家无线缆将暂缓交付。追加订单都为活络模规格，必须在48寸硫化机上生产。2.12寸的模具只有2付造成成型产能浪费400条/日。后续工装到位后将实现成型机英寸交替。</t>
  </si>
  <si>
    <t>两轮</t>
  </si>
  <si>
    <t>1、销售给出3个规格，(25*8-12A033和25*10-12A033各3000条，26*12-12-8PR AR11 1000条）计7000条，实际排产8个规格；
2、还有5个规格试制完成，待技术投产通知下达后，拟替换库存高的规格生产。</t>
  </si>
  <si>
    <r>
      <rPr>
        <sz val="11"/>
        <color rgb="FF000000"/>
        <rFont val="宋体"/>
        <charset val="204"/>
      </rPr>
      <t>销售有订单的模具加工中，预计</t>
    </r>
    <r>
      <rPr>
        <sz val="11"/>
        <color rgb="FF000000"/>
        <rFont val="Arial"/>
        <charset val="204"/>
      </rPr>
      <t>4</t>
    </r>
    <r>
      <rPr>
        <sz val="11"/>
        <color rgb="FF000000"/>
        <rFont val="宋体"/>
        <charset val="204"/>
      </rPr>
      <t>月底到位</t>
    </r>
  </si>
  <si>
    <t>1、销售给出3个规格，计47000条，实际排产8个规格；
2、销售有订单的3个规格只有各2付模具，新增加模具预计4月底到。</t>
  </si>
  <si>
    <t>工作日</t>
  </si>
  <si>
    <t>尺寸分类</t>
  </si>
  <si>
    <t>订单计划</t>
  </si>
  <si>
    <t>成型产出标准</t>
  </si>
  <si>
    <t>折合成型机台</t>
  </si>
  <si>
    <t>实际排产量</t>
  </si>
  <si>
    <t>机台现状</t>
  </si>
  <si>
    <t>调整</t>
  </si>
  <si>
    <t xml:space="preserve">说明 </t>
  </si>
  <si>
    <t>汇总</t>
  </si>
  <si>
    <t>成型机现有28台</t>
  </si>
  <si>
    <t>成型机分布</t>
  </si>
  <si>
    <t>埃及</t>
  </si>
  <si>
    <t>车间二</t>
  </si>
  <si>
    <t>备注</t>
  </si>
  <si>
    <t>一台调试</t>
  </si>
  <si>
    <t>月中切换一台上11R22.5</t>
  </si>
  <si>
    <r>
      <rPr>
        <sz val="11"/>
        <color rgb="FF000000"/>
        <rFont val="宋体"/>
        <charset val="204"/>
      </rPr>
      <t>赛象一台带料调试中，另外一台</t>
    </r>
    <r>
      <rPr>
        <sz val="11"/>
        <color rgb="FF000000"/>
        <rFont val="Arial"/>
        <charset val="204"/>
      </rPr>
      <t>7.4</t>
    </r>
    <r>
      <rPr>
        <sz val="11"/>
        <color rgb="FF000000"/>
        <rFont val="宋体"/>
        <charset val="204"/>
      </rPr>
      <t>号左右交付</t>
    </r>
  </si>
  <si>
    <t>全钢喷码</t>
  </si>
  <si>
    <t>斜交载重/斜交速通/斜交工程胎喷码</t>
  </si>
  <si>
    <t>ATV/摩胎喷码</t>
  </si>
  <si>
    <t>斜交农业胎/斜交工业胎/斜交工程胎喷码 (ATD品牌)</t>
  </si>
  <si>
    <t>半钢喷码</t>
  </si>
  <si>
    <t>半钢喷码PCR</t>
  </si>
  <si>
    <t>规格</t>
  </si>
  <si>
    <t>层级</t>
  </si>
  <si>
    <t>花纹</t>
  </si>
  <si>
    <t>喷码</t>
  </si>
  <si>
    <t>MTI非硫化重量</t>
  </si>
  <si>
    <t>MTI预硫化重量</t>
  </si>
  <si>
    <t>总部重量</t>
  </si>
  <si>
    <t>相比总部重</t>
  </si>
  <si>
    <t>色标</t>
  </si>
  <si>
    <t>MTI重量</t>
  </si>
  <si>
    <t>6.50R16</t>
  </si>
  <si>
    <t>12PR</t>
  </si>
  <si>
    <t>AZ686</t>
  </si>
  <si>
    <t>ID6.50R16-12PR-A C ID</t>
  </si>
  <si>
    <t>7.00-15</t>
  </si>
  <si>
    <t>R8037</t>
  </si>
  <si>
    <t>7.00-15-12PR-R8037</t>
  </si>
  <si>
    <t>绿</t>
  </si>
  <si>
    <t>4.80/400-8</t>
  </si>
  <si>
    <t>4PR</t>
  </si>
  <si>
    <t>TF11</t>
  </si>
  <si>
    <t>4.80/400-8-4PR TF11</t>
  </si>
  <si>
    <t>5.00-8</t>
  </si>
  <si>
    <t>10PR</t>
  </si>
  <si>
    <t>STRONG GUARD LIFT</t>
  </si>
  <si>
    <t>5.00-8-10PR SGL</t>
  </si>
  <si>
    <t>135/80R13</t>
  </si>
  <si>
    <t>TRAILER ST290</t>
  </si>
  <si>
    <t>135/80R13 ST290</t>
  </si>
  <si>
    <t>165/55R14</t>
  </si>
  <si>
    <t>C-108</t>
  </si>
  <si>
    <t>S019841A-42</t>
  </si>
  <si>
    <t>VAZ66</t>
  </si>
  <si>
    <t>G-118</t>
  </si>
  <si>
    <t>7.00-16LT</t>
  </si>
  <si>
    <t>14PR</t>
  </si>
  <si>
    <t>MR881</t>
  </si>
  <si>
    <t>7.00-16LT-14PR-MR881</t>
  </si>
  <si>
    <t>5.70-8</t>
  </si>
  <si>
    <t>8PR</t>
  </si>
  <si>
    <t>5.70-8-8PR SUZT</t>
  </si>
  <si>
    <t>5.70-12</t>
  </si>
  <si>
    <t>6PR</t>
  </si>
  <si>
    <t>STRONG GUARD SS</t>
  </si>
  <si>
    <t>5.70-12-6PR SGSS</t>
  </si>
  <si>
    <t>145/80R13</t>
  </si>
  <si>
    <t>145/80R13 ST290</t>
  </si>
  <si>
    <t>T-118</t>
  </si>
  <si>
    <t>7.00R16</t>
  </si>
  <si>
    <t>AZ850</t>
  </si>
  <si>
    <t>ID7.00R16-14PR-B C ID</t>
  </si>
  <si>
    <t>MX882</t>
  </si>
  <si>
    <t>7.00-16LT-14PR-MX882</t>
  </si>
  <si>
    <t>SU201</t>
  </si>
  <si>
    <t>6.00-9</t>
  </si>
  <si>
    <t>6.00-9-12PR SGL</t>
  </si>
  <si>
    <t>Z-108</t>
  </si>
  <si>
    <t>VAZ80</t>
  </si>
  <si>
    <t>7.00-16</t>
  </si>
  <si>
    <t>7.00-16-12PR-R8037</t>
  </si>
  <si>
    <t>ST145R12</t>
  </si>
  <si>
    <t>ST Radial</t>
  </si>
  <si>
    <t>ST145R12-8PR ST Radial/RS</t>
  </si>
  <si>
    <t>ID7.00R16-14PR-A C ID</t>
  </si>
  <si>
    <t>16 X 6.50-8</t>
  </si>
  <si>
    <t>2PR</t>
  </si>
  <si>
    <t>TF01</t>
  </si>
  <si>
    <t>16X6.50-8-2PR TF</t>
  </si>
  <si>
    <t>6.50-10</t>
  </si>
  <si>
    <t>6.50-10-12PR SGL</t>
  </si>
  <si>
    <t>RAINIER ST</t>
  </si>
  <si>
    <t>165/60R14</t>
  </si>
  <si>
    <t>S020428A-42</t>
  </si>
  <si>
    <t>7.50-15</t>
  </si>
  <si>
    <t>7.50-15-12PR-R8037</t>
  </si>
  <si>
    <t>绿(5)/绿(5)</t>
  </si>
  <si>
    <t>ST145R12-10PR ST Radial/RS</t>
  </si>
  <si>
    <t>7.00-12</t>
  </si>
  <si>
    <t>7.00-12-14PR SGL</t>
  </si>
  <si>
    <t>AZ601</t>
  </si>
  <si>
    <t>ID7.50R16-14PR-AZ C ID</t>
  </si>
  <si>
    <t>7.50-16LT</t>
  </si>
  <si>
    <t>CL891</t>
  </si>
  <si>
    <t>7.50-16-14PR-CL891</t>
  </si>
  <si>
    <t>18 X 8.50-8</t>
  </si>
  <si>
    <t>SU202</t>
  </si>
  <si>
    <t>18X8.50-8-SUZT</t>
  </si>
  <si>
    <t>AZ119</t>
  </si>
  <si>
    <t>7.50-16</t>
  </si>
  <si>
    <t>L8056</t>
  </si>
  <si>
    <t>7.50-16-14PR-L8056</t>
  </si>
  <si>
    <t>白</t>
  </si>
  <si>
    <t>ZT202</t>
  </si>
  <si>
    <t>7.00-15-6PR SGSS</t>
  </si>
  <si>
    <t>155/70R13</t>
  </si>
  <si>
    <t>155/70R13 ST290</t>
  </si>
  <si>
    <t>CB981</t>
  </si>
  <si>
    <t>ID7.50R16-14PR-CB981 C ID</t>
  </si>
  <si>
    <t>M8086</t>
  </si>
  <si>
    <t>7.50-16-14PR-M</t>
  </si>
  <si>
    <t>TF02</t>
  </si>
  <si>
    <t>18X8.50-8-4PR TF02</t>
  </si>
  <si>
    <t>7.00-15-8PR SGSS</t>
  </si>
  <si>
    <t>165/65R13</t>
  </si>
  <si>
    <t>K020420A-42</t>
  </si>
  <si>
    <t>CM988</t>
  </si>
  <si>
    <t>ID7.50R16-14PR-CM988 C ID</t>
  </si>
  <si>
    <t>M8087</t>
  </si>
  <si>
    <t>18X8.50-8-4PR TF11</t>
  </si>
  <si>
    <t>7.00-15-14PR SGL</t>
  </si>
  <si>
    <t>155/80R13</t>
  </si>
  <si>
    <t>155/80R13 ST290</t>
  </si>
  <si>
    <t>CR926</t>
  </si>
  <si>
    <t>ID7.50R16-14PR-A C ID</t>
  </si>
  <si>
    <t>AB313</t>
  </si>
  <si>
    <t>AZ676</t>
  </si>
  <si>
    <t>7.50-16LT-14PR-MR881</t>
  </si>
  <si>
    <t>18 X 9.50-8</t>
  </si>
  <si>
    <t>18X9.50-8-4PR TF11</t>
  </si>
  <si>
    <t>7.50-15-14PR SGL</t>
  </si>
  <si>
    <t>155R13</t>
  </si>
  <si>
    <t>155R13C-8PR ST290</t>
  </si>
  <si>
    <t>TZ202</t>
  </si>
  <si>
    <t>7.50-16LT-14PR-MX882</t>
  </si>
  <si>
    <t>AZ126T</t>
  </si>
  <si>
    <t>7.50-16-14PR-R8037</t>
  </si>
  <si>
    <t>20 X 8.00-8</t>
  </si>
  <si>
    <t>20X8.00-8-2PR TF01</t>
  </si>
  <si>
    <t>8.25-15</t>
  </si>
  <si>
    <t>8.25-15-14PR SGL</t>
  </si>
  <si>
    <t>165/70R13</t>
  </si>
  <si>
    <t>165/70R13 ST290</t>
  </si>
  <si>
    <t>020421B-42</t>
  </si>
  <si>
    <t>MT200</t>
  </si>
  <si>
    <t>R8038</t>
  </si>
  <si>
    <t>7.50-16-14PR-RA</t>
  </si>
  <si>
    <t>20X8.00-8-4PR TF01</t>
  </si>
  <si>
    <t>EZ369</t>
  </si>
  <si>
    <t>ID7.50R16-14PR-EZ T C ID</t>
  </si>
  <si>
    <t>AB111</t>
  </si>
  <si>
    <t>20X8.00-8-2PR TF11</t>
  </si>
  <si>
    <t>10-16.5</t>
  </si>
  <si>
    <t>STRONG GUARD S-MX</t>
  </si>
  <si>
    <t>10-16.5-10PR-SGS MX</t>
  </si>
  <si>
    <t>175/70R13</t>
  </si>
  <si>
    <t>175/70R13 ST290</t>
  </si>
  <si>
    <t>TZ303</t>
  </si>
  <si>
    <t>20X8.00-8-4PR TF11</t>
  </si>
  <si>
    <t>10-16.5-10PR SGSS</t>
  </si>
  <si>
    <t>ID7.50R16-14PR-D C ID</t>
  </si>
  <si>
    <t>10.00-20</t>
  </si>
  <si>
    <t>16PR</t>
  </si>
  <si>
    <t>CL956</t>
  </si>
  <si>
    <t>10.00-20-16PR-A</t>
  </si>
  <si>
    <t>20 X 10.00-8</t>
  </si>
  <si>
    <t>20X10.00-8 TF11</t>
  </si>
  <si>
    <t>ST175/80R13</t>
  </si>
  <si>
    <t>ST100</t>
  </si>
  <si>
    <t>ST175/80R13-6PR ST-100/STZC</t>
  </si>
  <si>
    <t>AZ697</t>
  </si>
  <si>
    <t>CL957</t>
  </si>
  <si>
    <t>10.5/80-18</t>
  </si>
  <si>
    <t>STRONG GUARD LG2</t>
  </si>
  <si>
    <t>10.5/80-18-10PR SGLG2</t>
  </si>
  <si>
    <t>STZC</t>
  </si>
  <si>
    <t>165/70R14</t>
  </si>
  <si>
    <t>020422B-42</t>
  </si>
  <si>
    <t>AZ850S</t>
  </si>
  <si>
    <t>ID7.50R16-14PR-AZ850S ID C</t>
  </si>
  <si>
    <t>18PR</t>
  </si>
  <si>
    <t>10.00-20-18PR-A-B</t>
  </si>
  <si>
    <t>蓝</t>
  </si>
  <si>
    <t>ST175/80R13-8PR ST-100</t>
  </si>
  <si>
    <t>CB972</t>
  </si>
  <si>
    <t>ID7.50R16-14PR-CB972 ID C</t>
  </si>
  <si>
    <t>21X7-10</t>
  </si>
  <si>
    <t>AR05</t>
  </si>
  <si>
    <t>21X7-10-6PR AR05</t>
  </si>
  <si>
    <t>20PR</t>
  </si>
  <si>
    <t>STRONG GUARD LIFT+</t>
  </si>
  <si>
    <t>10.00-20-20PR SGL</t>
  </si>
  <si>
    <t>ST100A</t>
  </si>
  <si>
    <t>ST175/80R13-6PR SDAT</t>
  </si>
  <si>
    <t>CM913</t>
  </si>
  <si>
    <t>ID7.50R16-14PR-CM913 ID C</t>
  </si>
  <si>
    <t>CL991</t>
  </si>
  <si>
    <t>10.00-20-16PR-CL991</t>
  </si>
  <si>
    <t>DURAHAULER ST</t>
  </si>
  <si>
    <t>EZ377</t>
  </si>
  <si>
    <t>ID7.50R16-14PR-EZ377 ID C</t>
  </si>
  <si>
    <t>10.00-20-18PR-CL991-B</t>
  </si>
  <si>
    <t>22X10-10</t>
  </si>
  <si>
    <t>AR06</t>
  </si>
  <si>
    <t>22X10-10-6PR AR06</t>
  </si>
  <si>
    <t>11L-15</t>
  </si>
  <si>
    <t>STRONG GUARD F-3</t>
  </si>
  <si>
    <t>11L-15-12PR SGF-3</t>
  </si>
  <si>
    <t>ASSURE ST</t>
  </si>
  <si>
    <t>ETOD</t>
  </si>
  <si>
    <t>ID7.50R16-14PR-B C ID</t>
  </si>
  <si>
    <t>CR918</t>
  </si>
  <si>
    <t>10.00-20-14PR-CR918</t>
  </si>
  <si>
    <t>Tow Pro ST</t>
  </si>
  <si>
    <t>165/80R13</t>
  </si>
  <si>
    <t>S021583A-42</t>
  </si>
  <si>
    <t>AM4S.Q669</t>
  </si>
  <si>
    <t>CR952</t>
  </si>
  <si>
    <t>10.00-20-16PR-CR952</t>
  </si>
  <si>
    <t>22X11-10</t>
  </si>
  <si>
    <t>22X11-10-6PR AR06</t>
  </si>
  <si>
    <t>11L-16</t>
  </si>
  <si>
    <t>ST175/80R13-8PR SDAT</t>
  </si>
  <si>
    <t>SUPER AM S</t>
  </si>
  <si>
    <t>ID7.50R16-14PR-C C ID</t>
  </si>
  <si>
    <t>10.00-20-18PR-CR952-B</t>
  </si>
  <si>
    <t>MOBY.R856X</t>
  </si>
  <si>
    <t>L9057</t>
  </si>
  <si>
    <t>10.00-20-16PR-L9057</t>
  </si>
  <si>
    <t>23X8.00-10</t>
  </si>
  <si>
    <t>P193</t>
  </si>
  <si>
    <t>23X8.00-10 6PR P193</t>
  </si>
  <si>
    <t>12-16.5</t>
  </si>
  <si>
    <t>12-16.5-12PR SGSS</t>
  </si>
  <si>
    <t>TKAL III</t>
  </si>
  <si>
    <t>ID7.50R16-14PR-TKAL III C ID</t>
  </si>
  <si>
    <t>10.00-20-18PR-LA-B</t>
  </si>
  <si>
    <t>12-16.5-12PR SGS-MX</t>
  </si>
  <si>
    <t>CB972pro</t>
  </si>
  <si>
    <t>ID7.50R16-14PR-CB972pro C ID</t>
  </si>
  <si>
    <t>AB316</t>
  </si>
  <si>
    <t>24 X 8-12</t>
  </si>
  <si>
    <t>AR10</t>
  </si>
  <si>
    <t>24X8-12-6PR AR10</t>
  </si>
  <si>
    <t>STRONG GUARD S-XD</t>
  </si>
  <si>
    <t>12-16.5-14PR SGS-XD</t>
  </si>
  <si>
    <t>ST175/80R13-6PR ST 200/RA/RS</t>
  </si>
  <si>
    <t>175/65R14</t>
  </si>
  <si>
    <t>020423B-42</t>
  </si>
  <si>
    <t>AZ691S</t>
  </si>
  <si>
    <t>ID7.50R16-14PR-AZ691S C ID</t>
  </si>
  <si>
    <t>M9096</t>
  </si>
  <si>
    <t>10.00-20-16PR-M</t>
  </si>
  <si>
    <t>AR12</t>
  </si>
  <si>
    <t>24X8-12-6PR AR12</t>
  </si>
  <si>
    <t>ST200</t>
  </si>
  <si>
    <t>AZ601+</t>
  </si>
  <si>
    <t>ID7.50R16-14PR-AZ601+ C ID</t>
  </si>
  <si>
    <t>M9097</t>
  </si>
  <si>
    <t>24 X 10-12</t>
  </si>
  <si>
    <t>24X10-12-6PR AR10</t>
  </si>
  <si>
    <t>12.5/80-18</t>
  </si>
  <si>
    <t>BHL-100</t>
  </si>
  <si>
    <t>12.5/80-18-12PR  BHL-100</t>
  </si>
  <si>
    <t>EZ865</t>
  </si>
  <si>
    <t>ID7.50R16-14PR-2EZ C ID</t>
  </si>
  <si>
    <t>10.00-20-18PR-M-B</t>
  </si>
  <si>
    <t>12.5/80-18-12PR  SGLG2</t>
  </si>
  <si>
    <t>ST175/80R13-8PR ST200/RS</t>
  </si>
  <si>
    <t>EZ861</t>
  </si>
  <si>
    <t>24 X 9.00-12</t>
  </si>
  <si>
    <t>OTR07</t>
  </si>
  <si>
    <t>24X9-12-4PR OTR07</t>
  </si>
  <si>
    <t>X-Explorer ZA70LT Pro</t>
  </si>
  <si>
    <t>ID7.50R16-2XLT Pro C ID</t>
  </si>
  <si>
    <t>12.00-20</t>
  </si>
  <si>
    <t>ST226</t>
  </si>
  <si>
    <t>ST175/80R13-6PR ST226</t>
  </si>
  <si>
    <t>175/65R15</t>
  </si>
  <si>
    <t>S021364A-42</t>
  </si>
  <si>
    <t>X-Traveler SL90LT Pro</t>
  </si>
  <si>
    <t>R9037</t>
  </si>
  <si>
    <t>10.00-20-16PR-R9037-A</t>
  </si>
  <si>
    <t>25 X 8-12</t>
  </si>
  <si>
    <t>A033</t>
  </si>
  <si>
    <t>25X8-12-6PR A033</t>
  </si>
  <si>
    <t>28PR</t>
  </si>
  <si>
    <t>10.00-20-18PR-R9037</t>
  </si>
  <si>
    <r>
      <rPr>
        <sz val="11"/>
        <color rgb="FF000000"/>
        <rFont val="等线"/>
        <charset val="134"/>
      </rPr>
      <t xml:space="preserve">25X8-12-6PR </t>
    </r>
    <r>
      <rPr>
        <sz val="11"/>
        <color rgb="FF000000"/>
        <rFont val="等线"/>
        <charset val="134"/>
      </rPr>
      <t>AR10</t>
    </r>
  </si>
  <si>
    <t>185/70R13</t>
  </si>
  <si>
    <t>185/70R13 ST290</t>
  </si>
  <si>
    <t>AZ802S</t>
  </si>
  <si>
    <t>ID7.50R16-14PR-AZ802S C ID</t>
  </si>
  <si>
    <t>R9038</t>
  </si>
  <si>
    <t>10.00-20-RA</t>
  </si>
  <si>
    <t>25 X 8R12</t>
  </si>
  <si>
    <t>AR11</t>
  </si>
  <si>
    <r>
      <rPr>
        <sz val="11"/>
        <color rgb="FF000000"/>
        <rFont val="等线"/>
        <charset val="134"/>
      </rPr>
      <t xml:space="preserve">25X8R12-8PR </t>
    </r>
    <r>
      <rPr>
        <sz val="11"/>
        <color rgb="FF000000"/>
        <rFont val="等线"/>
        <charset val="134"/>
      </rPr>
      <t>AR11</t>
    </r>
  </si>
  <si>
    <t>13.00-24</t>
  </si>
  <si>
    <t>GK-243</t>
  </si>
  <si>
    <t>CR926+</t>
  </si>
  <si>
    <t>ID7.50R16-14PR-CR926+ C ID</t>
  </si>
  <si>
    <r>
      <rPr>
        <sz val="11"/>
        <color rgb="FF000000"/>
        <rFont val="等线"/>
        <charset val="134"/>
      </rPr>
      <t xml:space="preserve">25X8-12-6PR </t>
    </r>
    <r>
      <rPr>
        <sz val="11"/>
        <color rgb="FF000000"/>
        <rFont val="等线"/>
        <charset val="134"/>
      </rPr>
      <t>AR12</t>
    </r>
  </si>
  <si>
    <t>TL-100</t>
  </si>
  <si>
    <t>185R14C</t>
  </si>
  <si>
    <t>185R14C ST290</t>
  </si>
  <si>
    <t>RP218</t>
  </si>
  <si>
    <t>S021498A-60</t>
  </si>
  <si>
    <t>AR67</t>
  </si>
  <si>
    <t>25X8-12-6PR AR67</t>
  </si>
  <si>
    <t>ID8.25R16-CR926 C ID</t>
  </si>
  <si>
    <t>AT12</t>
  </si>
  <si>
    <t>ST185/80R13</t>
  </si>
  <si>
    <t>ST185/80R13-6PR RAINIER ST</t>
  </si>
  <si>
    <t>020424A-42</t>
  </si>
  <si>
    <t>11.00-20</t>
  </si>
  <si>
    <t>CL969</t>
  </si>
  <si>
    <t>11.00-20-18PR-CLA</t>
  </si>
  <si>
    <t>蓝(5)蓝(15)</t>
  </si>
  <si>
    <t>WL6A</t>
  </si>
  <si>
    <r>
      <rPr>
        <sz val="11"/>
        <color rgb="FF000000"/>
        <rFont val="等线"/>
        <charset val="134"/>
      </rPr>
      <t xml:space="preserve">25X8R12-6PR </t>
    </r>
    <r>
      <rPr>
        <sz val="11"/>
        <color rgb="FF000000"/>
        <rFont val="等线"/>
        <charset val="134"/>
      </rPr>
      <t>WL6A</t>
    </r>
  </si>
  <si>
    <t>14-17.5</t>
  </si>
  <si>
    <t>14-17.5-14PR SGSS</t>
  </si>
  <si>
    <t>ST185/80R13-8PR STZC</t>
  </si>
  <si>
    <t>ID8.25R16-18PR-B C ID</t>
  </si>
  <si>
    <t>AB535</t>
  </si>
  <si>
    <t>ST185/80R13-8PR ST200/RA/RS</t>
  </si>
  <si>
    <t>11.00-20-20PR-CL969</t>
  </si>
  <si>
    <t>25 X 10-12</t>
  </si>
  <si>
    <t>25X10-12-6PR A033</t>
  </si>
  <si>
    <t>14.5/75-16.1SL</t>
  </si>
  <si>
    <t>14.5/75-16.1SL-10PR SGF-3</t>
  </si>
  <si>
    <t>EZ867</t>
  </si>
  <si>
    <t>ID8.25R16-16PR-C C ID</t>
  </si>
  <si>
    <t>11.00-20-16PR-CR952</t>
  </si>
  <si>
    <t>绿(10)绿(5)</t>
  </si>
  <si>
    <t>25X10-12-6PR AR10</t>
  </si>
  <si>
    <t>VEZ87</t>
  </si>
  <si>
    <t>11.00-20-18PR-CRA</t>
  </si>
  <si>
    <t>25 X 10R12</t>
  </si>
  <si>
    <t>25X10R12-8PR AR11</t>
  </si>
  <si>
    <r>
      <rPr>
        <sz val="11"/>
        <color rgb="FF000000"/>
        <rFont val="等线"/>
        <charset val="134"/>
      </rPr>
      <t>14.9-</t>
    </r>
    <r>
      <rPr>
        <sz val="11"/>
        <color rgb="FF000000"/>
        <rFont val="等线"/>
        <charset val="134"/>
      </rPr>
      <t>24</t>
    </r>
  </si>
  <si>
    <t>STRONG GUARD XR4</t>
  </si>
  <si>
    <t>14.9-24-12PR SGXR4</t>
  </si>
  <si>
    <t>ST185/80R13-8PR ST226</t>
  </si>
  <si>
    <t>175/70R14</t>
  </si>
  <si>
    <t>020425B-42</t>
  </si>
  <si>
    <t>ID8.25R16-18PR-A C ID</t>
  </si>
  <si>
    <t>AB112</t>
  </si>
  <si>
    <t>25X10-12-6PR AR12</t>
  </si>
  <si>
    <t>CR952 PRO</t>
  </si>
  <si>
    <t>11.00-20-18PR-CR952 PRO</t>
  </si>
  <si>
    <t>25X10-12-6PR AR67</t>
  </si>
  <si>
    <t>14.00-24</t>
  </si>
  <si>
    <t>195/50R13C</t>
  </si>
  <si>
    <t>195/50R13C ST290</t>
  </si>
  <si>
    <t>ID8.25R16-16PR-CM988 C ID</t>
  </si>
  <si>
    <t>25X10-12-6PR AT12</t>
  </si>
  <si>
    <t>X-Traveler SL90LT</t>
  </si>
  <si>
    <t>ID8.25R16-18PR-X-Traveler SL90LT N C</t>
  </si>
  <si>
    <t>4.80-8</t>
  </si>
  <si>
    <t>4.80-8-4PR SUZT</t>
  </si>
  <si>
    <t>25 X 10.00-12</t>
  </si>
  <si>
    <t>25X10-12-6PR OTR07</t>
  </si>
  <si>
    <t>195/70R14</t>
  </si>
  <si>
    <t>195/70R14 ST290</t>
  </si>
  <si>
    <t>ZT201</t>
  </si>
  <si>
    <t>OTR09</t>
  </si>
  <si>
    <t>25X10.00-12-6PR OTR09</t>
  </si>
  <si>
    <t>STRONG GUARD G3/L3</t>
  </si>
  <si>
    <t>185/55R15</t>
  </si>
  <si>
    <t>S021366A-72</t>
  </si>
  <si>
    <t>8.25R20</t>
  </si>
  <si>
    <t>ID8.25R20-16PR-A C ID</t>
  </si>
  <si>
    <t>4.80-8-6PR-SUZT</t>
  </si>
  <si>
    <t>OTR30</t>
  </si>
  <si>
    <t>195R14C</t>
  </si>
  <si>
    <t>195R14C ST290</t>
  </si>
  <si>
    <t>25X10-12-6PR WL6A</t>
  </si>
  <si>
    <t>15-19.5</t>
  </si>
  <si>
    <t>15-19.5-12PR SGSS</t>
  </si>
  <si>
    <t>ID8.25R20-16PR-B C ID</t>
  </si>
  <si>
    <t>ST205/75R14</t>
  </si>
  <si>
    <t>ST205/75R14-6PR ST-100/STZC</t>
  </si>
  <si>
    <t>4.80-12</t>
  </si>
  <si>
    <t>4.80-12-4PR SUZT</t>
  </si>
  <si>
    <t>25 X 11.00-12</t>
  </si>
  <si>
    <r>
      <rPr>
        <sz val="11"/>
        <color rgb="FF000000"/>
        <rFont val="等线"/>
        <charset val="134"/>
      </rPr>
      <t>15.5-</t>
    </r>
    <r>
      <rPr>
        <sz val="11"/>
        <color rgb="FF000000"/>
        <rFont val="等线"/>
        <charset val="134"/>
      </rPr>
      <t>25</t>
    </r>
  </si>
  <si>
    <t>ST205/75R14-8PR ST-100/STZC</t>
  </si>
  <si>
    <t>185/60R14</t>
  </si>
  <si>
    <t>S020983A-42</t>
  </si>
  <si>
    <t>10.00R20-18PR-AH ST C ID</t>
  </si>
  <si>
    <t>4.80-12-6PR SUZT</t>
  </si>
  <si>
    <t>26 X9.00-12</t>
  </si>
  <si>
    <t>26X9.00-12-6PR A033</t>
  </si>
  <si>
    <t>16.0/70-20</t>
  </si>
  <si>
    <t>STRONG GUARD MPT</t>
  </si>
  <si>
    <t>16.0/70-20-12PR  SGMPT</t>
  </si>
  <si>
    <t>BMA08</t>
  </si>
  <si>
    <t>26 X 9R12</t>
  </si>
  <si>
    <t>26X9R12-8PR AR11</t>
  </si>
  <si>
    <t>16.0/70-20-14PR  SGMPT</t>
  </si>
  <si>
    <t>ST205/75R14-6PR SDAT</t>
  </si>
  <si>
    <t>10.00R20-18PR-AF ST C ID</t>
  </si>
  <si>
    <t>ST600</t>
  </si>
  <si>
    <t>4.80-12-6PR STR</t>
  </si>
  <si>
    <t>26 X 9-12</t>
  </si>
  <si>
    <t>26X9-12-6PR AR12</t>
  </si>
  <si>
    <t>TE898</t>
  </si>
  <si>
    <r>
      <rPr>
        <sz val="11"/>
        <color rgb="FF000000"/>
        <rFont val="等线"/>
        <charset val="134"/>
      </rPr>
      <t>16.9-</t>
    </r>
    <r>
      <rPr>
        <sz val="11"/>
        <color rgb="FF000000"/>
        <rFont val="等线"/>
        <charset val="134"/>
      </rPr>
      <t>24</t>
    </r>
  </si>
  <si>
    <t>RC-101</t>
  </si>
  <si>
    <t>26 X 10R12</t>
  </si>
  <si>
    <t>26X10R12-8PR AR11</t>
  </si>
  <si>
    <t>185/60R15</t>
  </si>
  <si>
    <t>S021367A-42</t>
  </si>
  <si>
    <t>CM958</t>
  </si>
  <si>
    <t>10.00R20-18PR-CM958 C ID</t>
  </si>
  <si>
    <t>26 X 10-12</t>
  </si>
  <si>
    <t>26X10-12-6PR AR12</t>
  </si>
  <si>
    <t>16.9-28</t>
  </si>
  <si>
    <t>ST205/75R14-8PR SDAT</t>
  </si>
  <si>
    <t>10.00R20-18PR-TC ST C ID</t>
  </si>
  <si>
    <t>5.30-12</t>
  </si>
  <si>
    <t>ST5000</t>
  </si>
  <si>
    <t>5.30-12-6PR ST5000</t>
  </si>
  <si>
    <t>5.30-12-4PR SUZT</t>
  </si>
  <si>
    <t>26 X11.00-12</t>
  </si>
  <si>
    <t>26X11.00-12-6PR A033</t>
  </si>
  <si>
    <t>17.5-25</t>
  </si>
  <si>
    <t>10.00R20-18PR-AA C ID</t>
  </si>
  <si>
    <t>STRONG GUARD L-3</t>
  </si>
  <si>
    <t>S021497A-60</t>
  </si>
  <si>
    <t>5.30-12-6PR-SUZT</t>
  </si>
  <si>
    <t>26 X 12R12</t>
  </si>
  <si>
    <t>26X12R12-8PR AR11</t>
  </si>
  <si>
    <t>ST205/75R14-6PR ST200/RA</t>
  </si>
  <si>
    <t>26 X 12-12</t>
  </si>
  <si>
    <t>26X12-12-6PR AR12</t>
  </si>
  <si>
    <t>17.5L-24</t>
  </si>
  <si>
    <t>185/65R14</t>
  </si>
  <si>
    <t>020426B-42</t>
  </si>
  <si>
    <t>MD758</t>
  </si>
  <si>
    <t>10.00R20-18PR-E ST C ID</t>
  </si>
  <si>
    <t>ST205/75R14-8PR ST200/RA/RS</t>
  </si>
  <si>
    <t>5.70-8-4PR SUZT</t>
  </si>
  <si>
    <t>27 X 9.00-12</t>
  </si>
  <si>
    <t>27X9.00-12-6PR A033</t>
  </si>
  <si>
    <t>27 X 9-12</t>
  </si>
  <si>
    <t>27X9-12-6PR WL6A</t>
  </si>
  <si>
    <t>19.5L-24</t>
  </si>
  <si>
    <t>10.00R20-18PR-CM988 ST C ID</t>
  </si>
  <si>
    <t>5.70-8-6PR-SUZT</t>
  </si>
  <si>
    <t>ST205/75R14-6PR ST226</t>
  </si>
  <si>
    <t>S021496A-60</t>
  </si>
  <si>
    <t>10.00R20-18PR-AC C ID</t>
  </si>
  <si>
    <t>27 X 9-14</t>
  </si>
  <si>
    <t>27X9-14-6PR A033</t>
  </si>
  <si>
    <t>ST205/75R14-8PR ST226</t>
  </si>
  <si>
    <t>TZ101</t>
  </si>
  <si>
    <t>5.70-8-8PR-SUZT</t>
  </si>
  <si>
    <t>20.5-25</t>
  </si>
  <si>
    <t>185/65R15</t>
  </si>
  <si>
    <t>S021368A-42</t>
  </si>
  <si>
    <t>CB919</t>
  </si>
  <si>
    <t>27X10.00-14</t>
  </si>
  <si>
    <t>27X10.00-14 6PR P193</t>
  </si>
  <si>
    <t>ST205/75R15</t>
  </si>
  <si>
    <t>ST205/75R15-6PR ST-100/STZC</t>
  </si>
  <si>
    <t>MT100</t>
  </si>
  <si>
    <t>10.00R20-18PR-R ST C ID</t>
  </si>
  <si>
    <t>16.5X6.5-8</t>
  </si>
  <si>
    <t>16.5X6.5-8-6PR-SZ</t>
  </si>
  <si>
    <t>27 X 11-12</t>
  </si>
  <si>
    <t>27x11-12-6PR WL6A</t>
  </si>
  <si>
    <t>21L-24</t>
  </si>
  <si>
    <t>ST205/75R15-8PR ST-100/STZC</t>
  </si>
  <si>
    <t>10.00R20-18PR-CB981 ST C ID</t>
  </si>
  <si>
    <t>21L-24-12PR-SGXR4</t>
  </si>
  <si>
    <t>S021495A-60</t>
  </si>
  <si>
    <t>CB905</t>
  </si>
  <si>
    <t>10.00R20-18PR-CB905 ST C ID</t>
  </si>
  <si>
    <t>27 X 11-14</t>
  </si>
  <si>
    <t>27x11-14-6PR A033</t>
  </si>
  <si>
    <t>ST205/75R15-10PR ST-100</t>
  </si>
  <si>
    <t>EZ330</t>
  </si>
  <si>
    <t>10.00R20-18PR-AB ST C ID</t>
  </si>
  <si>
    <t>18.5X8.5-8</t>
  </si>
  <si>
    <t>18.5X6.5-8-6PR-SZ</t>
  </si>
  <si>
    <t>23X8.50-12</t>
  </si>
  <si>
    <t>23X8.50-12-6PR-SGSS</t>
  </si>
  <si>
    <t>ST205/75R15-6PR SDAT</t>
  </si>
  <si>
    <t>185/70R14</t>
  </si>
  <si>
    <t>021218A-42</t>
  </si>
  <si>
    <t>CB332</t>
  </si>
  <si>
    <t>28 X 10R14</t>
  </si>
  <si>
    <t>28X10R14-8PR WL6A</t>
  </si>
  <si>
    <t>EZ835</t>
  </si>
  <si>
    <t>10.00R20-18PR-EZ835 ST C ID</t>
  </si>
  <si>
    <t>18.5X6.5-8-8PR-SZ</t>
  </si>
  <si>
    <t>26X12-12</t>
  </si>
  <si>
    <t>STRONG GUARD R1</t>
  </si>
  <si>
    <t>26X12-12-8PR-SGR1</t>
  </si>
  <si>
    <t>10.00R20-TF ST C ID</t>
  </si>
  <si>
    <t>32X10.00R15</t>
  </si>
  <si>
    <t>32X10.00R15-8PR P193</t>
  </si>
  <si>
    <t>FOLO.R109</t>
  </si>
  <si>
    <t>27X8.50-15</t>
  </si>
  <si>
    <t>27X8.50-15-8PR-SGSS</t>
  </si>
  <si>
    <t>ST205/75R15-8PR SDAT</t>
  </si>
  <si>
    <t>20.5X8.0-10</t>
  </si>
  <si>
    <t>20.5X8.0-10-6PR-SZ</t>
  </si>
  <si>
    <t>135/90D17</t>
  </si>
  <si>
    <t>DP07</t>
  </si>
  <si>
    <t>XD</t>
  </si>
  <si>
    <t>195/50R15</t>
  </si>
  <si>
    <t>S020984D-72</t>
  </si>
  <si>
    <t>28X9-15</t>
  </si>
  <si>
    <t>28X9-15-14PR-SGL</t>
  </si>
  <si>
    <t>CM998</t>
  </si>
  <si>
    <t>10.00R20-18PR-CM998 ST C ID</t>
  </si>
  <si>
    <t>20.5X8-10 SZ</t>
  </si>
  <si>
    <t>145/90D16</t>
  </si>
  <si>
    <t>A</t>
  </si>
  <si>
    <t>10.00R20-AE C ID</t>
  </si>
  <si>
    <t>29X12-15</t>
  </si>
  <si>
    <t>29X12.5-15-8PR-SGR1</t>
  </si>
  <si>
    <t>ST205/75R15-10PR SDAT</t>
  </si>
  <si>
    <t>2.75-10</t>
  </si>
  <si>
    <t>H-972-2</t>
  </si>
  <si>
    <t>31X15.5-15</t>
  </si>
  <si>
    <t>31X15.5-15-10PR-SGR1</t>
  </si>
  <si>
    <t>195/55R15</t>
  </si>
  <si>
    <t>S021370A-72</t>
  </si>
  <si>
    <t>3.00-10</t>
  </si>
  <si>
    <t>H788</t>
  </si>
  <si>
    <t>3.00-10 4PR H788/H788-2</t>
  </si>
  <si>
    <t>STRONG GUARD SS4</t>
  </si>
  <si>
    <t>31X15.5-15-10PR-SGSS4</t>
  </si>
  <si>
    <t>AT196</t>
  </si>
  <si>
    <t>10.00R20-18PR-AT196 J ID</t>
  </si>
  <si>
    <t>ST175/80D13</t>
  </si>
  <si>
    <t>H180</t>
  </si>
  <si>
    <t>ST175/80D13-6PR H180</t>
  </si>
  <si>
    <t>H788-2</t>
  </si>
  <si>
    <t>ST205/75R15-6PR ST 200/RA/RS</t>
  </si>
  <si>
    <t>I-181</t>
  </si>
  <si>
    <t>10.00R20-16PR-CRI US ID</t>
  </si>
  <si>
    <t>ST175/80D13-6PR-STR</t>
  </si>
  <si>
    <t>3.00-10 6PR H788-2</t>
  </si>
  <si>
    <t>CR976A</t>
  </si>
  <si>
    <t>EZ175</t>
  </si>
  <si>
    <t>10.00R20-18PR-EZ175 J ID</t>
  </si>
  <si>
    <t>60/100-10</t>
  </si>
  <si>
    <t>H-972</t>
  </si>
  <si>
    <t>29×12.5-15-8PR-STRONG GUARD R1</t>
  </si>
  <si>
    <t>ST205/75R15-8PR ST 200/RA/RS</t>
  </si>
  <si>
    <t>195/55R16</t>
  </si>
  <si>
    <t>S021371A-72</t>
  </si>
  <si>
    <t>10.00R20-18PR-AG ST C ID</t>
  </si>
  <si>
    <t>23×8.50-12-6PR-STRONG GUARD SS</t>
  </si>
  <si>
    <t>ST205/75D14</t>
  </si>
  <si>
    <t>ST205/75D14-6PR H180</t>
  </si>
  <si>
    <t>70/90-14</t>
  </si>
  <si>
    <t>H577</t>
  </si>
  <si>
    <t>70/90-14-4PR/34P H577</t>
  </si>
  <si>
    <t>27×8.5-15-8PR-STRONG GUARD SS</t>
  </si>
  <si>
    <t>EZ093</t>
  </si>
  <si>
    <t>10.00R20-18PR-EZ093 O ID</t>
  </si>
  <si>
    <t>ST205/75D14-6PR-STR</t>
  </si>
  <si>
    <t>H597</t>
  </si>
  <si>
    <t>70/90-14-4PR/34S H597</t>
  </si>
  <si>
    <t>26×12-12-8PR-STRONG GUARD R1</t>
  </si>
  <si>
    <t>ST205/75R15-6PR ST226</t>
  </si>
  <si>
    <t>EZ033</t>
  </si>
  <si>
    <t>10.00R20-18PR-EZ033 O ID</t>
  </si>
  <si>
    <t>H999A</t>
  </si>
  <si>
    <t>70/90-14-34P H999A</t>
  </si>
  <si>
    <t>ST205/75R15-8PR ST226</t>
  </si>
  <si>
    <t>AZ183</t>
  </si>
  <si>
    <t>10.00R20-18PR-AZ183 J ID</t>
  </si>
  <si>
    <t>195/60R15</t>
  </si>
  <si>
    <t>S021372A-42</t>
  </si>
  <si>
    <t>CR926Max</t>
  </si>
  <si>
    <t>10.00R20-18PR-CR926MAX ST C ID</t>
  </si>
  <si>
    <t>80/80-14</t>
  </si>
  <si>
    <t>80/80-14-4PR/37P H577</t>
  </si>
  <si>
    <t>ST215/75R14</t>
  </si>
  <si>
    <t>ST215/75R14-8PR ST Radial</t>
  </si>
  <si>
    <t>ST205/75D15</t>
  </si>
  <si>
    <t>ST205/75D15-6PR H180</t>
  </si>
  <si>
    <t>80/80-14-4PR/37P H597</t>
  </si>
  <si>
    <t>ST215/75R14-6PR ST-100/STZC</t>
  </si>
  <si>
    <t>ID11.00R20-18PR-CBT C ID A017-Y</t>
  </si>
  <si>
    <t>ST205/75D15-6PR-STR</t>
  </si>
  <si>
    <t>80/80-14-4PR/37P H999A</t>
  </si>
  <si>
    <t>ST215/75R14-8PR ST-100</t>
  </si>
  <si>
    <t>S021499A-60</t>
  </si>
  <si>
    <t>80/90-12</t>
  </si>
  <si>
    <t>H565-2</t>
  </si>
  <si>
    <t>80/90-12-4PR H565-2</t>
  </si>
  <si>
    <t>ST215/75R14-6PR SDAT</t>
  </si>
  <si>
    <t>CB919A</t>
  </si>
  <si>
    <t>80/90-12-6PR H565-2</t>
  </si>
  <si>
    <t>195/60R16</t>
  </si>
  <si>
    <t>S021373A-42</t>
  </si>
  <si>
    <t>CB332A</t>
  </si>
  <si>
    <t>ID11.00R20-B C ID A017</t>
  </si>
  <si>
    <t>ST215/75D14</t>
  </si>
  <si>
    <t>ST215/75D14-6PR H180</t>
  </si>
  <si>
    <t>CB905A</t>
  </si>
  <si>
    <t>80/90-14</t>
  </si>
  <si>
    <t>ASP01</t>
  </si>
  <si>
    <t>80/90-14TL-4PR ASP01</t>
  </si>
  <si>
    <t>EZ330A</t>
  </si>
  <si>
    <t>ST225/75D15</t>
  </si>
  <si>
    <t>ST225/75D15-8PR H180</t>
  </si>
  <si>
    <t>80/90-14-4PR/40P H577</t>
  </si>
  <si>
    <t>ST215/75R14-8PR SDAT</t>
  </si>
  <si>
    <t>ST225/75D15-8PR-STR</t>
  </si>
  <si>
    <r>
      <rPr>
        <sz val="11"/>
        <color rgb="FF000000"/>
        <rFont val="等线"/>
        <charset val="134"/>
      </rPr>
      <t>80/90-14-6PR H</t>
    </r>
    <r>
      <rPr>
        <sz val="11"/>
        <color rgb="FF000000"/>
        <rFont val="等线"/>
        <charset val="134"/>
      </rPr>
      <t>577</t>
    </r>
  </si>
  <si>
    <t>80/90-14-6PR/46S H597</t>
  </si>
  <si>
    <t>195/65R15</t>
  </si>
  <si>
    <t>S021667A-72</t>
  </si>
  <si>
    <t>H999-A</t>
  </si>
  <si>
    <t>80/90-14-4PR/40P H999-A</t>
  </si>
  <si>
    <t>ID11.00R20-AZ850 C ID EA019</t>
  </si>
  <si>
    <t>CL729(TL)</t>
  </si>
  <si>
    <t>90/80-12</t>
  </si>
  <si>
    <t>H-602</t>
  </si>
  <si>
    <r>
      <rPr>
        <sz val="11"/>
        <color rgb="FF000000"/>
        <rFont val="等线"/>
        <charset val="134"/>
      </rPr>
      <t>90/80-12-4PR H</t>
    </r>
    <r>
      <rPr>
        <sz val="11"/>
        <color rgb="FF000000"/>
        <rFont val="等线"/>
        <charset val="134"/>
      </rPr>
      <t>-602</t>
    </r>
  </si>
  <si>
    <t>ST225/75R15</t>
  </si>
  <si>
    <t>ST225/75R15-8PR ST-100/STZC</t>
  </si>
  <si>
    <t>ID11.00R20-18PR-CRT C ID A827</t>
  </si>
  <si>
    <t>CL729(TT)</t>
  </si>
  <si>
    <t>90/80-12-6PR H-602</t>
  </si>
  <si>
    <t>S021491A-60</t>
  </si>
  <si>
    <t>ST225/75R15-10PR ST-100/STZC</t>
  </si>
  <si>
    <t>ID11.00R20-18PR-EZ369 C ID A827</t>
  </si>
  <si>
    <t>90/80-14</t>
  </si>
  <si>
    <t>H522S</t>
  </si>
  <si>
    <t>90/80-14TL-4PR H522S</t>
  </si>
  <si>
    <t>S020968A-42</t>
  </si>
  <si>
    <t>AS578</t>
  </si>
  <si>
    <t>ID11.00R20-18PR-A C ID EA823</t>
  </si>
  <si>
    <t>EL36(TL)</t>
  </si>
  <si>
    <t>90/80-14-4PR/43P H577</t>
  </si>
  <si>
    <t>ST225/75R15-8PR SDAT</t>
  </si>
  <si>
    <t>AS678</t>
  </si>
  <si>
    <t>EL36(TT)</t>
  </si>
  <si>
    <t>90/80-14-6PR/49P H597</t>
  </si>
  <si>
    <t>90/80-14-4PR H999-A</t>
  </si>
  <si>
    <t>90/90-12</t>
  </si>
  <si>
    <t>90/90-12-4PR H565-2</t>
  </si>
  <si>
    <t>ST225/75R15-10PR SDAT</t>
  </si>
  <si>
    <t>205/55R16</t>
  </si>
  <si>
    <t>S020987A-72</t>
  </si>
  <si>
    <t>EZ336</t>
  </si>
  <si>
    <t>ID11.00R20-18PR-EZ336 C ID A017</t>
  </si>
  <si>
    <t>23.5-25</t>
  </si>
  <si>
    <t>CL728</t>
  </si>
  <si>
    <t>ID11.00R20-18PR-AZ676 C ID A827</t>
  </si>
  <si>
    <t>T318</t>
  </si>
  <si>
    <t>90/90-14</t>
  </si>
  <si>
    <t>90/90-14-4PR/46P ASP01</t>
  </si>
  <si>
    <t>ID11.00R20-18PR-CM998 C ID A827</t>
  </si>
  <si>
    <t>90/90-14-4PR H577</t>
  </si>
  <si>
    <t>ID11.00R20-18PR-CM988 C ID A827</t>
  </si>
  <si>
    <t>90/90-14-6PR H577</t>
  </si>
  <si>
    <t>ST225/75R15-8PR ST200/RA/RS</t>
  </si>
  <si>
    <t>RP218(Process 1)</t>
  </si>
  <si>
    <t>S021492A-60</t>
  </si>
  <si>
    <t>ID11.00R20-18PR-EZ835 C ID A017</t>
  </si>
  <si>
    <t>24PR</t>
  </si>
  <si>
    <t>90/90-14-4PR/46P H597</t>
  </si>
  <si>
    <t>RP218(Process 2)</t>
  </si>
  <si>
    <t>S021672A-60</t>
  </si>
  <si>
    <t>SUPER ETOT</t>
  </si>
  <si>
    <t>ID11.00R20-SUPER ETOT C ID A017</t>
  </si>
  <si>
    <t>90/90-14-4PR H999A</t>
  </si>
  <si>
    <t>EL36</t>
  </si>
  <si>
    <t>ST225/75R15-10PR ST200/RA/RS</t>
  </si>
  <si>
    <t>205/60R16</t>
  </si>
  <si>
    <t>S021358A-72</t>
  </si>
  <si>
    <t>ETRF</t>
  </si>
  <si>
    <t>ID11.00R20-18PR-ETAM C ID A017</t>
  </si>
  <si>
    <t>100/80-14</t>
  </si>
  <si>
    <t>100/80-14TL-6PR H522S</t>
  </si>
  <si>
    <t>AM4S.Q679</t>
  </si>
  <si>
    <t>100/80-14-4PR/48P H577</t>
  </si>
  <si>
    <t>ST175/80R13-6PR-Tow pro st</t>
  </si>
  <si>
    <t>ID11.00R20-18PR-EZX C ID EA823</t>
  </si>
  <si>
    <t>EL36A</t>
  </si>
  <si>
    <t>100/80-14TL-6PR H597</t>
  </si>
  <si>
    <t>ST225/75R15-8PR ST226</t>
  </si>
  <si>
    <t>XEZ87</t>
  </si>
  <si>
    <t>100/80-14-4PR H999-A</t>
  </si>
  <si>
    <t>ST225/75R15-10PR ST226</t>
  </si>
  <si>
    <t>S021518A-60</t>
  </si>
  <si>
    <t>EZ870</t>
  </si>
  <si>
    <t>ID11.00R20-18PR-EZ870 C ID A017</t>
  </si>
  <si>
    <t>DF60</t>
  </si>
  <si>
    <t>100/80-14-6PR H999-A</t>
  </si>
  <si>
    <t>ID11.00R20-18PR-AZ183 C ID A827</t>
  </si>
  <si>
    <t>EL37</t>
  </si>
  <si>
    <t>ST235/80R16</t>
  </si>
  <si>
    <t>ST235/80R16-12PR RAINIER ST</t>
  </si>
  <si>
    <t>205/65R15</t>
  </si>
  <si>
    <t>S021678A-72</t>
  </si>
  <si>
    <t>ID11.00R20-18PR-EZ175 C ID A017</t>
  </si>
  <si>
    <t>T317</t>
  </si>
  <si>
    <t>100/90-12</t>
  </si>
  <si>
    <t>H566</t>
  </si>
  <si>
    <t>100/90-12-4PR/59P HH</t>
  </si>
  <si>
    <t>ST235/80R16-10PR ST-100/STZC</t>
  </si>
  <si>
    <t>ID11.00R20-18PR-EZ865 C ID EA823</t>
  </si>
  <si>
    <t>H-565-2</t>
  </si>
  <si>
    <t>ID11.00R20-18PR-EZ033 C ID A827</t>
  </si>
  <si>
    <t>RS05</t>
  </si>
  <si>
    <t>100/90-12-59P RS05</t>
  </si>
  <si>
    <t>ST235/80R16-10PR SDAT</t>
  </si>
  <si>
    <t>S021500A-60</t>
  </si>
  <si>
    <t>11R22.5</t>
  </si>
  <si>
    <t>AS858</t>
  </si>
  <si>
    <t>ID11R22.5-16PR-A C ID</t>
  </si>
  <si>
    <t>100/90-14</t>
  </si>
  <si>
    <t>100/90-14-6PR/57P H577</t>
  </si>
  <si>
    <t>AS868</t>
  </si>
  <si>
    <t>100/90-14TL-6PR H597</t>
  </si>
  <si>
    <t>205/65R16</t>
  </si>
  <si>
    <t>S021679A-72</t>
  </si>
  <si>
    <t>ID11R22.5-16PR-AZ850 C ID</t>
  </si>
  <si>
    <t>18-625</t>
  </si>
  <si>
    <t>Outrigger</t>
  </si>
  <si>
    <t>ST235/80R16-12PR SDAT</t>
  </si>
  <si>
    <t>CR915</t>
  </si>
  <si>
    <t>ID11R22.5-14PR-CAH C ID</t>
  </si>
  <si>
    <t>110/70-12</t>
  </si>
  <si>
    <t>110/70-12-6PR/53P HH</t>
  </si>
  <si>
    <t>AT598</t>
  </si>
  <si>
    <t>355/55D625</t>
  </si>
  <si>
    <t>Outrigger XT(NL)</t>
  </si>
  <si>
    <t>355/55D625-14PR Outrigger XT</t>
  </si>
  <si>
    <t>HT1 Plus</t>
  </si>
  <si>
    <t>S021501A-60</t>
  </si>
  <si>
    <t>I-48T</t>
  </si>
  <si>
    <t>110/70-13</t>
  </si>
  <si>
    <t>110/70-13-6PR/54S H522S</t>
  </si>
  <si>
    <t>ST235/80R16-10PR ST200/RA/RS</t>
  </si>
  <si>
    <t>RLINE-T1</t>
  </si>
  <si>
    <t>CR906 II</t>
  </si>
  <si>
    <t>ID11R22.5-16PR-CR906 II C ID</t>
  </si>
  <si>
    <t>110/80-14</t>
  </si>
  <si>
    <t>110/80-14-4PR/53S H522S</t>
  </si>
  <si>
    <t>AD716</t>
  </si>
  <si>
    <t>ID11R22.5-16PR-Q C ID</t>
  </si>
  <si>
    <t>110/80-14-6PR/59P H522S</t>
  </si>
  <si>
    <r>
      <rPr>
        <sz val="11"/>
        <color rgb="FF000000"/>
        <rFont val="等线"/>
        <charset val="134"/>
      </rPr>
      <t>ST235/80R16-10PR ST</t>
    </r>
    <r>
      <rPr>
        <sz val="11"/>
        <color rgb="FF000000"/>
        <rFont val="等线"/>
        <charset val="134"/>
      </rPr>
      <t>226</t>
    </r>
  </si>
  <si>
    <t>M-TRAC CSD</t>
  </si>
  <si>
    <t>11.00-20-18PR-CR952PRO</t>
  </si>
  <si>
    <t>HD1 Plus</t>
  </si>
  <si>
    <t>110/90-12</t>
  </si>
  <si>
    <t>110/90-12-4PR/64P H566</t>
  </si>
  <si>
    <t>ST235/85R16</t>
  </si>
  <si>
    <t>ST235/85R16-10PR ST100</t>
  </si>
  <si>
    <t>CM996</t>
  </si>
  <si>
    <t>110/90-12-6PR/69P HH</t>
  </si>
  <si>
    <t>ST235/85R16-12PR ST-100/STZC</t>
  </si>
  <si>
    <t>205/70R15</t>
  </si>
  <si>
    <t>S021505A-60</t>
  </si>
  <si>
    <t>RLINE-D2</t>
  </si>
  <si>
    <t>AT552</t>
  </si>
  <si>
    <t>ID11R22.5-14PR-AT552 US C ID</t>
  </si>
  <si>
    <t>ST235/85R16-10PR SDAT</t>
  </si>
  <si>
    <t>215/50R17</t>
  </si>
  <si>
    <t>S021523A-60</t>
  </si>
  <si>
    <t>AT563</t>
  </si>
  <si>
    <t>ID11R22.5-14PR-AT563 US C ID</t>
  </si>
  <si>
    <t>120/70-12</t>
  </si>
  <si>
    <t>120/70-12-6PR/58P HH</t>
  </si>
  <si>
    <t>CR915 eco</t>
  </si>
  <si>
    <t>ID11R22.5-14PR-CR915 eco C ID</t>
  </si>
  <si>
    <t>215/55R16</t>
  </si>
  <si>
    <t>S021503A-60</t>
  </si>
  <si>
    <t>DA25</t>
  </si>
  <si>
    <t>ID11R22.5-16PR-D US ID</t>
  </si>
  <si>
    <t>VXD932</t>
  </si>
  <si>
    <t>120/70-13</t>
  </si>
  <si>
    <t>120/70-13-6PR/59S H522S</t>
  </si>
  <si>
    <t>ST235/85R16-12PR SDAT</t>
  </si>
  <si>
    <t>215/55R17</t>
  </si>
  <si>
    <t>S021490A-60</t>
  </si>
  <si>
    <t>DL21</t>
  </si>
  <si>
    <t>ID11R22.5-16PR-DL21 US C ID</t>
  </si>
  <si>
    <t>S021671A-60</t>
  </si>
  <si>
    <t>W-Elite DL22</t>
  </si>
  <si>
    <t>ID11R22.5-16PR-A US C ID</t>
  </si>
  <si>
    <t>120/80-12</t>
  </si>
  <si>
    <t>RS06</t>
  </si>
  <si>
    <t>120/80-12-65P RS06</t>
  </si>
  <si>
    <t>W-Elite DA23</t>
  </si>
  <si>
    <t>215/60R16</t>
  </si>
  <si>
    <t>S020988A-72</t>
  </si>
  <si>
    <t>AD600</t>
  </si>
  <si>
    <t>130/70-13</t>
  </si>
  <si>
    <t>130/70-13-6PR/63S H522S</t>
  </si>
  <si>
    <t>ST235/85R16-12PR ST200/RA</t>
  </si>
  <si>
    <t>PD211</t>
  </si>
  <si>
    <t>W-Elite SL11</t>
  </si>
  <si>
    <t>ID11R22.5-16PR-C US ID</t>
  </si>
  <si>
    <t>140/70-13</t>
  </si>
  <si>
    <t>140/70-13-4PR/61S H522S</t>
  </si>
  <si>
    <t>ST235/85R16-12PR ST226</t>
  </si>
  <si>
    <t>VA996</t>
  </si>
  <si>
    <t>S021493A-60</t>
  </si>
  <si>
    <t>AS200</t>
  </si>
  <si>
    <t>140/70-14</t>
  </si>
  <si>
    <t>140/70-14-6PR/68S H522S</t>
  </si>
  <si>
    <t>PS221</t>
  </si>
  <si>
    <t>215/60R17</t>
  </si>
  <si>
    <t>S021510A-60</t>
  </si>
  <si>
    <t>TL31</t>
  </si>
  <si>
    <t>ID11R22.5-14PR-E US ID</t>
  </si>
  <si>
    <t>VT993</t>
  </si>
  <si>
    <t>215/65R16</t>
  </si>
  <si>
    <t>S020989A-72</t>
  </si>
  <si>
    <t>ZA12</t>
  </si>
  <si>
    <t>ID11R22.5-16PR-ZA12 US C ID</t>
  </si>
  <si>
    <t>ZM41</t>
  </si>
  <si>
    <t>ID11R22.5-16PR-ZM41 US C ID</t>
  </si>
  <si>
    <t>ID11R22.5-16PR-CM958 C ID</t>
  </si>
  <si>
    <t>I-19A</t>
  </si>
  <si>
    <t>ID11R22.5-16PR-Z US C ID</t>
  </si>
  <si>
    <t>S021522A-60</t>
  </si>
  <si>
    <t>I-61S</t>
  </si>
  <si>
    <t>CM980</t>
  </si>
  <si>
    <t>ID11R22.5-16PR-CMD US C ID</t>
  </si>
  <si>
    <t>225/50R17</t>
  </si>
  <si>
    <t>S021494A-60</t>
  </si>
  <si>
    <t>RLINE-D3</t>
  </si>
  <si>
    <t>CR960A</t>
  </si>
  <si>
    <t>ID11R22.5-16PR-CRA US C ID</t>
  </si>
  <si>
    <t>225/50R18</t>
  </si>
  <si>
    <t>S021513A-60</t>
  </si>
  <si>
    <t>RLINE-A1</t>
  </si>
  <si>
    <t>VD998</t>
  </si>
  <si>
    <t>ID11R22.5-16PR-F US ID</t>
  </si>
  <si>
    <t>225/55R17</t>
  </si>
  <si>
    <t>S021519A-60</t>
  </si>
  <si>
    <t>VD908</t>
  </si>
  <si>
    <t>VA991</t>
  </si>
  <si>
    <t>ID11R22.5-16PR-VA991 US C</t>
  </si>
  <si>
    <t>225/55R18</t>
  </si>
  <si>
    <t>S021524A-60</t>
  </si>
  <si>
    <t>VDM924</t>
  </si>
  <si>
    <t>ID11R22.5-16PR-VDM924 US ID</t>
  </si>
  <si>
    <t>AD721</t>
  </si>
  <si>
    <t>ID11R22.5-16PR-X C ID</t>
  </si>
  <si>
    <t>225/55R19</t>
  </si>
  <si>
    <t>S021514A-60</t>
  </si>
  <si>
    <t>HD2 Plus</t>
  </si>
  <si>
    <t>AZ692</t>
  </si>
  <si>
    <t>ID11R22.5-16PR-AZ692 US ID</t>
  </si>
  <si>
    <t>225/60R16</t>
  </si>
  <si>
    <t>S021521A-60</t>
  </si>
  <si>
    <t>AZ599</t>
  </si>
  <si>
    <t>ID11R22.5-16PR-AMH C ID</t>
  </si>
  <si>
    <t>M-TRAC AP</t>
  </si>
  <si>
    <t>225/60R17</t>
  </si>
  <si>
    <t>S021511A-60</t>
  </si>
  <si>
    <t>HF1 Plus</t>
  </si>
  <si>
    <t>AS600</t>
  </si>
  <si>
    <t>ID11R22.5-16PR-AS600 AR US ID</t>
  </si>
  <si>
    <t>225/60R18</t>
  </si>
  <si>
    <t>S021512A-60</t>
  </si>
  <si>
    <t>AZ126T+</t>
  </si>
  <si>
    <t>ID11R22.5-16PR-JJ J ID</t>
  </si>
  <si>
    <t>HCC1 PlusX</t>
  </si>
  <si>
    <t>235/55R17</t>
  </si>
  <si>
    <t>S021515A-60</t>
  </si>
  <si>
    <t>AT194</t>
  </si>
  <si>
    <t>ID11R22.5-16PR-FF J ID</t>
  </si>
  <si>
    <t>AT167</t>
  </si>
  <si>
    <t>235/55R18</t>
  </si>
  <si>
    <t>S021516A-60</t>
  </si>
  <si>
    <t>HF1 PlusX</t>
  </si>
  <si>
    <t>KOBE APM</t>
  </si>
  <si>
    <t>235/55R19</t>
  </si>
  <si>
    <t>S021517A-60</t>
  </si>
  <si>
    <t>MX901 AP</t>
  </si>
  <si>
    <t>TRA-167</t>
  </si>
  <si>
    <t>AZ579</t>
  </si>
  <si>
    <t>ID11R22.5-16PR-W C ID</t>
  </si>
  <si>
    <t>ST185R14CPR-TRAILER ST290</t>
  </si>
  <si>
    <t>HCC1 Plus</t>
  </si>
  <si>
    <t>ST195/70R14PR-ST290</t>
  </si>
  <si>
    <t>AT115</t>
  </si>
  <si>
    <t>ID11R22.5-16PR-MM J ID</t>
  </si>
  <si>
    <t>HT1 PlusX</t>
  </si>
  <si>
    <t>TLT-115</t>
  </si>
  <si>
    <t>MX901 TR</t>
  </si>
  <si>
    <t>AD178</t>
  </si>
  <si>
    <t>ID11R22.5-16PR-HH J ID</t>
  </si>
  <si>
    <t>HD1 PlusX</t>
  </si>
  <si>
    <t>AD196</t>
  </si>
  <si>
    <t>KOBE DPM</t>
  </si>
  <si>
    <t>ID11R22.5-16PR-AS678 C ID</t>
  </si>
  <si>
    <t>AD184</t>
  </si>
  <si>
    <t>ID11R22.5-16PR-ADP J ID</t>
  </si>
  <si>
    <t>HD2 PlusX</t>
  </si>
  <si>
    <t>AD757</t>
  </si>
  <si>
    <t>ID11R22.5-16PR-N C ID</t>
  </si>
  <si>
    <t>AS673</t>
  </si>
  <si>
    <t>ID11R22.5-16PR-AS673 US ID</t>
  </si>
  <si>
    <t>AD737</t>
  </si>
  <si>
    <t>ID11R22.5-16PR-AD737 AR US ID</t>
  </si>
  <si>
    <t>AD778</t>
  </si>
  <si>
    <t>ID11R22.5-16PR-AD778 AR US ID</t>
  </si>
  <si>
    <t>AD759</t>
  </si>
  <si>
    <t>ID11R22.5-16PR-DD US ID</t>
  </si>
  <si>
    <t>CM996+</t>
  </si>
  <si>
    <t>RLINE-D II</t>
  </si>
  <si>
    <t>AS600+</t>
  </si>
  <si>
    <t>ID11R22.5-16PR-K US ID</t>
  </si>
  <si>
    <t>CR989+</t>
  </si>
  <si>
    <t>RLINE-S1</t>
  </si>
  <si>
    <t>STEALTH S01</t>
  </si>
  <si>
    <t>ID11R22.5-16PR-M US TH</t>
  </si>
  <si>
    <t>RLINE-M3</t>
  </si>
  <si>
    <t>CM983</t>
  </si>
  <si>
    <t>ID11R22.5-16PR-CM983 US TH</t>
  </si>
  <si>
    <t>I-52A</t>
  </si>
  <si>
    <t>ID11R22.5-16PR-I-52A US ID</t>
  </si>
  <si>
    <t>I-31M</t>
  </si>
  <si>
    <t>ID11R22.5-16PR-I-31M US ID</t>
  </si>
  <si>
    <t>I-28D</t>
  </si>
  <si>
    <t>ID11R22.5-16PR-IDD US ID</t>
  </si>
  <si>
    <t>DOMINATE D01</t>
  </si>
  <si>
    <t>I-37D</t>
  </si>
  <si>
    <t>ID11R22.5-16PR-I-37D US ID</t>
  </si>
  <si>
    <t>CR926D</t>
  </si>
  <si>
    <t>ID11R22.5-16PR-G C ID</t>
  </si>
  <si>
    <t>RLINE-M1</t>
  </si>
  <si>
    <t>CONQUER C01</t>
  </si>
  <si>
    <t>H-MD</t>
  </si>
  <si>
    <t>ID11R22.5-16PR-H-MD C ID</t>
  </si>
  <si>
    <t>H-RA</t>
  </si>
  <si>
    <t>ID11R22.5-16PR-H-RA US ID</t>
  </si>
  <si>
    <t>H-TL</t>
  </si>
  <si>
    <t>ID11R22.5-14PR-H-TL US ID</t>
  </si>
  <si>
    <t>ID11R22.5-18PR-H C ID</t>
  </si>
  <si>
    <t>ID11R22.5-18PR-B C ID</t>
  </si>
  <si>
    <t>H-RD</t>
  </si>
  <si>
    <t>ID11R22.5-16PR-H-RD US ID</t>
  </si>
  <si>
    <t>ID11R22.5-16PR-AT196 W J</t>
  </si>
  <si>
    <t>ID11R22.5-16PR-AZ183 W J</t>
  </si>
  <si>
    <t>X-Traveler SL91</t>
  </si>
  <si>
    <t>ID11R22.5-16PR-X-Traveler SL91 C ID</t>
  </si>
  <si>
    <t>ID11R22.5-16PR-E US ID</t>
  </si>
  <si>
    <t>AD716+</t>
  </si>
  <si>
    <t>ID11R22.5-16PR-AD716+ C ID</t>
  </si>
  <si>
    <t>11R24.5</t>
  </si>
  <si>
    <t>ID11R24.5-16PR-ZM41 C ID</t>
  </si>
  <si>
    <t>ID11R24.5-16PR-B C ID</t>
  </si>
  <si>
    <t>ID11R24.5-16PR-ZA12 C ID</t>
  </si>
  <si>
    <t>ID11R24.5-16PR-DL21 C ID</t>
  </si>
  <si>
    <t>DL22</t>
  </si>
  <si>
    <t>ID11R24.5-16PR-A C ID</t>
  </si>
  <si>
    <t>DA23</t>
  </si>
  <si>
    <t>ID11R24.5-16PR-Z C ID</t>
  </si>
  <si>
    <t>ID11R24.5-16PR-AT563 US C ID</t>
  </si>
  <si>
    <t>ID11R24.5-16PR-CM980 US C ID</t>
  </si>
  <si>
    <t>ID11R24.5-16PR-CRA US C ID</t>
  </si>
  <si>
    <t>ID11R24.5-16PR-VXD932 C ID</t>
  </si>
  <si>
    <t>ID11R24.5-16PR-F C ID</t>
  </si>
  <si>
    <t>ID11R24.5-16PR-VA991 US C ID</t>
  </si>
  <si>
    <t>ID11R24.5-16PR-VDM924 US C ID</t>
  </si>
  <si>
    <t>ID11R24.5-16PR-G J ID</t>
  </si>
  <si>
    <t>ID11R24.5-16PR-AS600 AR US ID</t>
  </si>
  <si>
    <t>ID11R24.5-16PR-X C ID</t>
  </si>
  <si>
    <t>ID11R24.5-16PR-K J ID</t>
  </si>
  <si>
    <t>ID11R24.5-16PR-H J ID</t>
  </si>
  <si>
    <t>ID11R24.5-16PR-AB J ID</t>
  </si>
  <si>
    <t>ID11R24.5-16PR-AZ692 US ID</t>
  </si>
  <si>
    <t>ID11R24.5-16PR-E US ID</t>
  </si>
  <si>
    <t>ID11R24.5-16PR-V C ID</t>
  </si>
  <si>
    <t>ID11R24.5-16PR-U C ID</t>
  </si>
  <si>
    <t>ID11R24.5-16PR-W C ID</t>
  </si>
  <si>
    <t>ID11R24.5-14PR-I-48T US ID</t>
  </si>
  <si>
    <t>ID11R24.5-16PR-CM983 US ID</t>
  </si>
  <si>
    <t>ID11R24.5-16PR-DD C ID</t>
  </si>
  <si>
    <t>ID11R24.5-16PR-AD737 AR US ID</t>
  </si>
  <si>
    <t>ID11R24.5-16PR-AD778 AR US ID</t>
  </si>
  <si>
    <t>ID11R24.5-16PR-IDD US ID</t>
  </si>
  <si>
    <t>ID11R24.5-16PR-I-31M US ID</t>
  </si>
  <si>
    <t>ID11R24.5-16PR-I-52A US ID</t>
  </si>
  <si>
    <t>ID11R24.5-16PR-I-37D US ID</t>
  </si>
  <si>
    <t>ID11R24.5-16PR-D US ID</t>
  </si>
  <si>
    <t>ID11R24.5-16PR-H-RD US ID</t>
  </si>
  <si>
    <t>ID11R24.5-16PR-H-MD C ID</t>
  </si>
  <si>
    <t>ID11R24.5-14PR-H-TL US ID</t>
  </si>
  <si>
    <t>ID11R24.5-16PR-AS600+ US ID</t>
  </si>
  <si>
    <t>ASL01 EX</t>
  </si>
  <si>
    <t>ID11R24.5-16PR-F US ID</t>
  </si>
  <si>
    <t>ID11R24.5-16PR-N C ID</t>
  </si>
  <si>
    <t>ID11R24.5-16PR-AD759 US ID</t>
  </si>
  <si>
    <t>12.00R20-18PR-CT C ID</t>
  </si>
  <si>
    <t>12.00R20-ET C ID</t>
  </si>
  <si>
    <t>TZ304</t>
  </si>
  <si>
    <t>EZ345</t>
  </si>
  <si>
    <t>12.00R20-AE C ID</t>
  </si>
  <si>
    <t>EZ310</t>
  </si>
  <si>
    <t>12.00R20-BE C ID</t>
  </si>
  <si>
    <t>EZ310 pro</t>
  </si>
  <si>
    <t>22PR</t>
  </si>
  <si>
    <t>EZ535</t>
  </si>
  <si>
    <t>12.00R20-18PR-EZ535 C ID</t>
  </si>
  <si>
    <t>12.00R20-20PR-ETOD C ID</t>
  </si>
  <si>
    <t>12.00R20-18PR-B C ID</t>
  </si>
  <si>
    <t>12.00R20-CBT C ID</t>
  </si>
  <si>
    <t>TRD-71</t>
  </si>
  <si>
    <t>12.00R20-22PR-B C ID</t>
  </si>
  <si>
    <t>12.00R20-20PR-CA C ID</t>
  </si>
  <si>
    <t>12.00R20-20PR-CF C ID</t>
  </si>
  <si>
    <t>12.00R20-20PR-CE C ID</t>
  </si>
  <si>
    <t>EZ309</t>
  </si>
  <si>
    <t>12.00R20-AC C ID</t>
  </si>
  <si>
    <t>XC809</t>
  </si>
  <si>
    <t>12.00R20-18PR-CB905 C ID</t>
  </si>
  <si>
    <t>Xz380A</t>
  </si>
  <si>
    <t>12.00R20-20PR-BF C ID</t>
  </si>
  <si>
    <t>12.00R20-20PR-B C ID</t>
  </si>
  <si>
    <t>12.00R20-22PR-CA C ID</t>
  </si>
  <si>
    <t>12.00R20-22PR-CE C ID</t>
  </si>
  <si>
    <t>12.00R20-22PR-BF C ID</t>
  </si>
  <si>
    <t>12.00R20-20PR-EZ835 C ID</t>
  </si>
  <si>
    <t>12R22.5</t>
  </si>
  <si>
    <t>12R22.5-EV7 C ID</t>
  </si>
  <si>
    <t>VEZ80</t>
  </si>
  <si>
    <t>12R22.5-EV0 C ID</t>
  </si>
  <si>
    <t>ID12R22.5-18PR-I-181 C ID</t>
  </si>
  <si>
    <t>ID12R22.5-18PR-H-MD C ID</t>
  </si>
  <si>
    <t>ID12R22.5-AAM C ID</t>
  </si>
  <si>
    <t>AZ850M</t>
  </si>
  <si>
    <t>AS898H</t>
  </si>
  <si>
    <t>ID12R22.5-20PR-CC C ID</t>
  </si>
  <si>
    <t>VAS88</t>
  </si>
  <si>
    <t>CB972E</t>
  </si>
  <si>
    <t>12.00R24-20PR-A C ID</t>
  </si>
  <si>
    <t>MT100 MAX</t>
  </si>
  <si>
    <t>TZ101 PRO</t>
  </si>
  <si>
    <t>12.00R24-20PR-CB332 C ID</t>
  </si>
  <si>
    <t>12.00R24-ET C ID</t>
  </si>
  <si>
    <t>XC819</t>
  </si>
  <si>
    <t>12.00R24-20PR-CT C ID</t>
  </si>
  <si>
    <t>ETOT</t>
  </si>
  <si>
    <t>12.00R24-20PR-EAM ID</t>
  </si>
  <si>
    <t>AM4S.Q678</t>
  </si>
  <si>
    <t>12.00R24-EZX C ID</t>
  </si>
  <si>
    <t>12.00R24-20PR-AB C ID</t>
  </si>
  <si>
    <t>XC878</t>
  </si>
  <si>
    <t>I-301</t>
  </si>
  <si>
    <t>ID12.00R24-20PR-TA C ID</t>
  </si>
  <si>
    <t>215/75R17.5</t>
  </si>
  <si>
    <t>215/75R17.5-16PR-C C ID EA823</t>
  </si>
  <si>
    <t>215/75R17.5-16PR-B C ID</t>
  </si>
  <si>
    <t>VA933</t>
  </si>
  <si>
    <t>ID215/75R17.5-A C ID EA823</t>
  </si>
  <si>
    <t>ZA15</t>
  </si>
  <si>
    <t>ID215/75R17.5-D C ID EA823</t>
  </si>
  <si>
    <t>TF300</t>
  </si>
  <si>
    <t>AP-7318</t>
  </si>
  <si>
    <t>CM986</t>
  </si>
  <si>
    <t>ID215/75R17.5-16PR-CM986 C ID EA823</t>
  </si>
  <si>
    <t>215/75R17.5-18PR-E C ID EA823</t>
  </si>
  <si>
    <t>225/70R19.5</t>
  </si>
  <si>
    <t>225/70R19.5-14PR-C US ID</t>
  </si>
  <si>
    <t>225/70R19.5-14PR-CM986 US ID</t>
  </si>
  <si>
    <t>225/70R19.5-14PR-A US ID</t>
  </si>
  <si>
    <t>DA24</t>
  </si>
  <si>
    <t>225/70R19.5-14PR-DA24 US ID</t>
  </si>
  <si>
    <t>225/70R19.5-14PR-VZA US ID</t>
  </si>
  <si>
    <t>225/70R19.5-14PR-H-RA US ID</t>
  </si>
  <si>
    <t>225/70R19.5-14PR-I-37D US ID</t>
  </si>
  <si>
    <t>AD717</t>
  </si>
  <si>
    <t>225/70R19.5-14PR-D US ID</t>
  </si>
  <si>
    <t>AW717</t>
  </si>
  <si>
    <t>M-TRAC HTD</t>
  </si>
  <si>
    <t>HD3 Plus</t>
  </si>
  <si>
    <t>DR-7318</t>
  </si>
  <si>
    <t>225/70R19.5-14PR-AD778 US ID</t>
  </si>
  <si>
    <t>225/70R19.5-14PR-AS673 US ID</t>
  </si>
  <si>
    <t>I-208</t>
  </si>
  <si>
    <t>225/70R19.5-14PR-ICM US ID</t>
  </si>
  <si>
    <t>VD935</t>
  </si>
  <si>
    <t>225/70R19.5-14PR-VD935 US ID</t>
  </si>
  <si>
    <t>ECO-MILE RDW</t>
  </si>
  <si>
    <t>ID225/70R19.5-14PR-N US ID</t>
  </si>
  <si>
    <t>NS785</t>
  </si>
  <si>
    <t>AW785</t>
  </si>
  <si>
    <t>M-TRAC RDW</t>
  </si>
  <si>
    <t>235/75R17.5</t>
  </si>
  <si>
    <t>ID235/75R17.5-B C ID EA823</t>
  </si>
  <si>
    <t>I-109</t>
  </si>
  <si>
    <t>MGM17</t>
  </si>
  <si>
    <t>ID235/75R17.5-18PR-A C ID EA823</t>
  </si>
  <si>
    <t>ID235/75R17.5-16PR-C C ID EA823</t>
  </si>
  <si>
    <t>ID235/75R17.5-18PR-I-19A US ID EA823</t>
  </si>
  <si>
    <t>245/70R17.5</t>
  </si>
  <si>
    <t>ID245/70R17.5-18PR-A C ID EA823</t>
  </si>
  <si>
    <t>ID245/70R17.5-18PR-I-19A US ID EA823</t>
  </si>
  <si>
    <t>245/70R19.5</t>
  </si>
  <si>
    <t>245/70R19.5-16PR-DA24 US ID</t>
  </si>
  <si>
    <t>245/70R19.5-16PR-VZA US ID</t>
  </si>
  <si>
    <t>245/70R19.5-16PR-CM986 US ID</t>
  </si>
  <si>
    <t>245/70R19.5-16PR-I-19A US ID</t>
  </si>
  <si>
    <t>245/70R19.5-16PR-VD935 US ID</t>
  </si>
  <si>
    <t>245/70R19.5-16PR-F US ID</t>
  </si>
  <si>
    <t>245/70R19.5-16PR-G US ID</t>
  </si>
  <si>
    <t>245/70R19.5-16PR-I-37D US ID</t>
  </si>
  <si>
    <t>AT530</t>
  </si>
  <si>
    <t>245/70R19.5-18PR-A C ID</t>
  </si>
  <si>
    <t>245/70R19.5-16PR-C US ID</t>
  </si>
  <si>
    <t>245/70R19.5-16PR-AS673 US ID</t>
  </si>
  <si>
    <t>245/70R19.5-14PR-H-RA US ID</t>
  </si>
  <si>
    <t>245/70R19.5-16PR-AD778 US ID</t>
  </si>
  <si>
    <t>245/70R19.5-16PR-N US ID</t>
  </si>
  <si>
    <t>245/75R22.5</t>
  </si>
  <si>
    <t>245/75R22.5-14PR-H-RA US C ID</t>
  </si>
  <si>
    <t>255/70R22.5</t>
  </si>
  <si>
    <t>ID255/70R22.5-16PR-CRA C ID</t>
  </si>
  <si>
    <t>RLINE-A2</t>
  </si>
  <si>
    <t>ID255/70R22.5-16PR-U C ID</t>
  </si>
  <si>
    <t>ID255/70R22.5-16PR-I-19A C ID</t>
  </si>
  <si>
    <t>AT557</t>
  </si>
  <si>
    <t>ID255/70R22.5-16PR-A C ID</t>
  </si>
  <si>
    <t>RLINE-M2</t>
  </si>
  <si>
    <t>AZM42</t>
  </si>
  <si>
    <t>ID255/70R22.5-16PR-AZ692 C ID</t>
  </si>
  <si>
    <t>ID255/70R22.5-16PR-CR926D C ID</t>
  </si>
  <si>
    <t>ID255/70R22.5-16PR-HRA C ID</t>
  </si>
  <si>
    <t>ID255/70R22.5-16PR-W-Elite DA23 C ID</t>
  </si>
  <si>
    <t>W-Elite ZA12</t>
  </si>
  <si>
    <t>ID255/70R22.5-16PR-W-Elite ZA12 C ID</t>
  </si>
  <si>
    <t>ID255/70R22.5-16PR-VA996 C ID</t>
  </si>
  <si>
    <t>ID255/70R22.5-16PR-S01 C ID</t>
  </si>
  <si>
    <t>265/70R19.5</t>
  </si>
  <si>
    <t>265/70R19.5-18PR-DA24 US ID</t>
  </si>
  <si>
    <t>265/70R19.5-18PR-VZA US ID</t>
  </si>
  <si>
    <t>265/70R19.5-18PR-A C ID</t>
  </si>
  <si>
    <t>265/70R19.5-18PR-F C ID</t>
  </si>
  <si>
    <t>265/70R19.5-16PR-AS673 C ID</t>
  </si>
  <si>
    <t>265/70R19.5-18PR-I-19A C ID</t>
  </si>
  <si>
    <t>275/70R22.5</t>
  </si>
  <si>
    <t>275/70R22.5-16PR-AZ692 ID C</t>
  </si>
  <si>
    <t>275/70R22.5-16PR-AS673 ID C</t>
  </si>
  <si>
    <t>275/70R22.5-16PR-AT557 ID C</t>
  </si>
  <si>
    <t>ID275/70R22.5-16PR-AH ID C</t>
  </si>
  <si>
    <t>ID275/70R22.5-18PR-I-19A ID C</t>
  </si>
  <si>
    <t>ID275/70R22.5-16PR-HRA ID US C</t>
  </si>
  <si>
    <t>ID275/70R22.5-16PR-W-Elite ZA12 ID C</t>
  </si>
  <si>
    <t>275/80R22.5</t>
  </si>
  <si>
    <t>ID275/80R22.5-16PR-CRM ID C</t>
  </si>
  <si>
    <t>G-PERFORM S</t>
  </si>
  <si>
    <t>BRA04</t>
  </si>
  <si>
    <t>ECOLINE A-II</t>
  </si>
  <si>
    <t>EZ573</t>
  </si>
  <si>
    <t>ID275/80R22.5-16PR-EZO ID C</t>
  </si>
  <si>
    <t>G-PRO MSA</t>
  </si>
  <si>
    <t>BMA03 ECO</t>
  </si>
  <si>
    <t>AD153</t>
  </si>
  <si>
    <t>ID275/80R22.5-16PR-ADM ID C</t>
  </si>
  <si>
    <t>G-PERFORM D</t>
  </si>
  <si>
    <t>BRD02 ECO</t>
  </si>
  <si>
    <t>CR906</t>
  </si>
  <si>
    <t>ID275/80R22.5-16PR-CRO ID C</t>
  </si>
  <si>
    <t>G-PRO U</t>
  </si>
  <si>
    <t>AD528</t>
  </si>
  <si>
    <t>ID275/80R22.5-16PR-ADD ID C</t>
  </si>
  <si>
    <t>ECOTRAX D-II</t>
  </si>
  <si>
    <t>AZ179</t>
  </si>
  <si>
    <t>ID275/80R22.5-AZ179 ID J</t>
  </si>
  <si>
    <t>AS86</t>
  </si>
  <si>
    <t>ID275/80R22.5-16PR-AS86 C ID</t>
  </si>
  <si>
    <t>ID275/80R22.5-16PR-AS678 ID C</t>
  </si>
  <si>
    <t>AS898</t>
  </si>
  <si>
    <t>ID275/80R22.5-16PR-AS898 ID C</t>
  </si>
  <si>
    <t>MD777</t>
  </si>
  <si>
    <t>ID275/80R22.5-16PR-MGM ID C</t>
  </si>
  <si>
    <t>G-PRO MSD</t>
  </si>
  <si>
    <t>BMD06 PRO</t>
  </si>
  <si>
    <t>AD818</t>
  </si>
  <si>
    <t>ID275/80R22.5-16PR-AD818 ID C</t>
  </si>
  <si>
    <t>ID275/80R22.5-16PR-AT196 ID J</t>
  </si>
  <si>
    <t>AS589</t>
  </si>
  <si>
    <t>ID275/80R22.5-16PR-AS589 ID C</t>
  </si>
  <si>
    <t>EZ573A</t>
  </si>
  <si>
    <t>ID275/80R22.5-16PR-EZ573A ID C</t>
  </si>
  <si>
    <t>285/70R19.5</t>
  </si>
  <si>
    <t>ID285/70R19.5-16PR-CM986 C ID</t>
  </si>
  <si>
    <t>285/75R24.5</t>
  </si>
  <si>
    <t>ID285/75R24.5-Q US C ID</t>
  </si>
  <si>
    <t>W-Elite DL21</t>
  </si>
  <si>
    <t>ID285/75R24.5-14PR-W-Elite DL21 C ID</t>
  </si>
  <si>
    <t>ID285/75R24.5-14PR-DAL C ID</t>
  </si>
  <si>
    <t>ID285/75R24.5-14PR-W-Elite ZA12 C ID</t>
  </si>
  <si>
    <t>ID285/75R24.5-16PR-I-52A C ID</t>
  </si>
  <si>
    <t>ID285/75R24.5-16PR-I-61S C ID</t>
  </si>
  <si>
    <t>ID285/75R24.5-14PR-I-48T C ID</t>
  </si>
  <si>
    <t>ID285/75R24.5-14PR-I-19A C ID</t>
  </si>
  <si>
    <t>ID285/75R24.5-14PR-I-28D C ID</t>
  </si>
  <si>
    <t>ID285/75R24.5-14PR-I-37D C ID</t>
  </si>
  <si>
    <t>ID285/75R24.5-H C ID</t>
  </si>
  <si>
    <t>RLINE-D1</t>
  </si>
  <si>
    <t>ECO-MILE CSD</t>
  </si>
  <si>
    <t>ADL12</t>
  </si>
  <si>
    <t>ID285/75R24.5-I C ID</t>
  </si>
  <si>
    <t>ECO-MILE AP</t>
  </si>
  <si>
    <t>AZA02</t>
  </si>
  <si>
    <t>ID285/75R24.5-16PR-VD998 US ID</t>
  </si>
  <si>
    <t>ID285/75R24.5-14PR-H-RD C ID</t>
  </si>
  <si>
    <t>ID285/75R24.5-14PR-H-TL C ID</t>
  </si>
  <si>
    <t>ID285/75R24.5-14PR-ASL US ID</t>
  </si>
  <si>
    <t>ASL01</t>
  </si>
  <si>
    <t>ID285/75R24.5-14PR-B US ID</t>
  </si>
  <si>
    <t>R-D2</t>
  </si>
  <si>
    <t>ID285/75R24.5-14PR-AS673 US ID</t>
  </si>
  <si>
    <t>ID285/75R24.5-14PR-ADA US ID</t>
  </si>
  <si>
    <t>ADR15</t>
  </si>
  <si>
    <t>ID285/75R24.5-14PR-AD778 US ID</t>
  </si>
  <si>
    <t>ID285/75R24.5-14PR-ADD US ID</t>
  </si>
  <si>
    <t>ADL13</t>
  </si>
  <si>
    <t>ID285/75R24.5-14PR-ASA US ID</t>
  </si>
  <si>
    <t>295/75R22.5</t>
  </si>
  <si>
    <t>ID295/75R22.5-14PR-C US ID</t>
  </si>
  <si>
    <t>ID295/75R22.5-14PR-CR915 eco C ID</t>
  </si>
  <si>
    <t>ID295/75R22.5-14PR-A US C ID</t>
  </si>
  <si>
    <t>ID295/75R22.5-14PR-DL21 US C ID</t>
  </si>
  <si>
    <t>ID295/75R22.5-14PR-Q US C ID</t>
  </si>
  <si>
    <t>AS201</t>
  </si>
  <si>
    <t>PS210</t>
  </si>
  <si>
    <t>ID295/75R22.5-14PR-ZA12 US C ID</t>
  </si>
  <si>
    <t>ID295/75R22.5-14PR-I-28D US C ID</t>
  </si>
  <si>
    <t>ID295/75R22.5-14PR-I-48T US C ID</t>
  </si>
  <si>
    <t>W-Elite DA25</t>
  </si>
  <si>
    <t>ID295/75R22.5-14PR-S US C ID</t>
  </si>
  <si>
    <t>ID295/75R22.5-14PR-AT552 US ID</t>
  </si>
  <si>
    <t>ID295/75R22.5-16PR-CRA US ID</t>
  </si>
  <si>
    <t>ID295/75R22.5-14PR-AZH C ID</t>
  </si>
  <si>
    <t>ID295/75R22.5-14PR-ADH C ID</t>
  </si>
  <si>
    <t>ID295/75R22.5-14PR-R US C ID</t>
  </si>
  <si>
    <t>ID295/75R22.5-16PR-CMD US ID</t>
  </si>
  <si>
    <t>ID295/75R22.5-14PR-AT563 US ID</t>
  </si>
  <si>
    <t>ID295/75R22.5-14PR-VD998 US ID</t>
  </si>
  <si>
    <t>ID295/75R22.5-16PR-R UC C ID</t>
  </si>
  <si>
    <t>ID295/75R22.5-14PR-AS678 C ID</t>
  </si>
  <si>
    <t>ID295/75R22.5-16PR-AF J ID</t>
  </si>
  <si>
    <t>ID295/75R22.5-14PR-AD721 C ID</t>
  </si>
  <si>
    <t>ID295/75R22.5-16PR-ADH 1 J ID</t>
  </si>
  <si>
    <t>TLD-178</t>
  </si>
  <si>
    <t>MX901 CSD</t>
  </si>
  <si>
    <t>ID295/75R22.5-16PR-ADH 2 J ID</t>
  </si>
  <si>
    <t>TRD-184</t>
  </si>
  <si>
    <t>ID295/75R22.5-16PR-ATH J ID</t>
  </si>
  <si>
    <t>KOBE TPM</t>
  </si>
  <si>
    <t>ID295/75R22.5-14PR-AD757 C ID</t>
  </si>
  <si>
    <t>ID295/75R22.5-16PR-AS600 US ID</t>
  </si>
  <si>
    <t>ID295/75R22.5-16PR-AKA J ID</t>
  </si>
  <si>
    <t>ID295/75R22.5-16PR-AKD J ID</t>
  </si>
  <si>
    <t>ID295/75R22.5-14PR-CM983 US ID</t>
  </si>
  <si>
    <t>ID295/75R22.5-14PR-AD737 US ID</t>
  </si>
  <si>
    <t>ID295/75R22.5-14PR-AD778 US ID</t>
  </si>
  <si>
    <t>ID295/75R22.5-14PR-AD759 US ID</t>
  </si>
  <si>
    <t>ID295/75R22.5-16PR-K C ID</t>
  </si>
  <si>
    <t>AS604</t>
  </si>
  <si>
    <t>ECO-MILE HS+</t>
  </si>
  <si>
    <t>M-TRAC HS+</t>
  </si>
  <si>
    <t>ID295/75R22.5-ATP US ID</t>
  </si>
  <si>
    <t>ID295/75R22.5-16PR-A US C ID</t>
  </si>
  <si>
    <t>ID295/75R22.5-16PR-Q US C ID</t>
  </si>
  <si>
    <t>ID295/75R22.5-14PR-I-37D US ID</t>
  </si>
  <si>
    <t>ID295/75R22.5-16PR-DV US ID</t>
  </si>
  <si>
    <t>ID295/75R22.5-14PR-AS673 US ID</t>
  </si>
  <si>
    <t>ID295/75R22.5-16PR-I-52A US ID</t>
  </si>
  <si>
    <t>ID295/75R22.5-16PR-Z US ID</t>
  </si>
  <si>
    <t>AT100</t>
  </si>
  <si>
    <t>ID295/75R22.5-16PR-D US ID</t>
  </si>
  <si>
    <t>PT101</t>
  </si>
  <si>
    <t>ID295/75R22.5-16PR-DD US ID</t>
  </si>
  <si>
    <t>ID295/75R22.5-16PR-I C ID</t>
  </si>
  <si>
    <t>ID295/75R22.5-16PR-C US ID</t>
  </si>
  <si>
    <t>I-460</t>
  </si>
  <si>
    <t>R-T1</t>
  </si>
  <si>
    <t>TP100</t>
  </si>
  <si>
    <t>DT916</t>
  </si>
  <si>
    <t>MHTL</t>
  </si>
  <si>
    <t>LHTZ 100</t>
  </si>
  <si>
    <t>ID295/75R22.5-16PR-H-RA US ID</t>
  </si>
  <si>
    <t>ID295/75R22.5-16PR-F C ID</t>
  </si>
  <si>
    <t>ID295/75R22.5-16PR-VD998 US ID</t>
  </si>
  <si>
    <t>ID295/75R22.5-16PR-G US C ID</t>
  </si>
  <si>
    <t>TRAIL T01</t>
  </si>
  <si>
    <t>ID295/75R22.5-14PR-H-RD US ID</t>
  </si>
  <si>
    <t>ID295/75R22.5-14PR-Z US ID</t>
  </si>
  <si>
    <t>ID295/75R22.5-16PR-AD716+ US ID</t>
  </si>
  <si>
    <t>ID295/75R22.5-14PR H-TL US ID</t>
  </si>
  <si>
    <t>ID295/75R22.5-16PR-J US C ID</t>
  </si>
  <si>
    <t>295/80R22.5</t>
  </si>
  <si>
    <t>AS868pro</t>
  </si>
  <si>
    <t>295/80R22.5-18PR-A C ID</t>
  </si>
  <si>
    <t>AS858pro</t>
  </si>
  <si>
    <t>WSR1</t>
  </si>
  <si>
    <t>ID295/80R22.5-18PR-S C ID</t>
  </si>
  <si>
    <t>BRA06 PRO</t>
  </si>
  <si>
    <t>RF15</t>
  </si>
  <si>
    <t>GSR1</t>
  </si>
  <si>
    <t>ID295/80R22.5-18PR-CM958 C ID</t>
  </si>
  <si>
    <t>295/80R22.5-18PR-ASO SE C ID</t>
  </si>
  <si>
    <t>295/80R22.5-18PR-CRG C ID</t>
  </si>
  <si>
    <t>CM987pro</t>
  </si>
  <si>
    <t>295/80R22.5-18PR-CM987pro C ID</t>
  </si>
  <si>
    <t>AD733</t>
  </si>
  <si>
    <t>295/80R22.5-18PR-AA C ID</t>
  </si>
  <si>
    <t>G-PRO D</t>
  </si>
  <si>
    <t>295/80R22.5-18PR-MDO C ID</t>
  </si>
  <si>
    <t>TRAX D-I</t>
  </si>
  <si>
    <t>295/80R22.5-18PR-EZO C ID</t>
  </si>
  <si>
    <t>NMIX Z-II</t>
  </si>
  <si>
    <t>295/80R22.5-18PR-ADM J ID</t>
  </si>
  <si>
    <t>295/80R22.5-18PR-CBM C ID</t>
  </si>
  <si>
    <t>G-PERFORM O</t>
  </si>
  <si>
    <t>BLOCK D-I</t>
  </si>
  <si>
    <t>295/80R22.5-18PR-CRO C ID</t>
  </si>
  <si>
    <t>CM335</t>
  </si>
  <si>
    <t>295/80R22.5-18PR-AM C ID</t>
  </si>
  <si>
    <t>WSA2</t>
  </si>
  <si>
    <t>295/80R22.5-18PR-WSA2 C ID</t>
  </si>
  <si>
    <t>WDA2</t>
  </si>
  <si>
    <t>295/80R22.5-18PR-WDA2 C ID</t>
  </si>
  <si>
    <t>295/80R22.5-18PR-CRB C ID</t>
  </si>
  <si>
    <t>BMA07 ECO</t>
  </si>
  <si>
    <t>NMIX Z-I</t>
  </si>
  <si>
    <t>AS567</t>
  </si>
  <si>
    <t>ID295/80R22.5-18PR-AS567 C ID</t>
  </si>
  <si>
    <t>AS668</t>
  </si>
  <si>
    <t>ID295/80R22.5-18PR-AS668 C ID</t>
  </si>
  <si>
    <t>ID295/80R22.5-18PR-AS589 C ID</t>
  </si>
  <si>
    <t>ID295/80R22.5-18PR-Z J ID</t>
  </si>
  <si>
    <t>AT186</t>
  </si>
  <si>
    <t>TUCSON A</t>
  </si>
  <si>
    <t>BRA07 ECO</t>
  </si>
  <si>
    <t>ECOLINE A-I</t>
  </si>
  <si>
    <t>AD156A</t>
  </si>
  <si>
    <t>ID295/80R22.5-18PR-ADN J ID</t>
  </si>
  <si>
    <t>TUCSON D</t>
  </si>
  <si>
    <t>ECOTRAX D-I</t>
  </si>
  <si>
    <t>WDR1</t>
  </si>
  <si>
    <t>ID295/80R22.5-18PR-WD C ID</t>
  </si>
  <si>
    <t>BRD06 PRO</t>
  </si>
  <si>
    <t>RF45</t>
  </si>
  <si>
    <t>GDR1</t>
  </si>
  <si>
    <t>AD733pro</t>
  </si>
  <si>
    <t>ID295/80R22.5-18PR-AD733pro C ID</t>
  </si>
  <si>
    <t>ID295/80R22.5-18PR-J J ID</t>
  </si>
  <si>
    <t>BRA02 ECO</t>
  </si>
  <si>
    <t>CM997</t>
  </si>
  <si>
    <t>ID295/80R22.5-18PR-CM997 C ID</t>
  </si>
  <si>
    <t>EZ177</t>
  </si>
  <si>
    <t>ID295/80R22.5-18PR-EZ177 J ID</t>
  </si>
  <si>
    <t>ID295/80R22.5-18PR-R C ID</t>
  </si>
  <si>
    <t>RF35</t>
  </si>
  <si>
    <t>ID295/80R22.5-18PR-CB919 C ID</t>
  </si>
  <si>
    <t>ID295/80R22.5-18PR-D J ID</t>
  </si>
  <si>
    <t>BMA02 ECO</t>
  </si>
  <si>
    <t>AT167T</t>
  </si>
  <si>
    <t>ID295/80R22.5-18PR-AT167T J ID</t>
  </si>
  <si>
    <t>ID295/80R22.5-18PR-AZ126T J ID</t>
  </si>
  <si>
    <t>ECOPLUS</t>
  </si>
  <si>
    <t>ID295/80R22.5-18PR-ECOPLUS PR ID</t>
  </si>
  <si>
    <t>AD150</t>
  </si>
  <si>
    <t>ID295/80R22.5-18PR-AD150 J ID</t>
  </si>
  <si>
    <t>ID295/80R22.5-18PR-ASO C ID</t>
  </si>
  <si>
    <t>G-PRO S</t>
  </si>
  <si>
    <t>NEOLINE A-I</t>
  </si>
  <si>
    <t>AD818pro</t>
  </si>
  <si>
    <t>ID295/80R22.5-18PR-AD818pro C ID</t>
  </si>
  <si>
    <t>ID295/80R22.5-18PR-AT194 J ID</t>
  </si>
  <si>
    <t>AZ170A</t>
  </si>
  <si>
    <t>ID295/80R22.5-18PR-AZ170A J ID</t>
  </si>
  <si>
    <t>ID295/80R22.5-18PR-H-RA US C ID</t>
  </si>
  <si>
    <t>AZ137</t>
  </si>
  <si>
    <t>ID295/80R22.5-18PR-AZ137 J ID</t>
  </si>
  <si>
    <t>AT161</t>
  </si>
  <si>
    <t>295/80R22.5-18PR-B J ID</t>
  </si>
  <si>
    <t>315/80R22.5</t>
  </si>
  <si>
    <t>AD710A</t>
  </si>
  <si>
    <t>ID315/80R22.5-20PR-AD710A C ID</t>
  </si>
  <si>
    <t>ID315/80R22.5-20PR-AS668 C ID</t>
  </si>
  <si>
    <t>ID315/80R22.5-20PR-AS578 C ID</t>
  </si>
  <si>
    <t>ID315/80R22.5-20PR-CM958 C ID</t>
  </si>
  <si>
    <t>CM913A</t>
  </si>
  <si>
    <t>ID315/80R22.5-20PR-CM913A C ID</t>
  </si>
  <si>
    <t>CM923</t>
  </si>
  <si>
    <t>ID315/80R22.5-20PR-CM923 C ID</t>
  </si>
  <si>
    <t>CR926B</t>
  </si>
  <si>
    <t>ID315/80R22.5-20PR-CR926B C ID</t>
  </si>
  <si>
    <t>ID315/80R22.5-20PR-W-Elite ZM41 C ID</t>
  </si>
  <si>
    <t>ID315/80R22.5-20PR-WHA C ID</t>
  </si>
  <si>
    <t>HA3 Plus</t>
  </si>
  <si>
    <t>ID315/80R22.5-20PR-AZ692 C ID</t>
  </si>
  <si>
    <t>ID315/80R22.5-20PR-VDM924 C ID</t>
  </si>
  <si>
    <t>ID315/80R22.5-20PR-KK C ID</t>
  </si>
  <si>
    <t>ID315/80R22.5-20PR-AZH J ID</t>
  </si>
  <si>
    <t>11R22.5-14PR-Strong Guard H-TL</t>
  </si>
  <si>
    <t>11R22.5-16PR-Strong Guard H-RD</t>
  </si>
  <si>
    <t>AZ170</t>
  </si>
  <si>
    <t>ID315/80R22.5-18PR-AZ170 J ID</t>
  </si>
  <si>
    <t>11R22.5-16PR-Strong Guard H-RA</t>
  </si>
  <si>
    <t>ID315/80R22.5-20PR-AZ579 C ID</t>
  </si>
  <si>
    <t>11R22.5-16PR-Strong Guard H-MD</t>
  </si>
  <si>
    <t>ID315/80R22.5-20PR-VA996 C ID</t>
  </si>
  <si>
    <t>11R24.5-14PR-Strong Guard H-TL</t>
  </si>
  <si>
    <t>ID315/80R22.5-20PR-I-52A C ID</t>
  </si>
  <si>
    <t>11R24.5-16PR-Strong Guard H-MD</t>
  </si>
  <si>
    <t>ID315/80R22.5-20PR-I-31M C ID</t>
  </si>
  <si>
    <t>11R24.5-16PR-Strong Guard H-RD</t>
  </si>
  <si>
    <t>ID315/80R22.5-20PR-HRD US ID</t>
  </si>
  <si>
    <t>285/75R24.5-14PR-Strong Guard H-TL</t>
  </si>
  <si>
    <t>12R22.5-18PR-Strong Guard H-MD</t>
  </si>
  <si>
    <t>325/95R24</t>
  </si>
  <si>
    <t>325/95R24-22PR-BA C ID</t>
  </si>
  <si>
    <t>215/75R17.5-16PR-Strong Guard H-RA</t>
  </si>
  <si>
    <t>235/75R17.5-18PR-Strong Guard H-RA</t>
  </si>
  <si>
    <t>AZ272</t>
  </si>
  <si>
    <t>325/95R24-22PR-AZ272 C ID</t>
  </si>
  <si>
    <t>245/70R19.5-14PR-Strong Guard H-RA</t>
  </si>
  <si>
    <t>AZ691</t>
  </si>
  <si>
    <t>325/95R24-22PR-AZ691 C ID</t>
  </si>
  <si>
    <t>255/70R22.5-16PR-Strong Guard H-RA</t>
  </si>
  <si>
    <t>AZ828</t>
  </si>
  <si>
    <t>325/95R24-22PR-AZ828 C ID</t>
  </si>
  <si>
    <t>275/70R22.5-16PR-Strong Guard H-RA</t>
  </si>
  <si>
    <t>325/95R24-22PR-CB332 C ID</t>
  </si>
  <si>
    <t>315/80R22.5-20PR-Strong Guard H-RD</t>
  </si>
  <si>
    <t>325/95R24-22PR-CB972 C ID</t>
  </si>
  <si>
    <t>385/65R22.5-20PR-Strong Guard H-MW</t>
  </si>
  <si>
    <t>CM912A</t>
  </si>
  <si>
    <t>325/95R24-22PR-CM912A C ID</t>
  </si>
  <si>
    <t>425/65R22.5-20PR-Strong Guard H-MW</t>
  </si>
  <si>
    <t>325/95R24-22PR-CM913A C ID</t>
  </si>
  <si>
    <t>445/65R22.5-20PR-Strong Guard H-MW</t>
  </si>
  <si>
    <t>325/95R24-22PR-EZ336 C ID</t>
  </si>
  <si>
    <t>315/80R22.5-20PR-HCC1 PlusX</t>
  </si>
  <si>
    <t>MD752</t>
  </si>
  <si>
    <t>325/95R24-22PR-MD752 C ID</t>
  </si>
  <si>
    <t>12R22.5-20PR-AZ850M</t>
  </si>
  <si>
    <t>325/95R24-22PR-EA W C</t>
  </si>
  <si>
    <t>215/75R17.5-16PR-AP-7318</t>
  </si>
  <si>
    <t>EZ509</t>
  </si>
  <si>
    <t>325/95R24-22PR-EZ509 W C</t>
  </si>
  <si>
    <t>235/75R17.5-18PR-AP-7318</t>
  </si>
  <si>
    <t>245/70R17.5-18PR-AP-7318</t>
  </si>
  <si>
    <t>385/55R22.5</t>
  </si>
  <si>
    <t>AT502</t>
  </si>
  <si>
    <t>ID385/55R22.5-20PR-D EU ID</t>
  </si>
  <si>
    <t>245/70R19.5-16PR-AP-7318</t>
  </si>
  <si>
    <t>MultiAp T1</t>
  </si>
  <si>
    <t>245/70R19.5-16PR-DR-7318</t>
  </si>
  <si>
    <t>Novo Trans T47</t>
  </si>
  <si>
    <t>225/70R19.5-14PR-AP-7318</t>
  </si>
  <si>
    <t>ID385/55R22.5-20PR-C EU ID</t>
  </si>
  <si>
    <t>225/70R19.5-14PR-DR-7318</t>
  </si>
  <si>
    <t>225/70R19.5-14PR-Strong Guard H-RA</t>
  </si>
  <si>
    <t>385/65R22.5</t>
  </si>
  <si>
    <t>ZM42</t>
  </si>
  <si>
    <t>ID385/65R22.5-20PR-ZAV C ID</t>
  </si>
  <si>
    <t>295/80R22.5-18PR-Strong Guard H-RA</t>
  </si>
  <si>
    <t>VA916</t>
  </si>
  <si>
    <t>12.00R24-☆☆PR-XC809</t>
  </si>
  <si>
    <t>AZ577</t>
  </si>
  <si>
    <t>12.00R20-☆☆PR-XC809</t>
  </si>
  <si>
    <t>ID385/65R22.5-20PR-AT557 C ID</t>
  </si>
  <si>
    <t>275/80R22.5-16PR-ECOLINE A-II</t>
  </si>
  <si>
    <t>AT532</t>
  </si>
  <si>
    <t>ID385/65R22.5-20PR-AT532 C ID</t>
  </si>
  <si>
    <t>275/80R22.5-16PR-ECOTRAX D-I</t>
  </si>
  <si>
    <t>ID385/65R22.5-20PR-WSR1 C ID</t>
  </si>
  <si>
    <t>295/75R22.5-14PR-Strong Guard H-RD</t>
  </si>
  <si>
    <t>I-42W</t>
  </si>
  <si>
    <t>ID385/65R22.5-20PR-I-42W C ID</t>
  </si>
  <si>
    <t>295/75R22.5-14PR-Strong Guard H-TL</t>
  </si>
  <si>
    <t>H-MW</t>
  </si>
  <si>
    <t>ID385/65R22.5-20PR-H-MW C ID</t>
  </si>
  <si>
    <t>ID385/65R22.5-20PR-A C ID</t>
  </si>
  <si>
    <t>HA4 Plus</t>
  </si>
  <si>
    <t>WTR1</t>
  </si>
  <si>
    <t>ID385/65R22.5-24PR-WTR1 C ID</t>
  </si>
  <si>
    <t>425/65R22.5</t>
  </si>
  <si>
    <t>W-Elite ZM42</t>
  </si>
  <si>
    <t>425/65R22.5-20PR-ZMA C ID</t>
  </si>
  <si>
    <t>TMA-134</t>
  </si>
  <si>
    <t>ID425/65R22.5-20PR-ATM C ID</t>
  </si>
  <si>
    <t>ID425/65R22.5-20PR-H-MW C ID</t>
  </si>
  <si>
    <t>ID425/65R22.5-20PR-A C ID</t>
  </si>
  <si>
    <t>445/50R22.5</t>
  </si>
  <si>
    <t>AD781</t>
  </si>
  <si>
    <t>ID445/50R22.5-20PR-DA C ID</t>
  </si>
  <si>
    <t>HD4 Plus</t>
  </si>
  <si>
    <t>AD755</t>
  </si>
  <si>
    <t>RLINE-WD1</t>
  </si>
  <si>
    <t>TL32</t>
  </si>
  <si>
    <t>ID445/50R22.5-20PR-TA C ID</t>
  </si>
  <si>
    <t>AT566</t>
  </si>
  <si>
    <t>VA905</t>
  </si>
  <si>
    <t>HT2 Plus</t>
  </si>
  <si>
    <t>AT570</t>
  </si>
  <si>
    <t>RLINE WA1</t>
  </si>
  <si>
    <t>M-TRAC WBT</t>
  </si>
  <si>
    <t>ATL21</t>
  </si>
  <si>
    <t>445/65R22.5</t>
  </si>
  <si>
    <t>ID445/65R22.5-20PR-ZMA C ID</t>
  </si>
  <si>
    <t>ID445/65R22.5-20PR-H-MW C ID</t>
  </si>
  <si>
    <t>445/65R22.5-20PR-A C ID</t>
  </si>
  <si>
    <t>IDST225/75R15-14PR-CR960A ID EA823</t>
  </si>
  <si>
    <t>IDST235/80R16-16PR-CR960A ID EA823</t>
  </si>
  <si>
    <t>IDST235/85R16-16PR-CRT ID EA823</t>
  </si>
  <si>
    <t>RT809</t>
  </si>
  <si>
    <t>41x13R20</t>
  </si>
  <si>
    <t>AR97</t>
  </si>
  <si>
    <t>41x13R20-22PR-AR97</t>
  </si>
  <si>
    <t>7.50R16-14PR-FOLO.R109</t>
  </si>
  <si>
    <t>385/65R22.5-20PR-M-TRAC MSF</t>
  </si>
  <si>
    <t>425/65R22.5-20PR-M-TRAC MSF</t>
  </si>
  <si>
    <t>315/80R22.5-20PR-M-TRAC MS</t>
  </si>
  <si>
    <t>11R22.5-14PR-M-TRAC TR</t>
  </si>
  <si>
    <t>11R22.5-16PR-M-TRAC MS</t>
  </si>
  <si>
    <t>11R22.5-16PR-M-TRAC OSD</t>
  </si>
  <si>
    <t>11R22.5-16PR-ECO-MILE CSD</t>
  </si>
  <si>
    <t>11R22.5-16PR-M-TRAC MST</t>
  </si>
  <si>
    <t>11R24.5-16PR-M-TRAC AP</t>
  </si>
  <si>
    <t>11R24.5-16PR-M-TRAC CSD</t>
  </si>
  <si>
    <t>11R24.5-16PR-M-TRAC MS</t>
  </si>
  <si>
    <t>11R24.5-16PR-M-TRAC MST</t>
  </si>
  <si>
    <t>11R24.5-16PR-M-TRAC OSD</t>
  </si>
  <si>
    <t>225/70R19.5-14PR-ECO-MILE AP</t>
  </si>
  <si>
    <t>225/70R19.5-14PR-ECO-MILE HTD</t>
  </si>
  <si>
    <t>235/75R17.5-18PR-M-TRAC AP</t>
  </si>
  <si>
    <t>245/70R19.5-16PR-ECO-MILE AP</t>
  </si>
  <si>
    <t>245/70R19.5-16PR-ECO-MILE HTD</t>
  </si>
  <si>
    <t>245/70R19.5-16PR-M-TRAC AP</t>
  </si>
  <si>
    <t>245/70R19.5-16PR-M-TRAC HTD</t>
  </si>
  <si>
    <t>245/75R22.5-14PR-Strong Guard H-RA</t>
  </si>
  <si>
    <t>255/70R22.5-16PR-ECO-MILE AP</t>
  </si>
  <si>
    <t>275/70R22.5-16PR-M-TRAC AP</t>
  </si>
  <si>
    <t>295/75R22.5-14PR-M-TRAC CSD</t>
  </si>
  <si>
    <t>295/75R22.5-14PR-M-TRAC OSD</t>
  </si>
  <si>
    <t>295/75R22.5-14PR-M-TRAC TR</t>
  </si>
  <si>
    <t>295/75R22.5-16PR-AT563</t>
  </si>
  <si>
    <t>295/75R22.5-16PR-ECO-MILE CSD</t>
  </si>
  <si>
    <t>295/75R22.5-16PR-M-TRAC CSD</t>
  </si>
  <si>
    <t>295/75R22.5-16PR-Strong Guard H-RA</t>
  </si>
  <si>
    <t>11R22.5-16PR-M-TRAC CSD+</t>
  </si>
  <si>
    <t>11R22.5-16PR-M-TRAC HS+</t>
  </si>
  <si>
    <t>11R22.5-18PR-YTB-50</t>
  </si>
  <si>
    <t>295/75R22.5-14PR-AS600</t>
  </si>
  <si>
    <t>295/75R22.5-16PR-M-TRAC CSD+</t>
  </si>
  <si>
    <t>295/75R22.5-16PR-RLINE-TⅡ</t>
  </si>
  <si>
    <t>10.00R20-18PR-MT200</t>
  </si>
  <si>
    <t>11.00R20-18PR-MT200</t>
  </si>
  <si>
    <t>12.00R24-☆☆PR-XC819</t>
  </si>
  <si>
    <t>12.00R20-☆☆-XC809</t>
  </si>
  <si>
    <t>12.00R24-☆☆-XC819</t>
  </si>
  <si>
    <t>12.00R20-22PR-TRD-79</t>
  </si>
  <si>
    <t>12.00R24-20PR-TRD-79</t>
  </si>
  <si>
    <t>规格-花纹</t>
  </si>
  <si>
    <t>min</t>
  </si>
  <si>
    <t>单机产量</t>
  </si>
  <si>
    <t>12.00R24-20PR-CB972E</t>
  </si>
  <si>
    <t>7.50R16-14PR-AZ676</t>
  </si>
  <si>
    <t>7.50R16-14PR-CB972</t>
  </si>
  <si>
    <t>6.50R16-AZ686</t>
  </si>
  <si>
    <t>7.50R16-14PR-CR926</t>
  </si>
  <si>
    <t>7.00R16-AZ686</t>
  </si>
  <si>
    <t>7.50R16-14PR-CB981</t>
  </si>
  <si>
    <t>7.50R16-14PR-AZ686</t>
  </si>
  <si>
    <t>7.50R16-AZ601</t>
  </si>
  <si>
    <t>7.50R16-14PR-AZ601</t>
  </si>
  <si>
    <t>7.50R16-14PR-AZ697</t>
  </si>
  <si>
    <t>7.50R16-CM988</t>
  </si>
  <si>
    <t>7.50R16-14PR-CM988</t>
  </si>
  <si>
    <t>7.50R16-14PR-AZ850S</t>
  </si>
  <si>
    <t>7.50R16-EZ369</t>
  </si>
  <si>
    <t>7.50R16-CB981</t>
  </si>
  <si>
    <t>7.50R16-14PR-CM913</t>
  </si>
  <si>
    <t>7.50R16-CR926</t>
  </si>
  <si>
    <t>7.50R16-14PR-EZ369</t>
  </si>
  <si>
    <t>7.50R16-AZ676</t>
  </si>
  <si>
    <t>12.00R24-20PR-CB919</t>
  </si>
  <si>
    <t>8.25R16-AZ850</t>
  </si>
  <si>
    <t>10.00R20-18PR-CB972</t>
  </si>
  <si>
    <t>8.25R16-AZ686</t>
  </si>
  <si>
    <t>10.00R20-18PR-CM913</t>
  </si>
  <si>
    <t>8.25R16-CM988</t>
  </si>
  <si>
    <t>7.50R16-14PR-EZ377</t>
  </si>
  <si>
    <t>295/80R22.5-18PR-AD153</t>
  </si>
  <si>
    <t>10.00R20-AZ601</t>
  </si>
  <si>
    <t>7.50R16-14PR-SUPER AM S</t>
  </si>
  <si>
    <t>295/80R22.5-18PR-CM335</t>
  </si>
  <si>
    <t>10.00R20-AZ686</t>
  </si>
  <si>
    <t>7.50R16-14PR-MOBY.R856X</t>
  </si>
  <si>
    <t>10.00R20-18PR-EZ330</t>
  </si>
  <si>
    <t>10.00R20-AZ697</t>
  </si>
  <si>
    <t>7.50R16-14PR-ETOD</t>
  </si>
  <si>
    <t>10.00R20-18PR-AZ850</t>
  </si>
  <si>
    <t>10.00R20-AZ676</t>
  </si>
  <si>
    <t>7.50R16-14PR-AM4S.Q669</t>
  </si>
  <si>
    <t>10.00R20-18PR-CR926</t>
  </si>
  <si>
    <t>10.00R20-EZ369</t>
  </si>
  <si>
    <t>8.25R16-14PR-CR926</t>
  </si>
  <si>
    <t>11R22.5-16PR-AS858</t>
  </si>
  <si>
    <t>10.00R20-MD758</t>
  </si>
  <si>
    <t>11R22.5-16PR-AS868</t>
  </si>
  <si>
    <t>10.00R20-CB981</t>
  </si>
  <si>
    <t>10.00R20-18PR-AZ676</t>
  </si>
  <si>
    <t>295/80R22.5-18PR-CR976A</t>
  </si>
  <si>
    <t>10.00R20-CM958</t>
  </si>
  <si>
    <t>10.00R20-16PR/18PR-SUPER AM S</t>
  </si>
  <si>
    <t>10.00R20-18PR-MD758</t>
  </si>
  <si>
    <t>10.00R20-CM988</t>
  </si>
  <si>
    <t>10.00R20-16PR/18PR-MOBY.R856X</t>
  </si>
  <si>
    <t>10.00R20-18PR-EZ369</t>
  </si>
  <si>
    <t>10.00R20-CM998</t>
  </si>
  <si>
    <t>10.00R20-16PR/18PR-AZ850</t>
  </si>
  <si>
    <t>11.00R20-18PR-AZ850</t>
  </si>
  <si>
    <t>10.00R20-EZ330</t>
  </si>
  <si>
    <t>10.00R20-18PR-CM958</t>
  </si>
  <si>
    <t>295/80R22.5-18PR-CR926D</t>
  </si>
  <si>
    <t>10.00R20-CB332</t>
  </si>
  <si>
    <t>10.00R20-18PR-AZ686</t>
  </si>
  <si>
    <t>11.00R20-18PR-CB332A</t>
  </si>
  <si>
    <t>10.00R20-CB905</t>
  </si>
  <si>
    <t>10.00R20-18PR-AZ601</t>
  </si>
  <si>
    <t>11R22.5-14PR-CR915</t>
  </si>
  <si>
    <t>10.00R20-EZ835</t>
  </si>
  <si>
    <t>10.00R20-18PR-AZ697</t>
  </si>
  <si>
    <t>295/80R22.5-18PR-AD733</t>
  </si>
  <si>
    <t>10.00R20-AZ183</t>
  </si>
  <si>
    <t>10.00R20-18PR-CB981</t>
  </si>
  <si>
    <t>295/80R22.5-18PR-MD777</t>
  </si>
  <si>
    <t>10.00R20-EZ175</t>
  </si>
  <si>
    <t>11.00R20-18PR-CB972</t>
  </si>
  <si>
    <t>10.00R20-EZ865</t>
  </si>
  <si>
    <t>12.00R20-18PR-CB972</t>
  </si>
  <si>
    <t>11.00R20-AZ183</t>
  </si>
  <si>
    <t>11.00R20-EZ033</t>
  </si>
  <si>
    <t>10.00R20-18PR-CM988</t>
  </si>
  <si>
    <t>11.00R20-EZ175</t>
  </si>
  <si>
    <t>11.00R20-EZ865</t>
  </si>
  <si>
    <t>10.00R20-18PR-CB905</t>
  </si>
  <si>
    <t>12.00R20-18PR-EZ345</t>
  </si>
  <si>
    <t>11.00R20-CR926+</t>
  </si>
  <si>
    <t>12.00R20-18PR-EZ336</t>
  </si>
  <si>
    <t>11.00R20-AZ676</t>
  </si>
  <si>
    <t>10.00R20-18PR-CB332</t>
  </si>
  <si>
    <t>295/80R22.5-18PR-WDA2</t>
  </si>
  <si>
    <t>11.00R20-EZ369</t>
  </si>
  <si>
    <t>10.00R20-18PR-EZ835</t>
  </si>
  <si>
    <t>295/75R22.5-14PR-CR915</t>
  </si>
  <si>
    <t>11.00R20-AZ850</t>
  </si>
  <si>
    <t>10.00R20-16PR-TKAL III</t>
  </si>
  <si>
    <t>295/80R22.5-18PR-AS898</t>
  </si>
  <si>
    <t>11.00R20-CM988</t>
  </si>
  <si>
    <t>10.00R20-16PR-FOLO.R109</t>
  </si>
  <si>
    <t>295/80R22.5-18PR-WSA2</t>
  </si>
  <si>
    <t>11.00R20-CM998</t>
  </si>
  <si>
    <t>325/95R24-22PR-EZ336</t>
  </si>
  <si>
    <t>11.00R20-CB332A</t>
  </si>
  <si>
    <t>11.00R20-18PR-AS578</t>
  </si>
  <si>
    <t>325/95R24-22PR-CB919</t>
  </si>
  <si>
    <t>11.00R20-CB905A</t>
  </si>
  <si>
    <t>11.00R20-18PR-AS678</t>
  </si>
  <si>
    <t>11.00R20-CB972</t>
  </si>
  <si>
    <t>11.00R20-18PR-CR926+</t>
  </si>
  <si>
    <t>325/95R24-22PR-CB972</t>
  </si>
  <si>
    <t>11.00R20-EZ330A</t>
  </si>
  <si>
    <t>295/75R22.5-14PR-AT552</t>
  </si>
  <si>
    <t>11.00R20-EZ336</t>
  </si>
  <si>
    <t>11.00R20-18PR-CB905A</t>
  </si>
  <si>
    <t>11R22.5-14PR-AT552</t>
  </si>
  <si>
    <t>11.00R20-AS578</t>
  </si>
  <si>
    <t>11.00R20-18PR-CB330A</t>
  </si>
  <si>
    <t>11.00R20-AS678</t>
  </si>
  <si>
    <t>325/95R24-22PR-CB332</t>
  </si>
  <si>
    <t>11.00R20-EZ867</t>
  </si>
  <si>
    <t>11.00R20-18PR-EZ369</t>
  </si>
  <si>
    <t>11.00R20-EZ870</t>
  </si>
  <si>
    <t>11R22.5-16PR-CR906Ⅱ</t>
  </si>
  <si>
    <t>295/80R22.5-18PR-AS868pro</t>
  </si>
  <si>
    <t>12.00R20-CB332</t>
  </si>
  <si>
    <t>295/80R22.5-18PR-AS858pro</t>
  </si>
  <si>
    <t>12.00R20-CB919</t>
  </si>
  <si>
    <t>295/80R22.5-18PR-CM987pro</t>
  </si>
  <si>
    <t>12.00R20-EZ310</t>
  </si>
  <si>
    <t>12.00R20-18PR-CB919</t>
  </si>
  <si>
    <t>12.00R20-EZ336</t>
  </si>
  <si>
    <t>11R22.5-16PR-AZ850</t>
  </si>
  <si>
    <t>12.00R20-18PR-CB332</t>
  </si>
  <si>
    <t>12.00R20-EZ345</t>
  </si>
  <si>
    <t>11R22.5-16PR-DA25</t>
  </si>
  <si>
    <t>11R22.5-14PR-AT563</t>
  </si>
  <si>
    <t>12.00R20-EZ535</t>
  </si>
  <si>
    <t>11R22.5-16PR-SL11</t>
  </si>
  <si>
    <t>11.00R20-18PR-EZ330A</t>
  </si>
  <si>
    <t>12.00R20-EZ309</t>
  </si>
  <si>
    <t>11R22.5-16PR-DL21</t>
  </si>
  <si>
    <t>295/80R22.5-18PR-AT161</t>
  </si>
  <si>
    <t>12.00R20-AZ850</t>
  </si>
  <si>
    <t>11R22.5-16PR-DL22</t>
  </si>
  <si>
    <t>295/80R22.5-18PR-AD818</t>
  </si>
  <si>
    <t>12.00R20-EZ865</t>
  </si>
  <si>
    <t>11R22.5-16PR-DA23</t>
  </si>
  <si>
    <t>295/80R22.5-18PR-AT186</t>
  </si>
  <si>
    <t>12.00R20-EZ867</t>
  </si>
  <si>
    <t>11R22.5-14PR-TL31</t>
  </si>
  <si>
    <t>295/80R22.5-18PR-AT196</t>
  </si>
  <si>
    <t>12.00R20-CB905</t>
  </si>
  <si>
    <t>11R22.5-16PR-ZA12</t>
  </si>
  <si>
    <t>295/75R22.5-14PR-AT563</t>
  </si>
  <si>
    <t>12.00R20-CB972新</t>
  </si>
  <si>
    <t>11R22.5-16PR-ZM41</t>
  </si>
  <si>
    <t>12.00R24-CB972</t>
  </si>
  <si>
    <t>11R22.5-14PR-CR915 eco</t>
  </si>
  <si>
    <t>12.00R24-CB972E</t>
  </si>
  <si>
    <t>11R22.5-16PR-AD716</t>
  </si>
  <si>
    <t>12.00R24-EZ336</t>
  </si>
  <si>
    <t>12.00R24-20PR-CB972</t>
  </si>
  <si>
    <t>295/80R22.5-WSR1</t>
  </si>
  <si>
    <t>12.00R24-20PR-EZ336</t>
  </si>
  <si>
    <t>295/80R22.5-CM958</t>
  </si>
  <si>
    <t>11R22.5-16PR-CM958</t>
  </si>
  <si>
    <t>11R22.5-CM958</t>
  </si>
  <si>
    <t>11R22.5-16PR-I-19A</t>
  </si>
  <si>
    <t>11R22.5-CR915</t>
  </si>
  <si>
    <t>11R22.5-16PR-CM980</t>
  </si>
  <si>
    <t>11R22.5-AD716</t>
  </si>
  <si>
    <t>11R22.5-AT552</t>
  </si>
  <si>
    <t>11R22.5-CM983</t>
  </si>
  <si>
    <t>10.00-20-18PR-L9057</t>
  </si>
  <si>
    <t>11R22.5-AD757</t>
  </si>
  <si>
    <t>12.00R20-18PR-EZ310</t>
  </si>
  <si>
    <t>10.00-20-18PR-AB316</t>
  </si>
  <si>
    <t>11R22.5-AS678</t>
  </si>
  <si>
    <t>12.00R20-18PR-EZ535</t>
  </si>
  <si>
    <t>295/80R22.5-18PR-RF35</t>
  </si>
  <si>
    <t>11R22.5-AT598</t>
  </si>
  <si>
    <t>295/80R22.5-18PR-ECOPLUS</t>
  </si>
  <si>
    <t>11R22.5-AD759</t>
  </si>
  <si>
    <t>295/80R22.5-18PR-CM997</t>
  </si>
  <si>
    <t>11R22.5-AZ599</t>
  </si>
  <si>
    <t>11R22.5-AT563</t>
  </si>
  <si>
    <t>单条中策价</t>
  </si>
  <si>
    <t>12R22.5-AS898H</t>
  </si>
  <si>
    <t>12R22.5-AZ850M</t>
  </si>
  <si>
    <t>12.00R24-20PR-ETOT</t>
  </si>
  <si>
    <t>7.50-16-14PR-R8038</t>
  </si>
  <si>
    <t>295/75R22.5-AT552</t>
  </si>
  <si>
    <t>12.00R24-20PR-CB332</t>
  </si>
  <si>
    <t>7.50-16-14PR-M8086</t>
  </si>
  <si>
    <t>295/75R22.5-CR915</t>
  </si>
  <si>
    <t>7.50-16-14PR-M8087</t>
  </si>
  <si>
    <t>295/75R22.5-AZ599</t>
  </si>
  <si>
    <t>295/75R22.5-AD716</t>
  </si>
  <si>
    <t>295/75R22.5-AT563</t>
  </si>
  <si>
    <t>295/80R22.5-18PR-WSR1</t>
  </si>
  <si>
    <t>10.00-20-18PR-M9096</t>
  </si>
  <si>
    <t>295/75R22.5-AS600</t>
  </si>
  <si>
    <t>295/80R22.5-18PR-CM958</t>
  </si>
  <si>
    <t>10.00-20-18PR-M9097</t>
  </si>
  <si>
    <t>295/75R22.5-CM983</t>
  </si>
  <si>
    <t>10.00-20-18PR-CR952</t>
  </si>
  <si>
    <t>295/75R22.5-AS678</t>
  </si>
  <si>
    <t>10.00-20-16PR-R9037</t>
  </si>
  <si>
    <t>295/75R22.5-AD737</t>
  </si>
  <si>
    <t>10.00-20-18PR-CL956</t>
  </si>
  <si>
    <t>295/75R22.5-AD778</t>
  </si>
  <si>
    <t>10.00-20-16PR-M9097</t>
  </si>
  <si>
    <t>295/75R22.5-AD759</t>
  </si>
  <si>
    <t>7.50R16-14PR-TZ202</t>
  </si>
  <si>
    <t>295/75R22.5-AS600+</t>
  </si>
  <si>
    <t>ST205/75D15-6PR-ST600</t>
  </si>
  <si>
    <t>295/80R22.5-AS898</t>
  </si>
  <si>
    <t>295/80R22.5-18PR-EZ573</t>
  </si>
  <si>
    <t>ST225/75D15-8PR-ST600</t>
  </si>
  <si>
    <t>295/80R22.5-EZ573</t>
  </si>
  <si>
    <t>ST175/80D13-6PR-ST600</t>
  </si>
  <si>
    <t>295/80R22.5-CR976A</t>
  </si>
  <si>
    <t>295/80R22.5-18PR-CB972</t>
  </si>
  <si>
    <t>295/80R22.5-18PR-WDR1</t>
  </si>
  <si>
    <t>295/80R22.5-AD153</t>
  </si>
  <si>
    <t>295/80R22.5-18PR-CR906</t>
  </si>
  <si>
    <t>23.5-25-20PR-EL36</t>
  </si>
  <si>
    <t>295/80R22.5-MD777</t>
  </si>
  <si>
    <t>23.5-25-24PR-EL36A</t>
  </si>
  <si>
    <t>295/80R22.5-CB972</t>
  </si>
  <si>
    <t>23.5-25-24PR-CL728</t>
  </si>
  <si>
    <t>295/80R22.5-CR906</t>
  </si>
  <si>
    <t>23.5-25-16PR-EL36</t>
  </si>
  <si>
    <t>295/80R22.5-CM335</t>
  </si>
  <si>
    <t>295/80R22.5-AD733</t>
  </si>
  <si>
    <t>25 X 10-12-6PR-WL6A</t>
  </si>
  <si>
    <t>295/80R22.5-AT161</t>
  </si>
  <si>
    <t>25 X 10-12-6PR-AT12</t>
  </si>
  <si>
    <t>295/80R22.5-WSA2</t>
  </si>
  <si>
    <t>25 X 8-12-6PR-WL6A</t>
  </si>
  <si>
    <t>295/80R22.5-WDA2</t>
  </si>
  <si>
    <t>325/95R24-22PR-AZ691</t>
  </si>
  <si>
    <t>25 X 8-12-6PR-AT12</t>
  </si>
  <si>
    <t>295/80R22.5-CR926D</t>
  </si>
  <si>
    <t>325/95R24-22PR-CB972E</t>
  </si>
  <si>
    <t>295/80R22.5-CM987 pro</t>
  </si>
  <si>
    <t>325/95R24-22PR-AZ828</t>
  </si>
  <si>
    <t>275/80R22.5-CR976A</t>
  </si>
  <si>
    <t>325/95R24-22PR-MD752</t>
  </si>
  <si>
    <t>275/80R22.5-EZ573</t>
  </si>
  <si>
    <t>325/95R24-22PR-CM912A</t>
  </si>
  <si>
    <t>275/80R22.5-AD153</t>
  </si>
  <si>
    <t>325/95R24-22PR-AZ272</t>
  </si>
  <si>
    <t>275/80R22.5-CR906</t>
  </si>
  <si>
    <t>325/95R24-CB972E</t>
  </si>
  <si>
    <t>215/75R17.5-CR960A</t>
  </si>
  <si>
    <t>225/70R19.5-CR960A</t>
  </si>
  <si>
    <t>295/75R22.5-14PR-CR915 eco</t>
  </si>
  <si>
    <t>225/70R19.5-CM986</t>
  </si>
  <si>
    <t>295/75R22.5-14PR-DA25</t>
  </si>
  <si>
    <t>235/75R17.5-CR960A</t>
  </si>
  <si>
    <t>295/75R22.5-14PR-DL21</t>
  </si>
  <si>
    <t>235/75R17.5-AS673</t>
  </si>
  <si>
    <t>295/75R22.5-14PR-DL22</t>
  </si>
  <si>
    <t>245/70R19.5-AS673</t>
  </si>
  <si>
    <t>295/75R22.5-14PR-DA23</t>
  </si>
  <si>
    <t>275/80R22.5-16PR-CR906</t>
  </si>
  <si>
    <t>245/70R19.5-AD778</t>
  </si>
  <si>
    <t>295/75R22.5-14PR-I-28D</t>
  </si>
  <si>
    <t>275/80R22.5-16PR-CR976A</t>
  </si>
  <si>
    <t>245/70R19.5-CM986</t>
  </si>
  <si>
    <t>295/75R22.5-14PR-I-48T</t>
  </si>
  <si>
    <t>255/70R22.5-CR976A</t>
  </si>
  <si>
    <t>295/75R22.5-14PR-SL11</t>
  </si>
  <si>
    <t>255/70R22.5-AZ599</t>
  </si>
  <si>
    <t>295/75R22.5-14PR-ZA12</t>
  </si>
  <si>
    <t>255/70R22.5-CR926D</t>
  </si>
  <si>
    <t>265/70R19.5-18PR-DA24</t>
  </si>
  <si>
    <t>295/75R22.5-16PR-CR960A</t>
  </si>
  <si>
    <t>325/95R24-MD752</t>
  </si>
  <si>
    <t>265/70R19.5-18PR-ZA15</t>
  </si>
  <si>
    <t>295/80R22.5-GSR1</t>
  </si>
  <si>
    <t>225/70R19.5-14PR-AZ599</t>
  </si>
  <si>
    <t>295/75R22.5-14PR-AD716</t>
  </si>
  <si>
    <t>315/80R22.5-AD710A</t>
  </si>
  <si>
    <t>225/70R19.5-14PR-I-19A</t>
  </si>
  <si>
    <t>315/80R22.5-AS668</t>
  </si>
  <si>
    <t>225/70R19.5-14PR-CM986</t>
  </si>
  <si>
    <t>7.50R16-14PR-R856X</t>
  </si>
  <si>
    <t>315/80R22.5-AS578</t>
  </si>
  <si>
    <t>225/70R19.5-14PR-CR960A</t>
  </si>
  <si>
    <t>11R22.5-16PR-CR960A</t>
  </si>
  <si>
    <t>315/80R22.5-CM958</t>
  </si>
  <si>
    <t>225/70R19.5-14PR-CR976A</t>
  </si>
  <si>
    <t>325/95R24-22PR-CM913A</t>
  </si>
  <si>
    <t>315/80R22.5-CM913A</t>
  </si>
  <si>
    <t>225/70R19.5-14PR-DA24</t>
  </si>
  <si>
    <t>315/80R22.5-CM923</t>
  </si>
  <si>
    <t>225/70R19.5-14PR-H-RA</t>
  </si>
  <si>
    <t>12.00R24-20PR-MT100 MAX</t>
  </si>
  <si>
    <t>315/80R22.5-AZ599</t>
  </si>
  <si>
    <t>225/70R19.5-14PR-I-37D</t>
  </si>
  <si>
    <t>295/80R22.5-18PR-AD528</t>
  </si>
  <si>
    <t>385/65R22.5-AT532</t>
  </si>
  <si>
    <t>225/70R19.5-14PR-ZA15</t>
  </si>
  <si>
    <t>385/65R22.5-WSR1</t>
  </si>
  <si>
    <t>245/70R19.5-16PR-CM986</t>
  </si>
  <si>
    <t>385/65R22.5-TSR1</t>
  </si>
  <si>
    <t>245/70R19.5-16PR-DA24</t>
  </si>
  <si>
    <t>275/80R22.5-16PR-AD153</t>
  </si>
  <si>
    <t>385/65R22.5-CTR1</t>
  </si>
  <si>
    <t>245/70R19.5-16PR-I-19A</t>
  </si>
  <si>
    <t>385/65R22.5-WTR1</t>
  </si>
  <si>
    <t>245/70R19.5-16PR-ZA15</t>
  </si>
  <si>
    <t>275/80R22.5-16PR-EZ573</t>
  </si>
  <si>
    <t>295/80R22.5-WDR1</t>
  </si>
  <si>
    <t>255/70R22.5-16PR-AZ599</t>
  </si>
  <si>
    <t>295/80R22.5-GDR1</t>
  </si>
  <si>
    <t>255/70R22.5-16PR-CR976A</t>
  </si>
  <si>
    <t>295/80R22.5-AD528</t>
  </si>
  <si>
    <t>255/70R22.5-16PR-I-19A</t>
  </si>
  <si>
    <t>12.00R24-20PR-TZ101 PRO</t>
  </si>
  <si>
    <t>295/80R22.5-AT167</t>
  </si>
  <si>
    <t>215/75R17.5-16PR-CR960A</t>
  </si>
  <si>
    <t>275/80R22.5-AS678</t>
  </si>
  <si>
    <t>215/75R17.5-16PR-HRA</t>
  </si>
  <si>
    <t>275/80R22.5-AD528</t>
  </si>
  <si>
    <t>215/75R17.5-16PR-I-19A</t>
  </si>
  <si>
    <t>275/80R22.5-AZ179</t>
  </si>
  <si>
    <t>295/80R22.5-18PR-AD156A</t>
  </si>
  <si>
    <t>295/80R22.5-AS678</t>
  </si>
  <si>
    <t>295/80R22.5-AT196</t>
  </si>
  <si>
    <t>295/80R22.5-AZ183</t>
  </si>
  <si>
    <t>4.80-12-6PR-ST600</t>
  </si>
  <si>
    <t>325/95R24-CM912A</t>
  </si>
  <si>
    <t>295/80R22.5-18PR-EZ177</t>
  </si>
  <si>
    <t>325/95R24-CM913A</t>
  </si>
  <si>
    <t>275/80R22.5-EZ573A</t>
  </si>
  <si>
    <t>295/80R22.5-18PR-AT167</t>
  </si>
  <si>
    <t>295/80R22.5-AZ170A</t>
  </si>
  <si>
    <t>11R24.5-16PR-I-19A</t>
  </si>
  <si>
    <t>215/75R17.5-CM986</t>
  </si>
  <si>
    <t>10.00R20-16PR-TKAL Ⅲ</t>
  </si>
  <si>
    <t>11R24.5-16PR-CR960A</t>
  </si>
  <si>
    <t>215/75R17.5-AZ599</t>
  </si>
  <si>
    <t>11R24.5-16PR-AT563</t>
  </si>
  <si>
    <t>215/75R17.5-AS673</t>
  </si>
  <si>
    <t>225/70R19.5-AZ599</t>
  </si>
  <si>
    <t>11.00R20-18PR-AZ676</t>
  </si>
  <si>
    <t>225/70R19.5-AS673</t>
  </si>
  <si>
    <t>11R24.5-AS600</t>
  </si>
  <si>
    <t>11R24.5-CM983</t>
  </si>
  <si>
    <t>295/80R22.5-18PR-G-PERFORM S</t>
  </si>
  <si>
    <t>11R24.5-AD757</t>
  </si>
  <si>
    <t>11R22.5-16PR-VT993</t>
  </si>
  <si>
    <t>11R24.5-AS678</t>
  </si>
  <si>
    <t>10.00R20-18PR-FOLO.R109</t>
  </si>
  <si>
    <t>295/80R22.5-18PR-G-PRO S</t>
  </si>
  <si>
    <t>11R24.5-AS673</t>
  </si>
  <si>
    <t>10.00R20-18PR-TKAL Ⅲ</t>
  </si>
  <si>
    <t>215/75R17.5-16PR-H-RA</t>
  </si>
  <si>
    <t>11R24.5-AD759</t>
  </si>
  <si>
    <t>10.00R20-18PR-CM998</t>
  </si>
  <si>
    <t>11R24.5-AZ599</t>
  </si>
  <si>
    <t>295/80R22.5-18PR-G-PRO D</t>
  </si>
  <si>
    <t>295/80R22.5-18PR-G PRO D</t>
  </si>
  <si>
    <t>11R24.5-AD716</t>
  </si>
  <si>
    <t>295/80R22.5-18PR-G-PRO MSA</t>
  </si>
  <si>
    <t>11R24.5-AS600+</t>
  </si>
  <si>
    <t>275/80R22.5-16PR-AZ179</t>
  </si>
  <si>
    <t>285/75R24.5-AS600</t>
  </si>
  <si>
    <t>245/70R19.5-16PR-VA933</t>
  </si>
  <si>
    <t>285/75R24.5-AD757</t>
  </si>
  <si>
    <t>295/80R22.5-18PR-G-PERFORM D</t>
  </si>
  <si>
    <t>285/75R24.5-AS678</t>
  </si>
  <si>
    <t>295/75R22.5-16PR-VT993</t>
  </si>
  <si>
    <t>275/80R22.5-16PR-BMA03 ECO</t>
  </si>
  <si>
    <t>285/75R24.5-AS673</t>
  </si>
  <si>
    <t>295/80R22.5-18PR-TUCSON A</t>
  </si>
  <si>
    <t>285/75R24.5-AD737</t>
  </si>
  <si>
    <t>295/80R22.5-18PR-TUCSON D</t>
  </si>
  <si>
    <t>285/75R24.5-AD778</t>
  </si>
  <si>
    <t>285/75R24.5-AD759</t>
  </si>
  <si>
    <t>285/75R24.5-AZ599</t>
  </si>
  <si>
    <t>10.00R20-18PR-TKAL III</t>
  </si>
  <si>
    <t>285/75R24.5-AD716</t>
  </si>
  <si>
    <t>295/75R22.5-14PR-VT993</t>
  </si>
  <si>
    <t>285/75R24.5-AS600+</t>
  </si>
  <si>
    <t>255/70R22.5-AS678</t>
  </si>
  <si>
    <t>295/80R22.5-18PR-BMD06 PRO</t>
  </si>
  <si>
    <t>265/70R19.5-AS673</t>
  </si>
  <si>
    <t>445/50R22.5-AT566</t>
  </si>
  <si>
    <t>295/80R22.5-18PR-BRD06 PRO</t>
  </si>
  <si>
    <t>445/50R22.5-AD781</t>
  </si>
  <si>
    <t>275/70R22.5-AZ599</t>
  </si>
  <si>
    <t>7.50R16-AZ686</t>
  </si>
  <si>
    <t>275/80R22.5-16PR-BRD02 ECO</t>
  </si>
  <si>
    <t>7.50-16-14PR-AB111</t>
  </si>
  <si>
    <t>7.50R16-AZ697</t>
  </si>
  <si>
    <t>275/80R22.5-16PR-BRA04</t>
  </si>
  <si>
    <t>10.00R20-CR926</t>
  </si>
  <si>
    <t>295/80R22.5-18PR-G-PERFORM O</t>
  </si>
  <si>
    <t>11.00-20-18PR-CR952</t>
  </si>
  <si>
    <t>10.00R20-CM913</t>
  </si>
  <si>
    <t>295/80R22.5-18PR-BMDO6 PRO</t>
  </si>
  <si>
    <t>10.00-20-18PR-R9038</t>
  </si>
  <si>
    <t>10.00R20-AZ850</t>
  </si>
  <si>
    <t>295/80R22.5-18PR-G-PRO MSD</t>
  </si>
  <si>
    <t>10.00-20-18PR-AB313</t>
  </si>
  <si>
    <t>10.00R20-CB972</t>
  </si>
  <si>
    <t>295/80R22.5-18PR-BMAO7 ECO</t>
  </si>
  <si>
    <t>295/80R22.5-18PR-BRA06 PRO</t>
  </si>
  <si>
    <t>10.00R20-EZ033</t>
  </si>
  <si>
    <t>295/80R22.5-18PR-G-PRO U</t>
  </si>
  <si>
    <t>12.00R20-20PR-CB972</t>
  </si>
  <si>
    <t>11.00R20-AT196</t>
  </si>
  <si>
    <t>295/80R22.5-18PR-AD733pro</t>
  </si>
  <si>
    <t>12.00R20-20PR-EZ336</t>
  </si>
  <si>
    <t>12.00R24-CB332</t>
  </si>
  <si>
    <t>295/80R22.5-18PR-AS678</t>
  </si>
  <si>
    <t>12.00R20-22PR-CB919</t>
  </si>
  <si>
    <t>12.00R24-CB919</t>
  </si>
  <si>
    <t>295/80R22.5-18PR-BRA07 ECO</t>
  </si>
  <si>
    <t>12.00R20-22PR-EZ310 pro</t>
  </si>
  <si>
    <t>11R22.5-AZ850</t>
  </si>
  <si>
    <t>295/80R22.5-18PR-BRDO6 PRO</t>
  </si>
  <si>
    <t>11R22.5-AS858</t>
  </si>
  <si>
    <t>295/80R22.5-18PR-BRAO6 PRO</t>
  </si>
  <si>
    <t>215/75R17.5-16PR-ZA15</t>
  </si>
  <si>
    <t>11R22.5-CR906II</t>
  </si>
  <si>
    <t>315/80R22.5-20PR-CM958</t>
  </si>
  <si>
    <t>215/75R17.5-18PR-VA933</t>
  </si>
  <si>
    <t>325/95R24-CB332</t>
  </si>
  <si>
    <t>11.00R20-18PR-CM988</t>
  </si>
  <si>
    <t>325/95R24-CB919</t>
  </si>
  <si>
    <t>225/70R19.5-14PR-VA933</t>
  </si>
  <si>
    <t>325/95R24-EZ336</t>
  </si>
  <si>
    <t>8.25R16-CR926</t>
  </si>
  <si>
    <t>12.00R24-20PR-AM4S.Q678</t>
  </si>
  <si>
    <t>11.00R20-EZ835</t>
  </si>
  <si>
    <t>275/80R22.5-16PR-AD528</t>
  </si>
  <si>
    <t>11R22.5-AS868</t>
  </si>
  <si>
    <t>295/80R22.5-AS868 Pro</t>
  </si>
  <si>
    <t>325/95R24-CB972</t>
  </si>
  <si>
    <t>10.00-20-18PR-AB111</t>
  </si>
  <si>
    <t>295/80R22.5-AS858 Pro</t>
  </si>
  <si>
    <t>295/75R22.5-CR915 eco</t>
  </si>
  <si>
    <t>11R22.5-CR915 eco</t>
  </si>
  <si>
    <t>11R22.5-AT196</t>
  </si>
  <si>
    <t>11R22.5-AZ183</t>
  </si>
  <si>
    <t>11R24.5-AT563</t>
  </si>
  <si>
    <t>7.50R16-AZ850S</t>
  </si>
  <si>
    <t>7.50R16-14PR-TKAL III</t>
  </si>
  <si>
    <t>7.50R16-CM913</t>
  </si>
  <si>
    <t>315/80R22.5-CR960A</t>
  </si>
  <si>
    <t>11.00-20-18PR-AB535</t>
  </si>
  <si>
    <t>11R22.5-CR960A</t>
  </si>
  <si>
    <t>11.00-20-18PR-AB112</t>
  </si>
  <si>
    <t>295/80R22.5-18PR-BMA07 ECO</t>
  </si>
  <si>
    <t>11R24.5-CR960A</t>
  </si>
  <si>
    <t>295/75R22.5-CR960A</t>
  </si>
  <si>
    <t>295/80R22.5-18PR-AS668</t>
  </si>
  <si>
    <t>285/75R24.5-CR960A</t>
  </si>
  <si>
    <t>275/80R22.5-16PR-G-PRO MSA</t>
  </si>
  <si>
    <t>11R22.5-CM980</t>
  </si>
  <si>
    <t>295/75R22.5-CM980</t>
  </si>
  <si>
    <t>7.50-16-14PR-AB313</t>
  </si>
  <si>
    <t>12.00R20-20PR-ETOD</t>
  </si>
  <si>
    <t>11R24.5-CM980</t>
  </si>
  <si>
    <t>12.00R20-22PR-XC809</t>
  </si>
  <si>
    <t>285/75R24.5-CM980</t>
  </si>
  <si>
    <t>11R22.5-16PR-VXD932</t>
  </si>
  <si>
    <t>325/95R24-AZ828</t>
  </si>
  <si>
    <t>11R22.5-16PR-VA996</t>
  </si>
  <si>
    <t>325/95R24-AZ691</t>
  </si>
  <si>
    <t>11.00R20-18PR-TKAL III</t>
  </si>
  <si>
    <t>325/95R24-AZ272</t>
  </si>
  <si>
    <t>LT7.00-16-12PR-R8037</t>
  </si>
  <si>
    <t>11R22.5-VA996</t>
  </si>
  <si>
    <t>11.00R20-18PR-ETRF</t>
  </si>
  <si>
    <t>11R24.5-VA996</t>
  </si>
  <si>
    <t>ST205/75D14-6PR-ST600</t>
  </si>
  <si>
    <t>295/75R22.5-VA996</t>
  </si>
  <si>
    <t>285/75R24.5-VA996</t>
  </si>
  <si>
    <t>11.00R20-16PR-SUPER ETOT</t>
  </si>
  <si>
    <t>255/70R22.5-VA996</t>
  </si>
  <si>
    <t>315/80R22.5-VA996</t>
  </si>
  <si>
    <t>5.30-12-6PR-ST5000</t>
  </si>
  <si>
    <t>11R22.5-VD998</t>
  </si>
  <si>
    <t>17.5-25-16PR-EL36</t>
  </si>
  <si>
    <t>4.80-12-6PR-TE898</t>
  </si>
  <si>
    <t>11R24.5-VD998</t>
  </si>
  <si>
    <t>17.5-25-16PR-CL729</t>
  </si>
  <si>
    <t>ST225/75D15-8PR-H180</t>
  </si>
  <si>
    <t>295/75R22.5-VD998</t>
  </si>
  <si>
    <t>ST225/75D15-8PR-TE898</t>
  </si>
  <si>
    <t>285/75R24.5-VD998</t>
  </si>
  <si>
    <t>ST215/75D14-6PR-H180</t>
  </si>
  <si>
    <t>295/75R22.5-VT993</t>
  </si>
  <si>
    <t>215/75R17.5-16PR-W-Elite ZA15</t>
  </si>
  <si>
    <t>ST205/75D15-6PR-TE898</t>
  </si>
  <si>
    <t>11R22.5-VT993</t>
  </si>
  <si>
    <t>ST205/75D15-6PR-H180</t>
  </si>
  <si>
    <t>11R22.5-VD908</t>
  </si>
  <si>
    <t>11R24.5-VD908</t>
  </si>
  <si>
    <t>7.50R16-14PR-TKAL Ⅲ</t>
  </si>
  <si>
    <t>ST205/75D14-6PR-H180</t>
  </si>
  <si>
    <t>225/70R19.5-VD935</t>
  </si>
  <si>
    <t>11.00R20-18PR-TKAL Ⅲ</t>
  </si>
  <si>
    <t>ST205/75D14-6PR-TE898</t>
  </si>
  <si>
    <t>245/70R19.5-VD935</t>
  </si>
  <si>
    <t>ST175/80D13-6PR-H180</t>
  </si>
  <si>
    <t>11R22.5-VA991</t>
  </si>
  <si>
    <t>ST175/80D13-6PR-TE898</t>
  </si>
  <si>
    <t>11R24.5-VA991</t>
  </si>
  <si>
    <t>23.5-25-24PR-DF60</t>
  </si>
  <si>
    <t>215/75R17.5-VA933</t>
  </si>
  <si>
    <t>23.5-25-20PR-CL728</t>
  </si>
  <si>
    <t>225/70R19.5-VA933</t>
  </si>
  <si>
    <t>23.5-25-24PR-EL37(T317)</t>
  </si>
  <si>
    <t>235/75R17.5-VA933</t>
  </si>
  <si>
    <t>18.5X8.5-8-6PR-SU202</t>
  </si>
  <si>
    <t>245/70R19.5-VA933</t>
  </si>
  <si>
    <t>10.00R20-18PR-TZ202</t>
  </si>
  <si>
    <t>265/70R19.5-VA933</t>
  </si>
  <si>
    <t>295/75R22.5-16PR-VA996</t>
  </si>
  <si>
    <t>10.00R20-18PR-TZ101</t>
  </si>
  <si>
    <t>385/65R22.5-VA916</t>
  </si>
  <si>
    <t>12.00R20-20PR-EZ345</t>
  </si>
  <si>
    <t>425/65R22.5-VA916</t>
  </si>
  <si>
    <t>12.00R20-18PR-TZ304</t>
  </si>
  <si>
    <t>445/50R22.5-VA905</t>
  </si>
  <si>
    <t>12.00R20-18PR-TZ101</t>
  </si>
  <si>
    <t>11R22.5-VXD932</t>
  </si>
  <si>
    <t>11R24.5-16PR-VXD932</t>
  </si>
  <si>
    <t>11R24.5-VXD932</t>
  </si>
  <si>
    <t>11R24.5-16PR-VA996</t>
  </si>
  <si>
    <t>295/75R22.5-VXD932</t>
  </si>
  <si>
    <t>11R24.5-16PR-I-61S</t>
  </si>
  <si>
    <t>11R22.5-VDM924</t>
  </si>
  <si>
    <t>11.00-20-18PR-CL969</t>
  </si>
  <si>
    <t>11R24.5-16PR-I-31M</t>
  </si>
  <si>
    <t>11R24.5-VDM924</t>
  </si>
  <si>
    <t>20.5×8.0-10-10PR-SU202</t>
  </si>
  <si>
    <t>11R24.5-16PR-I-28D</t>
  </si>
  <si>
    <t>315/80R22.5-VDM924</t>
  </si>
  <si>
    <t>4.80-12-6PR-SU201</t>
  </si>
  <si>
    <t>11R24.5-14PR-I-48T</t>
  </si>
  <si>
    <t>7.50R16-EZ377</t>
  </si>
  <si>
    <t>11R22.5-16PR-I-61S</t>
  </si>
  <si>
    <t>295/80R22.5-AS589</t>
  </si>
  <si>
    <t>11R22.5-16PR-I-31M</t>
  </si>
  <si>
    <t>295/80R22.5-AD818</t>
  </si>
  <si>
    <t>4.80-12-4PR-SU201</t>
  </si>
  <si>
    <t>11R22.5-16PR-I-28D</t>
  </si>
  <si>
    <t>295/80R22.5-AD733 Pro</t>
  </si>
  <si>
    <t>11R22.5-16PR-AS200</t>
  </si>
  <si>
    <t>315/80R22.5-CR926B</t>
  </si>
  <si>
    <t>11R22.5-16PR-AD600</t>
  </si>
  <si>
    <t>315/80R22.5-WSR1</t>
  </si>
  <si>
    <t>295/80R22.5-CM997</t>
  </si>
  <si>
    <t>11.00R20-18PR-TZ202</t>
  </si>
  <si>
    <t>295/80R22.5-AD156A</t>
  </si>
  <si>
    <t>11.00R20-18PR-TZ101</t>
  </si>
  <si>
    <t>295/80R22.5-EZ177</t>
  </si>
  <si>
    <t>7.50R16-14PR-TZ303</t>
  </si>
  <si>
    <t>275/80R22.5-AS86</t>
  </si>
  <si>
    <t>295/80R22.5-AS567</t>
  </si>
  <si>
    <t>295/80R22.5-AS668</t>
  </si>
  <si>
    <t>23.5-25-24PR-EL37</t>
  </si>
  <si>
    <t>295/80R22.5-18PR-RF45</t>
  </si>
  <si>
    <t>295/80R22.5-AT186</t>
  </si>
  <si>
    <t>295/80R22.5-18PR-RF15</t>
  </si>
  <si>
    <t>295/80R22.5-CB919</t>
  </si>
  <si>
    <t>11R22.5-16PR-VDM924</t>
  </si>
  <si>
    <t>325/95R24-EZ865</t>
  </si>
  <si>
    <t>295/80R22.5-18PR-CB919</t>
  </si>
  <si>
    <t>325/95R24-EZ509</t>
  </si>
  <si>
    <t>11R22.5-16PR-KOBE DPM</t>
  </si>
  <si>
    <t>295/75R22.5-16PR-I-61S</t>
  </si>
  <si>
    <t>315/80R22.5-AZ170</t>
  </si>
  <si>
    <t>11R22.5-16PR-VA991</t>
  </si>
  <si>
    <t>295/75R22.5-16PR-I-19A</t>
  </si>
  <si>
    <t>275/80R22.5-AD818</t>
  </si>
  <si>
    <t>11R22.5-16PR-VD908</t>
  </si>
  <si>
    <t>275/80R22.5-16PR-G-PRO MSD</t>
  </si>
  <si>
    <t>11R22.5-AT194</t>
  </si>
  <si>
    <t>11R22.5-16PR-VD998</t>
  </si>
  <si>
    <t>275/80R22.5-16PR-G-PERFORM S</t>
  </si>
  <si>
    <t>11R24.5-AT194</t>
  </si>
  <si>
    <t>275/80R22.5-16PR-G-PERFORM D</t>
  </si>
  <si>
    <t>295/75R22.5-AT194</t>
  </si>
  <si>
    <t>11R22.5-16PR-KOBE APM</t>
  </si>
  <si>
    <t>11R22.5-AD196</t>
  </si>
  <si>
    <t>11R24.5-16PR-VDM924</t>
  </si>
  <si>
    <t>245/70R19.5-16PR-I-37D</t>
  </si>
  <si>
    <t>11R24.5-AD196</t>
  </si>
  <si>
    <t>11R24.5-16PR-AD600</t>
  </si>
  <si>
    <t>225/70R19.5-14PR-I-208</t>
  </si>
  <si>
    <t>295/75R22.5-AD196</t>
  </si>
  <si>
    <t>11R24.5-16PR-KOBE APM</t>
  </si>
  <si>
    <t>215/75R17.5-18PR-ZA15</t>
  </si>
  <si>
    <t>275/80R22.5-AS898</t>
  </si>
  <si>
    <t>11R24.5-16PR-KOBE DPM</t>
  </si>
  <si>
    <t>12.00R24-20PR-TZ101</t>
  </si>
  <si>
    <t>295/80R22.5-AD150</t>
  </si>
  <si>
    <t>11R24.5-16PR-VA991</t>
  </si>
  <si>
    <t>12.00R24-20PR-I-301</t>
  </si>
  <si>
    <t>295/75R22.5-AD600</t>
  </si>
  <si>
    <t>11R24.5-16PR-VD908</t>
  </si>
  <si>
    <t>12.00R24-24PR-XC809</t>
  </si>
  <si>
    <t>11R22.5-AD600</t>
  </si>
  <si>
    <t>11R24.5-16PR-VD998</t>
  </si>
  <si>
    <t>11R24.5-AD600</t>
  </si>
  <si>
    <t>295/75R22.5-AS200</t>
  </si>
  <si>
    <t>11R22.5-AS200</t>
  </si>
  <si>
    <t>225/70R19.5-14PR-VD935</t>
  </si>
  <si>
    <t>20.5X8.0-10-10PR-SU202</t>
  </si>
  <si>
    <t>11R24.5-AS200</t>
  </si>
  <si>
    <t>235/75R17.5-18PR-VA933</t>
  </si>
  <si>
    <t>23.5-25-24PR-T317</t>
  </si>
  <si>
    <t>295/75R22.5-AT100</t>
  </si>
  <si>
    <t>245/70R19.5-16PR-VD935</t>
  </si>
  <si>
    <t>295/75R22.5-AS201</t>
  </si>
  <si>
    <t>265/70R19.5-18PR-VA933</t>
  </si>
  <si>
    <t>27 X 11.00-12-6PR-WL6A</t>
  </si>
  <si>
    <t>295/75R22.5-PD211</t>
  </si>
  <si>
    <t>27 X 9.00-12-6PR-WL6A</t>
  </si>
  <si>
    <t>11R22.5-PD211</t>
  </si>
  <si>
    <t>275/80R22.5-16PR-BMAO3 ECO</t>
  </si>
  <si>
    <t>11R24.5-PD211</t>
  </si>
  <si>
    <t>275/80R22.5-16PR-BRAO4</t>
  </si>
  <si>
    <t>295/75R22.5-PS221</t>
  </si>
  <si>
    <t>11R22.5-PS221</t>
  </si>
  <si>
    <t>285/75R24.5-16PR-VA996</t>
  </si>
  <si>
    <t>11R24.5-PS221</t>
  </si>
  <si>
    <t>285/75R24.5-16PR-VD998</t>
  </si>
  <si>
    <t>ST205/75R14-6PR-ST226</t>
  </si>
  <si>
    <t>295/75R22.5-PT101</t>
  </si>
  <si>
    <t>295/75R22.5-16PR-AD600</t>
  </si>
  <si>
    <t>11R22.5-14PR-I-48T</t>
  </si>
  <si>
    <t>295/75R22.5-PS210</t>
  </si>
  <si>
    <t>295/75R22.5-16PR-KOBE APM</t>
  </si>
  <si>
    <t>11R22.5-16PR-HCC1 Plus</t>
  </si>
  <si>
    <t>12.00R24-EZ309</t>
  </si>
  <si>
    <t>295/75R22.5-16PR-KOBE DPM</t>
  </si>
  <si>
    <t>11R22.5-16PR-HD2 Plus</t>
  </si>
  <si>
    <t>275/80R22.5-MD777</t>
  </si>
  <si>
    <t>295/75R22.5-16PR-VD998</t>
  </si>
  <si>
    <t>11R22.5-AD184</t>
  </si>
  <si>
    <t>295/75R22.5-16PR-VXD932</t>
  </si>
  <si>
    <t>295/75R22.5-AD184</t>
  </si>
  <si>
    <t>295/75R22.5-16PR-AS200</t>
  </si>
  <si>
    <t>11R22.5-16PR-AZ599</t>
  </si>
  <si>
    <t>11R24.5-AD184</t>
  </si>
  <si>
    <t>295/75R22.5-16PR-AS201</t>
  </si>
  <si>
    <t>11R22.5-16PR-HD1 Plus</t>
  </si>
  <si>
    <t>11R22.5-AT115</t>
  </si>
  <si>
    <t>295/75R22.5-16PR-AT100</t>
  </si>
  <si>
    <t>11R22.5-16PR-HF1 Plus</t>
  </si>
  <si>
    <t>315/80R22.5-AZ126T</t>
  </si>
  <si>
    <t>295/75R22.5-16PR-KOBE TPM</t>
  </si>
  <si>
    <t>11R22.5-16PR-I-37D</t>
  </si>
  <si>
    <t>11R22.5-AZ126T+</t>
  </si>
  <si>
    <t>11R22.5-16PR-M-TRAC AP</t>
  </si>
  <si>
    <t>11R24.5-AZ126T+</t>
  </si>
  <si>
    <t>295/80R22.5-18PR-AZ126T</t>
  </si>
  <si>
    <t>11R22.5-16PR-M TRAC CSD</t>
  </si>
  <si>
    <t>11R22.5-AT167</t>
  </si>
  <si>
    <t>295/80R22.5-18PR-AS567</t>
  </si>
  <si>
    <t>295/75R22.5-AT167</t>
  </si>
  <si>
    <t>11R24.5-AT167</t>
  </si>
  <si>
    <t>315/80R22.5-20PR-VDM924</t>
  </si>
  <si>
    <t>11R22.5-AD178</t>
  </si>
  <si>
    <t>315/80R22.5-20PR-VA996</t>
  </si>
  <si>
    <t>295/75R22.5-AD178</t>
  </si>
  <si>
    <t>11R24.5-AD178</t>
  </si>
  <si>
    <t>385/65R22.5-20PR-VA916</t>
  </si>
  <si>
    <t>295/75R22.5-AT115</t>
  </si>
  <si>
    <t>425/65R22.5-20PR-VA916</t>
  </si>
  <si>
    <t>225/70R19.5-AZ692</t>
  </si>
  <si>
    <t>445/50R22.5-20PR-VA905</t>
  </si>
  <si>
    <t>295/75R22.5-14PR-HD1 Plus</t>
  </si>
  <si>
    <t>275/70R22.5-AZ692</t>
  </si>
  <si>
    <t>295/75R22.5-14PR-HF1 Plus</t>
  </si>
  <si>
    <t>11R22.5-AZ692</t>
  </si>
  <si>
    <t>295/75R22.5-14PR-I-37D</t>
  </si>
  <si>
    <t>11R24.5-AZ692</t>
  </si>
  <si>
    <t>10.00R20-18PR-SUPER AM S</t>
  </si>
  <si>
    <t>295/75R22.5-16PR-HF1 Plus</t>
  </si>
  <si>
    <t>315/80R22.5-AZ692</t>
  </si>
  <si>
    <t>285/70R19.5-CM986</t>
  </si>
  <si>
    <t>235/75R17.5-CM986</t>
  </si>
  <si>
    <t>295/75R22.5-16PR-M-TRAC AP</t>
  </si>
  <si>
    <t>11R22.5-AS600</t>
  </si>
  <si>
    <t>295/75R22.5-16PR-RLINE-D2</t>
  </si>
  <si>
    <t>285/75R24.5-CM983</t>
  </si>
  <si>
    <t>295/75R22.5-16PR-CR915</t>
  </si>
  <si>
    <t>11R22.5-AD721</t>
  </si>
  <si>
    <t>11R24.5-AD721</t>
  </si>
  <si>
    <t>285/75R24.5-AD721</t>
  </si>
  <si>
    <t>295/75R22.5-AD721</t>
  </si>
  <si>
    <t>235/75R17.5-AZ599</t>
  </si>
  <si>
    <t>245/70R19.5-AZ599</t>
  </si>
  <si>
    <t>245/70R17.5-AZ599</t>
  </si>
  <si>
    <t>11R24.5-16PR-AS200</t>
  </si>
  <si>
    <t>265/70R19.5-AZ599</t>
  </si>
  <si>
    <t>225/70R19.5-AD717</t>
  </si>
  <si>
    <t>245/70R19.5-AD717</t>
  </si>
  <si>
    <t>11R22.5-AZ579</t>
  </si>
  <si>
    <t>315/80R22.5-AZ579</t>
  </si>
  <si>
    <t>11R24.5-16PR-AD716</t>
  </si>
  <si>
    <t>11R24.5-AZ579</t>
  </si>
  <si>
    <t>11R24.5-16PR-AZ692</t>
  </si>
  <si>
    <t>255/70R22.5-AZ579</t>
  </si>
  <si>
    <t>11R24.5-16PR-HCC1 Plus</t>
  </si>
  <si>
    <t>385/65R22.5-AZ577</t>
  </si>
  <si>
    <t>11R24.5-16PR-HD1 Plus</t>
  </si>
  <si>
    <t>425/65R22.5-AZ577</t>
  </si>
  <si>
    <t>11R24.5-16PR-HD2 Plus</t>
  </si>
  <si>
    <t>445/65R22.5-AZ577</t>
  </si>
  <si>
    <t>11R24.5-16PR-HF1 Plus</t>
  </si>
  <si>
    <t>11R22.5-CB972</t>
  </si>
  <si>
    <t>11R24.5-16PR-I-37D</t>
  </si>
  <si>
    <t>11R24.5-CB972</t>
  </si>
  <si>
    <t>295/75R22.5-AD757</t>
  </si>
  <si>
    <t>11R22.5-AS673</t>
  </si>
  <si>
    <t>295/75R22.5-AS673</t>
  </si>
  <si>
    <t>275/70R22.5-AS673</t>
  </si>
  <si>
    <t>285/75R24.5-14PR-HD1 Plus</t>
  </si>
  <si>
    <t>11R22.5-AD737</t>
  </si>
  <si>
    <t>11R22.5-16PR-I-52A</t>
  </si>
  <si>
    <t>285/75R24.5-14PR-HF1 Plus</t>
  </si>
  <si>
    <t>11R24.5-AD737</t>
  </si>
  <si>
    <t>285/75R24.5-14PR-I-28D</t>
  </si>
  <si>
    <t>11R22.5-AD778</t>
  </si>
  <si>
    <t>11R22.5-16PR-RLINE-D2</t>
  </si>
  <si>
    <t>285/75R24.5-14PR-I-19A</t>
  </si>
  <si>
    <t>11R24.5-AD778</t>
  </si>
  <si>
    <t>215/75R17.5-16PR-HF1 Plus</t>
  </si>
  <si>
    <t>225/70R19.5-AD778</t>
  </si>
  <si>
    <t>215/75R17.5-18PR-M-TRAC AP</t>
  </si>
  <si>
    <t>11R22.5-CR926D</t>
  </si>
  <si>
    <t>235/75R17.5-16PR-HF1 Plus</t>
  </si>
  <si>
    <t>11R24.5-CR926D</t>
  </si>
  <si>
    <t>235/75R17.5-18PR-I-19A</t>
  </si>
  <si>
    <t>385/65R22.5-AT557</t>
  </si>
  <si>
    <t>425/65R22.5-AT557</t>
  </si>
  <si>
    <t>245/70R17.5-18PR-I-19A</t>
  </si>
  <si>
    <t>445/65R22.5-AT557</t>
  </si>
  <si>
    <t>245/70R19.5-16PR-HD3 Plus</t>
  </si>
  <si>
    <t>255/70R22.5-AT557</t>
  </si>
  <si>
    <t>225/70R19.5-14PR-HD3 Plus</t>
  </si>
  <si>
    <t>245/70R19.5-16PR-HF1 Plus</t>
  </si>
  <si>
    <t>275/70R22.5-AT557</t>
  </si>
  <si>
    <t>225/70R19.5-14PR-HF1 Plus</t>
  </si>
  <si>
    <t>295/75R22.5-AT598</t>
  </si>
  <si>
    <t>255/70R22.5-AZ692</t>
  </si>
  <si>
    <t>295/80R22.5-AT167T</t>
  </si>
  <si>
    <t>12.00R24-EZ345</t>
  </si>
  <si>
    <t>12.00R24-EZ175</t>
  </si>
  <si>
    <t>255/70R22.5-16PR-HF1 Plus</t>
  </si>
  <si>
    <t>225/70R19.5-14PR-M-TRAC AP</t>
  </si>
  <si>
    <t>12R22.5-EZ867</t>
  </si>
  <si>
    <t>255/70R22.5-16PR-M-TRAC AP</t>
  </si>
  <si>
    <t>225/70R19.5-14PR-M-TRAC HTD</t>
  </si>
  <si>
    <t>12R22.5-EZ870</t>
  </si>
  <si>
    <t>245/70R19.5-AT530</t>
  </si>
  <si>
    <t>275/80R22.5-18PR-AZ179</t>
  </si>
  <si>
    <t>265/70R19.5-AT530</t>
  </si>
  <si>
    <t>275/70R22.5-18PR-I-19A</t>
  </si>
  <si>
    <t>8.25R16-EZ867</t>
  </si>
  <si>
    <t>315/80R22.5-20PR-HA3 Plus</t>
  </si>
  <si>
    <t>8.25R20-AZ850</t>
  </si>
  <si>
    <t>315/80R22.5-20PR-I-31M</t>
  </si>
  <si>
    <t>245/70R19.5-CR960A</t>
  </si>
  <si>
    <t>315/80R22.5-20PR-I-52A</t>
  </si>
  <si>
    <t>10.00R20-AT196</t>
  </si>
  <si>
    <t>11R22.5-AS600+</t>
  </si>
  <si>
    <t>12.00R20-EZ835</t>
  </si>
  <si>
    <t>315/80R22.5-20PR-CM913A</t>
  </si>
  <si>
    <t>11R22.5-CR989+</t>
  </si>
  <si>
    <t>295/75R22.5-CR989+</t>
  </si>
  <si>
    <t>315/80R22.5-20PR-CR926B</t>
  </si>
  <si>
    <t>295/75R22.5-CM996</t>
  </si>
  <si>
    <t>11R22.5-CM996</t>
  </si>
  <si>
    <t>265/70R19.5-18PR-I-19A</t>
  </si>
  <si>
    <t>285/75R24.5-CM996</t>
  </si>
  <si>
    <t>11R24.5-CM996</t>
  </si>
  <si>
    <t>11R22.5-RLINE-S1</t>
  </si>
  <si>
    <t>11R24.5-16PR-I-52A</t>
  </si>
  <si>
    <t>295/75R22.5-RLINE-S1</t>
  </si>
  <si>
    <t>295/80R22.5-18PR-AZ183</t>
  </si>
  <si>
    <t>295/75R22.5-RLINE-D1</t>
  </si>
  <si>
    <t>295/80R22.5-18PR-BRD02 ECO</t>
  </si>
  <si>
    <t>11R22.5-RLINE-D1</t>
  </si>
  <si>
    <t>285/75R24.5-RLINE-D1</t>
  </si>
  <si>
    <t>295/80R22.5-18PR-AS589</t>
  </si>
  <si>
    <t>11R24.5-RLINE-D1</t>
  </si>
  <si>
    <t>295/80R22.5-18PR-ECOLINE A-I</t>
  </si>
  <si>
    <t>275/80R22.5-AT196</t>
  </si>
  <si>
    <t>295/80R22.5-18PR-ECOTRAX D-I</t>
  </si>
  <si>
    <t>10.00R20 TT/TL-CB382</t>
  </si>
  <si>
    <t>8.25R16-16PR-CR926</t>
  </si>
  <si>
    <t>12.00R20 TT/TL-CB382</t>
  </si>
  <si>
    <t>12.00R20-20PR-XC809</t>
  </si>
  <si>
    <t>12.00R24 TT/TL-CB382</t>
  </si>
  <si>
    <t>310/80R22.5 TL-CR380</t>
  </si>
  <si>
    <t>280/75R22.5 TL-CR380</t>
  </si>
  <si>
    <t>300/80R22.5 TL-CR380</t>
  </si>
  <si>
    <t>11R22.5-18PR-AZ850</t>
  </si>
  <si>
    <t>IDST175/80R13-6PR[ST226]91/87L GOODRIDE(好运)无内 NR</t>
  </si>
  <si>
    <t>ST235/80R16-CR960A</t>
  </si>
  <si>
    <t>11R22.5-18PR-AS858</t>
  </si>
  <si>
    <t>ID285/75R24.5-14PR(144/141L)[AS600]ARISUN无内</t>
  </si>
  <si>
    <t>ST235/85R16-CR960A</t>
  </si>
  <si>
    <t>11R22.5-16PR-M-TRAC CSD</t>
  </si>
  <si>
    <t>ID10.00-20-18PR[R9037]150/145G GOODRIDE(好运)</t>
  </si>
  <si>
    <t>ST225/75R15-CR960A</t>
  </si>
  <si>
    <t>11R22.5-16PR-H-RA</t>
  </si>
  <si>
    <t>11R22.5-DL21</t>
  </si>
  <si>
    <t>11R22.5-16PR-H-MD</t>
  </si>
  <si>
    <t>11R24.5-DL21</t>
  </si>
  <si>
    <t>11R22.5-16PR-HCC1 PlusX</t>
  </si>
  <si>
    <t>ID11R24.5-16PR(149/146L)[HD1 PlusX]SUPERMAX ECO无内</t>
  </si>
  <si>
    <t>285/75R24.5-DL21</t>
  </si>
  <si>
    <t>11R22.5-16PR-HD1 PlusX</t>
  </si>
  <si>
    <t>ID385/65R22.5-20PR(160K)[AT532]朝阳无内</t>
  </si>
  <si>
    <t>295/75R22.5-DL21</t>
  </si>
  <si>
    <t>11R22.5-16PR-HD2 PlusX</t>
  </si>
  <si>
    <t>ID14.9-24-12PR[STRONG GUARD XR4]HERCULES无内</t>
  </si>
  <si>
    <t>11R22.5-DL22</t>
  </si>
  <si>
    <t>11R22.5-16PR-HF1 PlusX</t>
  </si>
  <si>
    <t>ID(D104008)110/70-12-6P[H-566]52P GOLDEN CROWN 纳米高抓 TL</t>
  </si>
  <si>
    <t>11R24.5-DL22</t>
  </si>
  <si>
    <t>ID(G104023)110/70-12-6P[H-565-2]52P GOODRIDE 纳米高抓 TL</t>
  </si>
  <si>
    <t>285/75R24.5-DL22</t>
  </si>
  <si>
    <t>295/75R22.5-DL22</t>
  </si>
  <si>
    <t>IDST205/75R14-6PR[ASSURE ST]100/96N XCELLENT无内</t>
  </si>
  <si>
    <t>11R22.5-TL31</t>
  </si>
  <si>
    <t>295/75R22.5-14PR-HT1 Plus</t>
  </si>
  <si>
    <t>IDST235/80R16-10PR[ST200]124/120M GOODRIDE(好运)无内 NR</t>
  </si>
  <si>
    <t>295/75R22.5-TL31</t>
  </si>
  <si>
    <t>295/75R22.5-16PR-HD1 Plus</t>
  </si>
  <si>
    <t>ID285/75R24.5-14PR(144/141L)[AS673]ARISUN无内</t>
  </si>
  <si>
    <t>11R22.5-ZA12</t>
  </si>
  <si>
    <t>295/75R22.5-16PR-HD1 PlusX</t>
  </si>
  <si>
    <t>ID285/75R24.5-14PR(144/141L)[AD778]ARISUN无内</t>
  </si>
  <si>
    <t>11R24.5-ZA12</t>
  </si>
  <si>
    <t>295/75R22.5-16PR-HD2 PlusX</t>
  </si>
  <si>
    <t>ID275/70R22.5-16PR(148/145L)[AT557]朝阳无内</t>
  </si>
  <si>
    <t>285/75R24.5-ZA12</t>
  </si>
  <si>
    <t>295/75R22.5-16PR-HF1 PlusX</t>
  </si>
  <si>
    <t>ID11R24.5-16PR(149/146L)[CR926D]朝阳无内</t>
  </si>
  <si>
    <t>295/75R22.5-ZA12</t>
  </si>
  <si>
    <t>295/75R22.5-16PR-I-52A</t>
  </si>
  <si>
    <t>ID11R24.5-16PR(149/146L)[AD759]ARISUN无内</t>
  </si>
  <si>
    <t>255/70R22.5-ZA12</t>
  </si>
  <si>
    <t>295/75R22.5-16PR-HT1 PlusX</t>
  </si>
  <si>
    <t>ID11R24.5-16PR(149/146L)[HCC1 Plus]SUPERMAX无内</t>
  </si>
  <si>
    <t>275/70R22.5-ZA12</t>
  </si>
  <si>
    <t>ID11R22.5-16PR(146/143L)[AD759]ARISUN无内</t>
  </si>
  <si>
    <t>445/50R22.5-TL32</t>
  </si>
  <si>
    <t>ID255/70R22.5-16PR(140/137L)[AZ579]GOODRIDE(好运)无内</t>
  </si>
  <si>
    <t>11R22.5-DA25</t>
  </si>
  <si>
    <t>ID275/80R22.5-16PR(149/146M)[AS86]朝阳无内</t>
  </si>
  <si>
    <t>295/75R22.5-DA25</t>
  </si>
  <si>
    <t>11R24.5-16PR-AZ599</t>
  </si>
  <si>
    <t>ID12.00R20-22PR(158/155F)[CB919]C级雅度</t>
  </si>
  <si>
    <t>285/75R24.5-SL11</t>
  </si>
  <si>
    <t>ID11.00R20-18PR(152/149F)[CB972]C级金冠</t>
  </si>
  <si>
    <t>295/75R22.5-SL11</t>
  </si>
  <si>
    <t>11R24.5-16PR-HCC1 PlusX</t>
  </si>
  <si>
    <t>ID295/75R22.5-14PR(144/141L)[VD998]C级VITOUR无内</t>
  </si>
  <si>
    <t>11R22.5-SL11</t>
  </si>
  <si>
    <t>11R24.5-16PR-HD1 PlusX</t>
  </si>
  <si>
    <t>IDST145R12-10PR[ST Radial]95/90M Tamarack无内 NR</t>
  </si>
  <si>
    <t>11R24.5-SL11</t>
  </si>
  <si>
    <t>11R24.5-16PR-HD2 PlusX</t>
  </si>
  <si>
    <t>IDST205/75R15-8PR[ST200]107/102M GOODRIDE(好运)无内 NR</t>
  </si>
  <si>
    <t>285/75R24.5-DA23</t>
  </si>
  <si>
    <t>11R24.5-16PR-HF1 PlusX</t>
  </si>
  <si>
    <t>295/75R22.5-DA23</t>
  </si>
  <si>
    <t>ID315/80R22.5-20PR(157/154K)[AS668]朝阳无内</t>
  </si>
  <si>
    <t>11R22.5-DA23</t>
  </si>
  <si>
    <t>285/75R24.5-14PR-I-37D</t>
  </si>
  <si>
    <t>11R24.5-DA23</t>
  </si>
  <si>
    <t>255/70R22.5-DA23</t>
  </si>
  <si>
    <t>285/75R24.5-14PR-I-48T</t>
  </si>
  <si>
    <t>215/75R17.5-ZA15</t>
  </si>
  <si>
    <t>285/75R24.5-16PR-I-61S</t>
  </si>
  <si>
    <t>ID(A105001)70/90-14-4P[H-577]34P ARISUN 纳米高抓 TL</t>
  </si>
  <si>
    <t>225/70R19.5-ZA15</t>
  </si>
  <si>
    <t>285/75R24.5-16PR-I-52A</t>
  </si>
  <si>
    <t>235/75R17.5-ZA15</t>
  </si>
  <si>
    <t>11R24.5-14PR-H-TL</t>
  </si>
  <si>
    <t>245/70R19.5-ZA15</t>
  </si>
  <si>
    <t>11R24.5-16PR-H-MD</t>
  </si>
  <si>
    <t>265/70R19.5-ZA15</t>
  </si>
  <si>
    <t>11R24.5-16PR-H-RD</t>
  </si>
  <si>
    <t>ID(A105002)80/80-14-4P[H-577]37P ARISUN 纳米高抓 TL</t>
  </si>
  <si>
    <t>225/70R19.5-DA24</t>
  </si>
  <si>
    <t>285/75R24.5-14PR-H-TL</t>
  </si>
  <si>
    <t>ID(D104004)100/90-12-4P[H-566]59P GOLDEN CROWN 纳米高抓 TL</t>
  </si>
  <si>
    <t>245/70R19.5-DA24</t>
  </si>
  <si>
    <t>11R22.5-14PR-H-TL</t>
  </si>
  <si>
    <t>ID(G104019)100/90-12-4P[H-565-2]59P GOODRIDE 纳米高抓 TL</t>
  </si>
  <si>
    <t>265/70R19.5-DA24</t>
  </si>
  <si>
    <t>ID275/80R22.5-16PR(149/146M)[AD818]朝阳无内</t>
  </si>
  <si>
    <t>11R22.5-ZM41</t>
  </si>
  <si>
    <t>IDST235/80R16-10PR[ST100]124/120M GOODRIDE(好运)无内</t>
  </si>
  <si>
    <t>11R24.5-ZM41</t>
  </si>
  <si>
    <t>IDST205/75R14-8PR[ST100]105/101M 西湖无内</t>
  </si>
  <si>
    <t>315/80R22.5-ZM41</t>
  </si>
  <si>
    <t>255/70R22.5-16PR-H-RA</t>
  </si>
  <si>
    <t>ID11.00R20-18PR(152/149K)[AS678]威狮</t>
  </si>
  <si>
    <t>385/65R22.5-ZM42</t>
  </si>
  <si>
    <t>275/70R22.5-16PR-HF1 Plus</t>
  </si>
  <si>
    <t>ID11.00R20-18PR(152/149K)[AS578]威狮</t>
  </si>
  <si>
    <t>425/65R22.5-ZM42</t>
  </si>
  <si>
    <t>385/65R22.5-20PR-I-42W</t>
  </si>
  <si>
    <t>ID315/80R22.5-20PR(161/157K)[ZM41]威狮无内</t>
  </si>
  <si>
    <t>445/65R22.5-ZM42</t>
  </si>
  <si>
    <t>ID11R22.5-16PR(146/143M)[STEALTH S01]BLACKARROW无内</t>
  </si>
  <si>
    <t>445/50R22.5-DL26</t>
  </si>
  <si>
    <t>425/65R22.5-20PR-I-42W</t>
  </si>
  <si>
    <t>ID11R22.5-16PR(146/143L)[AD757]威狮无内</t>
  </si>
  <si>
    <t>215/75R17.5-H-RA</t>
  </si>
  <si>
    <t>ID445/50R22.5-20PR(161L)[HD4 Plus]SUPERMAX无内</t>
  </si>
  <si>
    <t>225/70R19.5-H-RA</t>
  </si>
  <si>
    <t>445/50R22.5-20PR-AD755</t>
  </si>
  <si>
    <t>ID215/75R17.5-16PR(135/133L)[W-Elite ZA15]威狮无内</t>
  </si>
  <si>
    <t>255/70R22.5-I-19A</t>
  </si>
  <si>
    <t>445/50R22.5-20PR-AT570</t>
  </si>
  <si>
    <t>ID11R24.5-16PR(149/146L)[HD2 PlusX]SUPERMAX ECO无内</t>
  </si>
  <si>
    <t>215/75R17.5-I-19A</t>
  </si>
  <si>
    <t>445/50R22.5-20PR-HD4 Plus</t>
  </si>
  <si>
    <t>ID(LB1003)ATV 24×8-12/6[AR10]FREE COUNTRY TL BLACK ELK</t>
  </si>
  <si>
    <t>11R22.5-I-19A</t>
  </si>
  <si>
    <t>445/50R22.5-20PR-HT2 Plus</t>
  </si>
  <si>
    <t>ID(LB1004)ATV 24×10-12/6[AR10]FREE COUNTRY TL BLACK ELK</t>
  </si>
  <si>
    <t>11R24.5-I-19A</t>
  </si>
  <si>
    <t>445/50R22.5-20PR-M-TRAC WBT</t>
  </si>
  <si>
    <t>ID11.00R20-20PR(154/151D)[CB905A]朝阳 东南亚</t>
  </si>
  <si>
    <t>225/70R19.5-I-19A</t>
  </si>
  <si>
    <t>445/65R22.5-20PR-I-42W</t>
  </si>
  <si>
    <t>ID11.00R20-18PR(152/149F)[CB972]金冠</t>
  </si>
  <si>
    <t>245/70R19.5-I-19A</t>
  </si>
  <si>
    <t>425/65R22.5-20PR-H-MW</t>
  </si>
  <si>
    <t>295/75R22.5-1-28D</t>
  </si>
  <si>
    <t>385/65R22.5-20PR-H-MW</t>
  </si>
  <si>
    <t>225/70R19.5-I-37D</t>
  </si>
  <si>
    <t>ID275/80R22.5-16PR(149/146M)[CR976A]ARISUN无内</t>
  </si>
  <si>
    <t>295/75R22.5-I-48T</t>
  </si>
  <si>
    <t>295/75R22.5-I-28D</t>
  </si>
  <si>
    <t>315/80R22.5-20PR-H-RD</t>
  </si>
  <si>
    <t>ID275/80R22.5-16PR(149/146L)[AD153]C级朝阳无内</t>
  </si>
  <si>
    <t>285/75R24.5-I-19A</t>
  </si>
  <si>
    <t>IDST235/85R16-12PR[ST100]128/124M 西湖无内</t>
  </si>
  <si>
    <t>285/75R24.5-I-28D</t>
  </si>
  <si>
    <t>IDST175/80R13-6PR[Tow pro st]91/87M SUPERMAX无内</t>
  </si>
  <si>
    <t>285/75R24.5-I-37D</t>
  </si>
  <si>
    <t>IDST175/80R13-6PR[ASSURE ST]91/87N XCELLENT无内</t>
  </si>
  <si>
    <t>285/75R24.5-I-48T</t>
  </si>
  <si>
    <t>285/75R24.5-I-61S</t>
  </si>
  <si>
    <t>IDST215/75R14-6PR[ST-100A]102/98M 西湖无内</t>
  </si>
  <si>
    <t>235/75R17.5-I-19A</t>
  </si>
  <si>
    <t>10.00R20-16PR-I-181</t>
  </si>
  <si>
    <t>IDST175/80R13-6PR[ST Radial]91/87M Tamarack无内 NR</t>
  </si>
  <si>
    <t>245/70R17.5-I-19A</t>
  </si>
  <si>
    <t>10.00R20-18PR-MOBY.R856X</t>
  </si>
  <si>
    <t>IDST225/75R15-10PR[ST200]117/112M GOODRIDE(好运)无内 NR</t>
  </si>
  <si>
    <t>295/75R22.5-I-19A</t>
  </si>
  <si>
    <t>11.00R20-20PR-AZ850</t>
  </si>
  <si>
    <t>ID325/95R24-22PR(162/160K)[AZ828]DIDAR无内</t>
  </si>
  <si>
    <t>295/75R22.5-I-37D</t>
  </si>
  <si>
    <t>11.00R20-20PR-CB905A</t>
  </si>
  <si>
    <t>IDST235/85R16-12PR[Tow pro st]128/124M SUPERMAX无内</t>
  </si>
  <si>
    <t>295/75R22.5-I-61S</t>
  </si>
  <si>
    <t>12.00R20-22PR-AZ850</t>
  </si>
  <si>
    <t>11R22.5-I-48T</t>
  </si>
  <si>
    <t>12.00R20-22PR-EZ867</t>
  </si>
  <si>
    <t>IDST175/80R13-8PR[ST200]97/93M GOODRIDE(好运)无内 NR</t>
  </si>
  <si>
    <t>11R22.5-I-61S</t>
  </si>
  <si>
    <t>325/95R24-22PR-EZ865</t>
  </si>
  <si>
    <t>IDST205/75R14-6PR[ST200]100/96M GOODRIDE(好运)无内 NR</t>
  </si>
  <si>
    <t>11R22.5-I-37D</t>
  </si>
  <si>
    <t>IDST205/75R15-6PR[ST200]101/97M GOODRIDE(好运)无内 NR</t>
  </si>
  <si>
    <t>11R22.5-I-28D</t>
  </si>
  <si>
    <t>325/95R24-22PR-EZ509</t>
  </si>
  <si>
    <t>ID23.5-25中策丁基内胎</t>
  </si>
  <si>
    <t>11R24.5-I-48T</t>
  </si>
  <si>
    <t>12.00R20-20PR-TZ101</t>
  </si>
  <si>
    <t>ID11.00-20-18PR[CR952PRO]153/148G 朝阳</t>
  </si>
  <si>
    <t>11R24.5-I-61S</t>
  </si>
  <si>
    <t>12.00R20-18PR-MT100</t>
  </si>
  <si>
    <t>ID12.00R20-22PR(158/155F)[EZ310 pro]威狮</t>
  </si>
  <si>
    <t>11R24.5-I-37D</t>
  </si>
  <si>
    <t>ID425/65R22.5-20PR(165K)[ZM42]威狮无内</t>
  </si>
  <si>
    <t>11R24.5-I-28D</t>
  </si>
  <si>
    <t>295/75R22.5-14PR-I-19A</t>
  </si>
  <si>
    <t>IDST225/75R15-10PR[ST100]117/112M GOODRIDE(好运)无内</t>
  </si>
  <si>
    <t>245/70R19.5-I-37D</t>
  </si>
  <si>
    <t>265/70R19.5-I-19A</t>
  </si>
  <si>
    <t>12R22.5-18PR-I-181</t>
  </si>
  <si>
    <t>ID285/75R24.5-14PR(144/141L)[ZA12]威狮无内</t>
  </si>
  <si>
    <t>11R22.5-I-52A</t>
  </si>
  <si>
    <t>12R22.5-20PR-EZ870</t>
  </si>
  <si>
    <t>ID11R22.5-16PR(148/145L)[CM983]威狮无内</t>
  </si>
  <si>
    <t>11R24.5-I-52A</t>
  </si>
  <si>
    <t>12R22.5-20PR-EZ867</t>
  </si>
  <si>
    <t>ID12.00R24-22PR(162/160F)[CB972E]DIDAR</t>
  </si>
  <si>
    <t>285/75R24.5-I-52A</t>
  </si>
  <si>
    <t>12R22.5-20PR-AS898H</t>
  </si>
  <si>
    <t>ID325/95R24-22PR(162/160F)[CB972E]朝阳无内</t>
  </si>
  <si>
    <t>295/75R22.5-I-52A</t>
  </si>
  <si>
    <t>ID325/95R24-22PR(162/160F)[CB972E]GOODRIDE(好运)无内</t>
  </si>
  <si>
    <t>315/80R22.5-I-52A</t>
  </si>
  <si>
    <t>IDST225/75R15-10PR[STZC]117/112L 朝阳无内</t>
  </si>
  <si>
    <t>11R22.5-I-31M</t>
  </si>
  <si>
    <t>IDST225/75R15-8PR[STZC]113/108L 朝阳无内</t>
  </si>
  <si>
    <t>11R24.5-I-31M</t>
  </si>
  <si>
    <t>315/80R22.5-I-31M</t>
  </si>
  <si>
    <t>ID(G105001)70/90-14-4P[H-577]34P GOODRIDE 纳米高抓 TL</t>
  </si>
  <si>
    <t>385/65R22.5-I-42W</t>
  </si>
  <si>
    <t>425/65R22.5-I-42W</t>
  </si>
  <si>
    <t>445/65R22.5-I-42W</t>
  </si>
  <si>
    <t>ID315/80R22.5-20PR(157/154K)[CR926B]DIDAR无内</t>
  </si>
  <si>
    <t>275/70R22.5-I-19A</t>
  </si>
  <si>
    <t>12.00R24-I-301</t>
  </si>
  <si>
    <t>275/80R22.5-16PR-EZ573A</t>
  </si>
  <si>
    <t>ID11R22.5-16PR(148/145L)[AS868]GOODRIDE(好运)无内</t>
  </si>
  <si>
    <t>12R22.5-I-181</t>
  </si>
  <si>
    <t>275/80R22.5-16PR-AS678</t>
  </si>
  <si>
    <t>ID425/65R22.5-20PR(165K)[AT557]朝阳无内</t>
  </si>
  <si>
    <t>10.00R20-I-181</t>
  </si>
  <si>
    <t>10.00R20-18PR-MT100</t>
  </si>
  <si>
    <t>IDST175/80R13-8PR[ASSURE ST]97/93N XCELLENT无内</t>
  </si>
  <si>
    <t>225/70R19.5-I-208</t>
  </si>
  <si>
    <t>10.00R20-18PR-TZ303</t>
  </si>
  <si>
    <t>IDST205/75R14-8PR[STZC]105/101L 西湖无内</t>
  </si>
  <si>
    <t>12.00R24-TZ101 PRO</t>
  </si>
  <si>
    <t>11.00R20-18PR-MT100</t>
  </si>
  <si>
    <t>IDST205/75R15-10PR[ASSURE ST]111/106N XCELLENT无内</t>
  </si>
  <si>
    <t>12.00R24-TZ101</t>
  </si>
  <si>
    <t>IDST205/75R15-6PR[STZC]101/97L GOODRIDE(好运)无内</t>
  </si>
  <si>
    <t>12.00R20-TZ101</t>
  </si>
  <si>
    <t>ID27×8.50-15-8PR[STRONG GUARD SS]HERCULES无内</t>
  </si>
  <si>
    <t>11.00R20-TZ101</t>
  </si>
  <si>
    <t>10.00R20-TZ101</t>
  </si>
  <si>
    <t>ID325/95R24-22PR(162/160K)[EZ509]DIDAR无内</t>
  </si>
  <si>
    <t>11.00R20-TZ202</t>
  </si>
  <si>
    <t>215/75R17.5-16PR-CM986</t>
  </si>
  <si>
    <t>ID7.00-16LT-14PR[MX882]118/114K 朝阳</t>
  </si>
  <si>
    <t>10.00R20-TZ202</t>
  </si>
  <si>
    <t>255/70R22.5-16PR-VA996</t>
  </si>
  <si>
    <t>ID315/80R22.5-20PR(157/154K)[CM913A]DIDAR无内</t>
  </si>
  <si>
    <t>7.50R16-TZ202</t>
  </si>
  <si>
    <t>12.00R20-22PR-CB972</t>
  </si>
  <si>
    <t>ID275/80R22.5-16PR(149/146M)[AS898]GOODRIDE(好运)无内</t>
  </si>
  <si>
    <t>10.00R20-TZ303</t>
  </si>
  <si>
    <t>11.00R20-18PR-FOLO.R109</t>
  </si>
  <si>
    <t>ID325/95R24-22PR(162/160K)[MD752]DIDAR无内</t>
  </si>
  <si>
    <t>7.50R16-TZ303</t>
  </si>
  <si>
    <t>7.50R16-14PR-MT200</t>
  </si>
  <si>
    <t>IDST175/80R13-6PR[ST100]91/87M GOODRIDE(好运)无内</t>
  </si>
  <si>
    <t>12.00R24-TZ304</t>
  </si>
  <si>
    <t>11R22.5-14PR-HT1 Plus</t>
  </si>
  <si>
    <t>12.00R20-TZ304</t>
  </si>
  <si>
    <t>12.00R24-ETOT</t>
  </si>
  <si>
    <t>ID11.00R20-18PR(152/149K)[AT196]日升</t>
  </si>
  <si>
    <t>12.00R20-ETOD</t>
  </si>
  <si>
    <t>ID275/70R22.5-16PR(148/145L)[HF1 Plus]SUPERMAX无内</t>
  </si>
  <si>
    <t>11.00R20-SUPER ETOT</t>
  </si>
  <si>
    <t>IDST235/80R16-12PR[ST-100A]126/122M 西湖无内</t>
  </si>
  <si>
    <t>11.00R20-ETRF</t>
  </si>
  <si>
    <t>IDST175/80R13-8PR[DURAHAULER ST]97/93N EVERMAX无内</t>
  </si>
  <si>
    <t>11.00R20-TKAL III</t>
  </si>
  <si>
    <t>11R22.5-16PR-STEALTH S01</t>
  </si>
  <si>
    <t>10.00R20-TKAL III</t>
  </si>
  <si>
    <t>11R22.5-16PR-DOMINATE D01</t>
  </si>
  <si>
    <t>IDST235/85R16-12PR[DURAHAULER ST]128/124N EVERMAX无内</t>
  </si>
  <si>
    <t>10.00R20-SUPER AM S</t>
  </si>
  <si>
    <t>11R24.5-16PR-DOMINATE D01</t>
  </si>
  <si>
    <t>ID16.9-24-12PR[STRONG GUARD XR4]HERCULES无内</t>
  </si>
  <si>
    <t>7.50R16-ETOD</t>
  </si>
  <si>
    <t>ID12.00R20-22PR(158/155F)[EZ336]威狮 东南亚</t>
  </si>
  <si>
    <t>7.50R16-SUPER AM S</t>
  </si>
  <si>
    <t>ID315/80R22.5-20PR(157/154K)[CR926B]TRAZANO(全诺)无内</t>
  </si>
  <si>
    <t>7.50R16-TKAL III</t>
  </si>
  <si>
    <t>ID295/80R22.5-18PR(152/149M)[AS668]ARISUN无内</t>
  </si>
  <si>
    <t>ID295/80R22.5-18PR(152/149M)[AS678]TKV无内</t>
  </si>
  <si>
    <t>225/70R19.5-14PR-CM983</t>
  </si>
  <si>
    <t>ID295/75R22.5-16PR(146/143L)[RLINE-T1]REDCLIFF无内</t>
  </si>
  <si>
    <t>225/70R19.5-14PR-ECO-MILE RDW</t>
  </si>
  <si>
    <t>ID285/75R24.5-14PR(144/141M)[SL11]威狮无内</t>
  </si>
  <si>
    <t>ID325/95R24-22PR(162/160K)[EZ509]TRAZANO(全诺)无内</t>
  </si>
  <si>
    <t>IDST175/80R13-6PR[ST-100A]91/87M GOODRIDE(好运)无内</t>
  </si>
  <si>
    <t>IDST205/75R15-10PR[ST-100A]111/106M 西湖无内</t>
  </si>
  <si>
    <t>IDST225/75R15-10PR[ST100]117/112M 西湖无内</t>
  </si>
  <si>
    <t>IDST225/75R15-10PR[ASSURE ST]117/112N XCELLENT无内</t>
  </si>
  <si>
    <t>IDST215/75R14-8PR[Tow pro st]108/103M SUPERMAX无内</t>
  </si>
  <si>
    <t>275/80R22.5-16PR-BMD06 PRO</t>
  </si>
  <si>
    <t>IDST215/75R14-6PR[ASSURE ST]102/98N XCELLENT无内</t>
  </si>
  <si>
    <t>285/75R24.5-16PR-M-TRAC AP</t>
  </si>
  <si>
    <t>ID(LB1206)ATV 25×10-12/6[AR12]FREE COUNTRY TL KOMODO</t>
  </si>
  <si>
    <t>ID12.00R20-18PR(154/151F)[CB332]C级GOODRIDE(好运)</t>
  </si>
  <si>
    <t>ID11.00R20-18PR(152/149F)[CB332A]C级雅度</t>
  </si>
  <si>
    <t>ID7.50R16-14PR(122/118F)[CB972]C级GOODRIDE(好运)</t>
  </si>
  <si>
    <t>295/75R22.5-16PR-AD759</t>
  </si>
  <si>
    <t>ID315/80R22.5-20PR(157/154K)[AD710A]TRAZANO(全诺)无内</t>
  </si>
  <si>
    <t>IDST175/80R13-6PR[DURAHAULER ST]91/87N EVERMAX无内</t>
  </si>
  <si>
    <t>ID11.00R20-18PR(152/149K)[CM988]TRAZANO(全诺)</t>
  </si>
  <si>
    <t>295/75R22.5-16PR-STEALTH S01</t>
  </si>
  <si>
    <t>ID295/75R22.5-16PR(146/143L)[HD2 PlusX]SUPERMAX ECO无内</t>
  </si>
  <si>
    <t>295/75R22.5-16PR-DOMINATE D01</t>
  </si>
  <si>
    <t>ID12.00R24-20PR(160/157F)[EZ345]朝阳</t>
  </si>
  <si>
    <t>ID6.00-9-12PR[STRONG GUARD LIFT]125A5 HERCULES</t>
  </si>
  <si>
    <t>385/65R22.5-20PR-CR976A</t>
  </si>
  <si>
    <t>ID(G105002)80/80-14-4P[H-577]37P GOODRIDE 纳米高抓 TL</t>
  </si>
  <si>
    <t>385/65R22.5-20PR-HA4 Plus</t>
  </si>
  <si>
    <t>ID(LB6701)ATV 25×8-12/6[AR67]FREE COUNTRY TL SILVERBACK</t>
  </si>
  <si>
    <t>425/65R22.5-20PR-AT557</t>
  </si>
  <si>
    <t>ID12.00R20-20PR(156/153F)[CB972]金冠</t>
  </si>
  <si>
    <t>425/65R22.5-20PR-HA4 Plus</t>
  </si>
  <si>
    <t>ID295/80R22.5-18PR(152/149L)[BRD02 ECO]Bransales无内</t>
  </si>
  <si>
    <t>ID295/80R22.5-18PR(152/149M)[BRA02 ECO]Bransales无内</t>
  </si>
  <si>
    <t>445/50R22.5-20PR-AD781</t>
  </si>
  <si>
    <t>ID285/75R24.5-16PR(147/144L)[HF1 Plus]SUPERMAX无内</t>
  </si>
  <si>
    <t>445/50R22.5-20PR-AT566</t>
  </si>
  <si>
    <t>IDST225/75R15-10PR[ST-100A]117/112M GOODRIDE(好运)无内</t>
  </si>
  <si>
    <t>11.00R20-18PR-EZ336</t>
  </si>
  <si>
    <t>IDST235/85R16-12PR[STZC]128/124L GOODRIDE(好运)无内</t>
  </si>
  <si>
    <t>11.00R20-18PR-AM4S.Q679</t>
  </si>
  <si>
    <t>IDST225/75R15-8PR[ST Radial]113/108M Tamarack无内 NR</t>
  </si>
  <si>
    <t>11.00R20-18PR-EZ867</t>
  </si>
  <si>
    <t>12.00R20-20PR-CB332</t>
  </si>
  <si>
    <t>ID10.00R20-18PR(149/146F)[CB972]金冠</t>
  </si>
  <si>
    <t>ID11R24.5-16PR(149/146M)[Strong Guard H-TL]HERCULES无内</t>
  </si>
  <si>
    <t>11R22.5-16PR-RLINE-S1</t>
  </si>
  <si>
    <t>ID385/65R22.5-20PR(160K)[AT532]ARISUN无内</t>
  </si>
  <si>
    <t>IDST205/75R15-8PR[ST-100A]107/102M GOODRIDE(好运)无内</t>
  </si>
  <si>
    <t>IDST235/80R16-10PR[ST Radial]124/120M Tamarack无内 NR</t>
  </si>
  <si>
    <t>ID10.00-20-16PR[R9038]146/142G GOODRIDE(好运)</t>
  </si>
  <si>
    <t>295/75R22.5-16PR-M-TRAC HS+</t>
  </si>
  <si>
    <t>295/75R22.5-16PR-RLINE-S1</t>
  </si>
  <si>
    <t>ID7.50R16-14PR(122/118L)[CR926+]朝阳</t>
  </si>
  <si>
    <t>ID295/80R22.5-18PR(152/149L)[AD153]ARISUN无内</t>
  </si>
  <si>
    <t>285/75R24.5-16PR-M-TRAC CSD</t>
  </si>
  <si>
    <t>215/75R17.5-18PR-AZ599</t>
  </si>
  <si>
    <t>IDST205/75R14-6PR[ST-100A]100/96M GOODRIDE(好运)无内</t>
  </si>
  <si>
    <t>225/70R19.5-14PR-M-TRAC RDW</t>
  </si>
  <si>
    <t>ID10.00R20中策垫带 （102凹）</t>
  </si>
  <si>
    <t>245/70R19.5-16PR-ECO-MILE RDW</t>
  </si>
  <si>
    <t>ID(D105007)100/80-14-6P[H-999-A]54P GOLDEN CROWN 纳米高抓 TL</t>
  </si>
  <si>
    <t>295/75R22.5-14PR-M-TRAC AP</t>
  </si>
  <si>
    <t>ID(LB1205)ATV 25×8-12/6[AR12]FREE COUNTRY TL KOMODO</t>
  </si>
  <si>
    <t>12R22.5-18PR-EZ870</t>
  </si>
  <si>
    <t>ID(LB6702)ATV 25×10-12/6[AR67]FREE COUNTRY TL SILVERBACK</t>
  </si>
  <si>
    <t>12R22.5-18PR-EZ867</t>
  </si>
  <si>
    <t>IDST205/75R14-6PR[ST-100A]100/96M 西湖无内</t>
  </si>
  <si>
    <t>10.00R20-18PR-BMA08</t>
  </si>
  <si>
    <t>IDST205/75R15-10PR[Tow pro st]111/106M SUPERMAX无内</t>
  </si>
  <si>
    <t>ID175/70R13PR[G-118]82T GOODRIDE(好运)无内</t>
  </si>
  <si>
    <t>IDST205/75R14-8PR[ST200]105/101M GOODRIDE(好运)无内 NR</t>
  </si>
  <si>
    <t>12.00R24-20PR-TZ304</t>
  </si>
  <si>
    <t>IDST225/75R15-8PR[ST200]113/108M GOODRIDE(好运)无内 NR</t>
  </si>
  <si>
    <t>ID275/80R22.5-16PR(149/146M)[G-PRO S]GRIPMASTER无内</t>
  </si>
  <si>
    <t>7.50R16-14PR-CB972pro</t>
  </si>
  <si>
    <t>ID315/80R22.5-20PR(157/154K)[CM913A]雅度无内</t>
  </si>
  <si>
    <t>7.50R16-14PR-AZ601+</t>
  </si>
  <si>
    <t>IDST205/75R14-8PR[ST Radial]105/101M Tamarack无内 NR</t>
  </si>
  <si>
    <t>295/75R22.5-14PR-H-RD</t>
  </si>
  <si>
    <t>ID11.00R20-20PR(154/151D)[AZ850]朝阳 东南亚</t>
  </si>
  <si>
    <t>295/75R22.5-16PR-H-RA</t>
  </si>
  <si>
    <t>ID11R22.5-16PR(148/145L)[AD716]威狮无内</t>
  </si>
  <si>
    <t>275/70R22.5-16PR-H-RA</t>
  </si>
  <si>
    <t>IDST205/75R15-8PR[ST100]107/102M HI-RUN无内</t>
  </si>
  <si>
    <t>IDST185/80R13-8PR[ST226]99/95L CASTLE ROCK无内 NR</t>
  </si>
  <si>
    <t>ID11.00R20-18PR(152/149K)[CM988]威狮</t>
  </si>
  <si>
    <t>11R22.5-16PR-H-RD</t>
  </si>
  <si>
    <t>ID11.00R20-18PR(152/149F)[EZ336]威狮</t>
  </si>
  <si>
    <t>ID295/80R22.5-18PR(152/149L)[AZ126T]STRADA R无内</t>
  </si>
  <si>
    <t>235/75R17.5-18PR-H-RA</t>
  </si>
  <si>
    <t>ID295/75R22.5-16PR(146/143L)[AD759]ARISUN无内</t>
  </si>
  <si>
    <t>245/75R22.5-14PR-H-RA</t>
  </si>
  <si>
    <t>ID295/75R22.5-16PR(146/143L)[PD211]PEARLY无内</t>
  </si>
  <si>
    <t>ID295/75R22.5-16PR(146/143L)[CM996+]威狮无内</t>
  </si>
  <si>
    <t>ID295/75R22.5-14PR(144/141M)[Strong Guard H-TL]HERCULES无内</t>
  </si>
  <si>
    <t>ID11R24.5-16PR(149/146L)[AS673]ARISUN无内</t>
  </si>
  <si>
    <t>ID11R24.5-16PR(149/146L)[Strong Guard H-RD]HERCULES无内</t>
  </si>
  <si>
    <t>ID11R22.5-16PR(146/143L)[AD178]金冠无内</t>
  </si>
  <si>
    <t>ID11R22.5-16PR(146/143L)[CM996]ARISUN无内</t>
  </si>
  <si>
    <t>ID295/80R22.5-18PR(152/149J)[CB972]威狮无内</t>
  </si>
  <si>
    <t>ID255/70R22.5-16PR(140/137M)[CR976A]威狮无内</t>
  </si>
  <si>
    <t>IDST235/80R16-10PR[STZC]124/120L 西湖无内</t>
  </si>
  <si>
    <t>IDST235/85R16-12PR[ST100]128/124M HI-RUN无内</t>
  </si>
  <si>
    <t>IDST215/75R14-6PR[STZC]102/98L 西湖无内</t>
  </si>
  <si>
    <t>ID23.5-25-20PR[CL728]威狮</t>
  </si>
  <si>
    <t>IDST205/75R15-8PR[ST Radial]107/102M Tamarack无内 NR</t>
  </si>
  <si>
    <t>ID12.00R24-20PR(160/156F)[ETOT]EFFIPLUS</t>
  </si>
  <si>
    <t>ID275/80R22.5-16PR(149/146M)[ECOLINE A-II]NEBULA无内</t>
  </si>
  <si>
    <t>IDST235/80R16-10PR[ST100]124/120M ARISUN无内</t>
  </si>
  <si>
    <t>IDST215/75R14-8PR[ST-100A]108/103M 西湖无内</t>
  </si>
  <si>
    <t>ID315/80R22.5-20PR(157/154K)[WSR1]威狮无内</t>
  </si>
  <si>
    <t>IDST205/75R14-8PR[ST100]105/101M ARISUN无内</t>
  </si>
  <si>
    <t>IDST215/75R14-8PR[ST100]108/103M 西湖无内</t>
  </si>
  <si>
    <t>ID11R22.5-16PR(146/143M)[HT1 PlusX]SUPERMAX ECO无内</t>
  </si>
  <si>
    <t>ID12.00R24-20PR(160/157C)[MT100]UNITED</t>
  </si>
  <si>
    <t>IDST225/75R15-10PR[STZC]117/112L 西湖无内</t>
  </si>
  <si>
    <t>ID245/70R19.5-14PR(133/131L)[Strong Guard H-RA]HERCULES无内</t>
  </si>
  <si>
    <t>ID385/65R22.5-20PR(160K)[WSR1]威狮无内</t>
  </si>
  <si>
    <t>ID445/50R22.5-20PR(161L)[VA905]VITOUR无内</t>
  </si>
  <si>
    <t>IDST175/80R13-6PR[ST-100A]91/87M 西湖无内</t>
  </si>
  <si>
    <t>IDST175/80R13-6PR[STZC]91/87L 西湖无内</t>
  </si>
  <si>
    <t>ID295/75R22.5-14PR(144/141M)[I-19A]C级IRONMAN无内</t>
  </si>
  <si>
    <t>ID275/80R22.5-16PR(149/146M)[ECOTRAX D-II]NEBULA无内</t>
  </si>
  <si>
    <t>ID325/95R24-22PR(162/160K)[AZ828]GOODRIDE(好运)无内</t>
  </si>
  <si>
    <t>IDST235/80R16-10PR[Tow pro st]124/120M SUPERMAX无内</t>
  </si>
  <si>
    <t>IDST225/75R15-10PR[ST226]117/112L GOODRIDE(好运)无内 NR</t>
  </si>
  <si>
    <t>ID17.5L-24-10PR[BHL-100]ACES无内</t>
  </si>
  <si>
    <t>ID(D105006)100/80-14-4P[H-999-A]48P GOLDEN CROWN 纳米高抓 TL</t>
  </si>
  <si>
    <t>ID285/75R24.5-14PR(144/141L)[DA23]威狮无内</t>
  </si>
  <si>
    <t>ID255/70R22.5-16PR(140/137L)[DA23]威狮无内</t>
  </si>
  <si>
    <t>IDST235/80R16-10PR[ST-100A]124/120N ARISUN无内</t>
  </si>
  <si>
    <t>IDST235/80R16-10PR[ST-100A]124/120N 西湖无内</t>
  </si>
  <si>
    <t>ID12.00R20-22PR(158/155F)[CB972]朝阳 东南亚</t>
  </si>
  <si>
    <t>IDST175/80R13-6PR[ST226]91/87L 西湖无内 NR</t>
  </si>
  <si>
    <t>ID10.00R20-18PR(149/146J)[CM998]威狮</t>
  </si>
  <si>
    <t>ID315/80R22.5-20PR(157/154K)[CM913A]威狮无内</t>
  </si>
  <si>
    <t>ID295/80R22.5-18PR(152/149M)[G-PRO D]C级GRIPMASTER无内</t>
  </si>
  <si>
    <t>ID445/65R22.5-20PR(169K)[AZ577]威狮无内</t>
  </si>
  <si>
    <t>IDST205/75R14-8PR[Tow pro st]105/101M SUPERMAX无内</t>
  </si>
  <si>
    <t>IDST205/75R14-8PR[ASSURE ST]105/101N XCELLENT无内</t>
  </si>
  <si>
    <t>ID(SFA3301)ATV 25×8-12/6[A033]SUNF POWER TL</t>
  </si>
  <si>
    <t>ID(SFA3302)ATV 25×10-12/6[A033]SUNF POWER TL</t>
  </si>
  <si>
    <t>ID7.50R16-14PR(122/118L)[CR926]ARISUN</t>
  </si>
  <si>
    <t>ID315/80R22.5-20PR(157/154K)[HA3 Plus]SUPERMAX无内</t>
  </si>
  <si>
    <t>ID(G104005)90/90-12-4P[H-565-2]54J GOODRIDE 纳米高抓 TL 配套 E4-75R-0011097</t>
  </si>
  <si>
    <t>ID12.00R20-20PR(156/153F)[CB332]雅度</t>
  </si>
  <si>
    <t>ID295/80R22.5-18PR(154/149M)[GSR1]GOODRIDE(好运)无内</t>
  </si>
  <si>
    <t>ID285/75R24.5-14PR(144/141L)[DL22]威狮无内</t>
  </si>
  <si>
    <t>ID285/75R24.5-14PR(144/141L)[DL21]威狮无内</t>
  </si>
  <si>
    <t>ID425/65R22.5-20PR(165K)[AZ577]朝阳无内</t>
  </si>
  <si>
    <t>IDST205/75R15-8PR[ST-100A]107/102M 西湖无内</t>
  </si>
  <si>
    <t>ID12.00R20-20PR(156/153J)[EZ867]威狮</t>
  </si>
  <si>
    <t>ID11R22.5-16PR(148/145M)[SL11]威狮无内</t>
  </si>
  <si>
    <t>IDST205/75R15-8PR[ST-100A]107/102M ARISUN无内</t>
  </si>
  <si>
    <t>ID10.00R20-18PR(149/146J)[CM958]威狮</t>
  </si>
  <si>
    <t>ID315/80R22.5-20PR(157/154K)[CR926B]ARISUN无内</t>
  </si>
  <si>
    <t>ID295/75R22.5-16PR(146/143M)[CM980]威狮无内</t>
  </si>
  <si>
    <t>ID275/70R22.5-16PR(148/145L)[AZ692]ARISUN无内</t>
  </si>
  <si>
    <t>ID11R22.5-16PR(146/143L)[AS600+]ARISUN无内</t>
  </si>
  <si>
    <t>IDST225/75R15-10PR[ST100]117/112M HI-RUN无内</t>
  </si>
  <si>
    <t>ID10.00R20-18PR(149/146J)[CM998]GOODRIDE(好运)</t>
  </si>
  <si>
    <t>ID12.00R20-22PR(158/155F)[EZ345]雅度 东南亚</t>
  </si>
  <si>
    <t>ID12.00R20-22PR(158/155F)[TRD-71]朝阳 东南亚</t>
  </si>
  <si>
    <t>ID10.00R20-18PR(149/146J)[CR926 MAX]威狮</t>
  </si>
  <si>
    <t>ID10.00R20-18PR(149/146J)[AZ601]朝阳</t>
  </si>
  <si>
    <t>ID11R24.5-16PR(149/146L)[AZ692]ARISUN无内</t>
  </si>
  <si>
    <t>ID11R22.5-16PR(146/143L)[AS673]ARISUN无内</t>
  </si>
  <si>
    <t>ID11R22.5-16PR(146/143L)[CR989+]朝阳无内</t>
  </si>
  <si>
    <t>ID325/95R24-22PR(162/160K)[CM913A]C级DIDAR无内</t>
  </si>
  <si>
    <t>IDST205/75R14-8PR[ST-100A]105/101M 西湖无内</t>
  </si>
  <si>
    <t>IDST215/75R14-8PR[ASSURE ST]108/103N XCELLENT无内</t>
  </si>
  <si>
    <t>ID12R22.5-20PR(154/151L)[AZ850M]朝阳无内</t>
  </si>
  <si>
    <t>ID255/70R22.5-16PR(140/137M)[AS678]朝阳无内</t>
  </si>
  <si>
    <t>IDST225/75R15-10PR[ST-100A]117/112M 西湖无内</t>
  </si>
  <si>
    <t>IDST225/75R15-10PR[Tow pro st]117/112M SUPERMAX无内</t>
  </si>
  <si>
    <t>ID10.00R20-18PR(149/146J)[AZ183]日升</t>
  </si>
  <si>
    <t>ID295/75R22.5-14PR(144/141L)[AD737]ARISUN无内</t>
  </si>
  <si>
    <t>ID295/75R22.5-14PR(144/141L)[AS673]ARISUN无内</t>
  </si>
  <si>
    <t>ID295/75R22.5-14PR(144/141L)[AD757]朝阳无内</t>
  </si>
  <si>
    <t>ID11R22.5-18PR(149/146L)[AS858]GOODRIDE(好运)无内</t>
  </si>
  <si>
    <t>ID11R22.5-16PR(146/143L)[AZ692]ARISUN无内</t>
  </si>
  <si>
    <t>IDST235/85R16-12PR[ST-100A]128/124M 西湖无内</t>
  </si>
  <si>
    <t>IDST205/75R15-8PR[STZC]107/102L 西湖无内</t>
  </si>
  <si>
    <t>ID11.00R20-18PR(152/149F)[EZ336]雅度</t>
  </si>
  <si>
    <t>ID295/75R22.5-16PR(146/143L)[CR989+]朝阳无内</t>
  </si>
  <si>
    <t>ID295/75R22.5-16PR(146/143L)[AS600+]ARISUN无内</t>
  </si>
  <si>
    <t>ID215/75R17.5-16PR(135/133L)[AS673]ARISUN无内</t>
  </si>
  <si>
    <t>ID11R22.5-14PR(144/142M)[AT598]威狮无内</t>
  </si>
  <si>
    <t>IDST205/75R15-8PR[STZC]107/102L 朝阳无内</t>
  </si>
  <si>
    <t>IDST175/80R13-6PR[ST226]91/87L CASTLE ROCK无内 NR</t>
  </si>
  <si>
    <t>ID315/80R22.5-20PR(161/157J)[VDM924]VITOUR无内</t>
  </si>
  <si>
    <t>ID295/80R22.5-18PR(152/149M)[Strong Guard H-RA]HERCULES无内</t>
  </si>
  <si>
    <t>ID11R22.5-18PR(149/146L)[AS858]威狮无内</t>
  </si>
  <si>
    <t>ID(LB1105)ATV 26×12R12/8[AR11]FREE COUNTRY TL BUFFALO</t>
  </si>
  <si>
    <t>ID295/80R22.5-18PR(152/149J)[CB972]朝阳无内</t>
  </si>
  <si>
    <t>ID295/75R22.5-16PR(146/143L)[CM996]朝阳无内</t>
  </si>
  <si>
    <t>ID11R24.5-16PR(149/146L)[AD778]ARISUN无内</t>
  </si>
  <si>
    <t>ID11R22.5-16PR(146/143L)[AD778]ARISUN无内</t>
  </si>
  <si>
    <t>ID11.00R20-18PR(152/149K)[TZ202]C级TIANLI</t>
  </si>
  <si>
    <t>ID11.00R20-18PR(152/149K)[AZ850]C级雅度</t>
  </si>
  <si>
    <t>ID11.00R20-18PR(152/149K)[CR926+]C级威狮</t>
  </si>
  <si>
    <t>ID11.00R20-18PR(152/149K)[CR926+]C级ARISUN</t>
  </si>
  <si>
    <t>ID11.00R20-18PR(152/149K)[CR926+]C级金冠</t>
  </si>
  <si>
    <t>ID11.00R20-18PR(152/149F)[CB332A]C级威狮</t>
  </si>
  <si>
    <t>ID11.00R20-18PR(152/149F)[CB905A]C级雅度</t>
  </si>
  <si>
    <t>ID10.00R20-18PR(149/146J)[CR926]C级ARISUN</t>
  </si>
  <si>
    <t>ID10.00R20-18PR(149/146K)[MOBY.R856X]C级EFFIPLUS</t>
  </si>
  <si>
    <t>ID7.50R16-14PR(122/118L)[CM988]C级金冠</t>
  </si>
  <si>
    <t>ID315/80R22.5-20PR(157/154K)[CM958]C级雅度无内</t>
  </si>
  <si>
    <t>ID315/80R22.5-20PR(157/154K)[CR926B]C级威狮无内</t>
  </si>
  <si>
    <t>ID315/80R22.5-20PR(161/157K)[VA996]C级VITOUR无内</t>
  </si>
  <si>
    <t>ID315/80R22.5-20PR(161/157K)[I-31M]C级IRONMAN无内</t>
  </si>
  <si>
    <t>ID295/80R22.5-18PR(152/149M)[RF35]C级RODOFORT无内</t>
  </si>
  <si>
    <t>ID295/80R22.5-18PR(152/149M)[AT167]C级金冠无内</t>
  </si>
  <si>
    <t>ID295/80R22.5-18PR(152/149M)[ECOLINE A-I]C级NEBULA无内</t>
  </si>
  <si>
    <t>ID295/80R22.5-18PR(152/149M)[AS567]C级威狮无内</t>
  </si>
  <si>
    <t>ID295/80R22.5-18PR(154/149M)[WSR1]C级威狮无内</t>
  </si>
  <si>
    <t>ID295/80R22.5-18PR(154/149L)[WDA2]C级威狮无内</t>
  </si>
  <si>
    <t>ID295/75R22.5-16PR(146/143M)[AS200]C级ANTINI无内</t>
  </si>
  <si>
    <t>ID295/75R22.5-16PR(146/143M)[AS201]C级ANTINI无内</t>
  </si>
  <si>
    <t>ID295/75R22.5-16PR(146/143M)[I-19A]C级IRONMAN无内</t>
  </si>
  <si>
    <t>ID295/75R22.5-16PR(146/143L)[VXD932]C级VITOUR无内</t>
  </si>
  <si>
    <t>ID295/75R22.5-16PR(146/143L)[RLINE-D2]C级REDCLIFF无内</t>
  </si>
  <si>
    <t>ID295/75R22.5-16PR(146/143L)[KOBE APM]C级ITARO无内</t>
  </si>
  <si>
    <t>ID295/75R22.5-16PR(146/143L)[KOBE DPM]C级ITARO无内</t>
  </si>
  <si>
    <t>ID295/75R22.5-16PR(146/143L)[M-TRAC AP]C级MASTERTRACK无内</t>
  </si>
  <si>
    <t>ID295/75R22.5-16PR(146/143L)[HD1 Plus]C级SUPERMAX无内</t>
  </si>
  <si>
    <t>ID295/75R22.5-14PR(144/141M)[CR915]C级TRAZANO(全诺)无内</t>
  </si>
  <si>
    <t>ID295/75R22.5-14PR(144/141L)[I-37D]C级IRONMAN无内</t>
  </si>
  <si>
    <t>ID285/75R24.5-16PR(147/144L)[VA996]C级VITOUR无内</t>
  </si>
  <si>
    <t>ID285/75R24.5-14PR(144/141M)[I-19A]C级IRONMAN无内</t>
  </si>
  <si>
    <t>ID285/75R24.5-14PR(144/141L)[Strong Guard H-TL]C级HERCULES无内</t>
  </si>
  <si>
    <t>ID285/75R24.5-14PR(144/141L)[HF1 Plus]C级SUPERMAX无内</t>
  </si>
  <si>
    <t>ID285/75R24.5-14PR(144/141L)[HD1 Plus]C级SUPERMAX无内</t>
  </si>
  <si>
    <t>ID285/75R24.5-14PR(144/141L)[I-28D]C级IRONMAN无内</t>
  </si>
  <si>
    <t>ID245/70R19.5-16PR(136/134M)[HF1 Plus]C级SUPERMAX无内</t>
  </si>
  <si>
    <t>ID225/70R19.5-14PR(128/126M)[VD935]C级VITOUR无内</t>
  </si>
  <si>
    <t>ID225/70R19.5-14PR(128/126N)[AZ599]C级GOODRIDE(好运)无内</t>
  </si>
  <si>
    <t>ID225/70R19.5-14PR(128/126N)[M-TRAC AP]C级MASTERTRACK无内</t>
  </si>
  <si>
    <t>ID225/70R19.5-14PR(128/126N)[HF1 Plus]C级SUPERMAX无内</t>
  </si>
  <si>
    <t>ID225/70R19.5-14PR(128/126N)[HD3 Plus]C级SUPERMAX无内</t>
  </si>
  <si>
    <t>ID215/75R17.5-16PR(135/133J)[CM986]C级雅度无内</t>
  </si>
  <si>
    <t>ID11R24.5-16PR(149/146M)[AS200]C级ANTINI无内</t>
  </si>
  <si>
    <t>ID11R24.5-16PR(149/146L)[VD908]C级VITOUR无内</t>
  </si>
  <si>
    <t>ID11R24.5-16PR(149/146L)[VXD932]C级VITOUR无内</t>
  </si>
  <si>
    <t>ID11R24.5-16PR(149/146L)[AD600]C级ANTINI无内</t>
  </si>
  <si>
    <t>ID11R24.5-16PR(149/146L)[KOBE DPM]C级ITARO无内</t>
  </si>
  <si>
    <t>ID11R24.5-16PR(149/146L)[HF1 Plus]C级SUPERMAX无内</t>
  </si>
  <si>
    <t>ID11R24.5-16PR(149/146L)[HD1 Plus]C级SUPERMAX无内</t>
  </si>
  <si>
    <t>ID11R22.5-18PR(149/146L)[AZ850]C级雅度无内</t>
  </si>
  <si>
    <t>ID11R22.5-16PR(146/143M)[AS200]C级ANTINI无内</t>
  </si>
  <si>
    <t>ID11R22.5-16PR(146/143M)[KOBE APM]C级ITARO无内</t>
  </si>
  <si>
    <t>ID11R22.5-16PR(146/143M)[Strong Guard H-RA]C级HERCULES无内</t>
  </si>
  <si>
    <t>ID11R22.5-16PR(146/143L)[KOBE DPM]C级ITARO无内</t>
  </si>
  <si>
    <t>ID11R22.5-16PR(148/145L)[M-TRAC AP]C级MASTERTRACK无内</t>
  </si>
  <si>
    <t>ID11R22.5-16PR(148/145L)[HD1 Plus]C级SUPERMAX无内</t>
  </si>
  <si>
    <t>ID11R22.5-16PR(148/145L)[I-52A]C级IRONMAN无内</t>
  </si>
  <si>
    <t>ID255/70R22.5-16PR(140/137M)[M-TRAC AP]C级MASTERTRACK无内</t>
  </si>
  <si>
    <t>ID255/70R22.5-16PR(140/137M)[HF1 Plus]C级SUPERMAX无内</t>
  </si>
  <si>
    <t>ID12.00R24-20PR(160/157F)[CB332]C级雅度</t>
  </si>
  <si>
    <t>ID275/80R22.5-16PR(149/146M)[AZ179]C级力奔无内</t>
  </si>
  <si>
    <t>ID275/80R22.5-16PR(149/146L)[G-PRO MSA]C级GRIPMASTER无内</t>
  </si>
  <si>
    <t>ID275/80R22.5-16PR(149/146L)[EZ573]C级朝阳无内</t>
  </si>
  <si>
    <t>ID265/70R19.5-18PR(143/141K)[I-19A]C级IRONMAN无内</t>
  </si>
  <si>
    <t>ID235/75R17.5-18PR(143/141L)[VA933]C级VITOUR无内</t>
  </si>
  <si>
    <t>ID235/75R17.5-18PR(143/141L)[I-19A]C级IRONMAN无内</t>
  </si>
  <si>
    <t>ID325/95R24-22PR(162/160K)[AZ691]C级DIDAR无内</t>
  </si>
  <si>
    <t>ID325/95R24-22PR(162/160K)[EZ865]C级ARISUN无内</t>
  </si>
  <si>
    <t>ID325/95R24-22PR(162/160F)[CB972]C级雅度无内</t>
  </si>
  <si>
    <t>ID445/50R22.5-20PR(161L)[AT570]C级ARISUN无内</t>
  </si>
  <si>
    <t>ID11.00R20-18PR(152/149K)[ETRF]C级TECHKING</t>
  </si>
  <si>
    <t>ID12.00R20-20PR(156/153F)[CB972]C级朝阳</t>
  </si>
  <si>
    <t>ID12.00R20-18PR(154/151F)[TZ304]C级TIANLI</t>
  </si>
  <si>
    <t>ID11.00R20-18PR(152/149K)[AZ850]C级朝阳</t>
  </si>
  <si>
    <t>ID11.00R20-18PR(152/149F)[CB972]C级ARISUN</t>
  </si>
  <si>
    <t>ID11.00R20-18PR(152/149F)[TZ101]C级TIANLI</t>
  </si>
  <si>
    <t>ID10.00R20-18PR(149/146F)[CB972]C级ARISUN</t>
  </si>
  <si>
    <t>ID295/80R22.5-18PR(152/149M)[CM335]C级威狮无内</t>
  </si>
  <si>
    <t>ID295/80R22.5-18PR(152/149M)[AS868Pro]C级金冠无内</t>
  </si>
  <si>
    <t>ID295/80R22.5-18PR(152/149M)[ECOTRAX D-I]C级NEBULA无内</t>
  </si>
  <si>
    <t>ID295/75R22.5-16PR(146/143L)[VD998]C级VITOUR无内</t>
  </si>
  <si>
    <t>ID295/75R22.5-14PR(144/141L)[HF1 Plus]C级SUPERMAX无内</t>
  </si>
  <si>
    <t>ID295/75R22.5-14PR(144/141L)[HD1 Plus]C级SUPERMAX无内</t>
  </si>
  <si>
    <t>ID285/75R24.5-16PR(147/144L)[VD998]C级VITOUR无内</t>
  </si>
  <si>
    <t>ID285/75R24.5-16PR(148/145L)[I-52A]C级IRONMAN无内</t>
  </si>
  <si>
    <t>ID285/75R24.5-16PR(147/144M)[I-61S]C级IRONMAN无内</t>
  </si>
  <si>
    <t>ID245/70R19.5-16PR(136/134M)[VD935]C级VITOUR无内</t>
  </si>
  <si>
    <t>ID245/70R19.5-16PR(136/134M)[HD3 Plus]C级SUPERMAX无内</t>
  </si>
  <si>
    <t>ID215/75R17.5-16PR(135/133J)[HF1 Plus]C级SUPERMAX无内</t>
  </si>
  <si>
    <t>ID11R24.5-16PR(149/146M)[VA996]C级VITOUR无内</t>
  </si>
  <si>
    <t>ID11R24.5-16PR(149/146L)[KOBE APM]C级ITARO无内</t>
  </si>
  <si>
    <t>ID11R24.5-16PR(149/146L)[AZ579]C级威狮无内</t>
  </si>
  <si>
    <t>ID11R22.5-16PR(146/143M)[VA996]C级VITOUR无内</t>
  </si>
  <si>
    <t>ID11R22.5-16PR(146/143M)[VT993]C级VITOUR无内</t>
  </si>
  <si>
    <t>ID11R22.5-16PR(148/145L)[M-TRAC CSD]C级MASTERTRACK无内</t>
  </si>
  <si>
    <t>ID12.00R24-20PR(160/157F)[CB972]C级GOODRIDE(好运)</t>
  </si>
  <si>
    <t>ID12.00R24-20PR(160/157F)[TZ101]C级TIANLI</t>
  </si>
  <si>
    <t>ID325/95R24-22PR(162/160K)[CM912A]C级DIDAR无内</t>
  </si>
  <si>
    <t>ID445/50R22.5-20PR(161L)[M-TRAC WBT]C级MASTERTRACK无内</t>
  </si>
  <si>
    <t>ID(G104004)80/90-12-6P[H-565-2]53J GOODRIDE  纳米高抓 TL 配套</t>
  </si>
  <si>
    <t>ID12.00R20-18PR(154/151F)[CB919]C级ARISUN</t>
  </si>
  <si>
    <t>ID10.00R20-18PR(149/146J)[CM988]C级GOODRIDE(好运)</t>
  </si>
  <si>
    <t>ID10.00R20-16PR(146/143K)[I-181]C级IRONMAN</t>
  </si>
  <si>
    <t>ID8.25R16-16PR(128/124L)[CR926]C级威狮</t>
  </si>
  <si>
    <t>ID7.50R16-14PR(122/118L)[MOBY.R856X]C级EFFIPLUS</t>
  </si>
  <si>
    <t>ID295/80R22.5-18PR(152/149L)[AZ183]C级金冠无内</t>
  </si>
  <si>
    <t>ID295/80R22.5-18PR(152/149M)[AD818]C级朝阳无内</t>
  </si>
  <si>
    <t>ID295/75R22.5-16PR(146/143M)[AT100]C级ANTINI无内</t>
  </si>
  <si>
    <t>ID295/75R22.5-16PR(146/143L)[HF1 Plus]C级SUPERMAX无内</t>
  </si>
  <si>
    <t>ID295/75R22.5-14PR(144/141M)[VA996]C级VITOUR无内</t>
  </si>
  <si>
    <t>ID295/75R22.5-14PR(144/141L)[AD716]C级GOODRIDE(好运)无内</t>
  </si>
  <si>
    <t>ID285/75R24.5-16PR(147/144M)[SL11]C级威狮无内</t>
  </si>
  <si>
    <t>ID275/70R22.5-18PR(152/148L)[I-19A]C级IRONMAN无内</t>
  </si>
  <si>
    <t>ID11R22.5-16PR(146/143L)[VXD932]C级VITOUR无内</t>
  </si>
  <si>
    <t>AD600/PD211</t>
  </si>
  <si>
    <t>ID11R22.5-16PR(146/143L)[HD2 Plus]C级SUPERMAX无内</t>
  </si>
  <si>
    <t>ID11R22.5-16PR(148/145L)[HF1 Plus]C级SUPERMAX无内</t>
  </si>
  <si>
    <t>ID235/75R17.5-16PR(143/141J)[HF1 Plus]C级SUPERMAX无内</t>
  </si>
  <si>
    <t>IDST205/75R14-8PR[ST-100A]105/101M ARISUN无内</t>
  </si>
  <si>
    <t>ID11.00R20-20PR(154/151D)[AZ850]C级雅度</t>
  </si>
  <si>
    <t>ID11.00R20-20PR(154/151D)[CB905A]C级雅度</t>
  </si>
  <si>
    <t>ID11.00R20-18PR(152/149K)[CM988]C级GOODRIDE(好运)</t>
  </si>
  <si>
    <t>ID10.00R20-18PR(149/146J)[CM988]C级金冠</t>
  </si>
  <si>
    <t>ID315/80R22.5-20PR(157/154K)[CR926B]C级雅度无内</t>
  </si>
  <si>
    <t>AS200/PS221</t>
  </si>
  <si>
    <t>ID295/80R22.5-18PR(152/149M)[AD733]C级威狮无内</t>
  </si>
  <si>
    <t>ID295/80R22.5-18PR(152/149M)[AS898]C级雅度无内</t>
  </si>
  <si>
    <t>ID295/80R22.5-18PR(154/149L)[WSA2]C级威狮无内</t>
  </si>
  <si>
    <t>ID215/75R17.5-16PR(135/133J)[CM986]TRAZANO(全诺)无内</t>
  </si>
  <si>
    <t>ID11R24.5-16PR(149/146L)[ZA12]C级威狮无内</t>
  </si>
  <si>
    <t>ID11R24.5-16PR(149/146L)[AD716]C级GOODRIDE(好运)无内</t>
  </si>
  <si>
    <t>AT100/PT101</t>
  </si>
  <si>
    <t>ID11R24.5-16PR(149/146L)[HD2 Plus]C级SUPERMAX无内</t>
  </si>
  <si>
    <t>ID11R22.5-16PR(146/143L)[VD908]C级VITOUR无内</t>
  </si>
  <si>
    <t>AS201/PS210</t>
  </si>
  <si>
    <t>ID11R22.5-16PR(146/143L)[VA991]C级VITOUR无内</t>
  </si>
  <si>
    <t>ID11R22.5-16PR(148/145L)[RLINE-D2]C级REDCLIFF无内</t>
  </si>
  <si>
    <t>ID11R22.5-16PR(148/145L)[AZ850]C级雅度无内</t>
  </si>
  <si>
    <t>ID11R22.5-16PR(148/145L)[AZ599]C级GOODRIDE(好运)无内</t>
  </si>
  <si>
    <t>ID12.00R24-20PR(160/157F)[CB919]C级ARISUN</t>
  </si>
  <si>
    <t>ID275/80R22.5-16PR(149/146J)[CR906]C级威狮无内</t>
  </si>
  <si>
    <t>ID325/95R24-22PR(162/160K)[MD752]C级TRAZANO(全诺)无内</t>
  </si>
  <si>
    <t>ID325/95R24-22PR(162/160F)[CB972]C级威狮无内</t>
  </si>
  <si>
    <t>ID325/95R24-22PR(162/160F)[CM913A]C级威狮无内</t>
  </si>
  <si>
    <t>IDST215/75R14-8PR[ST100]108/103M ARISUN无内</t>
  </si>
  <si>
    <t>IDST215/75R14-8PR[ST-100A]108/103M ARISUN无内</t>
  </si>
  <si>
    <t>IDST205/75R14-8PR[ST226]105/101L GOODRIDE(好运)无内 NR</t>
  </si>
  <si>
    <t>ID12R22.5-20PR(154/151L)[AZ850M]雅度无内</t>
  </si>
  <si>
    <t>ID(LB1209)ATV 26×12-12/6[AR12]FREE COUNTRY TL KOMODO</t>
  </si>
  <si>
    <t>ID10.00R20-18PR(149/146J)[CM988]C级威狮</t>
  </si>
  <si>
    <t>ID295/75R22.5-16PR(146/143M)[VT993]C级VITOUR无内</t>
  </si>
  <si>
    <t>ID325/95R24-22PR(162/160K)[AZ828]C级TRAZANO(全诺)无内</t>
  </si>
  <si>
    <t>ID12.00R20-18PR(154/151F)[CB332]C级威狮</t>
  </si>
  <si>
    <t>ID295/80R22.5-18PR(152/149M)[BRA07 ECO]C级BRANSALES无内</t>
  </si>
  <si>
    <t>ID10.00R20-18PR(149/146J)[TZ202]C级TIANLI</t>
  </si>
  <si>
    <t>ID12.00R24-20PR(160/156F)[ETOT]C级TECHKING</t>
  </si>
  <si>
    <t>ID445/50R22.5-20PR(161L)[AT566]威狮无内</t>
  </si>
  <si>
    <t>ID295/80R22.5-18PR(152/149M)[G-PRO S]C级GRIPMASTER无内</t>
  </si>
  <si>
    <t>ID295/75R22.5-16PR(146/143M)[VA996]C级VITOUR无内</t>
  </si>
  <si>
    <t>ID245/70R17.5-18PR(143/141J)[I-19A]C级IRONMAN无内</t>
  </si>
  <si>
    <t>ID12.00R20-20PR(156/153J)[EZ865]朝阳</t>
  </si>
  <si>
    <t>ID10.00R20-18PR(149/146F)[EZ835]朝阳</t>
  </si>
  <si>
    <t>ID295/75R22.5-16PR(146/143M)[HT1 PlusX]SUPERMAX ECO无内</t>
  </si>
  <si>
    <t>IDST215/75R14-8PR[ST100]108/103M GOODRIDE(好运)无内</t>
  </si>
  <si>
    <t>IDST215/75R14-8PR[DURAHAULER ST]108/103N EVERMAX无内</t>
  </si>
  <si>
    <t>ID(LB1103)ATV 26×9R12/8[AR11]FREE COUNTRY TL BUFFALO</t>
  </si>
  <si>
    <t>ID(LB1104)ATV 26×10R12/8[AR11]FREE COUNTRY TL BUFFALO</t>
  </si>
  <si>
    <t>ID10.00-20-18PR[CL956]150/145G 朝阳</t>
  </si>
  <si>
    <t>ID11.00R20-18PR(152/149F)[MT100]UNITED</t>
  </si>
  <si>
    <t>IDST215/75R14-8PR[ST-100A]108/103M GOODRIDE(好运)无内</t>
  </si>
  <si>
    <t>ID445/50R22.5-20PR(161L)[TL32]C级威狮无内</t>
  </si>
  <si>
    <t>ID445/65R22.5-20PR(169K)[Strong Guard H-MW]HERCULES无内</t>
  </si>
  <si>
    <t>ID295/80R22.5-18PR(152/149M)[WDR1]C级威狮无内</t>
  </si>
  <si>
    <t>ID12R22.5-18PR(152/149K)[Strong Guard H-MD]HERCULES无内</t>
  </si>
  <si>
    <t>ID255/70R22.5-16PR(140/137M)[VA996]VITOUR无内</t>
  </si>
  <si>
    <t>ID11R24.5-16PR(149/146L)[VD998]C级VITOUR无内</t>
  </si>
  <si>
    <t>IDST205/75R15-10PR[ST100]111/106M ARISUN无内</t>
  </si>
  <si>
    <t>ID12.00R20-20PR(156/153F)[CB972]C级雅度</t>
  </si>
  <si>
    <t>ID12R22.5-20PR(154/151L)[AS898H]C级威狮无内</t>
  </si>
  <si>
    <t>ID(LBF201)ATV 18×8.50-8/4[TF02]FREE COUNTRY TL NEO-RIDE</t>
  </si>
  <si>
    <t>ID295/80R22.5-18PR(152/149M)[AD733]STRADA R无内</t>
  </si>
  <si>
    <t>IDST235/80R16-10PR[ST100]124/120M HI-RUN无内</t>
  </si>
  <si>
    <t>IDST225/75R15-10PR[ST226]117/112L CASTLE ROCK无内 NR</t>
  </si>
  <si>
    <t>ID(G101001)3.00-10-6P[H-788-2]47J GOODRIDE 纳米高抓 TL 配套 E4-75R-0015074</t>
  </si>
  <si>
    <t>ID5.70-8-6PR[SU201]77M HI RUN无内</t>
  </si>
  <si>
    <t>ID11R24.5-16PR(149/146L)[AD737]ARISUN无内</t>
  </si>
  <si>
    <t>ID11R22.5-16PR(148/145M)[CR960A]威狮无内</t>
  </si>
  <si>
    <t>ID11R22.5-16PR(146/143L)[AS600]ARISUN无内</t>
  </si>
  <si>
    <t>ID12.00R20-18PR(154/151F)[CB332]C级雅度</t>
  </si>
  <si>
    <t>ID11.00R20-18PR(152/149K)[AS678]C级GOODRIDE(好运)</t>
  </si>
  <si>
    <t>ID11.00R20-18PR(152/149F)[CB972]C级TRAZANO(全诺)</t>
  </si>
  <si>
    <t>ID11.00R20-18PR(152/149F)[EZ330A]C级GOODRIDE(好运)</t>
  </si>
  <si>
    <t>ID11.00R20-18PR(152/149F)[CB905A]C级金冠</t>
  </si>
  <si>
    <t>ID315/80R22.5-20PR(157/154K)[CR926B]雅度无内</t>
  </si>
  <si>
    <t>ID295/80R22.5-18PR(152/149M)[AD818]朝阳无内</t>
  </si>
  <si>
    <t>ID11R24.5-16PR(149/146L)[I-37D]C级IRONMAN无内</t>
  </si>
  <si>
    <t>ID12.00R24-20PR(160/157F)[MT100 MAX]C级UNITED</t>
  </si>
  <si>
    <t>ID325/95R24-22PR(162/160F)[CB332]威狮无内</t>
  </si>
  <si>
    <t>ID10.00R20-18PR(149/146F)[CB972]C级TRAZANO(全诺)</t>
  </si>
  <si>
    <t>ID10.00R20-18PR(149/146F)[CB332]C级朝阳</t>
  </si>
  <si>
    <t>ID10.00R20-16PR(146/143K)[I-181]IRONMAN</t>
  </si>
  <si>
    <t>ID295/75R22.5-16PR(146/143M)[AT100]ANTINI无内</t>
  </si>
  <si>
    <t>ID11R24.5-16PR(149/146L)[AT167]金冠无内</t>
  </si>
  <si>
    <t>ID325/95R24-22PR(162/160K)[EZ865]ARISUN无内</t>
  </si>
  <si>
    <t>ID445/50R22.5-20PR(161L)[M-TRAC WBT]MASTERTRACK无内</t>
  </si>
  <si>
    <t>ID295/80R22.5-18PR(152/149M)[AT196]金冠无内</t>
  </si>
  <si>
    <t>IDST235/85R16-12PR[ST226]128/124L CASTLE ROCK无内 NR</t>
  </si>
  <si>
    <t>ID10.00-20-18PR[CL956]150/145G 威狮</t>
  </si>
  <si>
    <t>ID7.50-16-14PR[M8087]122/118G 雅度</t>
  </si>
  <si>
    <t>ID315/80R22.5-20PR(161/157K)[I-52A]C级IRONMAN无内</t>
  </si>
  <si>
    <t>ID295/80R22.5-18PR(152/149M)[TUCSON D]C级STRYKER无内</t>
  </si>
  <si>
    <t>ID295/75R22.5-16PR(146/143L)[AD600]C级ANTINI无内</t>
  </si>
  <si>
    <t>ID285/75R24.5-16PR(148/145L)[I-52A]IRONMAN无内 SMARTWAY</t>
  </si>
  <si>
    <t>ID225/70R19.5-14PR(128/126N)[M-TRAC HTD]C级MASTERTRACK无内</t>
  </si>
  <si>
    <t>ID11R22.5-16PR(146/143L)[VD998]C级VITOUR无内</t>
  </si>
  <si>
    <t>ID275/80R22.5-16PR(149/146M)[AZ179]C级金冠无内</t>
  </si>
  <si>
    <t>IDST205/75R14-8PR[ST100]105/101M HI-RUN无内</t>
  </si>
  <si>
    <t>IDST205/75R15-6PR[ST226]101/97L GOODRIDE(好运)无内 NR</t>
  </si>
  <si>
    <t>ID17.5-25-12PR[STRONG GUARD LG2]大力神无内</t>
  </si>
  <si>
    <t>ID325/95R24-22PR(162/160K)[EZ865]雅度无内</t>
  </si>
  <si>
    <t>ID20.5-25-16PR[STRONG GUARD L-3]HERCULES无内</t>
  </si>
  <si>
    <t>ID20.5-25-16PR[STRONG GUARD LG2]HERCULES无内</t>
  </si>
  <si>
    <t>ID13.00-24-16PR[STRONG GUARD LG2]HERCULES无内</t>
  </si>
  <si>
    <t>ID5.70-8-4PR[SU201]69M HI-RUN无内</t>
  </si>
  <si>
    <t>ID295/80R22.5-18PR(152/149M)[AS868Pro]金冠无内</t>
  </si>
  <si>
    <t>ID11R22.5-16PR(148/145L)[AZ850]GOODRIDE(好运)无内</t>
  </si>
  <si>
    <t>ID285/75R24.5-14PR(144/141L)[Strong Guard H-RD]HERCULES无内</t>
  </si>
  <si>
    <t>ID16.5X6.5-8-6PR[SU202]72M HI-RUN无内</t>
  </si>
  <si>
    <t>ID11R24.5-16PR(149/146L)[AZ599]GOODRIDE(好运)无内</t>
  </si>
  <si>
    <t>ID12.00R20-18PR(154/151F)[CB905]朝阳</t>
  </si>
  <si>
    <t>ID315/80R22.5-20PR(157/154K)[CR926B]朝阳无内</t>
  </si>
  <si>
    <t>ID295/75R22.5-16PR(146/143M)[AT552]ARISUN无内</t>
  </si>
  <si>
    <t>ID295/75R22.5-14PR(144/141M)[TL31]威狮无内</t>
  </si>
  <si>
    <t>ID285/75R24.5-16PR(147/144M)[SL11]威狮无内</t>
  </si>
  <si>
    <t>ID12R22.5-18PR(152/149L)[AZ850M]朝阳无内</t>
  </si>
  <si>
    <t>ID11R24.5-16PR(149/146L)[CM980]威狮无内</t>
  </si>
  <si>
    <t>ID11R24.5-16PR(149/146L)[AS600]ARISUN无内</t>
  </si>
  <si>
    <t>ID11R24.5-16PR(149/146L)[AZ579]威狮无内</t>
  </si>
  <si>
    <t>ID11R22.5-18PR(149/146L)[AZ850]威狮无内</t>
  </si>
  <si>
    <t>ID11R22.5-16PR(146/143M)[Strong Guard H-RA]HERCULES无内</t>
  </si>
  <si>
    <t>ID11R22.5-16PR(146/143L)[AD737]ARISUN无内</t>
  </si>
  <si>
    <t>ID11R22.5-16PR(146/143L)[AZ579]威狮无内</t>
  </si>
  <si>
    <t>ID11R22.5-16PR(146/143L)[HCC1 Plus]SUPERMAX无内</t>
  </si>
  <si>
    <t>ID11R22.5-16PR(148/145L)[CM958]威狮无内</t>
  </si>
  <si>
    <t>ID255/70R22.5-16PR(140/137M)[HF1 Plus]SUPERMAX无内</t>
  </si>
  <si>
    <t>ID12.00R24-20PR(160/157C)[TZ101 PRO]TIANLI</t>
  </si>
  <si>
    <t>ID275/80R22.5-16PR(149/146M)[AZ179]力奔无内</t>
  </si>
  <si>
    <t>ID275/80R22.5-16PR(149/146M)[AT196]金冠无内</t>
  </si>
  <si>
    <t>ID325/95R24-22PR(162/160K)[CM913A]DIDAR无内</t>
  </si>
  <si>
    <t>IDST215/75R14-6PR[ST100]102/98M ARISUN无内</t>
  </si>
  <si>
    <t>IDST215/75R14-6PR[ST-100A]102/98M ARISUN无内</t>
  </si>
  <si>
    <t>ID5.70-8-8PR[SU201]83M HI-RUN无内</t>
  </si>
  <si>
    <t>ID10.00R20-18PR(149/146K)[SUPER AM S]TECHKING</t>
  </si>
  <si>
    <t>ID295/75R22.5-14PR(144/141L)[DA25]威狮无内</t>
  </si>
  <si>
    <t>ID11R24.5-16PR(149/146L)[AZ599]威狮无内</t>
  </si>
  <si>
    <t>ID11R22.5-16PR(146/143M)[AT167]金冠无内 美国</t>
  </si>
  <si>
    <t>ID11R22.5-16PR(146/143J)[VDM924]VITOUR无内</t>
  </si>
  <si>
    <t>ID11R22.5-16PR(148/145L)[CM980]威狮无内</t>
  </si>
  <si>
    <t>ID11R22.5-16PR(148/145L)[DA25]威狮无内</t>
  </si>
  <si>
    <t>ID235/75R17.5-16PR(143/141J)[CM986]朝阳无内</t>
  </si>
  <si>
    <t>ID12.00R20-20PR(156/153J)[AZ850]朝阳</t>
  </si>
  <si>
    <t>ID315/80R22.5-20PR(157/154K)[AZ599]朝阳无内</t>
  </si>
  <si>
    <t>ID295/75R22.5-14PR(144/141M)[SL11]威狮无内</t>
  </si>
  <si>
    <t>ID245/70R19.5-16PR(136/134M)[AS673]ARISUN无内</t>
  </si>
  <si>
    <t>ID225/70R19.5-14PR(128/126M)[AD778]ARISUN无内</t>
  </si>
  <si>
    <t>ID12R22.5-20PR(154/151L)[AS898H]威狮无内</t>
  </si>
  <si>
    <t>ID12R22.5-20PR(154/151F)[EZ870]雅度无内</t>
  </si>
  <si>
    <t>ID11R24.5-16PR(149/146L)[AS678]朝阳无内</t>
  </si>
  <si>
    <t>ID11R24.5-16PR(149/146L)[ZM41]威狮无内</t>
  </si>
  <si>
    <t>ID11R24.5-16PR(149/146L)[ZA12]威狮无内</t>
  </si>
  <si>
    <t>ID11R22.5-16PR(148/145M)[TL31]威狮无内</t>
  </si>
  <si>
    <t>ID11R22.5-16PR(146/143L)[AS678]威狮无内</t>
  </si>
  <si>
    <t>ID11R22.5-16PR(148/145L)[ZA12]威狮无内</t>
  </si>
  <si>
    <t>ID385/65R22.5-20PR(160K)[ZM42]威狮无内</t>
  </si>
  <si>
    <t>ID12.00R24-20PR(160/157F)[EZ309]威狮</t>
  </si>
  <si>
    <t>ID265/70R19.5-18PR(143/141J)[ZA15]威狮无内</t>
  </si>
  <si>
    <t>ID265/70R19.5-18PR(143/141J)[DA24]威狮无内</t>
  </si>
  <si>
    <t>ID265/70R19.5-18PR(143/141J)[AZ599]威狮无内</t>
  </si>
  <si>
    <t>ID445/50R22.5-20PR(161L)[TL32]威狮无内</t>
  </si>
  <si>
    <t>ID11.00-20-18PR[CR952]153/148G GOODRIDE(好运)</t>
  </si>
  <si>
    <t>ID11R24.5-16PR(149/146L)[DL21]威狮无内</t>
  </si>
  <si>
    <t>IDST225/75R15-8PR[ST226]113/108L CASTLE ROCK无内 NR</t>
  </si>
  <si>
    <t>ID18.5x8.5-8-6PR[SU202]HI-RUN无内</t>
  </si>
  <si>
    <t>ID295/80R22.5-18PR(152/149M)[AS898]朝阳无内</t>
  </si>
  <si>
    <t>ID275/80R22.5-16PR(149/146M)[AS678]GOODRIDE(好运)无内</t>
  </si>
  <si>
    <t>ID7.50-16中策垫带</t>
  </si>
  <si>
    <t>ID(G104003)90/90-12-4P[H-565-2]54P GOODRIDE 纳米高抓 TL 配套 E4-75R-0015058</t>
  </si>
  <si>
    <t>ID(LB1102)ATV 25×10R12/8[AR11]FREE COUNTRY TL BUFFALO</t>
  </si>
  <si>
    <t>ID(LB1101)ATV 25×8R12/8[AR11]FREE COUNTRY TL BUFFALO</t>
  </si>
  <si>
    <t>ID7.50-15-12PR[R8037]119/115J 威狮</t>
  </si>
  <si>
    <t>ID11R24.5-16PR(149/146L)[VD908]VITOUR无内</t>
  </si>
  <si>
    <t>ID11R22.5-16PR(146/143L)[HD2 Plus]SUPERMAX无内</t>
  </si>
  <si>
    <t>ID275/80R22.5-16PR(149/146M)[G-PRO MSD]C级GRIPMASTER无内</t>
  </si>
  <si>
    <t>ID325/95R24-22PR(162/160K)[AZ272]DIDAR无内</t>
  </si>
  <si>
    <t>ID(LB1005)ATV 25×8-12/6[AR10]FREE COUNTRY TL BLACK ELK</t>
  </si>
  <si>
    <t>ID215/75R17.5-16PR(135/133J)[HF1 Plus]SUPERMAX无内</t>
  </si>
  <si>
    <t>ID11R22.5-16PR(148/145L)[AZ599]GOODRIDE(好运)无内</t>
  </si>
  <si>
    <t>ID11R22.5-16PR(146/143L)[HD2 PlusX]SUPERMAX ECO无内</t>
  </si>
  <si>
    <t>ID11R22.5-16PR(148/145L)[AZ599]朝阳无内</t>
  </si>
  <si>
    <t>ID225/70R19.5-14PR(128/126N)[HF1 Plus]SUPERMAX无内</t>
  </si>
  <si>
    <t>ID(LB1006)ATV 25×10-12/6[AR10]FREE COUNTRY TL BLACK ELK</t>
  </si>
  <si>
    <t>ID215/75R17.5-16PR(135/133J)[CM986]雅度无内</t>
  </si>
  <si>
    <t>ID11R24.5-16PR(149/146L)[HD2 Plus]SUPERMAX无内</t>
  </si>
  <si>
    <t>ID325/95R24-22PR(162/160K)[CM912A]DIDAR无内</t>
  </si>
  <si>
    <t>ID295/75R22.5-14PR(144/141L)[HF1 Plus]SUPERMAX无内</t>
  </si>
  <si>
    <t>ID295/75R22.5-14PR(144/141L)[I-37D]IRONMAN无内</t>
  </si>
  <si>
    <t>ID225/70R19.5-14PR(128/126N)[HD3 Plus]SUPERMAX无内</t>
  </si>
  <si>
    <t>ID11R24.5-16PR(149/146M)[AS200]ANTINI无内</t>
  </si>
  <si>
    <t>ID235/75R17.5-16PR(143/141J)[HF1 Plus]SUPERMAX无内</t>
  </si>
  <si>
    <t>ID4.80-12-4PR[SU201]HI RUN无内</t>
  </si>
  <si>
    <t>ID4.80-8-6PR[SU201]71M HI RUN无内</t>
  </si>
  <si>
    <t>ID12.00R20-20PR(156/153F)[EZ336]朝阳</t>
  </si>
  <si>
    <t>ID295/75R22.5-16PR(146/143L)[HF1 Plus]SUPERMAX无内</t>
  </si>
  <si>
    <t>ID325/95R24-22PR(162/160K)[AZ691]DIDAR无内</t>
  </si>
  <si>
    <t>ID11R24.5-16PR(149/146L)[AD716]GOODRIDE(好运)无内</t>
  </si>
  <si>
    <t>ID20.5×8.0-10-6PR[SU202]HI RUN无内</t>
  </si>
  <si>
    <t>ID10.00R20-18PR(149/146F)[CB972]ARISUN</t>
  </si>
  <si>
    <t>ID12.00R24-20PR(160/157F)[CB919]ARISUN</t>
  </si>
  <si>
    <t>ID295/80R22.5-18PR(152/149M)[ECOLINE A-I]NEBULA无内</t>
  </si>
  <si>
    <t>ID295/75R22.5-14PR(144/141L)[VD998]VITOUR无内</t>
  </si>
  <si>
    <t>ID11R24.5-16PR(149/146L)[HD1 Plus]SUPERMAX无内</t>
  </si>
  <si>
    <t>ID245/70R19.5-16PR(136/134M)[HD3 Plus]SUPERMAX无内</t>
  </si>
  <si>
    <t>ID11.00R20-18PR(152/149K)[CR926+]ARISUN</t>
  </si>
  <si>
    <t>ID10.00R20-18PR(149/146F)[CB972]ARISUN无内</t>
  </si>
  <si>
    <t>ID225/70R19.5-14PR(128/126N)[AZ599]GOODRIDE(好运)无内 US</t>
  </si>
  <si>
    <t>ID11.00R20-18PR(152/149F)[CB972]ARISUN</t>
  </si>
  <si>
    <t>IDST235/80R16-10PR[ST226]124/120L CASTLE ROCK无内 NR</t>
  </si>
  <si>
    <t>ID275/70R22.5-16PR(148/145L)[AZ599]GOODRIDE(好运)无内</t>
  </si>
  <si>
    <t>ID11R24.5-16PR(149/146J)[VDM924]VITOUR无内</t>
  </si>
  <si>
    <t>ID(LB1207)ATV 26×9-12/6[AR12]FREE COUNTRY TL KOMODO</t>
  </si>
  <si>
    <t>ID(LB1208)ATV 26×10-12/6[AR12]FREE COUNTRY TL KOMODO</t>
  </si>
  <si>
    <t>ID4.80-8-4PR[SU201]62M HI-RUN无内</t>
  </si>
  <si>
    <t>ID10.00R20-18PR(149/146J)[CM988]金冠</t>
  </si>
  <si>
    <t>ID10.00R20-18PR(149/146J)[CR926]ARISUN</t>
  </si>
  <si>
    <t>ID10.00R20-18PR(149/146J)[CM988]朝阳</t>
  </si>
  <si>
    <t>ID295/80R22.5-18PR(152/149M)[ECOTRAX D-I]NEBULA无内</t>
  </si>
  <si>
    <t>ID295/75R22.5-16PR(146/143L)[HD1 Plus]SUPERMAX无内</t>
  </si>
  <si>
    <t>ID285/75R24.5-16PR(147/144L)[VD998]VITOUR无内</t>
  </si>
  <si>
    <t>ID11R22.5-16PR(148/145L)[AZ850]雅度无内</t>
  </si>
  <si>
    <t>ID12.00R24-22PR(162/160F)[XC809]路诚</t>
  </si>
  <si>
    <t>ID445/50R22.5-20PR(161L)[ECO-MILE WBT]TRAVELSTAR无内</t>
  </si>
  <si>
    <t>ID325/95R24-22PR(162/160K)[EZ865]朝阳无内</t>
  </si>
  <si>
    <t>ID325/95R24-22PR(162/160K)[CM912A]威狮无内</t>
  </si>
  <si>
    <t>ID315/80R22.5-20PR(157/154K)[AS578]朝阳无内</t>
  </si>
  <si>
    <t>ID295/75R22.5-14PR(144/141L)[DL21]威狮无内</t>
  </si>
  <si>
    <t>ID11R22.5-16PR(148/145L)[DL21]威狮无内</t>
  </si>
  <si>
    <t>ID315/80R22.5-20PR(157/154K)[AD710A]朝阳无内</t>
  </si>
  <si>
    <t>ID295/80R22.5-18PR(152/149M)[AS567]威狮无内</t>
  </si>
  <si>
    <t>ID11R22.5-16PR(148/145J)[CR906Ⅱ]TRAZANO(全诺)无内</t>
  </si>
  <si>
    <t>ID12.00R24-22PR(162/160F)[EZ336]TRAZANO(全诺)</t>
  </si>
  <si>
    <t>ID7.50R15中策垫带 (70凹）</t>
  </si>
  <si>
    <t>ID225/70R19.5-14PR(128/126N)[AZ599]威狮无内 US</t>
  </si>
  <si>
    <t>ID7.50R16-14PR(122/118L)[CM988]金冠</t>
  </si>
  <si>
    <t>ID7.50R16-14PR(122/118F)[CB972]金冠</t>
  </si>
  <si>
    <t>ID7.50R16-14PR(122/118F)[EZ377]朝阳</t>
  </si>
  <si>
    <t>ID295/80R22.5-18PR(152/149L)[AD153]朝阳无内</t>
  </si>
  <si>
    <t>ID245/70R19.5-16PR(136/134M)[AZ599]威狮无内</t>
  </si>
  <si>
    <t>ID265/70R19.5-18PR(143/141J)[VA933]VITOUR无内</t>
  </si>
  <si>
    <t>ID235/75R17.5-16PR(143/141J)[AS673]ARISUN无内</t>
  </si>
  <si>
    <t>ID295/75R22.5-14PR(144/141L)[AT563]C级ARISUN无内</t>
  </si>
  <si>
    <t>ID11R24.5-16PR(149/146L)[I-52A]IRONMAN无内 SMARTWAY</t>
  </si>
  <si>
    <t>ID295/80R22.5-18PR(152/149L)[CR926D]C级威狮无内</t>
  </si>
  <si>
    <t>ID12.00R20-20PR(156/153F)[EZ345]C级雅度</t>
  </si>
  <si>
    <t>ID10.00R20-18PR(149/146F)[TZ101]C级TIANLI</t>
  </si>
  <si>
    <t>ID295/80R22.5-18PR(152/149M)[AD733pro]C级威狮无内</t>
  </si>
  <si>
    <t>ID295/80R22.5-18PR(152/149J)[CB919]C级威狮无内</t>
  </si>
  <si>
    <t>ID295/80R22.5-18PR(150/147M)[ECOPLUS]C级XBRI无内</t>
  </si>
  <si>
    <t>ID295/75R22.5-14PR(144/141L)[AD716]C级威狮无内</t>
  </si>
  <si>
    <t>ID11R24.5-16PR(149/146M)[I-61S]C级IRONMAN无内</t>
  </si>
  <si>
    <t>ID11R24.5-16PR(149/146L)[CR960A]C级威狮无内</t>
  </si>
  <si>
    <t>ID11R24.5-16PR(149/146L)[I-28D]C级IRONMAN无内</t>
  </si>
  <si>
    <t>ID11R24.5-16PR(149/146L)[I-31M]C级IRONMAN无内</t>
  </si>
  <si>
    <t>ID11R22.5-16PR(148/145M)[I-61S]C级IRONMAN无内</t>
  </si>
  <si>
    <t>ID11R22.5-16PR(148/145L)[I-28D]C级IRONMAN无内</t>
  </si>
  <si>
    <t>ID11R22.5-16PR(148/145L)[I-31M]C级IRONMAN无内</t>
  </si>
  <si>
    <t>ID11R22.5-14PR(144/142M)[CR915 eco]C级威狮无内</t>
  </si>
  <si>
    <t>ID12.00R24-20PR(160/157F)[CB332]C级威狮</t>
  </si>
  <si>
    <t>ID275/80R22.5-16PR(149/146M)[CR976A]C级雅度无内</t>
  </si>
  <si>
    <t>ID275/80R22.5-16PR(149/146L)[G-PERFORM D]C级GRIPMASTER无内</t>
  </si>
  <si>
    <t>ID325/95R24-22PR(162/160K)[MD752]C级威狮无内</t>
  </si>
  <si>
    <t>ID325/95R24-22PR(162/160K)[AZ691]C级朝阳无内</t>
  </si>
  <si>
    <t>ID12.00R20-☆☆(158/155C)PR[XC809]C级路诚</t>
  </si>
  <si>
    <t>ID295/80R22.5-18PR(152/149M)[RF45]C级RODOFORT无内</t>
  </si>
  <si>
    <t>ID295/80R22.5-18PR(154/149M)[RF15]C级RODOFORT无内</t>
  </si>
  <si>
    <t>ID11R22.5-16PR(146/143L)[AD600]C级ANTINI无内</t>
  </si>
  <si>
    <t>ID255/70R22.5-16PR(140/137M)[I-19A]C级IRONMAN无内</t>
  </si>
  <si>
    <t>ID11R22.5-16PR(148/145L)[RLINE-D2]REDCLIFF无内</t>
  </si>
  <si>
    <t>ID10.00-20-18PR[CR952]150/145G 雅度</t>
  </si>
  <si>
    <t>ID295/75R22.5-16PR(146/143L)[RLINE-D2]REDCLIFF无内</t>
  </si>
  <si>
    <t>ID5.30-12-6PR[SU201]HI-RUN无内</t>
  </si>
  <si>
    <t>ID295/80R22.5-18PR(152/149M)[AT161]金冠无内</t>
  </si>
  <si>
    <t>ID12.00R24-20PR(160/157K)[I-301]C级IRONMAN</t>
  </si>
  <si>
    <t>ID12.00R20-20PR(156/153F)[CB972]C级威狮</t>
  </si>
  <si>
    <t>ID11.00R20-18PR(152/149F)[CB905A]C级朝阳</t>
  </si>
  <si>
    <t>ID295/80R22.5-18PR(152/149L)[AD153]C级朝阳无内</t>
  </si>
  <si>
    <t>ID295/80R22.5-18PR(152/149L)[G-PRO MSA]C级GRIPMASTER无内</t>
  </si>
  <si>
    <t>ID295/80R22.5-18PR(152/149M)[CR976A]C级朝阳无内</t>
  </si>
  <si>
    <t>ID295/80R22.5-18PR(152/149M)[AT161]C级STRADA R无内</t>
  </si>
  <si>
    <t>ID295/80R22.5-18PR(152/149M)[AT196]C级雅度无内</t>
  </si>
  <si>
    <t>ID295/75R22.5-16PR(146/143M)[I-61S]C级IRONMAN无内</t>
  </si>
  <si>
    <t>ID295/75R22.5-14PR(144/141M)[VT993]C级VITOUR无内</t>
  </si>
  <si>
    <t>ID245/70R19.5-16PR(136/134N)[I-37D]C级IRONMAN无内</t>
  </si>
  <si>
    <t>ID225/70R19.5-14PR(128/126L)[I-208]C级IRONMAN无内</t>
  </si>
  <si>
    <t>ID11R24.5-16PR(149/146L)[AT563]C级ARISUN无内</t>
  </si>
  <si>
    <t>ID11R22.5-16PR(148/145L)[I-37D]C级IRONMAN无内</t>
  </si>
  <si>
    <t>ID11R22.5-14PR(144/142M)[I-48T]C级IRONMAN无内</t>
  </si>
  <si>
    <t>ID325/95R24-22PR(162/160F)[CB972]雅度无内</t>
  </si>
  <si>
    <t>ID275/80R22.5-16PR(149/146M)[CR976A]C级朝阳无内</t>
  </si>
  <si>
    <t>ID275/80R22.5-16PR(149/146M)[G-PERFORM S]C级GRIPMASTER无内</t>
  </si>
  <si>
    <t>ID325/95R24-22PR(162/160K)[AZ828]C级威狮无内</t>
  </si>
  <si>
    <t>ID325/95R24-22PR(162/160K)[AZ828]C级雅度无内</t>
  </si>
  <si>
    <t>ID12.00R24-☆☆(162/160C)PR[XC809]C级路诚</t>
  </si>
  <si>
    <t>ID295/75R22.5-16PR(146/143L)[AD600]ANTINI无内</t>
  </si>
  <si>
    <t>ID295/75R22.5-14PR(144/141L)[ZA12]威狮无内</t>
  </si>
  <si>
    <t>ID295/80R22.5-18PR(152/149L)[CR906]C级威狮无内</t>
  </si>
  <si>
    <t>ID295/80R22.5-18PR(152/149M)[BRD06 PRO]C级BRANSALES无内</t>
  </si>
  <si>
    <t>ID295/80R22.5-18PR(152/149K)[MD777]C级朝阳无内</t>
  </si>
  <si>
    <t>ID295/80R22.5-18PR(154/149M)[BRA06 PRO]C级BRANSALES无内</t>
  </si>
  <si>
    <t>ID295/75R22.5-14PR(144/141M)[CR915 eco]C级威狮无内</t>
  </si>
  <si>
    <t>ID215/75R17.5-18PR(135/133L)[M-TRAC AP]C级MASTERTRACK无内</t>
  </si>
  <si>
    <t>ID11R24.5-14PR(146/143M)[I-48T]C级IRONMAN无内</t>
  </si>
  <si>
    <t>ID265/70R19.5-18PR(143/141J)[VA933]C级VITOUR无内</t>
  </si>
  <si>
    <t>ID275/80R22.5-16PR(149/146L)[EZ573]朝阳无内</t>
  </si>
  <si>
    <t>ID325/95R24-22PR(162/160F)[CB972E]威狮无内</t>
  </si>
  <si>
    <t>ID245/70R19.5-16PR(136/134M)[HF1 Plus]SUPERMAX无内</t>
  </si>
  <si>
    <t>ID295/75R22.5-16PR(146/143M)[AS200]ANTINI无内</t>
  </si>
  <si>
    <t>ID295/75R22.5-16PR(146/143M)[AS201]ANTINI无内</t>
  </si>
  <si>
    <t>ID12.00R20-22PR(158/155F)[CB972]威狮 东南亚</t>
  </si>
  <si>
    <t>ID12.00R20-22PR(158/155F)[EZ336]雅度 东南亚</t>
  </si>
  <si>
    <t>ID295/80R22.5-18PR(152/149M)[AD528]C级朝阳无内</t>
  </si>
  <si>
    <t>ID11R24.5-16PR(149/146L)[AD600]ANTINI无内</t>
  </si>
  <si>
    <t>IDST205/75R15-8PR[ST200]107/102M ARISUN无内 NR</t>
  </si>
  <si>
    <t>ID245/70R19.5-16PR(136/134M)[VD935]VITOUR无内</t>
  </si>
  <si>
    <t>IDST205/75R15-8PR[ST226]107/102L CASTLE ROCK无内 NR</t>
  </si>
  <si>
    <t>IDST205/75R15-6PR[ST226]101/97L CASTLE ROCK无内 NR</t>
  </si>
  <si>
    <t>ID23.5-25-24PR[EL37]威狮</t>
  </si>
  <si>
    <t>ID295/80R22.5-18PR(154/149M)[RF15]RODOFORT无内</t>
  </si>
  <si>
    <t>ID295/80R22.5-18PR(152/149M)[AT161]STRADA R无内</t>
  </si>
  <si>
    <t>ID295/80R22.5-18PR(152/149M)[AS868Pro]威狮无内</t>
  </si>
  <si>
    <t>ID295/80R22.5-18PR(154/149M)[WSR1]威狮无内</t>
  </si>
  <si>
    <t>ID12.00R24-20PR(160/157F)[EZ336]C级雅度</t>
  </si>
  <si>
    <t>ID295/80R22.5-18PR(154/149L)[WSA2]威狮无内</t>
  </si>
  <si>
    <t>ID10.00-20-18PR[M9097]150/145G TRAZANO(全诺)</t>
  </si>
  <si>
    <t>ID275/80R22.5-16PR(149/146M)[G-PERFORM S]GRIPMASTER无内</t>
  </si>
  <si>
    <t>ID(570-4205)ATV 27×11-12/6[WL6A]SEDONA TL COYOTE(USA)</t>
  </si>
  <si>
    <t>ID11.00R20-18PR(152/149K)[AS678]雅度</t>
  </si>
  <si>
    <t>ID11.00R20-18PR(152/149K)[AS578]C级雅度</t>
  </si>
  <si>
    <t>ID11.00R20-18PR(152/149F)[CB972]C级雅度</t>
  </si>
  <si>
    <t>ID275/80R22.5-16PR(149/146L)[AD153]朝阳无内</t>
  </si>
  <si>
    <t>ID12.00R20-18PR(154/151F)[TZ101]TIANLI</t>
  </si>
  <si>
    <t>ID325/95R24-22PR(162/160F)[CM913A]威狮无内 印尼</t>
  </si>
  <si>
    <t>ID10.00R20中策丁基内胎 (TR78A)</t>
  </si>
  <si>
    <t>ID12.00R20-20PR(156/153F)[CB972]雅度</t>
  </si>
  <si>
    <t>ID12.00R20-18PR(154/151F)[TZ304]TIANLI</t>
  </si>
  <si>
    <t>ID10.00-20-16PR[M9097]146/142G 威狮</t>
  </si>
  <si>
    <t>ID295/80R22.5-18PR(152/149M)[AS678]C级威狮无内</t>
  </si>
  <si>
    <t>ID295/80R22.5-18PR(154/149L)[WDA2]威狮无内</t>
  </si>
  <si>
    <t>ID11R24.5-16PR(149/146M)[I-19A]C级IRONMAN无内</t>
  </si>
  <si>
    <t>ID4.80-12-6PR[SU201]HI RUN无内</t>
  </si>
  <si>
    <t>ID12.00R20-20PR(156/153F)[CB972]TRAZANO(全诺)</t>
  </si>
  <si>
    <t>ID295/80R22.5-18PR(152/149M)[AS868Pro]雅度无内</t>
  </si>
  <si>
    <t>ID12.00R24-☆☆(162/160C)PR[XC809]路诚 综合型</t>
  </si>
  <si>
    <t>ID10.00-20-18PR[CL956]150/145G GOODRIDE(好运)</t>
  </si>
  <si>
    <t>ID10.00R20-18PR(149/146F)[TZ101]TIANLI</t>
  </si>
  <si>
    <t>ID325/95R24-22PR(162/160F)[CB972E]雅度无内</t>
  </si>
  <si>
    <t>ID275/80R22.5-16PR(149/146M)[CR976A]雅度无内</t>
  </si>
  <si>
    <t>ID23.5-25-24PR[T317]TIANLI</t>
  </si>
  <si>
    <t>ID12.00R20中策垫带 （110凹）</t>
  </si>
  <si>
    <t>ID7.50R16/8.25R16中策垫带 （87凹）</t>
  </si>
  <si>
    <t>ID12.00R24中策垫带 (110凹）</t>
  </si>
  <si>
    <t>ID(570-4204)ATV 27×9-12/6[WL6A]SEDONA TL COYOTE(USA)</t>
  </si>
  <si>
    <t>ID295/75R22.5-16PR(146/143L)[VD998]VITOUR无内</t>
  </si>
  <si>
    <t>ID11R24.5-16PR(149/146L)[VXD932]VITOUR无内</t>
  </si>
  <si>
    <t>ID11R22.5-16PR(146/143M)[AT115]金冠无内</t>
  </si>
  <si>
    <t>ID295/75R22.5-14PR(144/141M)[CR915 eco]威狮无内</t>
  </si>
  <si>
    <t>ID11R24.5-16PR(149/146M)[I-61S]IRONMAN无内 SMARTWAY</t>
  </si>
  <si>
    <t>ID295/80R22.5-18PR(152/149L)[CR906]威狮无内</t>
  </si>
  <si>
    <t>ID295/80R22.5-18PR(152/149J)[CB919]威狮无内</t>
  </si>
  <si>
    <t>ID295/75R22.5-16PR(146/143M)[I-61S]IRONMAN无内 SMARTWAY</t>
  </si>
  <si>
    <t>IDST205/75R14-8PR[ST226]105/101L CASTLE ROCK无内 NR</t>
  </si>
  <si>
    <t>IDST205/75R14-6PR[ST226]100/96L CASTLE ROCK无内 NR</t>
  </si>
  <si>
    <t>ID11R22.5-16PR(146/143M)[AS200]ANTINI无内</t>
  </si>
  <si>
    <t>ID11R22.5-16PR(146/143L)[AD600]ANTINI无内</t>
  </si>
  <si>
    <t>ID11R22.5-14PR(144/142M)[CR915 eco]威狮无内</t>
  </si>
  <si>
    <t>ID11.00-20-20PR[CL969]155/150B 金冠</t>
  </si>
  <si>
    <t>ID20.5×8.0-10-10PR[SU202]HI RUN无内</t>
  </si>
  <si>
    <t>ID7.50-15-12PR[R8037]119/115J 朝阳</t>
  </si>
  <si>
    <t>ID295/80R22.5-18PR(152/149M)[CR976A]朝阳无内</t>
  </si>
  <si>
    <t>ID11R24.5-16PR(149/146L)[I-28D]IRONMAN无内 SMARTWAY</t>
  </si>
  <si>
    <t>ID11R24.5-16PR(149/146L)[I-31M]IRONMAN无内</t>
  </si>
  <si>
    <t>IDST205/75D15-6PR[H180]101/97M HI RUN无内</t>
  </si>
  <si>
    <t>IDST205/75D14-6PR[ST600]GOODRIDE(好运)无内</t>
  </si>
  <si>
    <t>IDST205/75D14-6PR[H180]100/96M HI RUN无内</t>
  </si>
  <si>
    <t>IDST225/75D15-8PR[H180]113/108M HI RUN无内</t>
  </si>
  <si>
    <t>IDST215/75D14-6PR[H180]102/98M HI RUN无内</t>
  </si>
  <si>
    <t>ID5.30-12-6PR[ST5000]GOODRIDE(好运)无内</t>
  </si>
  <si>
    <t>ID295/80R22.5-18PR(152/149M)[CM335]威狮无内</t>
  </si>
  <si>
    <t>ID275/80R22.5-16PR(149/146J)[CR906]威狮无内</t>
  </si>
  <si>
    <t>ID325/95R24-22PR(162/160K)[AZ828]TRAZANO(全诺)无内</t>
  </si>
  <si>
    <t>ID17.5-25-16PR[EL36]朝阳无内</t>
  </si>
  <si>
    <t>ID295/80R22.5-18PR(152/149M)[AS898]威狮无内 东南亚</t>
  </si>
  <si>
    <t>ID12.00R20-20PR(156/153F)[EZ336]C级雅度</t>
  </si>
  <si>
    <t>ID325/95R24-22PR(162/160K)[AZ691]TRAZANO(全诺)无内</t>
  </si>
  <si>
    <t>ID7.50R16中策丁基内胎 (TR77A)</t>
  </si>
  <si>
    <t>IDLT7.00-16-12PR[R8037]115/110J GOODRIDE(好运)</t>
  </si>
  <si>
    <t>ID295/80R22.5-18PR(152/149M)[ECOPLUS]XBRI无内</t>
  </si>
  <si>
    <t>ID10.00R20-18PR(149/146J)[AZ697]TRAZANO(全诺)无内</t>
  </si>
  <si>
    <t>ID(570-4004)ATV 25×10-12/6[AT12]SEDONA TL MUD REBEL(USA)</t>
  </si>
  <si>
    <t>ID11.00R20-18PR(152/149L)[TKAL Ⅲ]TECHKING</t>
  </si>
  <si>
    <t>ID11.00R20-18PR(152/149K)[AS678]朝阳</t>
  </si>
  <si>
    <t>ID11.00R20-18PR(152/149K)[AS578]朝阳</t>
  </si>
  <si>
    <t>ID12.00R20-18PR(154/151F)[CB332]GOODRIDE(好运)</t>
  </si>
  <si>
    <t>ID11.00R20-18PR(152/149J)[CM998]GOODRIDE(好运)</t>
  </si>
  <si>
    <t>ID295/80R22.5-18PR(152/149M)[AS668]朝阳无内</t>
  </si>
  <si>
    <t>ID(570-4000)ATV 25×8-12/6[AT12]SEDONA TL MUD REBEL(USA)</t>
  </si>
  <si>
    <t>ID10.00-20-16PR[R9038]146/142G 雅度</t>
  </si>
  <si>
    <t>ID10.00-20-16PR[R9038]146/142G TRAZANO(全诺)</t>
  </si>
  <si>
    <t>IDST175/80D13-6PR[TE898]91/87L TRANSEAGLE无内</t>
  </si>
  <si>
    <t>ID295/80R22.5-18PR(152/149M)[TUCSON A]C级STRYKER无内</t>
  </si>
  <si>
    <t>ID295/80R22.5-18PR(152/149M)[AT186]C级金冠无内</t>
  </si>
  <si>
    <t>ID295/80R22.5-18PR(152/149M)[AD528]C级威狮无内</t>
  </si>
  <si>
    <t>ID295/80R22.5-18PR(152/149M)[AT196]C级力奔无内</t>
  </si>
  <si>
    <t>ID295/75R22.5-14PR(144/141M)[I-48T]C级IRONMAN无内</t>
  </si>
  <si>
    <t>ID245/70R19.5-16PR(136/134M)[CM986]C级GOODRIDE(好运)无内</t>
  </si>
  <si>
    <t>ID245/70R19.5-16PR(136/134N)[ZA15]C级威狮无内</t>
  </si>
  <si>
    <t>ID245/70R19.5-16PR(136/134N)[DA24]C级威狮无内</t>
  </si>
  <si>
    <t>ID245/70R19.5-16PR(136/134N)[I-19A]C级IRONMAN无内</t>
  </si>
  <si>
    <t>ID225/70R19.5-14PR(128/126L)[Strong Guard H-RA]C级HERCULES无内</t>
  </si>
  <si>
    <t>ID225/70R19.5-14PR(128/126N)[CR960A]C级威狮无内</t>
  </si>
  <si>
    <t>ID225/70R19.5-14PR(128/126N)[CM986]C级威狮无内</t>
  </si>
  <si>
    <t>ID225/70R19.5-14PR(128/126N)[ZA15]C级威狮无内</t>
  </si>
  <si>
    <t>ID225/70R19.5-14PR(128/126N)[I-19A]C级IRONMAN无内</t>
  </si>
  <si>
    <t>ID225/70R19.5-14PR(128/126N)[I-37D]C级IRONMAN无内</t>
  </si>
  <si>
    <t>ID215/75R17.5-18PR(135/133L)[VA933]C级VITOUR无内</t>
  </si>
  <si>
    <t>ID215/75R17.5-16PR(135/133L)[I-19A]C级IRONMAN无内</t>
  </si>
  <si>
    <t>ID11R22.5-14PR(144/142M)[AT563]C级ARISUN无内</t>
  </si>
  <si>
    <t>ID12.00R24-20PR(160/157F)[CB972]C级雅度</t>
  </si>
  <si>
    <t>ID275/80R22.5-16PR(149/146M)[CR976A]C级TRAZANO(全诺)无内</t>
  </si>
  <si>
    <t>ID325/95R24-22PR(162/160K)[CM913A]C级雅度无内</t>
  </si>
  <si>
    <t>ID325/95R24-22PR(162/160K)[CM913A]C级朝阳无内</t>
  </si>
  <si>
    <t>ID12.00R24-20PR(160/157F)[TZ101 PRO]C级天力</t>
  </si>
  <si>
    <t>IDST205/75D14-6PR[TE898]100/96L TRANSEAGLE无内</t>
  </si>
  <si>
    <t>ID4.80-12-6PR[TE898]80L TRANSEAGLE无内</t>
  </si>
  <si>
    <t>ID12.00R20-18PR(154/151F)[CB972]C级雅度</t>
  </si>
  <si>
    <t>ID12.00R20-22PR(158/155F)[EZ310 pro]C级雅度</t>
  </si>
  <si>
    <t>ID11.00R20-18PR(152/149K)[CR926+]C级GOODRIDE(好运)</t>
  </si>
  <si>
    <t>ID10.00R20-18PR(149/146J)[AZ697]C级雅度</t>
  </si>
  <si>
    <t>ID8.25R16-14PR(128/126L)[CR926]C级GOODRIDE(好运)</t>
  </si>
  <si>
    <t>ID8.25R16-14PR(128/126L)[CR926]C级朝阳</t>
  </si>
  <si>
    <t>ID295/80R22.5-18PR(152/149M)[AD156A]C级力奔无内</t>
  </si>
  <si>
    <t>ID295/80R22.5-18PR(152/149M)[G-PERFORM S]C级GRIPMASTER无内</t>
  </si>
  <si>
    <t>ID295/80R22.5-18PR(152/149M)[AS898]C级威狮无内</t>
  </si>
  <si>
    <t>ID295/80R22.5-18PR(152/149K)[G-PRO MSD]C级GRIPMASTER无内</t>
  </si>
  <si>
    <t>ID295/80R22.5-18PR(152/149J)[EZ177]C级金冠无内</t>
  </si>
  <si>
    <t>ID295/75R22.5-14PR(144/141L)[I-28D]C级IRONMAN无内</t>
  </si>
  <si>
    <t>ID245/70R19.5-16PR(136/134M)[VA933]C级VITOUR无内</t>
  </si>
  <si>
    <t>ID225/70R19.5-14PR(128/126M)[VA933]C级VITOUR无内</t>
  </si>
  <si>
    <t>ID225/70R19.5-14PR(128/126N)[DA24]C级威狮无内</t>
  </si>
  <si>
    <t>ID215/75R17.5-16PR(135/133L)[Strong Guard H-RA]C级HERCULES无内</t>
  </si>
  <si>
    <t>ID12.00R24-20PR(160/157F)[CB332]雅度</t>
  </si>
  <si>
    <t>ID275/80R22.5-16PR(149/146M)[CR976A]C级威狮无内</t>
  </si>
  <si>
    <t>ID275/80R22.5-16PR(149/146M)[BRA04]C级BRANSALES无内</t>
  </si>
  <si>
    <t>ID275/80R22.5-16PR(149/146L)[AD153]C级威狮无内</t>
  </si>
  <si>
    <t>ID275/80R22.5-16PR(149/146L)[BMA03 ECO]C级BRANSALES无内</t>
  </si>
  <si>
    <t>ID275/80R22.5-16PR(149/146L)[EZ573]C级威狮无内</t>
  </si>
  <si>
    <t>ID275/80R22.5-16PR(149/146L)[EZ573]C级TRAZANO(全诺)无内</t>
  </si>
  <si>
    <t>ID325/95R24-22PR(162/160K)[CM913A]C级GOODRIDE(好运)无内</t>
  </si>
  <si>
    <t>ID325/95R24-22PR(162/160K)[CM912A]C级GOODRIDE(好运)无内</t>
  </si>
  <si>
    <t>ID7.50R16-14PR(122/118L)[TKAL Ⅲ]C级TECHKING</t>
  </si>
  <si>
    <t>ID7.50R16-14PR(122/118J)[AM4S.Q669]C级EFFIPLUS</t>
  </si>
  <si>
    <t>ID295/80R22.5-18PR(152/149L)[G-PERFORM D]C级GRIPMASTER无内</t>
  </si>
  <si>
    <t>ID295/80R22.5-18PR(152/149M)[AD156A]C级金冠无内</t>
  </si>
  <si>
    <t>ID295/80R22.5-18PR(152/149K)[MD777]C级威狮无内</t>
  </si>
  <si>
    <t>ID11R22.5-16PR(148/145L)[AS858]C级雅度无内</t>
  </si>
  <si>
    <t>ID275/80R22.5-16PR(149/146L)[AD153]C级TRAZANO(全诺)无内</t>
  </si>
  <si>
    <t>ID325/95R24-22PR(162/160K)[MD752]C级ARISUN无内</t>
  </si>
  <si>
    <t>ID325/95R24-22PR(162/160K)[CM912A]C级TRAZANO(全诺)无内</t>
  </si>
  <si>
    <t>ID11.00R20-16PR(150/147F)[SUPER ETOT]TECHKING</t>
  </si>
  <si>
    <t>ID275/80R22.5-16PR(149/146L)[BRD02 ECO]C级BRANSALES无内</t>
  </si>
  <si>
    <t>ID325/95R24-22PR(162/160K)[AZ828]C级ARISUN无内</t>
  </si>
  <si>
    <t>IDST225/75D15-8PR[TE898]113/108L TRANSEAGLE无内</t>
  </si>
  <si>
    <t>ID12.00R20-20PR(156/153F)[CB972]C级GOODRIDE(好运)</t>
  </si>
  <si>
    <t>ID11.00R20-18PR(152/149K)[EZ369]GOODRIDE(好运)</t>
  </si>
  <si>
    <t>ID11.00R20-18PR(152/149K)[ETRF]TECHKING</t>
  </si>
  <si>
    <t>ID10.00R20-18PR(149/146F)[EZ330]C级GOODRIDE(好运)</t>
  </si>
  <si>
    <t>ID295/80R22.5-18PR(152/149L)[EZ573]C级威狮无内</t>
  </si>
  <si>
    <t>ID295/80R22.5-18PR(152/149M)[AS858Pro]GOODRIDE(好运)无内</t>
  </si>
  <si>
    <t>ID295/80R22.5-18PR(152/149M)[RF35]RODOFORT无内</t>
  </si>
  <si>
    <t>ID295/75R22.5-14PR(144/141M)[VA996]VITOUR无内</t>
  </si>
  <si>
    <t>ID325/95R24-22PR(162/160K)[CM913A]C级TRAZANO(全诺)无内</t>
  </si>
  <si>
    <t>ID325/95R24-22PR(162/160K)[MD752]C级雅度无内</t>
  </si>
  <si>
    <t>ID325/95R24-22PR(162/160K)[AZ691]C级GOODRIDE(好运)无内</t>
  </si>
  <si>
    <t>ID325/95R24-22PR(162/160K)[CM912A]C级朝阳无内</t>
  </si>
  <si>
    <t>ID325/95R24-22PR(162/160K)[AZ272]C级朝阳无内</t>
  </si>
  <si>
    <t>ID325/95R24-22PR(162/160K)[AZ272]C级TRAZANO(全诺)无内</t>
  </si>
  <si>
    <t>ID295/80R22.5-18PR(152/149M)[CM958]威狮无内</t>
  </si>
  <si>
    <t>ID295/80R22.5-18PR(152/149M)[AS858Pro]朝阳无内</t>
  </si>
  <si>
    <t>ID11R22.5-16PR(148/145M)[I-19A]C级IRONMAN无内</t>
  </si>
  <si>
    <t>ID295/80R22.5-18PR(152/149J)[CM997]威狮无内</t>
  </si>
  <si>
    <t>ID23.5-25-24PR[EL37]朝阳</t>
  </si>
  <si>
    <t>ID11.00R20-18PR(152/149K)[AZ850]GOODRIDE(好运)</t>
  </si>
  <si>
    <t>ID325/95R24-22PR(162/160K)[MD752]GOODRIDE(好运)无内</t>
  </si>
  <si>
    <t>ID17.5-25-16PR[CL729]朝阳</t>
  </si>
  <si>
    <t>ID275/80R22.5-16PR(149/146M)[AD528]朝阳无内</t>
  </si>
  <si>
    <t>ID275/80R22.5-16PR(149/146L)[BRD02 ECO]BRANSALES无内</t>
  </si>
  <si>
    <t>ID11.00R20-18PR(152/149F)[CB905A]威狮</t>
  </si>
  <si>
    <t>ID17.5-25-16PR[CL729]朝阳无内</t>
  </si>
  <si>
    <t>ID17.5-25-16PR[EL36]朝阳</t>
  </si>
  <si>
    <t>ID10.00-20-18PR[CR952]150/145G 朝阳</t>
  </si>
  <si>
    <t>ID11.00R20-18PR(152/149F)[CB905A]GOODRIDE(好运)</t>
  </si>
  <si>
    <t>ID11.00R20-18PR(152/149F)[CB905A]金冠</t>
  </si>
  <si>
    <t>ID11.00R20-18PR(152/149F)[CB905A]雅度</t>
  </si>
  <si>
    <t>ID11.00R20-18PR(152/149F)[CB905A]TRAZANO(全诺)</t>
  </si>
  <si>
    <t>ID8.25R16-14PR(128/126L)[CR926]朝阳</t>
  </si>
  <si>
    <t>ID8.25R16-14PR(128/126L)[CR926]GOODRIDE(好运)</t>
  </si>
  <si>
    <t>ID8.25R16-14PR(128/126L)[CR926]威狮</t>
  </si>
  <si>
    <t>ID8.25R16-14PR(128/126L)[CR926]金冠</t>
  </si>
  <si>
    <t>ID8.25R16-14PR(128/126L)[CR926]雅度</t>
  </si>
  <si>
    <t>ID8.25R16-14PR(128/126L)[CR926]TRAZANO(全诺)</t>
  </si>
  <si>
    <t>ID7.50R16-14PR(122/118L)[CR926]金冠</t>
  </si>
  <si>
    <t>ID12.00R24-20PR(160/157F)[CB919]C级GOODRIDE(好运)</t>
  </si>
  <si>
    <t>ID12.00R24-20PR(160/157F)[EZ336]朝阳</t>
  </si>
  <si>
    <t>ID12.00R24-20PR(160/157F)[EZ336]GOODRIDE(好运)</t>
  </si>
  <si>
    <t>ID12.00R24-20PR(160/157F)[EZ336]威狮</t>
  </si>
  <si>
    <t>ID12.00R24-20PR(160/157F)[EZ336]TRAZANO(全诺)</t>
  </si>
  <si>
    <t>ID7.50R16-14PR(122/118L)[TKAL Ⅲ]TECHKING</t>
  </si>
  <si>
    <t>ID12.00R20-18PR(154/151F)[CB919]GOODRIDE(好运)</t>
  </si>
  <si>
    <t>ID245/70R19.5-16PR(136/134M)[CM986]GOODRIDE(好运)无内 US</t>
  </si>
  <si>
    <t>ID225/70R19.5-14PR(128/126M)[VA933]VITOUR无内</t>
  </si>
  <si>
    <t>ID225/70R19.5-14PR(128/126N)[ZA15]威狮无内</t>
  </si>
  <si>
    <t>ID225/70R19.5-14PR(128/126N)[DA24]威狮无内</t>
  </si>
  <si>
    <t>ID(570-4200)ATV 25×8-12/6[WL6A]SEDONA TL COYOTE(USA)</t>
  </si>
  <si>
    <t>ID(570-4201)ATV 25×10-12/6[WL6A] SEDONA TL COYOTE(USA)</t>
  </si>
  <si>
    <t>ID12.00R20-20PR(156/153F)[CB972]GOODRIDE(好运)</t>
  </si>
  <si>
    <t>ID12.00R20-18PR(154/151F)[CB332]雅度</t>
  </si>
  <si>
    <t>ID12.00R24-20PR(160/157F)[CB972]朝阳</t>
  </si>
  <si>
    <t>ID10.00-20-18PR[R9038]150/145G 金冠</t>
  </si>
  <si>
    <t>ID245/70R19.5-16PR(136/134N)[DA24]威狮无内</t>
  </si>
  <si>
    <t>ID10.00R20金冠丁基内胎</t>
  </si>
  <si>
    <t>ID12.00R20-22PR(158/155F)[CB919]GOODRIDE(好运)</t>
  </si>
  <si>
    <t>ID295/80R22.5-18PR(152/149L)[CR926D]威狮无内</t>
  </si>
  <si>
    <t>ID12.00R24-20PR(160/157F)[EZ336]金冠</t>
  </si>
  <si>
    <t>ID10.00R20-18PR(149/146F)[CB332]雅度</t>
  </si>
  <si>
    <t>ID215/75R17.5-18PR(135/133L)[W-Elite ZA15]威狮无内</t>
  </si>
  <si>
    <t>ID215/75R17.5-18PR(135/133L)[VA933]VITOUR无内</t>
  </si>
  <si>
    <t>ID10.00R20-18PR(149/146J)[AZ850]GOODRIDE(好运)</t>
  </si>
  <si>
    <t>ID325/95R24-22PR(162/160K)[CM913A]威狮无内</t>
  </si>
  <si>
    <t>ID225/70R19.5-14PR(128/126N)[CM986]GOODRIDE(好运)无内 US</t>
  </si>
  <si>
    <t>ID325/95R24-22PR(162/160K)[AZ828]朝阳无内</t>
  </si>
  <si>
    <t>ID12.00R20-20PR(156/153F)[ETOD]TECHKING</t>
  </si>
  <si>
    <t>ID11.00R20-18PR(152/149K)[AZ676]威狮</t>
  </si>
  <si>
    <t>ID295/80R22.5-18PR(152/149M)[AS668]威狮无内</t>
  </si>
  <si>
    <t>ID295/80R22.5-18PR(152/149M)[AT167]金冠无内</t>
  </si>
  <si>
    <t>ID295/80R22.5-18PR(152/149J)[G-PERFORM O]GRIPMASTER无内</t>
  </si>
  <si>
    <t>ID295/75R22.5-14PR(144/141L)[AZ599]威狮无内</t>
  </si>
  <si>
    <t>ID10.00-20-18PR[R9038]150/145G 威狮</t>
  </si>
  <si>
    <t>ID10.00R20-18PR(149/146J)[AZ676]GOODRIDE(好运)</t>
  </si>
  <si>
    <t>IDST175/80D13-6PR[H180]91/87M HI RUN无内</t>
  </si>
  <si>
    <t>ID8.25R16中策丁基内胎</t>
  </si>
  <si>
    <t>ID10.00-20-16PR[R9037]146/142G 威狮</t>
  </si>
  <si>
    <t>ID11.00R20-18PR(152/149K)[CM988]GOODRIDE(好运)</t>
  </si>
  <si>
    <t>ID11.00R20-18PR(152/149K)[AS678]TRAZANO(全诺)</t>
  </si>
  <si>
    <t>ID295/80R22.5-18PR(152/149M)[G-PERFORM S]GRIPMASTER无内</t>
  </si>
  <si>
    <t>ID295/75R22.5-14PR(144/141L)[AD716]TRAZANO(全诺)无内</t>
  </si>
  <si>
    <t>ID225/70R19.5-14PR(128/126N)[CM986]威狮无内 US</t>
  </si>
  <si>
    <t>ID11R24.5-16PR(149/146L)[CR960A]威狮无内</t>
  </si>
  <si>
    <t>ID11R24.5-16PR(149/146L)[AT563]ARISUN无内</t>
  </si>
  <si>
    <t>ID11R22.5-16PR(146/143M)[VT993]VITOUR无内</t>
  </si>
  <si>
    <t>ID11R22.5-14PR(144/142M)[VT993]VITOUR无内</t>
  </si>
  <si>
    <t>ID325/95R24-22PR(162/160K)[AZ828]ARISUN无内</t>
  </si>
  <si>
    <t>ID12.00R24-20PR(160/157F)[CB972]GOODRIDE(好运)</t>
  </si>
  <si>
    <t>ID7.50-15-12PR[R8037]119/115J TRAZANO(全诺)</t>
  </si>
  <si>
    <t>ID11.00R20-18PR(152/149K)[CR926+]雅度</t>
  </si>
  <si>
    <t>ID295/80R22.5-18PR(152/149M)[AD818]TRAZANO(全诺)无内</t>
  </si>
  <si>
    <t>ID11R22.5-16PR(148/145L)[AZ850]朝阳无内</t>
  </si>
  <si>
    <t>ID295/80R22.5-18PR(152/149L)[G-PERFORM D]GRIPMASTER无内</t>
  </si>
  <si>
    <t>ID11.00R20-18PR(152/149K)[AZ850]雅度</t>
  </si>
  <si>
    <t>ID275/80R22.5-16PR(149/146L)[BMA03 ECO]BRANSALES无内</t>
  </si>
  <si>
    <t>ID10.00R20-18PR(149/146J)[CB981]威狮</t>
  </si>
  <si>
    <t>ID245/70R19.5-16PR(136/134M)[VA933]VITOUR无内</t>
  </si>
  <si>
    <t>ID245/70R19.5-16PR(136/134N)[ZA15]威狮无内</t>
  </si>
  <si>
    <t>ID295/75R22.5-14PR(144/141M)[VT993]VITOUR无内</t>
  </si>
  <si>
    <t>ID325/95R24-22PR(162/160K)[MD752]雅度无内</t>
  </si>
  <si>
    <t>ID7.50-16-14PR[M8086]122/118G TRAZANO(全诺)</t>
  </si>
  <si>
    <t>IDLT7.50-16-14PR[R8037]122/118J 日升</t>
  </si>
  <si>
    <t>IDLT7.00-16-12PR[R8037]115/110J 日升</t>
  </si>
  <si>
    <t>IDLT7.00-16-12PR[R8037]115/110J DIDAR</t>
  </si>
  <si>
    <t>IDLT7.00-16-12PR[R8037]115/110J ARISUN</t>
  </si>
  <si>
    <t>ID295/80R22.5-18PR(152/149K)[BMD06 PRO]BRANSALES无内</t>
  </si>
  <si>
    <t>ID12.00R24-20PR(160/157F)[CB919]GOODRIDE(好运)</t>
  </si>
  <si>
    <t>ID12.00R24-20PR(160/157F)[CB332]GOODRIDE(好运)</t>
  </si>
  <si>
    <t>ID275/80R22.5-16PR(149/146M)[CR976A]朝阳无内</t>
  </si>
  <si>
    <t>ID325/95R24-22PR(162/160K)[AZ828]雅度无内</t>
  </si>
  <si>
    <t>ID325/95R24-22PR(162/160K)[CM913A]雅度无内</t>
  </si>
  <si>
    <t>ID11.00R20金冠丁基内胎</t>
  </si>
  <si>
    <t>ID7.50-16-14PR[R8038]122/118J 雅度</t>
  </si>
  <si>
    <t>ID245/70R19.5-16PR(136/134M)[CM986]威狮无内 US</t>
  </si>
  <si>
    <t>ID4.80-12-6PR[ST600]GOODRIDE(好运)无内</t>
  </si>
  <si>
    <t>ID12.00R20-18PR(154/151F)[CB972]TRAZANO(全诺)</t>
  </si>
  <si>
    <t>ID7.50-16-14PR[M8087]122/118G GOODRIDE(好运)</t>
  </si>
  <si>
    <t>ID11.00R20-18PR(152/149K)[CR926+]朝阳</t>
  </si>
  <si>
    <t>ID11.00R20-18PR(152/149K)[CR926+]TRAZANO(全诺)</t>
  </si>
  <si>
    <t>ID11.00R20-18PR(152/149F)[CB332A]GOODRIDE(好运)</t>
  </si>
  <si>
    <t>ID295/75R22.5-14PR(144/141L)[AD716]威狮无内</t>
  </si>
  <si>
    <t>ID12.00R24-20PR(160/157F)[CB972]威狮</t>
  </si>
  <si>
    <t>ID11.00R20-18PR(152/149F)[CB332A]雅度</t>
  </si>
  <si>
    <t>ID12.00R20-18PR(154/151F)[CB919]雅度</t>
  </si>
  <si>
    <t>ID7.50-16-14PR[R8037]122/118J 金冠</t>
  </si>
  <si>
    <t>ID12.00R24-20PR(160/157F)[MT100 MAX]UNITED</t>
  </si>
  <si>
    <t>ID275/80R22.5-16PR(149/146L)[AD153]TRAZANO(全诺)无内</t>
  </si>
  <si>
    <t>ID325/95R24-22PR(162/160K)[CM912A]朝阳无内</t>
  </si>
  <si>
    <t>ID325/95R24-22PR(162/160K)[AZ272]朝阳无内</t>
  </si>
  <si>
    <t>ID7.50R16-14PR(122/118L)[EZ369]GOODRIDE(好运)</t>
  </si>
  <si>
    <t>ID295/75R22.5-14PR(144/141L)[AD716]GOODRIDE(好运)无内</t>
  </si>
  <si>
    <t>ID325/95R24-22PR(162/160K)[CM913A]朝阳无内</t>
  </si>
  <si>
    <t>ID7.50-16-14PR[AB313]122/118G ASCENDO</t>
  </si>
  <si>
    <t>ID11.00-20-18PR[AB112]153/148G ASCENDO</t>
  </si>
  <si>
    <t>ID11.00-20-18PR[AB535]153/148G ASCENDO</t>
  </si>
  <si>
    <t>ID10.00-20-18PR[AB313]150/145G ASCENDO</t>
  </si>
  <si>
    <t>ID10.00-20-18PR[R9037]150/145G TRAZANO(全诺)</t>
  </si>
  <si>
    <t>ID275/80R22.5-16PR(149/146M)[CR976A]TRAZANO(全诺)无内</t>
  </si>
  <si>
    <t>ID275/80R22.5-16PR(149/146L)[EZ573]威狮无内</t>
  </si>
  <si>
    <t>ID275/80R22.5-16PR(149/146L)[EZ573]TRAZANO(全诺)无内</t>
  </si>
  <si>
    <t>ID325/95R24-22PR(162/160K)[AZ272]GOODRIDE(好运)无内</t>
  </si>
  <si>
    <t>ID10.00R20-18PR(149/146J)[AZ697]雅度</t>
  </si>
  <si>
    <t>ID325/95R24-22PR(162/160K)[AZ691]朝阳无内</t>
  </si>
  <si>
    <t>ID295/80R22.5-18PR(152/149L)[EZ573]TRAZANO(全诺)无内</t>
  </si>
  <si>
    <t>ID225/70R19.5-14PR(128/126N)[CR960A]威狮无内 US</t>
  </si>
  <si>
    <t>ID325/95R24-22PR(162/160K)[AZ691]GOODRIDE(好运)无内</t>
  </si>
  <si>
    <t>ID325/95R24-22PR(162/160K)[AZ272]TRAZANO(全诺)无内</t>
  </si>
  <si>
    <t>ID7.50-16-14PR[R8037]122/118J 雅度</t>
  </si>
  <si>
    <t>ID295/80R22.5-18PR(152/149M)[AD528]朝阳无内</t>
  </si>
  <si>
    <t>ID10.00R20-18PR(149/146J)[CM988]雅度</t>
  </si>
  <si>
    <t>ID325/95R24-22PR(162/160K)[CM913A]GOODRIDE(好运)无内</t>
  </si>
  <si>
    <t>ID325/95R24-22PR(162/160K)[AZ691]威狮无内</t>
  </si>
  <si>
    <t>ID295/80R22.5-18PR(152/149M)[AD733]威狮无内</t>
  </si>
  <si>
    <t>ID325/95R24-22PR(162/160K)[CM912A]GOODRIDE(好运)无内</t>
  </si>
  <si>
    <t>ID10.00R20-18PR(149/146J)[AZ697]GOODRIDE(好运)</t>
  </si>
  <si>
    <t>ID10.00R20-18PR(149/146K)[TKAL Ⅲ]TECHKING</t>
  </si>
  <si>
    <t>ID325/95R24-22PR(162/160K)[MD752]ARISUN无内</t>
  </si>
  <si>
    <t>ID295/80R22.5-18PR(152/149M)[AD156A]力奔无内</t>
  </si>
  <si>
    <t>ID325/95R24-22PR(162/160K)[CM912A]TRAZANO(全诺)无内</t>
  </si>
  <si>
    <t>ID325/95R24-22PR(162/160K)[CM913A]TRAZANO(全诺)无内</t>
  </si>
  <si>
    <t>ID11.00R20-18PR(152/149K)[AS678]GOODRIDE(好运)</t>
  </si>
  <si>
    <t>ID11.00R20-18PR(152/149K)[AS578]GOODRIDE(好运)</t>
  </si>
  <si>
    <t>ID7.50R16-14PR(122/118L)[AZ850S]GOODRIDE(好运)</t>
  </si>
  <si>
    <t>ID7.50-15-12PR[R8037]119/115J GOODRIDE(好运)</t>
  </si>
  <si>
    <t>ID295/80R22.5-18PR(152/149L)[G-PRO MSA]GRIPMASTER无内</t>
  </si>
  <si>
    <t>ID10.00R20-18PR(149/146F)[CB332]C级威狮</t>
  </si>
  <si>
    <t>ID12.00R24金冠丁基内胎</t>
  </si>
  <si>
    <t>ID10.00-20-18PR[R9037]150/145G C级朝阳</t>
  </si>
  <si>
    <t>ID10.00R20-18PR(149/146F)[CB332]朝阳</t>
  </si>
  <si>
    <t>ID10.00R20-18PR(149/146J)[AZ676]朝阳</t>
  </si>
  <si>
    <t>ID10.00R20-18PR(149/146F)[CB972]TRAZANO(全诺)</t>
  </si>
  <si>
    <t>ID7.50R16-14PR(122/118L)[AZ697]雅度</t>
  </si>
  <si>
    <t>ID11R22.5-16PR(148/145L)[AS858]雅度无内</t>
  </si>
  <si>
    <t>ID295/80R22.5-18PR(152/149M)[AS898]TRAZANO(全诺)无内</t>
  </si>
  <si>
    <t>ID10.00-20-16PR[M9097]146/142G 朝阳</t>
  </si>
  <si>
    <t>IDST175/80D13-6PR[ST600]GOODRIDE(好运)无内</t>
  </si>
  <si>
    <t>ID7.50R16-14PR(122/118J)[ETOD]TECHKING</t>
  </si>
  <si>
    <t>ID12.00R20-18PR(154/151F)[CB332]威狮</t>
  </si>
  <si>
    <t>ID12.00R20-18PR(154/151F)[CB919]威狮</t>
  </si>
  <si>
    <t>ID7.50R16-14PR(122/118J)[AM4S.Q669]EFFIPLUS</t>
  </si>
  <si>
    <t>ID11.00R20-18PR(152/149F)[CB972]TRAZANO(全诺)</t>
  </si>
  <si>
    <t>ID295/80R22.5-18PR(152/149M)[AD818]威狮无内</t>
  </si>
  <si>
    <t>ID10.00-20-18PR[CL956]150/145G TRAZANO(全诺)</t>
  </si>
  <si>
    <t>ID23.5-25-16PR[EL36]朝阳</t>
  </si>
  <si>
    <t>ID11.00R20-18PR(152/149F)[EZ330A]朝阳</t>
  </si>
  <si>
    <t>ID7.50R16-14PR(122/118L)[AZ697]TRAZANO(全诺)</t>
  </si>
  <si>
    <t>ID7.50-16-14PR[R8037]122/118J GOODRIDE(好运)</t>
  </si>
  <si>
    <t>ID295/75R22.5-14PR(144/141L)[AT563]ARISUN无内</t>
  </si>
  <si>
    <t>ID7.50-16-14PR[M8086]122/118G 朝阳</t>
  </si>
  <si>
    <t>ID12.00R20金冠丁基内胎</t>
  </si>
  <si>
    <t>ID10.00R20-18PR(149/146J)[CM988]GOODRIDE(好运)</t>
  </si>
  <si>
    <t>ID295/80R22.5-18PR(152/149M)[AS898]威狮无内</t>
  </si>
  <si>
    <t>ID23.5-25-24PR[CL728]朝阳 东南亚</t>
  </si>
  <si>
    <t>ID10.00R20-18PR(149/146F)[EZ330]GOODRIDE(好运)</t>
  </si>
  <si>
    <t>ID295/80R22.5-18PR(152/149K)[MD777]C级TRAZANO(全诺)无内</t>
  </si>
  <si>
    <t>ID7.50-16-14PR[L8056]122/118G C级朝阳</t>
  </si>
  <si>
    <t>ID12.00R20-18PR(154/151F)[CB972]C级朝阳</t>
  </si>
  <si>
    <t>ID11.00R20-18PR(152/149F)[CB972]C级朝阳</t>
  </si>
  <si>
    <t>ID11.00R20-18PR(152/149F)[CB332A]朝阳</t>
  </si>
  <si>
    <t>ID11.00R20-18PR(152/149F)[CB905A]朝阳</t>
  </si>
  <si>
    <t>ID10.00R20-18PR(149/146J)[CR926]C级TRAZANO(全诺)</t>
  </si>
  <si>
    <t>ID10.00R20-18PR(149/146F)[CB972]C级朝阳</t>
  </si>
  <si>
    <t>ID10.00R20-18PR(149/146F)[EZ330]雅度</t>
  </si>
  <si>
    <t>ID7.50R16-14PR(122/118L)[CR926]C级雅度</t>
  </si>
  <si>
    <t>ID7.50R16-14PR(122/118L)[CR926]C级TRAZANO(全诺)</t>
  </si>
  <si>
    <t>ID7.50R16-14PR(122/118F)[CB972]朝阳</t>
  </si>
  <si>
    <t>ID7.50R16-14PR(122/118F)[CB972]C级TRAZANO(全诺)</t>
  </si>
  <si>
    <t>ID295/80R22.5-18PR(152/149L)[CR926D]C级TRAZANO(全诺)无内</t>
  </si>
  <si>
    <t>ID295/80R22.5-18PR(152/149L)[AD153]C级TRAZANO(全诺)无内</t>
  </si>
  <si>
    <t>ID295/80R22.5-18PR(152/149M)[CR976A]C级TRAZANO(全诺)无内</t>
  </si>
  <si>
    <t>ID295/80R22.5-18PR(152/149M)[AD733]C级TRAZANO(全诺)无内</t>
  </si>
  <si>
    <t>ID10.00R20-18PR(149/146J)[AZ686]TRAZANO(全诺)</t>
  </si>
  <si>
    <t>ID11.00R20-18PR(152/149F)[CB332A]C级朝阳</t>
  </si>
  <si>
    <t>IDST225/75D15-8PR[ST600]GOODRIDE(好运)无内</t>
  </si>
  <si>
    <t>ID295/75R22.5-14PR(144/141M)[AT552]C级ARISUN无内</t>
  </si>
  <si>
    <t>ID11R22.5-14PR(144/142M)[AT552]C级ARISUN无内</t>
  </si>
  <si>
    <t>ID10.00-20-18PR[M9097]150/145G C级朝阳</t>
  </si>
  <si>
    <t>ID11.00R20-18PR(152/149F)[EZ330A]GOODRIDE(好运)</t>
  </si>
  <si>
    <t>ID10.00R20-18PR(149/146F)[CB905]C级朝阳</t>
  </si>
  <si>
    <t>ID7.50R16-14PR(122/118L)[SUPER AM S]C级TECHKING</t>
  </si>
  <si>
    <t>ID7.50R16-14PR(122/118L)[AZ697]C级TRAZANO(全诺)</t>
  </si>
  <si>
    <t>ID295/75R22.5-14PR(144/141M)[CR915]威狮无内</t>
  </si>
  <si>
    <t>ID12.00R20-18PR(154/151F)[CB972]GOODRIDE(好运)</t>
  </si>
  <si>
    <t>ID10.00R20-18PR(149/146J)[CR926]雅度</t>
  </si>
  <si>
    <t>ID10.00R20-18PR(149/146F)[CB972]雅度</t>
  </si>
  <si>
    <t>ID12.00R20-18PR(154/151F)[CB972]雅度</t>
  </si>
  <si>
    <t>ID11.00R20-18PR(152/149F)[CB972]GOODRIDE(好运)</t>
  </si>
  <si>
    <t>ID11.00R20-18PR(152/149F)[CB972]C级威狮</t>
  </si>
  <si>
    <t>ID7.50R16-14PR(122/118L)[CM913]C级GOODRIDE(好运)</t>
  </si>
  <si>
    <t>ID12.00R20-18PR(154/151F)[EZ345]C级雅度</t>
  </si>
  <si>
    <t>ID7.50R16-14PR(122/118L)[CR926]C级TIANLI</t>
  </si>
  <si>
    <t>ID7.50R16-14PR(122/118L)[CB981]C级TRAZANO(全诺)</t>
  </si>
  <si>
    <t>ID7.50R16-14PR(122/118L)[AZ850S]C级朝阳</t>
  </si>
  <si>
    <t>ID7.50-16-14PR[M8086]122/118G 金冠</t>
  </si>
  <si>
    <t>ID7.50-16-14PR[M8087]122/118G ASCENDO</t>
  </si>
  <si>
    <t>ID12.00R20-18PR(154/151F)[CB972]C级GOODRIDE(好运)</t>
  </si>
  <si>
    <t>ID7.50R16-14PR(122/118L)[CR926]UNITED</t>
  </si>
  <si>
    <t>ID7.50R16-14PR(122/118L)[CR926]TIANLI</t>
  </si>
  <si>
    <t>ID11.00-20-18PR[CL969]153/148G ASCENDO</t>
  </si>
  <si>
    <t>ID10.00-20-18PR[M9096]150/145G C级GOODRIDE(好运)</t>
  </si>
  <si>
    <t>ID10.00-20-18PR[M9097]150/145G ASCENDO</t>
  </si>
  <si>
    <t>ID10.00-20-16PR[M9096]146/142G 金冠</t>
  </si>
  <si>
    <t>ID7.50-16-14PR[R8038]122/118J C级GOODRIDE(好运)</t>
  </si>
  <si>
    <t>IDLT7.00-16-12PR[R8037]115/110J C级朝阳</t>
  </si>
  <si>
    <t>ID7.50R16-14PR(122/118L)[AZ850S]朝阳</t>
  </si>
  <si>
    <t>ID12.00R24-20PR(160/157F)[CB972E]朝阳</t>
  </si>
  <si>
    <t>ID11.00-20-18PR[CL969]153/148G C级金冠</t>
  </si>
  <si>
    <t>ID11.00R20-18PR(152/149F)[CB972]C级GOODRIDE(好运)</t>
  </si>
  <si>
    <t>ID10.00R20-18PR(149/146J)[CR926]C级雅度</t>
  </si>
  <si>
    <t>ID10.00R20-18PR(149/146F)[CB972]C级威狮</t>
  </si>
  <si>
    <t>ID295/80R22.5-18PR(152/149L)[AD153]威狮无内</t>
  </si>
  <si>
    <t>ID295/80R22.5-18PR(152/149M)[CR976A]威狮无内</t>
  </si>
  <si>
    <t>ID295/80R22.5-18PR(152/149M)[CM335]TRAZANO(全诺)无内</t>
  </si>
  <si>
    <t>ID11R22.5-16PR(148/145L)[AS858]C级GOODRIDE(好运)无内</t>
  </si>
  <si>
    <t>ID11R22.5-14PR(144/142M)[CR915]TRAZANO(全诺)无内</t>
  </si>
  <si>
    <t>ID23.5-25-20PR[EL36]朝阳</t>
  </si>
  <si>
    <t>ID7.50R16-14PR(122/118F)[CB972]威狮</t>
  </si>
  <si>
    <t>ID295/80R22.5-18PR(152/149L)[AD153]TRAZANO(全诺)无内</t>
  </si>
  <si>
    <t>ID12.00R20-18PR(154/151F)[CB972]朝阳</t>
  </si>
  <si>
    <t>ID10.00R20-18PR(149/146F)[CB972]朝阳</t>
  </si>
  <si>
    <t>ID11R22.5-14PR(144/142M)[CR915]C级TRAZANO(全诺)无内</t>
  </si>
  <si>
    <t>ID10.00R20-18PR(149/146F)[CB972]C级雅度</t>
  </si>
  <si>
    <t>ID295/80R22.5-18PR(152/149L)[AD153]C级威狮无内</t>
  </si>
  <si>
    <t>ID295/80R22.5-18PR(152/149M)[CR976A]C级威狮无内</t>
  </si>
  <si>
    <t>ID295/80R22.5-18PR(152/149M)[CM335]C级TRAZANO(全诺)无内</t>
  </si>
  <si>
    <t>ID295/80R22.5-18PR(152/149M)[AT161]C级威狮无内</t>
  </si>
  <si>
    <t>ID11R22.5-16PR(148/145L)[AS868]C级朝阳无内</t>
  </si>
  <si>
    <t>IDST205/75D15-6PR[ST600]GOODRIDE(好运)无内</t>
  </si>
  <si>
    <t>ID12.00R20-18PR(154/151F)[EZ345]雅度</t>
  </si>
  <si>
    <t>ID7.50R16-14PR(122/118L)[CR926]TRAZANO(全诺)</t>
  </si>
  <si>
    <t>ID295/80R22.5-18PR(152/149M)[CR976A]TRAZANO(全诺)无内</t>
  </si>
  <si>
    <t>ID295/80R22.5-18PR(152/149K)[MD777]TRAZANO(全诺)无内</t>
  </si>
  <si>
    <t>ID295/80R22.5-18PR(152/149L)[CR926D]TRAZANO(全诺)无内</t>
  </si>
  <si>
    <t>ID7.50R16-14PR(122/118L)[CR926]雅度</t>
  </si>
  <si>
    <t>ID10.00R20-18PR(149/146J)[CR926]TRAZANO(全诺)</t>
  </si>
  <si>
    <t>ID7.50R16-14PR(122/118F)[CB972]C级威狮</t>
  </si>
  <si>
    <t>ID12.00R24-20PR(160/157F)[CB972E]C级朝阳</t>
  </si>
  <si>
    <t>ID7.50R16-14PR(122/118F)[CB972]TRAZANO(全诺)</t>
  </si>
  <si>
    <t>ID7.50R16-14PR(122/118L)[CM913]GOODRIDE(好运)</t>
  </si>
  <si>
    <t>ID10.00R20-18PR(149/146F)[CB905]朝阳</t>
  </si>
  <si>
    <t>ID10.00R20-18PR(149/146J)[MD758]GOODRIDE(好运)</t>
  </si>
  <si>
    <t>ID23.5-25-20PR[EL36A]朝阳</t>
  </si>
  <si>
    <t>ID7.50R16-14PR(122/118F)[CB972]GOODRIDE(好运)</t>
  </si>
  <si>
    <t>ID295/80R22.5-18PR(152/149M)[AD733]TRAZANO(全诺)无内</t>
  </si>
  <si>
    <t>ID12.00R20-18PR(154/151F)[CB972]威狮</t>
  </si>
  <si>
    <t>ID7.50R16-14PR(122/118L)[CB981]朝阳</t>
  </si>
  <si>
    <t>ID11R22.5-16PR(148/145L)[AS868]C级TRAZANO(全诺)无内</t>
  </si>
  <si>
    <t>ID12.00R24-20PR(160/157C)[CB919]雅度</t>
  </si>
  <si>
    <t>ID10.00R20-18PR(149/146J)[AZ850]C级朝阳</t>
  </si>
  <si>
    <t>ID295/75R22.5-14PR(144/141M)[CR915]威狮无内 SMARTWAY</t>
  </si>
  <si>
    <t>IDLT7.00-16-12PR[R8037]115/110J 朝阳</t>
  </si>
  <si>
    <t>ID7.50R16-14PR(122/118L)[CB981]GOODRIDE(好运)</t>
  </si>
  <si>
    <t>ID7.50R16-14PR(122/118L)[CB981]C级朝阳</t>
  </si>
  <si>
    <t>ID295/75R22.5-14PR(144/141M)[CR915]C级威狮无内</t>
  </si>
  <si>
    <t>ID7.50-16-14PR[M8086]122/118G GOODRIDE(好运)</t>
  </si>
  <si>
    <t>ID7.50R16-14PR(122/118L)[CB981]TRAZANO(全诺)</t>
  </si>
  <si>
    <t>ID7.50R16-14PR(122/118L)[CB981]C级GOODRIDE(好运)</t>
  </si>
  <si>
    <t>ID12.00R20-18PR(154/151F)[EZ336]C级雅度</t>
  </si>
  <si>
    <t>ID10.00R20-18PR(149/146J)[AZ676]C级TRAZANO(全诺)</t>
  </si>
  <si>
    <t>ID10.00R20-18PR(149/146J)[EZ369]C级朝阳</t>
  </si>
  <si>
    <t>ID10.00R20-18PR(149/146J)[MD758]C级TRAZANO(全诺)</t>
  </si>
  <si>
    <t>ID10.00R20-18PR(149/146J)[AZ697]C级朝阳</t>
  </si>
  <si>
    <t>ID10.00R20-18PR(149/146F)[CB972]C级GOODRIDE(好运)</t>
  </si>
  <si>
    <t>ID10.00R20-18PR(149/146J)[CM913]GOODRIDE(好运)</t>
  </si>
  <si>
    <t>ID10.00R20-18PR(149/146J)[CR926]C级威狮</t>
  </si>
  <si>
    <t>ID7.50-16-14PR[R8037]122/118J C级朝阳</t>
  </si>
  <si>
    <t>ID11R22.5-16PR(148/145L)[AS858]威狮无内</t>
  </si>
  <si>
    <t>ID11R22.5-16PR(148/145L)[AS858]C级威狮无内</t>
  </si>
  <si>
    <t>ID12.00R24-20PR(160/157F)[CB972E]C级GOODRIDE(好运)</t>
  </si>
  <si>
    <t>ID7.50R16-14PR(122/118L)[EZ369]C级朝阳</t>
  </si>
  <si>
    <t>ID11R22.5-16PR(148/145L)[AS858]朝阳无内</t>
  </si>
  <si>
    <t>ID11R22.5-16PR(148/145L)[AS858]TRAZANO(全诺)无内</t>
  </si>
  <si>
    <t>ID7.50R16-14PR(122/118L)[AZ686]GOODRIDE(好运)</t>
  </si>
  <si>
    <t>ID7.50R16-14PR(122/118L)[AZ697]朝阳</t>
  </si>
  <si>
    <t>ID11R22.5-16PR(148/145L)[AS868]朝阳无内</t>
  </si>
  <si>
    <t>ID11R22.5-16PR(148/145L)[AS868]TRAZANO(全诺)无内</t>
  </si>
  <si>
    <t>ID10.00R20-18PR(149/146J)[CM913]C级GOODRIDE(好运)</t>
  </si>
  <si>
    <t>ID12.00R24-20PR(160/157C)[CB919]C级GOODRIDE(好运)</t>
  </si>
  <si>
    <t>ID7.50R16-14PR(122/118L)[AZ686]C级GOODRIDE(好运)</t>
  </si>
  <si>
    <t>ID10.00R20-16PR(146/143K)[SUPER AM S]TECHKING</t>
  </si>
  <si>
    <t>ID10.00R20-16PR(146/143K)[MOBY.R856X]EFFIPLUS</t>
  </si>
  <si>
    <t>ID7.50R16-14PR(122/118L)[SUPER AM S]TECHKING</t>
  </si>
  <si>
    <t>ID7.50R16-14PR(122/118L)[AZ601]GOODRIDE(好运)</t>
  </si>
  <si>
    <t>ID7.50R16-14PR(122/118L)[AZ697]C级朝阳</t>
  </si>
  <si>
    <t>ID10.00-20-18PR[M9096]150/145G GOODRIDE(好运)</t>
  </si>
  <si>
    <t>ID12.00R20-18PR(154/151F)[EZ310]雅度</t>
  </si>
  <si>
    <t>ID10.00R20-18PR(149/146J)[CM958]朝阳</t>
  </si>
  <si>
    <t>ID7.50R16-14PR(122/118L)[CB981]威狮</t>
  </si>
  <si>
    <t>ID7.50R16-14PR(122/118L)[AZ676]威狮</t>
  </si>
  <si>
    <t>ID7.50R16-14PR(122/118L)[AZ676]TRAZANO(全诺)</t>
  </si>
  <si>
    <t>ID7.50R16-14PR(122/118L)[AZ601]朝阳</t>
  </si>
  <si>
    <t>ID7.50R16-14PR(122/118L)[AZ601]威狮</t>
  </si>
  <si>
    <t>ID11R22.5-14PR(144/142M)[CR915]C级威狮无内</t>
  </si>
  <si>
    <t>ID10.00R20中策丁基内胎</t>
  </si>
  <si>
    <t>ID12.00R20中策丁基内胎</t>
  </si>
  <si>
    <t>ID12.00R24中策丁基内胎</t>
  </si>
  <si>
    <t>ID7.50R16中策丁基内胎</t>
  </si>
  <si>
    <t>ID7.00R16中策丁基内胎</t>
  </si>
  <si>
    <t>ID11.00R20中策丁基内胎</t>
  </si>
  <si>
    <t>ID7.50R16-14PR(122/118L)[AZ676]C级TRAZANO(全诺)</t>
  </si>
  <si>
    <t>ID7.50R16-14PR(122/118L)[AZ601]C级朝阳</t>
  </si>
  <si>
    <t>ID10.00R20-18PR(149/146J)[CM958]C级朝阳</t>
  </si>
  <si>
    <t>ID10.00R20-18PR(149/146J)[CR926]C级朝阳</t>
  </si>
  <si>
    <t>ID10.00R20-18PR(149/146J)[AZ676]C级GOODRIDE(好运)</t>
  </si>
  <si>
    <t>ID10.00R20-18PR(149/146J)[AZ686]C级朝阳</t>
  </si>
  <si>
    <t>ID7.50R16-14PR(122/118L)[CM988]C级GOODRIDE(好运)</t>
  </si>
  <si>
    <t>ID7.50R16-14PR(122/118L)[CB981]C级威狮</t>
  </si>
  <si>
    <t>ID10.00-20-16PR[M9096]146/142G 朝阳</t>
  </si>
  <si>
    <t>ID10.00-20-16PR[M9096]146/142G 威狮</t>
  </si>
  <si>
    <t>ID7.50-16-14PR[R8037]122/118J 威狮</t>
  </si>
  <si>
    <t>ID12.00R20-18PR(154/151F)[EZ310]C级雅度</t>
  </si>
  <si>
    <t>ID12.00R24-20PR(160/157C)[CB972E]威狮</t>
  </si>
  <si>
    <t>ID12.00R24-20PR(160/157C)[CB972E]雅度</t>
  </si>
  <si>
    <t>ID10.00R20-18PR(149/146J)[EZ369]朝阳</t>
  </si>
  <si>
    <t>ID7.50R16-14PR(122/118L)[CR926]C级威狮</t>
  </si>
  <si>
    <t>ID7.50R16-14PR(122/118L)[AZ601]C级威狮</t>
  </si>
  <si>
    <t>ID12.00R24-20PR(160/157F)[CB972E]C级威狮</t>
  </si>
  <si>
    <t>ID12.00R24-20PR(160/157F)[CB972E]C级雅度</t>
  </si>
  <si>
    <t>ID7.00-15中策丁基内胎</t>
  </si>
  <si>
    <t>ID10.00R20-18PR(149/146J)[MD758]TRAZANO(全诺)</t>
  </si>
  <si>
    <t>ID10.00R20-18PR(149/146J)[AZ697]朝阳</t>
  </si>
  <si>
    <t>ID12.00R24-20PR(160/157C)[CB972E]C级雅度</t>
  </si>
  <si>
    <t>ID12.00R24-20PR(160/157C)[CB972E]C级威狮</t>
  </si>
  <si>
    <t>ID10.00R20-18PR(149/146J)[CR926]C级GOODRIDE(好运)</t>
  </si>
  <si>
    <t>ID10.00R20-18PR(149/146J)[AZ686]C级GOODRIDE(好运)</t>
  </si>
  <si>
    <t>ID10.00R20-18PR(149/146J)[AZ601]C级威狮</t>
  </si>
  <si>
    <t>ID7.50R16-14PR(122/118L)[CR926]C级GOODRIDE(好运)</t>
  </si>
  <si>
    <t>ID12.00R24-20PR(160/157F)[CB919]雅度</t>
  </si>
  <si>
    <t>ID7.50R16-14PR(122/118L)[CR926]C级朝阳</t>
  </si>
  <si>
    <t>ID12.00R24-20PR(160/157F)[CB919]C级雅度</t>
  </si>
  <si>
    <t>ID10.00R20-18PR(149/146F)[CB972]GOODRIDE(好运)</t>
  </si>
  <si>
    <t>ID7.50R16-14PR(122/118L)[AZ676]C级威狮</t>
  </si>
  <si>
    <t>ID12.00R24-20PR(160/157F)[CB919]威狮</t>
  </si>
  <si>
    <t>ID12.00R24-20PR(160/157F)[EZ336]雅度</t>
  </si>
  <si>
    <t>ID7.50-15中策丁基内胎</t>
  </si>
  <si>
    <t>\</t>
  </si>
  <si>
    <t>MTI小批量/投产</t>
  </si>
  <si>
    <t>18x8.50-8</t>
  </si>
  <si>
    <t>25X8-12</t>
  </si>
  <si>
    <t>ST-100</t>
  </si>
  <si>
    <t>ST-100A</t>
  </si>
  <si>
    <t>25X10-12</t>
  </si>
  <si>
    <t>26X9-12</t>
  </si>
  <si>
    <t>26X9R12</t>
  </si>
  <si>
    <t>26X10-12</t>
  </si>
  <si>
    <t>26X10R12</t>
  </si>
  <si>
    <t>TKALⅢ</t>
  </si>
  <si>
    <t>4PR/6PR</t>
  </si>
  <si>
    <t>26×12-12</t>
  </si>
  <si>
    <t>26×12R12</t>
  </si>
  <si>
    <t>27X9-12</t>
  </si>
  <si>
    <t>27X11-12</t>
  </si>
  <si>
    <t>TKAL Ⅲ</t>
  </si>
  <si>
    <t>CM981</t>
  </si>
  <si>
    <t>STRONG GUARD GK-243</t>
  </si>
  <si>
    <t>15.5-25</t>
  </si>
  <si>
    <t>16.9-24</t>
  </si>
  <si>
    <t>CL729</t>
  </si>
  <si>
    <t>29X12.5-15</t>
  </si>
  <si>
    <t>CR906Ⅱ</t>
  </si>
  <si>
    <t>SL11</t>
  </si>
  <si>
    <t>☆☆PR</t>
  </si>
  <si>
    <t>HD3 PLUS</t>
  </si>
  <si>
    <t>HF1 PLUS</t>
  </si>
  <si>
    <t>G-PROU</t>
  </si>
  <si>
    <t>W-ELite ZM42</t>
  </si>
  <si>
    <t>CR926 MAX</t>
  </si>
  <si>
    <t>RLINE T1</t>
  </si>
  <si>
    <t>M-TRAC MS</t>
  </si>
  <si>
    <t>ECO-MILE MS</t>
  </si>
  <si>
    <t>ECO-MILE HTD</t>
  </si>
  <si>
    <t>M-TRAC TR</t>
  </si>
  <si>
    <t>M-TRAC OSD</t>
  </si>
  <si>
    <t>TM-134</t>
  </si>
  <si>
    <t>RLINE-TⅡ</t>
  </si>
  <si>
    <t>☆☆</t>
  </si>
  <si>
    <t>TRD-79</t>
  </si>
  <si>
    <t>轮胎   BAN</t>
  </si>
  <si>
    <t>内胎  BANDALAM</t>
  </si>
  <si>
    <t>TBR</t>
  </si>
  <si>
    <t>TBB</t>
  </si>
  <si>
    <t xml:space="preserve">规格 UKURAN </t>
  </si>
  <si>
    <t>箱量 JUMLAH</t>
  </si>
  <si>
    <t>装箱方式</t>
  </si>
  <si>
    <t>24寸</t>
  </si>
  <si>
    <t>平装，里面竖放2条，后面竖放8条，或者里面竖放4条，后面竖放6条</t>
  </si>
  <si>
    <t>23.5-25-24</t>
  </si>
  <si>
    <t>平装，每排边上插1条</t>
  </si>
  <si>
    <t>平装，里面竖放2条，后面竖放4条。</t>
  </si>
  <si>
    <t>10.00-20-18</t>
  </si>
  <si>
    <t>平装，每排边上插2条</t>
  </si>
  <si>
    <t>平装，后面竖放8条</t>
  </si>
  <si>
    <t>7.50-16-14</t>
  </si>
  <si>
    <t>交叉装，每排都要封顶</t>
  </si>
  <si>
    <t>平装，里面竖放4条，每排边上插2条，最后竖放2条。</t>
  </si>
  <si>
    <t>7.00-16-12</t>
  </si>
  <si>
    <t>7.50-15-12</t>
  </si>
  <si>
    <t>平装，每排边上插2条，后面竖放8条（272）或9条（273）</t>
  </si>
  <si>
    <t>22.5寸</t>
  </si>
  <si>
    <t>平装，后面竖放10条</t>
  </si>
  <si>
    <t>ST4.80-12-6</t>
  </si>
  <si>
    <t>平装</t>
  </si>
  <si>
    <t>17.5寸</t>
  </si>
  <si>
    <t>19.5寸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</si>
</sst>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0.00_ "/>
    <numFmt numFmtId="178" formatCode="0.0_ "/>
    <numFmt numFmtId="179" formatCode="0_ "/>
    <numFmt numFmtId="180" formatCode="#0.0000"/>
  </numFmts>
  <fonts count="81">
    <font>
      <sz val="11"/>
      <color rgb="FF000000"/>
      <name val="Arial"/>
      <charset val="204"/>
    </font>
    <font>
      <sz val="14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4"/>
      <color rgb="FF000000"/>
      <name val="宋体"/>
      <charset val="134"/>
    </font>
    <font>
      <sz val="16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0"/>
      <name val="Arial"/>
      <charset val="0"/>
    </font>
    <font>
      <sz val="12"/>
      <color rgb="FF000000"/>
      <name val="SimSun"/>
      <charset val="134"/>
    </font>
    <font>
      <sz val="12"/>
      <name val="Arial"/>
      <charset val="0"/>
    </font>
    <font>
      <sz val="12"/>
      <name val="SimSun"/>
      <charset val="134"/>
    </font>
    <font>
      <sz val="12"/>
      <color rgb="FF000000"/>
      <name val="宋体"/>
      <charset val="134"/>
    </font>
    <font>
      <sz val="10"/>
      <name val="宋体"/>
      <charset val="134"/>
      <scheme val="minor"/>
    </font>
    <font>
      <sz val="12"/>
      <name val="宋体"/>
      <charset val="134"/>
    </font>
    <font>
      <sz val="12"/>
      <color rgb="FF04B0F1"/>
      <name val="SimSun"/>
      <charset val="134"/>
    </font>
    <font>
      <sz val="9"/>
      <color theme="1"/>
      <name val="微软雅黑"/>
      <charset val="134"/>
    </font>
    <font>
      <sz val="11"/>
      <color theme="1"/>
      <name val="等线"/>
      <charset val="134"/>
    </font>
    <font>
      <sz val="10"/>
      <color theme="1"/>
      <name val="微软雅黑"/>
      <charset val="134"/>
    </font>
    <font>
      <sz val="11"/>
      <color rgb="FF000000"/>
      <name val="等线"/>
      <charset val="204"/>
    </font>
    <font>
      <sz val="9"/>
      <name val="微软雅黑"/>
      <charset val="134"/>
    </font>
    <font>
      <sz val="11"/>
      <color rgb="FF000000"/>
      <name val="等线"/>
      <charset val="134"/>
    </font>
    <font>
      <sz val="14"/>
      <color rgb="FF000000"/>
      <name val="等线"/>
      <charset val="134"/>
    </font>
    <font>
      <sz val="11"/>
      <name val="宋体"/>
      <charset val="134"/>
      <scheme val="minor"/>
    </font>
    <font>
      <sz val="11"/>
      <name val="等线"/>
      <charset val="134"/>
    </font>
    <font>
      <sz val="12"/>
      <color rgb="FF000000"/>
      <name val="等线"/>
      <charset val="134"/>
    </font>
    <font>
      <sz val="11"/>
      <color rgb="FF000000"/>
      <name val="宋体"/>
      <charset val="204"/>
    </font>
    <font>
      <sz val="11"/>
      <color theme="1"/>
      <name val="宋体"/>
      <charset val="134"/>
      <scheme val="minor"/>
    </font>
    <font>
      <sz val="16"/>
      <color rgb="FF000000"/>
      <name val="宋体"/>
      <charset val="204"/>
    </font>
    <font>
      <sz val="12"/>
      <color rgb="FF000000"/>
      <name val="宋体"/>
      <charset val="204"/>
    </font>
    <font>
      <sz val="12"/>
      <color rgb="FF000000"/>
      <name val="Arial"/>
      <charset val="204"/>
    </font>
    <font>
      <sz val="9"/>
      <color rgb="FF000000"/>
      <name val="Arial"/>
      <charset val="204"/>
    </font>
    <font>
      <sz val="9"/>
      <color rgb="FF000000"/>
      <name val="宋体"/>
      <charset val="204"/>
    </font>
    <font>
      <sz val="10"/>
      <color rgb="FF000000"/>
      <name val="宋体"/>
      <charset val="204"/>
    </font>
    <font>
      <sz val="10"/>
      <color rgb="FF000000"/>
      <name val="Arial"/>
      <charset val="204"/>
    </font>
    <font>
      <sz val="9"/>
      <name val="宋体"/>
      <charset val="204"/>
    </font>
    <font>
      <sz val="11"/>
      <name val="宋体"/>
      <charset val="204"/>
    </font>
    <font>
      <sz val="18"/>
      <color rgb="FF000000"/>
      <name val="宋体"/>
      <charset val="204"/>
    </font>
    <font>
      <sz val="14"/>
      <color rgb="FF000000"/>
      <name val="宋体"/>
      <charset val="204"/>
    </font>
    <font>
      <sz val="14"/>
      <color rgb="FF000000"/>
      <name val="Arial"/>
      <charset val="204"/>
    </font>
    <font>
      <b/>
      <sz val="14"/>
      <color rgb="FF000000"/>
      <name val="宋体"/>
      <charset val="204"/>
    </font>
    <font>
      <b/>
      <sz val="14"/>
      <color rgb="FF000000"/>
      <name val="Arial"/>
      <charset val="204"/>
    </font>
    <font>
      <sz val="18"/>
      <color rgb="FF000000"/>
      <name val="Arial"/>
      <charset val="0"/>
    </font>
    <font>
      <sz val="12"/>
      <color rgb="FF000000"/>
      <name val="Arial"/>
      <charset val="0"/>
    </font>
    <font>
      <sz val="11"/>
      <color rgb="FF000000"/>
      <name val="Arial"/>
      <charset val="0"/>
    </font>
    <font>
      <sz val="11"/>
      <name val="Arial"/>
      <charset val="0"/>
    </font>
    <font>
      <b/>
      <sz val="12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2"/>
      <name val="等线"/>
      <charset val="134"/>
    </font>
    <font>
      <sz val="11"/>
      <color rgb="FFFF0000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2"/>
      <name val="等线"/>
      <charset val="0"/>
    </font>
    <font>
      <b/>
      <sz val="12"/>
      <color rgb="FF0000FF"/>
      <name val="等线"/>
      <charset val="134"/>
    </font>
    <font>
      <b/>
      <sz val="12"/>
      <name val="等线"/>
      <charset val="134"/>
    </font>
    <font>
      <sz val="10"/>
      <name val="宋体"/>
      <charset val="0"/>
    </font>
    <font>
      <sz val="11"/>
      <color rgb="FF000000"/>
      <name val="Calibri"/>
      <charset val="134"/>
    </font>
    <font>
      <sz val="11"/>
      <color rgb="FF000000"/>
      <name val="宋体-简"/>
      <charset val="134"/>
    </font>
    <font>
      <sz val="10.5"/>
      <color rgb="FF131D2E"/>
      <name val="Helvetica Neue"/>
      <charset val="204"/>
    </font>
    <font>
      <sz val="10"/>
      <name val="Arial"/>
      <family val="2"/>
      <charset val="0"/>
    </font>
    <font>
      <sz val="11"/>
      <color rgb="FF000000"/>
      <name val="宋体-简"/>
      <charset val="20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8"/>
      <color rgb="FF000000"/>
      <name val="宋体"/>
      <charset val="0"/>
    </font>
  </fonts>
  <fills count="6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CC10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4F"/>
        <bgColor indexed="64"/>
      </patternFill>
    </fill>
    <fill>
      <patternFill patternType="solid">
        <fgColor theme="0" tint="-0.149998474074526"/>
        <bgColor theme="0" tint="-0.149998474074526"/>
      </patternFill>
    </fill>
    <fill>
      <patternFill patternType="solid">
        <fgColor theme="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9BADF9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theme="6" tint="-0.25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2" tint="-0.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DA7DE"/>
        <bgColor indexed="64"/>
      </patternFill>
    </fill>
    <fill>
      <patternFill patternType="solid">
        <fgColor rgb="FFEDA7D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8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/>
      <top style="medium">
        <color auto="1"/>
      </top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/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27" fillId="0" borderId="0" applyFont="0" applyFill="0" applyBorder="0" applyAlignment="0" applyProtection="0">
      <alignment vertical="center"/>
    </xf>
    <xf numFmtId="44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27" fillId="38" borderId="78" applyNumberFormat="0" applyFont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8" fillId="0" borderId="80" applyNumberFormat="0" applyFill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39" borderId="81" applyNumberFormat="0" applyAlignment="0" applyProtection="0">
      <alignment vertical="center"/>
    </xf>
    <xf numFmtId="0" fontId="70" fillId="40" borderId="82" applyNumberFormat="0" applyAlignment="0" applyProtection="0">
      <alignment vertical="center"/>
    </xf>
    <xf numFmtId="0" fontId="71" fillId="40" borderId="81" applyNumberFormat="0" applyAlignment="0" applyProtection="0">
      <alignment vertical="center"/>
    </xf>
    <xf numFmtId="0" fontId="72" fillId="41" borderId="83" applyNumberFormat="0" applyAlignment="0" applyProtection="0">
      <alignment vertical="center"/>
    </xf>
    <xf numFmtId="0" fontId="73" fillId="0" borderId="84" applyNumberFormat="0" applyFill="0" applyAlignment="0" applyProtection="0">
      <alignment vertical="center"/>
    </xf>
    <xf numFmtId="0" fontId="74" fillId="0" borderId="85" applyNumberFormat="0" applyFill="0" applyAlignment="0" applyProtection="0">
      <alignment vertical="center"/>
    </xf>
    <xf numFmtId="0" fontId="75" fillId="42" borderId="0" applyNumberFormat="0" applyBorder="0" applyAlignment="0" applyProtection="0">
      <alignment vertical="center"/>
    </xf>
    <xf numFmtId="0" fontId="76" fillId="43" borderId="0" applyNumberFormat="0" applyBorder="0" applyAlignment="0" applyProtection="0">
      <alignment vertical="center"/>
    </xf>
    <xf numFmtId="0" fontId="77" fillId="44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9" fillId="45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78" fillId="47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9" fillId="48" borderId="0" applyNumberFormat="0" applyBorder="0" applyAlignment="0" applyProtection="0">
      <alignment vertical="center"/>
    </xf>
    <xf numFmtId="0" fontId="79" fillId="49" borderId="0" applyNumberFormat="0" applyBorder="0" applyAlignment="0" applyProtection="0">
      <alignment vertical="center"/>
    </xf>
    <xf numFmtId="0" fontId="78" fillId="50" borderId="0" applyNumberFormat="0" applyBorder="0" applyAlignment="0" applyProtection="0">
      <alignment vertical="center"/>
    </xf>
    <xf numFmtId="0" fontId="78" fillId="51" borderId="0" applyNumberFormat="0" applyBorder="0" applyAlignment="0" applyProtection="0">
      <alignment vertical="center"/>
    </xf>
    <xf numFmtId="0" fontId="79" fillId="52" borderId="0" applyNumberFormat="0" applyBorder="0" applyAlignment="0" applyProtection="0">
      <alignment vertical="center"/>
    </xf>
    <xf numFmtId="0" fontId="79" fillId="53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78" fillId="55" borderId="0" applyNumberFormat="0" applyBorder="0" applyAlignment="0" applyProtection="0">
      <alignment vertical="center"/>
    </xf>
    <xf numFmtId="0" fontId="79" fillId="56" borderId="0" applyNumberFormat="0" applyBorder="0" applyAlignment="0" applyProtection="0">
      <alignment vertical="center"/>
    </xf>
    <xf numFmtId="0" fontId="79" fillId="57" borderId="0" applyNumberFormat="0" applyBorder="0" applyAlignment="0" applyProtection="0">
      <alignment vertical="center"/>
    </xf>
    <xf numFmtId="0" fontId="78" fillId="58" borderId="0" applyNumberFormat="0" applyBorder="0" applyAlignment="0" applyProtection="0">
      <alignment vertical="center"/>
    </xf>
    <xf numFmtId="0" fontId="78" fillId="59" borderId="0" applyNumberFormat="0" applyBorder="0" applyAlignment="0" applyProtection="0">
      <alignment vertical="center"/>
    </xf>
    <xf numFmtId="0" fontId="79" fillId="34" borderId="0" applyNumberFormat="0" applyBorder="0" applyAlignment="0" applyProtection="0">
      <alignment vertical="center"/>
    </xf>
    <xf numFmtId="0" fontId="79" fillId="2" borderId="0" applyNumberFormat="0" applyBorder="0" applyAlignment="0" applyProtection="0">
      <alignment vertical="center"/>
    </xf>
    <xf numFmtId="0" fontId="78" fillId="60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9" fillId="61" borderId="0" applyNumberFormat="0" applyBorder="0" applyAlignment="0" applyProtection="0">
      <alignment vertical="center"/>
    </xf>
    <xf numFmtId="0" fontId="79" fillId="62" borderId="0" applyNumberFormat="0" applyBorder="0" applyAlignment="0" applyProtection="0">
      <alignment vertical="center"/>
    </xf>
    <xf numFmtId="0" fontId="78" fillId="63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</cellStyleXfs>
  <cellXfs count="461">
    <xf numFmtId="0" fontId="0" fillId="0" borderId="0" xfId="0" applyFill="1" applyBorder="1" applyAlignment="1">
      <alignment horizontal="left" vertical="top" wrapText="1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left" vertical="center"/>
    </xf>
    <xf numFmtId="0" fontId="1" fillId="0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0" xfId="0" applyFont="1" applyFill="1" applyBorder="1" applyAlignment="1"/>
    <xf numFmtId="0" fontId="9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 shrinkToFit="1"/>
    </xf>
    <xf numFmtId="0" fontId="9" fillId="0" borderId="0" xfId="0" applyFont="1" applyFill="1" applyBorder="1" applyAlignment="1">
      <alignment horizontal="left" vertical="center" shrinkToFit="1"/>
    </xf>
    <xf numFmtId="0" fontId="8" fillId="0" borderId="0" xfId="0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0" fontId="9" fillId="0" borderId="5" xfId="0" applyFont="1" applyFill="1" applyBorder="1" applyAlignment="1" applyProtection="1">
      <alignment horizontal="center" vertical="center"/>
    </xf>
    <xf numFmtId="0" fontId="9" fillId="0" borderId="6" xfId="0" applyFont="1" applyFill="1" applyBorder="1" applyAlignment="1" applyProtection="1">
      <alignment horizontal="center" vertical="center"/>
    </xf>
    <xf numFmtId="0" fontId="9" fillId="0" borderId="6" xfId="0" applyFont="1" applyFill="1" applyBorder="1" applyAlignment="1" applyProtection="1">
      <alignment horizontal="center" vertical="center" shrinkToFit="1"/>
    </xf>
    <xf numFmtId="0" fontId="9" fillId="0" borderId="7" xfId="0" applyFont="1" applyFill="1" applyBorder="1" applyAlignment="1" applyProtection="1">
      <alignment horizontal="center" vertical="center" shrinkToFit="1"/>
    </xf>
    <xf numFmtId="0" fontId="9" fillId="0" borderId="7" xfId="0" applyFont="1" applyFill="1" applyBorder="1" applyAlignment="1" applyProtection="1">
      <alignment horizontal="center" vertical="center"/>
    </xf>
    <xf numFmtId="0" fontId="9" fillId="0" borderId="7" xfId="0" applyFont="1" applyFill="1" applyBorder="1" applyAlignment="1" applyProtection="1">
      <alignment horizontal="center" vertical="center" wrapText="1"/>
    </xf>
    <xf numFmtId="0" fontId="9" fillId="0" borderId="8" xfId="0" applyFont="1" applyFill="1" applyBorder="1" applyAlignment="1" applyProtection="1">
      <alignment horizontal="center" vertical="center"/>
    </xf>
    <xf numFmtId="0" fontId="9" fillId="0" borderId="8" xfId="0" applyFont="1" applyFill="1" applyBorder="1" applyAlignment="1" applyProtection="1">
      <alignment horizontal="center" vertical="center" shrinkToFit="1"/>
    </xf>
    <xf numFmtId="0" fontId="11" fillId="0" borderId="7" xfId="0" applyFont="1" applyFill="1" applyBorder="1" applyAlignment="1" applyProtection="1">
      <alignment horizontal="center" vertical="center"/>
    </xf>
    <xf numFmtId="0" fontId="11" fillId="0" borderId="9" xfId="0" applyFont="1" applyFill="1" applyBorder="1" applyAlignment="1" applyProtection="1">
      <alignment horizontal="center" vertical="center"/>
    </xf>
    <xf numFmtId="0" fontId="11" fillId="0" borderId="5" xfId="0" applyFont="1" applyFill="1" applyBorder="1" applyAlignment="1" applyProtection="1">
      <alignment horizontal="center" vertical="center"/>
    </xf>
    <xf numFmtId="0" fontId="9" fillId="0" borderId="0" xfId="0" applyFont="1" applyFill="1" applyBorder="1" applyAlignment="1" applyProtection="1">
      <alignment horizontal="left" vertical="center" shrinkToFit="1"/>
    </xf>
    <xf numFmtId="0" fontId="9" fillId="0" borderId="10" xfId="0" applyFont="1" applyFill="1" applyBorder="1" applyAlignment="1" applyProtection="1">
      <alignment horizontal="center" vertical="center"/>
    </xf>
    <xf numFmtId="0" fontId="9" fillId="0" borderId="10" xfId="0" applyFont="1" applyFill="1" applyBorder="1" applyAlignment="1" applyProtection="1">
      <alignment horizontal="center" vertical="center" wrapText="1"/>
    </xf>
    <xf numFmtId="0" fontId="12" fillId="0" borderId="7" xfId="0" applyFont="1" applyFill="1" applyBorder="1" applyAlignment="1" applyProtection="1">
      <alignment horizontal="center" vertical="center" wrapText="1"/>
    </xf>
    <xf numFmtId="0" fontId="13" fillId="0" borderId="7" xfId="0" applyFont="1" applyFill="1" applyBorder="1" applyAlignment="1" applyProtection="1">
      <alignment vertical="center"/>
    </xf>
    <xf numFmtId="0" fontId="9" fillId="0" borderId="11" xfId="0" applyFont="1" applyFill="1" applyBorder="1" applyAlignment="1" applyProtection="1">
      <alignment horizontal="center" vertical="center"/>
    </xf>
    <xf numFmtId="0" fontId="12" fillId="0" borderId="8" xfId="0" applyFont="1" applyFill="1" applyBorder="1" applyAlignment="1" applyProtection="1">
      <alignment horizontal="center" vertical="center" wrapText="1"/>
    </xf>
    <xf numFmtId="0" fontId="9" fillId="0" borderId="8" xfId="0" applyFont="1" applyFill="1" applyBorder="1" applyAlignment="1" applyProtection="1">
      <alignment horizontal="center" vertical="center" wrapText="1"/>
    </xf>
    <xf numFmtId="0" fontId="9" fillId="0" borderId="11" xfId="0" applyFont="1" applyFill="1" applyBorder="1" applyAlignment="1" applyProtection="1">
      <alignment horizontal="center" vertical="center" wrapText="1"/>
    </xf>
    <xf numFmtId="0" fontId="9" fillId="0" borderId="12" xfId="0" applyFont="1" applyFill="1" applyBorder="1" applyAlignment="1" applyProtection="1">
      <alignment horizontal="center" vertical="center"/>
    </xf>
    <xf numFmtId="0" fontId="13" fillId="0" borderId="10" xfId="0" applyFont="1" applyFill="1" applyBorder="1" applyAlignment="1" applyProtection="1">
      <alignment vertical="center"/>
    </xf>
    <xf numFmtId="0" fontId="9" fillId="0" borderId="13" xfId="0" applyFont="1" applyFill="1" applyBorder="1" applyAlignment="1" applyProtection="1">
      <alignment horizontal="center" vertical="center" wrapText="1"/>
    </xf>
    <xf numFmtId="0" fontId="9" fillId="0" borderId="14" xfId="0" applyFont="1" applyFill="1" applyBorder="1" applyAlignment="1" applyProtection="1">
      <alignment horizontal="center" vertical="center" wrapText="1"/>
    </xf>
    <xf numFmtId="0" fontId="9" fillId="0" borderId="15" xfId="0" applyFont="1" applyFill="1" applyBorder="1" applyAlignment="1" applyProtection="1">
      <alignment horizontal="center" vertical="center" wrapText="1"/>
    </xf>
    <xf numFmtId="0" fontId="13" fillId="0" borderId="13" xfId="0" applyFont="1" applyFill="1" applyBorder="1" applyAlignment="1" applyProtection="1">
      <alignment vertical="center"/>
    </xf>
    <xf numFmtId="0" fontId="9" fillId="0" borderId="14" xfId="0" applyFont="1" applyFill="1" applyBorder="1" applyAlignment="1" applyProtection="1">
      <alignment horizontal="center" vertical="center"/>
    </xf>
    <xf numFmtId="0" fontId="13" fillId="0" borderId="8" xfId="0" applyFont="1" applyFill="1" applyBorder="1" applyAlignment="1" applyProtection="1">
      <alignment vertical="center"/>
    </xf>
    <xf numFmtId="0" fontId="9" fillId="0" borderId="13" xfId="0" applyFont="1" applyFill="1" applyBorder="1" applyAlignment="1" applyProtection="1">
      <alignment horizontal="center" vertical="center"/>
    </xf>
    <xf numFmtId="0" fontId="4" fillId="0" borderId="0" xfId="0" applyFont="1" applyFill="1" applyBorder="1" applyAlignment="1">
      <alignment vertical="center"/>
    </xf>
    <xf numFmtId="0" fontId="11" fillId="0" borderId="7" xfId="0" applyFont="1" applyFill="1" applyBorder="1" applyAlignment="1" applyProtection="1">
      <alignment horizontal="center" vertical="center" wrapText="1"/>
    </xf>
    <xf numFmtId="0" fontId="11" fillId="0" borderId="6" xfId="0" applyFont="1" applyFill="1" applyBorder="1" applyAlignment="1" applyProtection="1">
      <alignment horizontal="center" vertical="center"/>
    </xf>
    <xf numFmtId="0" fontId="11" fillId="0" borderId="10" xfId="0" applyFont="1" applyFill="1" applyBorder="1" applyAlignment="1" applyProtection="1">
      <alignment horizontal="center" vertical="center" wrapText="1"/>
    </xf>
    <xf numFmtId="0" fontId="11" fillId="0" borderId="16" xfId="0" applyFont="1" applyFill="1" applyBorder="1" applyAlignment="1" applyProtection="1">
      <alignment horizontal="center" vertical="center"/>
    </xf>
    <xf numFmtId="0" fontId="14" fillId="0" borderId="0" xfId="0" applyFont="1" applyFill="1" applyBorder="1" applyAlignment="1">
      <alignment horizontal="center"/>
    </xf>
    <xf numFmtId="0" fontId="11" fillId="0" borderId="10" xfId="0" applyFont="1" applyFill="1" applyBorder="1" applyAlignment="1" applyProtection="1">
      <alignment horizontal="center" vertical="center"/>
    </xf>
    <xf numFmtId="0" fontId="15" fillId="0" borderId="7" xfId="0" applyFont="1" applyFill="1" applyBorder="1" applyAlignment="1" applyProtection="1">
      <alignment horizontal="center" vertical="center" shrinkToFit="1"/>
    </xf>
    <xf numFmtId="0" fontId="9" fillId="3" borderId="7" xfId="0" applyFont="1" applyFill="1" applyBorder="1" applyAlignment="1" applyProtection="1">
      <alignment horizontal="center" vertical="center"/>
    </xf>
    <xf numFmtId="0" fontId="9" fillId="0" borderId="5" xfId="0" applyFont="1" applyFill="1" applyBorder="1" applyAlignment="1" applyProtection="1">
      <alignment horizontal="center" vertical="center" shrinkToFit="1"/>
    </xf>
    <xf numFmtId="0" fontId="11" fillId="0" borderId="0" xfId="0" applyFont="1" applyFill="1" applyBorder="1" applyAlignment="1" applyProtection="1">
      <alignment horizontal="left" shrinkToFit="1"/>
    </xf>
    <xf numFmtId="0" fontId="11" fillId="0" borderId="0" xfId="0" applyFont="1" applyFill="1" applyBorder="1" applyAlignment="1" applyProtection="1">
      <alignment horizontal="left" vertical="center" shrinkToFit="1"/>
    </xf>
    <xf numFmtId="0" fontId="9" fillId="0" borderId="10" xfId="0" applyFont="1" applyFill="1" applyBorder="1" applyAlignment="1" applyProtection="1">
      <alignment horizontal="center" vertical="center" shrinkToFit="1"/>
    </xf>
    <xf numFmtId="0" fontId="9" fillId="0" borderId="12" xfId="0" applyFont="1" applyFill="1" applyBorder="1" applyAlignment="1" applyProtection="1">
      <alignment horizontal="center" vertical="center" shrinkToFit="1"/>
    </xf>
    <xf numFmtId="0" fontId="11" fillId="0" borderId="8" xfId="0" applyFont="1" applyFill="1" applyBorder="1" applyAlignment="1" applyProtection="1">
      <alignment horizontal="center" vertical="center"/>
    </xf>
    <xf numFmtId="0" fontId="8" fillId="0" borderId="0" xfId="0" applyFont="1" applyFill="1" applyBorder="1" applyAlignment="1">
      <alignment vertical="center"/>
    </xf>
    <xf numFmtId="0" fontId="16" fillId="0" borderId="0" xfId="0" applyFont="1" applyFill="1" applyBorder="1" applyAlignment="1">
      <alignment horizontal="left" vertical="center"/>
    </xf>
    <xf numFmtId="0" fontId="16" fillId="0" borderId="0" xfId="0" applyFont="1" applyFill="1" applyBorder="1" applyAlignment="1">
      <alignment horizontal="center" vertical="center"/>
    </xf>
    <xf numFmtId="176" fontId="16" fillId="0" borderId="0" xfId="3" applyNumberFormat="1" applyFont="1" applyFill="1" applyBorder="1" applyAlignment="1">
      <alignment horizontal="center" vertical="center"/>
    </xf>
    <xf numFmtId="0" fontId="16" fillId="0" borderId="0" xfId="3" applyNumberFormat="1" applyFont="1" applyFill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17" fillId="0" borderId="0" xfId="0" applyFont="1" applyFill="1" applyAlignment="1">
      <alignment horizontal="left" vertical="center"/>
    </xf>
    <xf numFmtId="0" fontId="17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18" fillId="0" borderId="17" xfId="0" applyFont="1" applyFill="1" applyBorder="1" applyAlignment="1">
      <alignment horizontal="center" vertical="center"/>
    </xf>
    <xf numFmtId="0" fontId="18" fillId="0" borderId="18" xfId="0" applyFont="1" applyFill="1" applyBorder="1" applyAlignment="1">
      <alignment horizontal="center" vertical="center"/>
    </xf>
    <xf numFmtId="176" fontId="18" fillId="0" borderId="19" xfId="3" applyNumberFormat="1" applyFont="1" applyFill="1" applyBorder="1" applyAlignment="1">
      <alignment horizontal="center" vertical="center"/>
    </xf>
    <xf numFmtId="0" fontId="16" fillId="4" borderId="20" xfId="0" applyFont="1" applyFill="1" applyBorder="1" applyAlignment="1">
      <alignment horizontal="left" vertical="center"/>
    </xf>
    <xf numFmtId="0" fontId="16" fillId="0" borderId="21" xfId="0" applyFont="1" applyFill="1" applyBorder="1" applyAlignment="1">
      <alignment horizontal="center" vertical="center"/>
    </xf>
    <xf numFmtId="176" fontId="16" fillId="0" borderId="22" xfId="3" applyNumberFormat="1" applyFont="1" applyFill="1" applyBorder="1" applyAlignment="1">
      <alignment horizontal="center" vertical="center"/>
    </xf>
    <xf numFmtId="0" fontId="16" fillId="4" borderId="23" xfId="0" applyFont="1" applyFill="1" applyBorder="1" applyAlignment="1">
      <alignment horizontal="left" vertical="center"/>
    </xf>
    <xf numFmtId="0" fontId="16" fillId="0" borderId="24" xfId="0" applyFont="1" applyFill="1" applyBorder="1" applyAlignment="1">
      <alignment horizontal="center" vertical="center"/>
    </xf>
    <xf numFmtId="176" fontId="16" fillId="0" borderId="25" xfId="3" applyNumberFormat="1" applyFont="1" applyFill="1" applyBorder="1" applyAlignment="1">
      <alignment horizontal="center" vertical="center"/>
    </xf>
    <xf numFmtId="0" fontId="18" fillId="0" borderId="19" xfId="3" applyNumberFormat="1" applyFont="1" applyFill="1" applyBorder="1" applyAlignment="1">
      <alignment horizontal="center" vertical="center"/>
    </xf>
    <xf numFmtId="0" fontId="18" fillId="0" borderId="19" xfId="0" applyFont="1" applyFill="1" applyBorder="1" applyAlignment="1">
      <alignment horizontal="center" vertical="center"/>
    </xf>
    <xf numFmtId="0" fontId="18" fillId="0" borderId="26" xfId="0" applyFont="1" applyFill="1" applyBorder="1" applyAlignment="1">
      <alignment horizontal="center" vertical="center"/>
    </xf>
    <xf numFmtId="0" fontId="16" fillId="0" borderId="22" xfId="3" applyNumberFormat="1" applyFont="1" applyFill="1" applyBorder="1" applyAlignment="1">
      <alignment horizontal="center" vertical="center"/>
    </xf>
    <xf numFmtId="0" fontId="16" fillId="0" borderId="22" xfId="0" applyFont="1" applyFill="1" applyBorder="1" applyAlignment="1">
      <alignment horizontal="center" vertical="center"/>
    </xf>
    <xf numFmtId="0" fontId="16" fillId="0" borderId="27" xfId="0" applyFont="1" applyFill="1" applyBorder="1" applyAlignment="1">
      <alignment horizontal="center" vertical="center"/>
    </xf>
    <xf numFmtId="0" fontId="16" fillId="0" borderId="25" xfId="3" applyNumberFormat="1" applyFont="1" applyFill="1" applyBorder="1" applyAlignment="1">
      <alignment horizontal="center" vertical="center"/>
    </xf>
    <xf numFmtId="0" fontId="16" fillId="0" borderId="25" xfId="0" applyFont="1" applyFill="1" applyBorder="1" applyAlignment="1">
      <alignment horizontal="center" vertical="center"/>
    </xf>
    <xf numFmtId="0" fontId="16" fillId="0" borderId="28" xfId="0" applyFont="1" applyFill="1" applyBorder="1" applyAlignment="1">
      <alignment horizontal="center" vertical="center"/>
    </xf>
    <xf numFmtId="0" fontId="17" fillId="0" borderId="29" xfId="0" applyFont="1" applyFill="1" applyBorder="1" applyAlignment="1">
      <alignment horizontal="left" vertical="center"/>
    </xf>
    <xf numFmtId="177" fontId="17" fillId="0" borderId="1" xfId="0" applyNumberFormat="1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left" vertical="center"/>
    </xf>
    <xf numFmtId="0" fontId="17" fillId="0" borderId="1" xfId="0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left" vertical="center" wrapText="1"/>
    </xf>
    <xf numFmtId="0" fontId="19" fillId="0" borderId="0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 wrapText="1"/>
    </xf>
    <xf numFmtId="0" fontId="20" fillId="4" borderId="23" xfId="0" applyFont="1" applyFill="1" applyBorder="1" applyAlignment="1">
      <alignment horizontal="left" vertical="center"/>
    </xf>
    <xf numFmtId="0" fontId="17" fillId="0" borderId="29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76" fontId="20" fillId="0" borderId="25" xfId="3" applyNumberFormat="1" applyFont="1" applyFill="1" applyBorder="1" applyAlignment="1">
      <alignment horizontal="center" vertical="center"/>
    </xf>
    <xf numFmtId="0" fontId="20" fillId="0" borderId="25" xfId="0" applyFont="1" applyFill="1" applyBorder="1" applyAlignment="1">
      <alignment horizontal="center" vertical="center"/>
    </xf>
    <xf numFmtId="0" fontId="16" fillId="4" borderId="30" xfId="0" applyFont="1" applyFill="1" applyBorder="1" applyAlignment="1">
      <alignment horizontal="left" vertical="center"/>
    </xf>
    <xf numFmtId="0" fontId="16" fillId="0" borderId="31" xfId="0" applyFont="1" applyFill="1" applyBorder="1" applyAlignment="1">
      <alignment horizontal="center" vertical="center"/>
    </xf>
    <xf numFmtId="176" fontId="16" fillId="0" borderId="32" xfId="3" applyNumberFormat="1" applyFont="1" applyFill="1" applyBorder="1" applyAlignment="1">
      <alignment horizontal="center" vertical="center"/>
    </xf>
    <xf numFmtId="0" fontId="16" fillId="0" borderId="32" xfId="0" applyFont="1" applyFill="1" applyBorder="1" applyAlignment="1">
      <alignment horizontal="center" vertical="center"/>
    </xf>
    <xf numFmtId="0" fontId="16" fillId="0" borderId="33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21" fillId="0" borderId="0" xfId="0" applyFont="1" applyFill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0" fontId="4" fillId="0" borderId="0" xfId="0" applyFont="1" applyFill="1" applyAlignment="1">
      <alignment vertical="center"/>
    </xf>
    <xf numFmtId="0" fontId="22" fillId="0" borderId="34" xfId="0" applyFont="1" applyFill="1" applyBorder="1" applyAlignment="1" applyProtection="1">
      <alignment horizontal="center" vertical="center"/>
    </xf>
    <xf numFmtId="0" fontId="13" fillId="0" borderId="35" xfId="0" applyFont="1" applyFill="1" applyBorder="1" applyAlignment="1" applyProtection="1">
      <alignment vertical="center"/>
    </xf>
    <xf numFmtId="0" fontId="21" fillId="0" borderId="36" xfId="0" applyFont="1" applyFill="1" applyBorder="1" applyAlignment="1" applyProtection="1">
      <alignment horizontal="center" vertical="center"/>
    </xf>
    <xf numFmtId="0" fontId="21" fillId="0" borderId="7" xfId="0" applyFont="1" applyFill="1" applyBorder="1" applyAlignment="1" applyProtection="1">
      <alignment horizontal="center" vertical="center"/>
    </xf>
    <xf numFmtId="0" fontId="21" fillId="0" borderId="5" xfId="0" applyFont="1" applyFill="1" applyBorder="1" applyAlignment="1" applyProtection="1">
      <alignment horizontal="center" vertical="center"/>
    </xf>
    <xf numFmtId="0" fontId="21" fillId="5" borderId="36" xfId="0" applyFont="1" applyFill="1" applyBorder="1" applyAlignment="1" applyProtection="1">
      <alignment horizontal="center" vertical="center"/>
    </xf>
    <xf numFmtId="0" fontId="21" fillId="5" borderId="7" xfId="0" applyFont="1" applyFill="1" applyBorder="1" applyAlignment="1" applyProtection="1">
      <alignment horizontal="center" vertical="center"/>
    </xf>
    <xf numFmtId="0" fontId="21" fillId="0" borderId="13" xfId="0" applyFont="1" applyFill="1" applyBorder="1" applyAlignment="1" applyProtection="1">
      <alignment horizontal="center" vertical="center"/>
    </xf>
    <xf numFmtId="0" fontId="21" fillId="0" borderId="8" xfId="0" applyFont="1" applyFill="1" applyBorder="1" applyAlignment="1" applyProtection="1">
      <alignment horizontal="center" vertical="center"/>
    </xf>
    <xf numFmtId="0" fontId="23" fillId="0" borderId="7" xfId="0" applyFont="1" applyFill="1" applyBorder="1" applyAlignment="1" applyProtection="1">
      <alignment horizontal="center" vertical="center"/>
    </xf>
    <xf numFmtId="2" fontId="21" fillId="0" borderId="13" xfId="0" applyNumberFormat="1" applyFont="1" applyFill="1" applyBorder="1" applyAlignment="1" applyProtection="1">
      <alignment horizontal="center" vertical="center"/>
    </xf>
    <xf numFmtId="2" fontId="21" fillId="0" borderId="5" xfId="0" applyNumberFormat="1" applyFont="1" applyFill="1" applyBorder="1" applyAlignment="1" applyProtection="1">
      <alignment horizontal="center" vertical="center"/>
    </xf>
    <xf numFmtId="0" fontId="21" fillId="5" borderId="11" xfId="0" applyFont="1" applyFill="1" applyBorder="1" applyAlignment="1" applyProtection="1">
      <alignment horizontal="center" vertical="center"/>
    </xf>
    <xf numFmtId="2" fontId="21" fillId="5" borderId="7" xfId="0" applyNumberFormat="1" applyFont="1" applyFill="1" applyBorder="1" applyAlignment="1" applyProtection="1">
      <alignment horizontal="center" vertical="center"/>
    </xf>
    <xf numFmtId="2" fontId="21" fillId="5" borderId="5" xfId="0" applyNumberFormat="1" applyFont="1" applyFill="1" applyBorder="1" applyAlignment="1" applyProtection="1">
      <alignment horizontal="center" vertical="center"/>
    </xf>
    <xf numFmtId="0" fontId="21" fillId="5" borderId="10" xfId="0" applyFont="1" applyFill="1" applyBorder="1" applyAlignment="1" applyProtection="1">
      <alignment horizontal="center" vertical="center"/>
    </xf>
    <xf numFmtId="2" fontId="21" fillId="0" borderId="7" xfId="0" applyNumberFormat="1" applyFont="1" applyFill="1" applyBorder="1" applyAlignment="1" applyProtection="1">
      <alignment horizontal="center" vertical="center"/>
    </xf>
    <xf numFmtId="2" fontId="21" fillId="0" borderId="12" xfId="0" applyNumberFormat="1" applyFont="1" applyFill="1" applyBorder="1" applyAlignment="1" applyProtection="1">
      <alignment horizontal="center" vertical="center"/>
    </xf>
    <xf numFmtId="0" fontId="21" fillId="0" borderId="9" xfId="0" applyFont="1" applyFill="1" applyBorder="1" applyAlignment="1" applyProtection="1">
      <alignment horizontal="center" vertical="center"/>
    </xf>
    <xf numFmtId="2" fontId="21" fillId="5" borderId="10" xfId="0" applyNumberFormat="1" applyFont="1" applyFill="1" applyBorder="1" applyAlignment="1" applyProtection="1">
      <alignment horizontal="center" vertical="center"/>
    </xf>
    <xf numFmtId="0" fontId="21" fillId="5" borderId="9" xfId="0" applyFont="1" applyFill="1" applyBorder="1" applyAlignment="1" applyProtection="1">
      <alignment horizontal="center" vertical="center"/>
    </xf>
    <xf numFmtId="0" fontId="21" fillId="0" borderId="11" xfId="0" applyFont="1" applyFill="1" applyBorder="1" applyAlignment="1" applyProtection="1">
      <alignment horizontal="center" vertical="center"/>
    </xf>
    <xf numFmtId="0" fontId="21" fillId="5" borderId="5" xfId="0" applyFont="1" applyFill="1" applyBorder="1" applyAlignment="1" applyProtection="1">
      <alignment horizontal="center" vertical="center"/>
    </xf>
    <xf numFmtId="0" fontId="13" fillId="0" borderId="37" xfId="0" applyFont="1" applyFill="1" applyBorder="1" applyAlignment="1" applyProtection="1">
      <alignment vertical="center"/>
    </xf>
    <xf numFmtId="0" fontId="22" fillId="0" borderId="38" xfId="0" applyFont="1" applyFill="1" applyBorder="1" applyAlignment="1" applyProtection="1">
      <alignment horizontal="center" vertical="center"/>
    </xf>
    <xf numFmtId="0" fontId="13" fillId="0" borderId="39" xfId="0" applyFont="1" applyFill="1" applyBorder="1" applyAlignment="1" applyProtection="1">
      <alignment horizontal="center" vertical="center"/>
    </xf>
    <xf numFmtId="0" fontId="21" fillId="0" borderId="40" xfId="0" applyFont="1" applyFill="1" applyBorder="1" applyAlignment="1" applyProtection="1">
      <alignment horizontal="center" vertical="center"/>
    </xf>
    <xf numFmtId="2" fontId="21" fillId="0" borderId="40" xfId="0" applyNumberFormat="1" applyFont="1" applyFill="1" applyBorder="1" applyAlignment="1" applyProtection="1">
      <alignment horizontal="center" vertical="center"/>
    </xf>
    <xf numFmtId="2" fontId="21" fillId="5" borderId="40" xfId="0" applyNumberFormat="1" applyFont="1" applyFill="1" applyBorder="1" applyAlignment="1" applyProtection="1">
      <alignment horizontal="center" vertical="center"/>
    </xf>
    <xf numFmtId="0" fontId="21" fillId="0" borderId="41" xfId="0" applyFont="1" applyFill="1" applyBorder="1" applyAlignment="1" applyProtection="1">
      <alignment horizontal="center" vertical="center"/>
    </xf>
    <xf numFmtId="0" fontId="21" fillId="0" borderId="10" xfId="0" applyFont="1" applyFill="1" applyBorder="1" applyAlignment="1" applyProtection="1">
      <alignment horizontal="center" vertical="center"/>
    </xf>
    <xf numFmtId="0" fontId="21" fillId="0" borderId="42" xfId="0" applyFont="1" applyFill="1" applyBorder="1" applyAlignment="1" applyProtection="1">
      <alignment horizontal="center" vertical="center"/>
    </xf>
    <xf numFmtId="0" fontId="13" fillId="5" borderId="36" xfId="0" applyFont="1" applyFill="1" applyBorder="1" applyAlignment="1" applyProtection="1">
      <alignment horizontal="center" vertical="center"/>
    </xf>
    <xf numFmtId="0" fontId="13" fillId="5" borderId="7" xfId="0" applyFont="1" applyFill="1" applyBorder="1" applyAlignment="1" applyProtection="1">
      <alignment horizontal="center" vertical="center"/>
    </xf>
    <xf numFmtId="0" fontId="21" fillId="5" borderId="40" xfId="0" applyFont="1" applyFill="1" applyBorder="1" applyAlignment="1" applyProtection="1">
      <alignment horizontal="center" vertical="center"/>
    </xf>
    <xf numFmtId="0" fontId="21" fillId="0" borderId="7" xfId="0" applyFont="1" applyFill="1" applyBorder="1" applyAlignment="1" applyProtection="1">
      <alignment horizontal="center" vertical="center" wrapText="1"/>
    </xf>
    <xf numFmtId="0" fontId="24" fillId="0" borderId="7" xfId="0" applyFont="1" applyFill="1" applyBorder="1" applyAlignment="1" applyProtection="1">
      <alignment horizontal="center" vertical="center"/>
    </xf>
    <xf numFmtId="0" fontId="24" fillId="0" borderId="10" xfId="0" applyFont="1" applyFill="1" applyBorder="1" applyAlignment="1" applyProtection="1">
      <alignment horizontal="center" vertical="center"/>
    </xf>
    <xf numFmtId="0" fontId="24" fillId="0" borderId="11" xfId="0" applyFont="1" applyFill="1" applyBorder="1" applyAlignment="1" applyProtection="1">
      <alignment horizontal="center" vertical="center"/>
    </xf>
    <xf numFmtId="0" fontId="24" fillId="0" borderId="8" xfId="0" applyFont="1" applyFill="1" applyBorder="1" applyAlignment="1" applyProtection="1">
      <alignment horizontal="center" vertical="center"/>
    </xf>
    <xf numFmtId="0" fontId="24" fillId="0" borderId="15" xfId="0" applyFont="1" applyFill="1" applyBorder="1" applyAlignment="1" applyProtection="1">
      <alignment horizontal="center" vertical="center"/>
    </xf>
    <xf numFmtId="0" fontId="21" fillId="0" borderId="5" xfId="0" applyFont="1" applyFill="1" applyBorder="1" applyAlignment="1" applyProtection="1">
      <alignment horizontal="center" vertical="center" wrapText="1"/>
    </xf>
    <xf numFmtId="0" fontId="24" fillId="0" borderId="15" xfId="0" applyFont="1" applyFill="1" applyBorder="1" applyAlignment="1" applyProtection="1">
      <alignment horizontal="center"/>
    </xf>
    <xf numFmtId="2" fontId="21" fillId="0" borderId="8" xfId="0" applyNumberFormat="1" applyFont="1" applyFill="1" applyBorder="1" applyAlignment="1" applyProtection="1">
      <alignment horizontal="center" vertical="center"/>
    </xf>
    <xf numFmtId="0" fontId="13" fillId="5" borderId="10" xfId="0" applyFont="1" applyFill="1" applyBorder="1" applyAlignment="1" applyProtection="1">
      <alignment horizontal="center" vertical="center"/>
    </xf>
    <xf numFmtId="2" fontId="21" fillId="0" borderId="10" xfId="0" applyNumberFormat="1" applyFont="1" applyFill="1" applyBorder="1" applyAlignment="1" applyProtection="1">
      <alignment horizontal="center" vertical="center"/>
    </xf>
    <xf numFmtId="0" fontId="13" fillId="0" borderId="43" xfId="0" applyFont="1" applyFill="1" applyBorder="1" applyAlignment="1" applyProtection="1">
      <alignment horizontal="center" vertical="center"/>
    </xf>
    <xf numFmtId="0" fontId="21" fillId="0" borderId="44" xfId="0" applyFont="1" applyFill="1" applyBorder="1" applyAlignment="1" applyProtection="1">
      <alignment horizontal="center" vertical="center"/>
    </xf>
    <xf numFmtId="0" fontId="21" fillId="0" borderId="45" xfId="0" applyFont="1" applyFill="1" applyBorder="1" applyAlignment="1" applyProtection="1">
      <alignment horizontal="center" vertical="center"/>
    </xf>
    <xf numFmtId="0" fontId="13" fillId="5" borderId="40" xfId="0" applyFont="1" applyFill="1" applyBorder="1" applyAlignment="1" applyProtection="1">
      <alignment horizontal="center" vertical="center"/>
    </xf>
    <xf numFmtId="0" fontId="13" fillId="0" borderId="7" xfId="0" applyFont="1" applyFill="1" applyBorder="1" applyAlignment="1" applyProtection="1">
      <alignment horizontal="center" vertical="center"/>
    </xf>
    <xf numFmtId="2" fontId="21" fillId="0" borderId="45" xfId="0" applyNumberFormat="1" applyFont="1" applyFill="1" applyBorder="1" applyAlignment="1" applyProtection="1">
      <alignment horizontal="center" vertical="center"/>
    </xf>
    <xf numFmtId="2" fontId="21" fillId="0" borderId="44" xfId="0" applyNumberFormat="1" applyFont="1" applyFill="1" applyBorder="1" applyAlignment="1" applyProtection="1">
      <alignment horizontal="center" vertical="center"/>
    </xf>
    <xf numFmtId="0" fontId="25" fillId="0" borderId="0" xfId="0" applyFont="1" applyFill="1" applyAlignment="1">
      <alignment horizontal="center" vertical="center"/>
    </xf>
    <xf numFmtId="0" fontId="21" fillId="6" borderId="36" xfId="0" applyFont="1" applyFill="1" applyBorder="1" applyAlignment="1" applyProtection="1">
      <alignment horizontal="center" vertical="center"/>
    </xf>
    <xf numFmtId="0" fontId="21" fillId="6" borderId="7" xfId="0" applyFont="1" applyFill="1" applyBorder="1" applyAlignment="1" applyProtection="1">
      <alignment horizontal="center" vertical="center"/>
    </xf>
    <xf numFmtId="2" fontId="21" fillId="6" borderId="7" xfId="0" applyNumberFormat="1" applyFont="1" applyFill="1" applyBorder="1" applyAlignment="1" applyProtection="1">
      <alignment horizontal="center" vertical="center"/>
    </xf>
    <xf numFmtId="2" fontId="21" fillId="6" borderId="40" xfId="0" applyNumberFormat="1" applyFont="1" applyFill="1" applyBorder="1" applyAlignment="1" applyProtection="1">
      <alignment horizontal="center" vertical="center"/>
    </xf>
    <xf numFmtId="0" fontId="25" fillId="0" borderId="7" xfId="0" applyFont="1" applyFill="1" applyBorder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0" fontId="21" fillId="0" borderId="12" xfId="0" applyFont="1" applyFill="1" applyBorder="1" applyAlignment="1" applyProtection="1">
      <alignment horizontal="center" vertical="center"/>
    </xf>
    <xf numFmtId="0" fontId="21" fillId="0" borderId="46" xfId="0" applyFont="1" applyFill="1" applyBorder="1" applyAlignment="1" applyProtection="1">
      <alignment horizontal="center" vertical="center"/>
    </xf>
    <xf numFmtId="0" fontId="21" fillId="0" borderId="15" xfId="0" applyFont="1" applyFill="1" applyBorder="1" applyAlignment="1" applyProtection="1">
      <alignment horizontal="center" vertical="center"/>
    </xf>
    <xf numFmtId="0" fontId="21" fillId="0" borderId="47" xfId="0" applyFont="1" applyFill="1" applyBorder="1" applyAlignment="1" applyProtection="1">
      <alignment horizontal="center" vertical="center"/>
    </xf>
    <xf numFmtId="0" fontId="21" fillId="0" borderId="48" xfId="0" applyFont="1" applyFill="1" applyBorder="1" applyAlignment="1" applyProtection="1">
      <alignment horizontal="center" vertical="center"/>
    </xf>
    <xf numFmtId="2" fontId="21" fillId="7" borderId="5" xfId="0" applyNumberFormat="1" applyFont="1" applyFill="1" applyBorder="1" applyAlignment="1" applyProtection="1">
      <alignment horizontal="center" vertical="center"/>
    </xf>
    <xf numFmtId="2" fontId="21" fillId="0" borderId="14" xfId="0" applyNumberFormat="1" applyFont="1" applyFill="1" applyBorder="1" applyAlignment="1" applyProtection="1">
      <alignment horizontal="center" vertical="center"/>
    </xf>
    <xf numFmtId="2" fontId="21" fillId="7" borderId="8" xfId="0" applyNumberFormat="1" applyFont="1" applyFill="1" applyBorder="1" applyAlignment="1" applyProtection="1">
      <alignment horizontal="center" vertical="center"/>
    </xf>
    <xf numFmtId="2" fontId="21" fillId="0" borderId="6" xfId="0" applyNumberFormat="1" applyFont="1" applyFill="1" applyBorder="1" applyAlignment="1" applyProtection="1">
      <alignment horizontal="center" vertical="center"/>
    </xf>
    <xf numFmtId="0" fontId="21" fillId="5" borderId="8" xfId="0" applyFont="1" applyFill="1" applyBorder="1" applyAlignment="1" applyProtection="1">
      <alignment horizontal="center" vertical="center"/>
    </xf>
    <xf numFmtId="2" fontId="13" fillId="0" borderId="7" xfId="0" applyNumberFormat="1" applyFont="1" applyFill="1" applyBorder="1" applyAlignment="1" applyProtection="1">
      <alignment horizontal="center" vertical="center"/>
    </xf>
    <xf numFmtId="0" fontId="21" fillId="0" borderId="7" xfId="0" applyNumberFormat="1" applyFont="1" applyFill="1" applyBorder="1" applyAlignment="1" applyProtection="1">
      <alignment horizontal="center" vertical="center"/>
    </xf>
    <xf numFmtId="0" fontId="21" fillId="5" borderId="7" xfId="0" applyFont="1" applyFill="1" applyBorder="1" applyAlignment="1">
      <alignment horizontal="center" vertical="center"/>
    </xf>
    <xf numFmtId="0" fontId="21" fillId="7" borderId="7" xfId="0" applyFont="1" applyFill="1" applyBorder="1" applyAlignment="1">
      <alignment horizontal="center" vertical="center"/>
    </xf>
    <xf numFmtId="0" fontId="21" fillId="5" borderId="36" xfId="0" applyFont="1" applyFill="1" applyBorder="1" applyAlignment="1" applyProtection="1">
      <alignment vertical="center"/>
    </xf>
    <xf numFmtId="0" fontId="24" fillId="0" borderId="0" xfId="0" applyFont="1" applyFill="1" applyAlignment="1">
      <alignment horizontal="center" vertical="center"/>
    </xf>
    <xf numFmtId="0" fontId="13" fillId="0" borderId="0" xfId="0" applyFont="1" applyFill="1" applyAlignment="1">
      <alignment vertical="center"/>
    </xf>
    <xf numFmtId="2" fontId="21" fillId="0" borderId="0" xfId="0" applyNumberFormat="1" applyFont="1" applyFill="1" applyAlignment="1">
      <alignment horizontal="center" vertical="center"/>
    </xf>
    <xf numFmtId="2" fontId="21" fillId="0" borderId="9" xfId="0" applyNumberFormat="1" applyFont="1" applyFill="1" applyBorder="1" applyAlignment="1" applyProtection="1">
      <alignment horizontal="center" vertical="center"/>
    </xf>
    <xf numFmtId="2" fontId="21" fillId="0" borderId="16" xfId="0" applyNumberFormat="1" applyFont="1" applyFill="1" applyBorder="1" applyAlignment="1" applyProtection="1">
      <alignment horizontal="center" vertical="center"/>
    </xf>
    <xf numFmtId="2" fontId="21" fillId="0" borderId="49" xfId="0" applyNumberFormat="1" applyFont="1" applyFill="1" applyBorder="1" applyAlignment="1" applyProtection="1">
      <alignment horizontal="center" vertical="center"/>
    </xf>
    <xf numFmtId="0" fontId="21" fillId="5" borderId="50" xfId="0" applyFont="1" applyFill="1" applyBorder="1" applyAlignment="1" applyProtection="1">
      <alignment vertical="center"/>
    </xf>
    <xf numFmtId="0" fontId="21" fillId="5" borderId="51" xfId="0" applyFont="1" applyFill="1" applyBorder="1" applyAlignment="1" applyProtection="1">
      <alignment horizontal="center" vertical="center"/>
    </xf>
    <xf numFmtId="0" fontId="13" fillId="0" borderId="11" xfId="0" applyFont="1" applyFill="1" applyBorder="1" applyAlignment="1" applyProtection="1">
      <alignment vertical="center"/>
    </xf>
    <xf numFmtId="0" fontId="13" fillId="0" borderId="5" xfId="0" applyFont="1" applyFill="1" applyBorder="1" applyAlignment="1" applyProtection="1">
      <alignment horizontal="center" vertical="center"/>
    </xf>
    <xf numFmtId="2" fontId="21" fillId="5" borderId="51" xfId="0" applyNumberFormat="1" applyFont="1" applyFill="1" applyBorder="1" applyAlignment="1" applyProtection="1">
      <alignment horizontal="center" vertical="center"/>
    </xf>
    <xf numFmtId="0" fontId="21" fillId="5" borderId="52" xfId="0" applyFont="1" applyFill="1" applyBorder="1" applyAlignment="1" applyProtection="1">
      <alignment horizontal="center" vertical="center"/>
    </xf>
    <xf numFmtId="0" fontId="21" fillId="5" borderId="53" xfId="0" applyFont="1" applyFill="1" applyBorder="1" applyAlignment="1" applyProtection="1">
      <alignment horizontal="center" vertical="center"/>
    </xf>
    <xf numFmtId="2" fontId="21" fillId="0" borderId="54" xfId="0" applyNumberFormat="1" applyFont="1" applyFill="1" applyBorder="1" applyAlignment="1" applyProtection="1">
      <alignment horizontal="center" vertical="center"/>
    </xf>
    <xf numFmtId="0" fontId="21" fillId="5" borderId="42" xfId="0" applyFont="1" applyFill="1" applyBorder="1" applyAlignment="1" applyProtection="1">
      <alignment horizontal="center" vertical="center"/>
    </xf>
    <xf numFmtId="0" fontId="21" fillId="5" borderId="13" xfId="0" applyFont="1" applyFill="1" applyBorder="1" applyAlignment="1" applyProtection="1">
      <alignment horizontal="center" vertical="center"/>
    </xf>
    <xf numFmtId="2" fontId="21" fillId="7" borderId="7" xfId="0" applyNumberFormat="1" applyFont="1" applyFill="1" applyBorder="1" applyAlignment="1" applyProtection="1">
      <alignment horizontal="center" vertical="center"/>
    </xf>
    <xf numFmtId="0" fontId="21" fillId="0" borderId="6" xfId="0" applyFont="1" applyFill="1" applyBorder="1" applyAlignment="1" applyProtection="1">
      <alignment horizontal="center" vertical="center"/>
    </xf>
    <xf numFmtId="0" fontId="13" fillId="0" borderId="0" xfId="0" applyFont="1" applyFill="1" applyAlignment="1">
      <alignment horizontal="center" vertical="center"/>
    </xf>
    <xf numFmtId="0" fontId="21" fillId="7" borderId="12" xfId="0" applyFont="1" applyFill="1" applyBorder="1" applyAlignment="1" applyProtection="1">
      <alignment horizontal="center" vertical="center"/>
    </xf>
    <xf numFmtId="2" fontId="21" fillId="5" borderId="8" xfId="0" applyNumberFormat="1" applyFont="1" applyFill="1" applyBorder="1" applyAlignment="1" applyProtection="1">
      <alignment horizontal="center" vertical="center"/>
    </xf>
    <xf numFmtId="0" fontId="21" fillId="5" borderId="45" xfId="0" applyFont="1" applyFill="1" applyBorder="1" applyAlignment="1" applyProtection="1">
      <alignment horizontal="center" vertical="center"/>
    </xf>
    <xf numFmtId="0" fontId="21" fillId="5" borderId="41" xfId="0" applyFont="1" applyFill="1" applyBorder="1" applyAlignment="1" applyProtection="1">
      <alignment horizontal="center" vertical="center"/>
    </xf>
    <xf numFmtId="2" fontId="21" fillId="5" borderId="11" xfId="0" applyNumberFormat="1" applyFont="1" applyFill="1" applyBorder="1" applyAlignment="1" applyProtection="1">
      <alignment horizontal="center" vertical="center"/>
    </xf>
    <xf numFmtId="0" fontId="21" fillId="5" borderId="44" xfId="0" applyFont="1" applyFill="1" applyBorder="1" applyAlignment="1" applyProtection="1">
      <alignment horizontal="center" vertical="center"/>
    </xf>
    <xf numFmtId="0" fontId="21" fillId="5" borderId="47" xfId="0" applyFont="1" applyFill="1" applyBorder="1" applyAlignment="1" applyProtection="1">
      <alignment horizontal="center" vertical="center"/>
    </xf>
    <xf numFmtId="2" fontId="21" fillId="0" borderId="11" xfId="0" applyNumberFormat="1" applyFont="1" applyFill="1" applyBorder="1" applyAlignment="1" applyProtection="1">
      <alignment horizontal="center" vertical="center"/>
    </xf>
    <xf numFmtId="0" fontId="21" fillId="5" borderId="48" xfId="0" applyFont="1" applyFill="1" applyBorder="1" applyAlignment="1" applyProtection="1">
      <alignment horizontal="center" vertical="center"/>
    </xf>
    <xf numFmtId="2" fontId="21" fillId="5" borderId="45" xfId="0" applyNumberFormat="1" applyFont="1" applyFill="1" applyBorder="1" applyAlignment="1" applyProtection="1">
      <alignment horizontal="center" vertical="center"/>
    </xf>
    <xf numFmtId="2" fontId="21" fillId="5" borderId="55" xfId="0" applyNumberFormat="1" applyFont="1" applyFill="1" applyBorder="1" applyAlignment="1" applyProtection="1">
      <alignment horizontal="center" vertical="center"/>
    </xf>
    <xf numFmtId="0" fontId="21" fillId="0" borderId="14" xfId="0" applyFont="1" applyFill="1" applyBorder="1" applyAlignment="1" applyProtection="1">
      <alignment horizontal="center" vertical="center"/>
    </xf>
    <xf numFmtId="0" fontId="21" fillId="0" borderId="36" xfId="0" applyFont="1" applyFill="1" applyBorder="1" applyAlignment="1" applyProtection="1">
      <alignment vertical="center"/>
    </xf>
    <xf numFmtId="2" fontId="21" fillId="7" borderId="12" xfId="0" applyNumberFormat="1" applyFont="1" applyFill="1" applyBorder="1" applyAlignment="1" applyProtection="1">
      <alignment horizontal="center" vertical="center"/>
    </xf>
    <xf numFmtId="0" fontId="26" fillId="0" borderId="0" xfId="0" applyFont="1" applyFill="1" applyBorder="1" applyAlignment="1">
      <alignment horizontal="center" vertical="center" wrapText="1"/>
    </xf>
    <xf numFmtId="0" fontId="0" fillId="0" borderId="56" xfId="0" applyFill="1" applyBorder="1" applyAlignment="1">
      <alignment horizontal="center" vertical="center" wrapText="1"/>
    </xf>
    <xf numFmtId="0" fontId="27" fillId="8" borderId="56" xfId="0" applyFont="1" applyFill="1" applyBorder="1" applyAlignment="1">
      <alignment horizontal="center" vertical="center"/>
    </xf>
    <xf numFmtId="0" fontId="27" fillId="0" borderId="56" xfId="0" applyFont="1" applyBorder="1" applyAlignment="1">
      <alignment horizontal="center" vertical="center"/>
    </xf>
    <xf numFmtId="0" fontId="26" fillId="0" borderId="56" xfId="0" applyFont="1" applyFill="1" applyBorder="1" applyAlignment="1">
      <alignment horizontal="centerContinuous" vertical="center" wrapText="1"/>
    </xf>
    <xf numFmtId="0" fontId="0" fillId="0" borderId="56" xfId="0" applyFill="1" applyBorder="1" applyAlignment="1">
      <alignment horizontal="centerContinuous" vertical="center" wrapText="1"/>
    </xf>
    <xf numFmtId="0" fontId="26" fillId="0" borderId="56" xfId="0" applyFont="1" applyFill="1" applyBorder="1" applyAlignment="1">
      <alignment horizontal="center" vertical="center" wrapText="1"/>
    </xf>
    <xf numFmtId="1" fontId="27" fillId="8" borderId="56" xfId="0" applyNumberFormat="1" applyFont="1" applyFill="1" applyBorder="1" applyAlignment="1">
      <alignment horizontal="center" vertical="center"/>
    </xf>
    <xf numFmtId="0" fontId="28" fillId="0" borderId="0" xfId="0" applyFont="1" applyFill="1" applyAlignment="1">
      <alignment horizontal="center" vertical="top" wrapText="1"/>
    </xf>
    <xf numFmtId="0" fontId="29" fillId="0" borderId="2" xfId="0" applyFont="1" applyFill="1" applyBorder="1" applyAlignment="1">
      <alignment horizontal="center" vertical="center" wrapText="1"/>
    </xf>
    <xf numFmtId="0" fontId="29" fillId="0" borderId="3" xfId="0" applyFont="1" applyFill="1" applyBorder="1" applyAlignment="1">
      <alignment horizontal="center" vertical="center" wrapText="1"/>
    </xf>
    <xf numFmtId="0" fontId="29" fillId="0" borderId="4" xfId="0" applyFont="1" applyFill="1" applyBorder="1" applyAlignment="1">
      <alignment horizontal="center" vertical="center" wrapText="1"/>
    </xf>
    <xf numFmtId="0" fontId="29" fillId="0" borderId="1" xfId="0" applyFont="1" applyFill="1" applyBorder="1" applyAlignment="1">
      <alignment horizontal="center" vertical="center" wrapText="1"/>
    </xf>
    <xf numFmtId="0" fontId="30" fillId="0" borderId="1" xfId="0" applyFont="1" applyFill="1" applyBorder="1" applyAlignment="1">
      <alignment horizontal="center" vertical="center" wrapText="1"/>
    </xf>
    <xf numFmtId="0" fontId="29" fillId="4" borderId="1" xfId="0" applyFont="1" applyFill="1" applyBorder="1" applyAlignment="1">
      <alignment horizontal="center" vertical="center" wrapText="1"/>
    </xf>
    <xf numFmtId="0" fontId="29" fillId="0" borderId="57" xfId="0" applyFont="1" applyFill="1" applyBorder="1" applyAlignment="1">
      <alignment horizontal="center" vertical="center" wrapText="1"/>
    </xf>
    <xf numFmtId="0" fontId="29" fillId="0" borderId="58" xfId="0" applyFont="1" applyFill="1" applyBorder="1" applyAlignment="1">
      <alignment horizontal="center" vertical="center" wrapText="1"/>
    </xf>
    <xf numFmtId="0" fontId="31" fillId="0" borderId="1" xfId="0" applyFont="1" applyFill="1" applyBorder="1" applyAlignment="1">
      <alignment horizontal="left" vertical="center" wrapText="1"/>
    </xf>
    <xf numFmtId="0" fontId="32" fillId="0" borderId="1" xfId="0" applyFont="1" applyFill="1" applyBorder="1" applyAlignment="1">
      <alignment horizontal="left" vertical="center" wrapText="1"/>
    </xf>
    <xf numFmtId="0" fontId="31" fillId="0" borderId="1" xfId="0" applyFont="1" applyFill="1" applyBorder="1" applyAlignment="1">
      <alignment horizontal="center" vertical="center" wrapText="1"/>
    </xf>
    <xf numFmtId="0" fontId="32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left" vertical="center" wrapText="1"/>
    </xf>
    <xf numFmtId="0" fontId="29" fillId="0" borderId="29" xfId="0" applyFont="1" applyFill="1" applyBorder="1" applyAlignment="1">
      <alignment horizontal="center" vertical="center" wrapText="1"/>
    </xf>
    <xf numFmtId="0" fontId="32" fillId="0" borderId="1" xfId="0" applyFont="1" applyFill="1" applyBorder="1" applyAlignment="1">
      <alignment horizontal="left" vertical="top" wrapText="1"/>
    </xf>
    <xf numFmtId="0" fontId="33" fillId="0" borderId="1" xfId="0" applyFont="1" applyFill="1" applyBorder="1" applyAlignment="1">
      <alignment horizontal="left" vertical="top" wrapText="1"/>
    </xf>
    <xf numFmtId="0" fontId="0" fillId="0" borderId="1" xfId="0" applyFont="1" applyFill="1" applyBorder="1" applyAlignment="1">
      <alignment horizontal="center" vertical="center" wrapText="1"/>
    </xf>
    <xf numFmtId="0" fontId="31" fillId="0" borderId="1" xfId="0" applyFont="1" applyFill="1" applyBorder="1" applyAlignment="1">
      <alignment horizontal="left" vertical="top" wrapText="1"/>
    </xf>
    <xf numFmtId="0" fontId="34" fillId="0" borderId="1" xfId="0" applyFont="1" applyFill="1" applyBorder="1" applyAlignment="1">
      <alignment horizontal="left" vertical="top" wrapText="1"/>
    </xf>
    <xf numFmtId="0" fontId="35" fillId="0" borderId="1" xfId="0" applyFont="1" applyFill="1" applyBorder="1" applyAlignment="1">
      <alignment horizontal="left" vertical="top" wrapText="1"/>
    </xf>
    <xf numFmtId="0" fontId="36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26" fillId="0" borderId="1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/>
    </xf>
    <xf numFmtId="0" fontId="37" fillId="0" borderId="0" xfId="0" applyFont="1" applyFill="1" applyAlignment="1">
      <alignment horizontal="center" vertical="center" wrapText="1"/>
    </xf>
    <xf numFmtId="0" fontId="37" fillId="0" borderId="0" xfId="0" applyFont="1" applyFill="1" applyBorder="1" applyAlignment="1">
      <alignment horizontal="center" vertical="center" wrapText="1"/>
    </xf>
    <xf numFmtId="0" fontId="38" fillId="0" borderId="1" xfId="0" applyFont="1" applyFill="1" applyBorder="1" applyAlignment="1">
      <alignment horizontal="left" vertical="center" wrapText="1"/>
    </xf>
    <xf numFmtId="0" fontId="38" fillId="0" borderId="1" xfId="0" applyFont="1" applyFill="1" applyBorder="1" applyAlignment="1">
      <alignment horizontal="center" vertical="center" wrapText="1"/>
    </xf>
    <xf numFmtId="178" fontId="39" fillId="0" borderId="1" xfId="0" applyNumberFormat="1" applyFont="1" applyFill="1" applyBorder="1" applyAlignment="1">
      <alignment horizontal="center" vertical="center" wrapText="1"/>
    </xf>
    <xf numFmtId="0" fontId="40" fillId="0" borderId="1" xfId="0" applyFont="1" applyFill="1" applyBorder="1" applyAlignment="1">
      <alignment horizontal="left" vertical="center" wrapText="1"/>
    </xf>
    <xf numFmtId="178" fontId="41" fillId="0" borderId="1" xfId="0" applyNumberFormat="1" applyFont="1" applyFill="1" applyBorder="1" applyAlignment="1">
      <alignment horizontal="center" vertical="center" wrapText="1"/>
    </xf>
    <xf numFmtId="178" fontId="30" fillId="0" borderId="1" xfId="0" applyNumberFormat="1" applyFont="1" applyFill="1" applyBorder="1" applyAlignment="1">
      <alignment horizontal="center" vertical="center" wrapText="1"/>
    </xf>
    <xf numFmtId="0" fontId="38" fillId="0" borderId="1" xfId="0" applyFont="1" applyFill="1" applyBorder="1" applyAlignment="1">
      <alignment vertical="center" wrapText="1"/>
    </xf>
    <xf numFmtId="178" fontId="28" fillId="0" borderId="57" xfId="0" applyNumberFormat="1" applyFont="1" applyFill="1" applyBorder="1" applyAlignment="1">
      <alignment horizontal="center" vertical="center" wrapText="1"/>
    </xf>
    <xf numFmtId="178" fontId="28" fillId="0" borderId="58" xfId="0" applyNumberFormat="1" applyFont="1" applyFill="1" applyBorder="1" applyAlignment="1">
      <alignment horizontal="center" vertical="center" wrapText="1"/>
    </xf>
    <xf numFmtId="0" fontId="38" fillId="0" borderId="0" xfId="0" applyFont="1" applyFill="1" applyBorder="1" applyAlignment="1">
      <alignment vertical="center" wrapText="1"/>
    </xf>
    <xf numFmtId="178" fontId="28" fillId="0" borderId="0" xfId="0" applyNumberFormat="1" applyFont="1" applyFill="1" applyBorder="1" applyAlignment="1">
      <alignment horizontal="center" vertical="center" wrapText="1"/>
    </xf>
    <xf numFmtId="177" fontId="0" fillId="0" borderId="0" xfId="0" applyNumberFormat="1" applyFill="1" applyBorder="1" applyAlignment="1">
      <alignment horizontal="center" vertical="center" wrapText="1"/>
    </xf>
    <xf numFmtId="178" fontId="39" fillId="4" borderId="1" xfId="0" applyNumberFormat="1" applyFont="1" applyFill="1" applyBorder="1" applyAlignment="1">
      <alignment horizontal="center" vertical="center" wrapText="1"/>
    </xf>
    <xf numFmtId="178" fontId="28" fillId="0" borderId="29" xfId="0" applyNumberFormat="1" applyFont="1" applyFill="1" applyBorder="1" applyAlignment="1">
      <alignment horizontal="center" vertical="center" wrapText="1"/>
    </xf>
    <xf numFmtId="179" fontId="39" fillId="0" borderId="1" xfId="0" applyNumberFormat="1" applyFont="1" applyFill="1" applyBorder="1" applyAlignment="1">
      <alignment horizontal="center" vertical="center" wrapText="1"/>
    </xf>
    <xf numFmtId="179" fontId="41" fillId="0" borderId="1" xfId="0" applyNumberFormat="1" applyFont="1" applyFill="1" applyBorder="1" applyAlignment="1">
      <alignment horizontal="center" vertical="center" wrapText="1"/>
    </xf>
    <xf numFmtId="179" fontId="30" fillId="0" borderId="1" xfId="0" applyNumberFormat="1" applyFont="1" applyFill="1" applyBorder="1" applyAlignment="1">
      <alignment horizontal="center" vertical="center" wrapText="1"/>
    </xf>
    <xf numFmtId="179" fontId="28" fillId="0" borderId="57" xfId="0" applyNumberFormat="1" applyFont="1" applyFill="1" applyBorder="1" applyAlignment="1">
      <alignment horizontal="center" vertical="center" wrapText="1"/>
    </xf>
    <xf numFmtId="179" fontId="28" fillId="0" borderId="58" xfId="0" applyNumberFormat="1" applyFont="1" applyFill="1" applyBorder="1" applyAlignment="1">
      <alignment horizontal="center" vertical="center" wrapText="1"/>
    </xf>
    <xf numFmtId="179" fontId="28" fillId="0" borderId="0" xfId="0" applyNumberFormat="1" applyFont="1" applyFill="1" applyBorder="1" applyAlignment="1">
      <alignment horizontal="center" vertical="center" wrapText="1"/>
    </xf>
    <xf numFmtId="179" fontId="0" fillId="0" borderId="0" xfId="0" applyNumberFormat="1" applyFill="1" applyBorder="1" applyAlignment="1">
      <alignment horizontal="center" vertical="center" wrapText="1"/>
    </xf>
    <xf numFmtId="179" fontId="39" fillId="4" borderId="1" xfId="0" applyNumberFormat="1" applyFont="1" applyFill="1" applyBorder="1" applyAlignment="1">
      <alignment horizontal="center" vertical="center" wrapText="1"/>
    </xf>
    <xf numFmtId="179" fontId="39" fillId="4" borderId="29" xfId="0" applyNumberFormat="1" applyFont="1" applyFill="1" applyBorder="1" applyAlignment="1">
      <alignment horizontal="center" vertical="center" wrapText="1"/>
    </xf>
    <xf numFmtId="179" fontId="28" fillId="0" borderId="29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177" fontId="0" fillId="0" borderId="1" xfId="0" applyNumberFormat="1" applyFill="1" applyBorder="1" applyAlignment="1">
      <alignment horizontal="center" vertical="center" wrapText="1"/>
    </xf>
    <xf numFmtId="177" fontId="0" fillId="0" borderId="1" xfId="0" applyNumberFormat="1" applyFill="1" applyBorder="1" applyAlignment="1">
      <alignment horizontal="center" vertical="center"/>
    </xf>
    <xf numFmtId="177" fontId="0" fillId="0" borderId="0" xfId="0" applyNumberFormat="1" applyFill="1" applyBorder="1" applyAlignment="1">
      <alignment horizontal="center" vertical="center"/>
    </xf>
    <xf numFmtId="177" fontId="26" fillId="0" borderId="1" xfId="0" applyNumberFormat="1" applyFont="1" applyFill="1" applyBorder="1" applyAlignment="1">
      <alignment horizontal="center" vertical="center" wrapText="1"/>
    </xf>
    <xf numFmtId="179" fontId="39" fillId="0" borderId="57" xfId="0" applyNumberFormat="1" applyFont="1" applyFill="1" applyBorder="1" applyAlignment="1">
      <alignment horizontal="center" vertical="center" wrapText="1"/>
    </xf>
    <xf numFmtId="179" fontId="39" fillId="0" borderId="58" xfId="0" applyNumberFormat="1" applyFont="1" applyFill="1" applyBorder="1" applyAlignment="1">
      <alignment horizontal="center" vertical="center" wrapText="1"/>
    </xf>
    <xf numFmtId="0" fontId="42" fillId="0" borderId="0" xfId="0" applyFont="1" applyFill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2" fillId="0" borderId="57" xfId="0" applyFont="1" applyFill="1" applyBorder="1" applyAlignment="1">
      <alignment horizontal="center" vertical="center" wrapText="1"/>
    </xf>
    <xf numFmtId="0" fontId="12" fillId="0" borderId="58" xfId="0" applyFont="1" applyFill="1" applyBorder="1" applyAlignment="1">
      <alignment horizontal="center" vertical="center" wrapText="1"/>
    </xf>
    <xf numFmtId="0" fontId="43" fillId="0" borderId="1" xfId="0" applyFont="1" applyFill="1" applyBorder="1" applyAlignment="1">
      <alignment horizontal="center" vertical="center" wrapText="1"/>
    </xf>
    <xf numFmtId="0" fontId="43" fillId="0" borderId="2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43" fillId="4" borderId="2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12" fillId="0" borderId="59" xfId="0" applyFont="1" applyFill="1" applyBorder="1" applyAlignment="1">
      <alignment vertical="top" wrapText="1"/>
    </xf>
    <xf numFmtId="0" fontId="12" fillId="0" borderId="60" xfId="0" applyFont="1" applyFill="1" applyBorder="1" applyAlignment="1">
      <alignment vertical="top" wrapText="1"/>
    </xf>
    <xf numFmtId="0" fontId="42" fillId="0" borderId="0" xfId="0" applyFont="1" applyFill="1" applyBorder="1" applyAlignment="1">
      <alignment horizontal="center" vertical="center" wrapText="1"/>
    </xf>
    <xf numFmtId="0" fontId="12" fillId="0" borderId="61" xfId="0" applyFont="1" applyFill="1" applyBorder="1" applyAlignment="1">
      <alignment horizontal="center" vertical="center" wrapText="1"/>
    </xf>
    <xf numFmtId="0" fontId="12" fillId="0" borderId="62" xfId="0" applyFont="1" applyFill="1" applyBorder="1" applyAlignment="1">
      <alignment horizontal="center" vertical="center" wrapText="1"/>
    </xf>
    <xf numFmtId="0" fontId="12" fillId="0" borderId="63" xfId="0" applyFont="1" applyFill="1" applyBorder="1" applyAlignment="1">
      <alignment horizontal="center" vertical="center" wrapText="1"/>
    </xf>
    <xf numFmtId="0" fontId="12" fillId="0" borderId="64" xfId="0" applyFont="1" applyFill="1" applyBorder="1" applyAlignment="1">
      <alignment vertical="top" wrapText="1"/>
    </xf>
    <xf numFmtId="0" fontId="12" fillId="0" borderId="65" xfId="0" applyFont="1" applyFill="1" applyBorder="1" applyAlignment="1">
      <alignment vertical="top" wrapText="1"/>
    </xf>
    <xf numFmtId="0" fontId="12" fillId="0" borderId="66" xfId="0" applyFont="1" applyFill="1" applyBorder="1" applyAlignment="1">
      <alignment vertical="top" wrapText="1"/>
    </xf>
    <xf numFmtId="0" fontId="12" fillId="0" borderId="67" xfId="0" applyFont="1" applyFill="1" applyBorder="1" applyAlignment="1">
      <alignment vertical="top" wrapText="1"/>
    </xf>
    <xf numFmtId="0" fontId="12" fillId="0" borderId="29" xfId="0" applyFont="1" applyFill="1" applyBorder="1" applyAlignment="1">
      <alignment horizontal="center" vertical="center" wrapText="1"/>
    </xf>
    <xf numFmtId="0" fontId="12" fillId="0" borderId="68" xfId="0" applyFont="1" applyFill="1" applyBorder="1" applyAlignment="1">
      <alignment horizontal="center" vertical="center" wrapText="1"/>
    </xf>
    <xf numFmtId="179" fontId="43" fillId="0" borderId="1" xfId="0" applyNumberFormat="1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4" borderId="69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44" fillId="4" borderId="1" xfId="0" applyFont="1" applyFill="1" applyBorder="1" applyAlignment="1">
      <alignment horizontal="center" vertical="center" wrapText="1"/>
    </xf>
    <xf numFmtId="0" fontId="45" fillId="4" borderId="1" xfId="0" applyFont="1" applyFill="1" applyBorder="1" applyAlignment="1">
      <alignment horizontal="center" vertical="center"/>
    </xf>
    <xf numFmtId="0" fontId="45" fillId="4" borderId="69" xfId="0" applyFont="1" applyFill="1" applyBorder="1" applyAlignment="1">
      <alignment horizontal="center" vertical="center"/>
    </xf>
    <xf numFmtId="0" fontId="45" fillId="0" borderId="0" xfId="0" applyFont="1" applyFill="1" applyBorder="1" applyAlignment="1">
      <alignment horizontal="center" vertical="center"/>
    </xf>
    <xf numFmtId="0" fontId="12" fillId="0" borderId="70" xfId="0" applyFont="1" applyFill="1" applyBorder="1" applyAlignment="1">
      <alignment vertical="top" wrapText="1"/>
    </xf>
    <xf numFmtId="0" fontId="12" fillId="0" borderId="0" xfId="0" applyFont="1" applyFill="1" applyBorder="1" applyAlignment="1">
      <alignment vertical="center" wrapText="1"/>
    </xf>
    <xf numFmtId="0" fontId="12" fillId="4" borderId="7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43" fillId="4" borderId="1" xfId="0" applyFont="1" applyFill="1" applyBorder="1" applyAlignment="1">
      <alignment horizontal="center" vertical="center" wrapText="1"/>
    </xf>
    <xf numFmtId="0" fontId="12" fillId="4" borderId="72" xfId="0" applyFont="1" applyFill="1" applyBorder="1" applyAlignment="1">
      <alignment horizontal="center" vertical="center" wrapText="1"/>
    </xf>
    <xf numFmtId="0" fontId="12" fillId="0" borderId="73" xfId="0" applyFont="1" applyFill="1" applyBorder="1" applyAlignment="1">
      <alignment vertical="top" wrapText="1"/>
    </xf>
    <xf numFmtId="0" fontId="12" fillId="0" borderId="74" xfId="0" applyFont="1" applyFill="1" applyBorder="1" applyAlignment="1">
      <alignment vertical="top" wrapText="1"/>
    </xf>
    <xf numFmtId="0" fontId="0" fillId="9" borderId="0" xfId="0" applyFill="1" applyBorder="1" applyAlignment="1">
      <alignment horizontal="left" vertical="center" wrapText="1"/>
    </xf>
    <xf numFmtId="0" fontId="27" fillId="0" borderId="0" xfId="0" applyFont="1" applyFill="1" applyAlignment="1">
      <alignment horizontal="center" vertical="center"/>
    </xf>
    <xf numFmtId="0" fontId="27" fillId="0" borderId="0" xfId="0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horizontal="left" vertical="center"/>
    </xf>
    <xf numFmtId="0" fontId="46" fillId="10" borderId="1" xfId="0" applyFont="1" applyFill="1" applyBorder="1" applyAlignment="1">
      <alignment horizontal="center" vertical="center"/>
    </xf>
    <xf numFmtId="0" fontId="27" fillId="11" borderId="1" xfId="0" applyFont="1" applyFill="1" applyBorder="1" applyAlignment="1">
      <alignment horizontal="center" vertical="center"/>
    </xf>
    <xf numFmtId="0" fontId="27" fillId="11" borderId="1" xfId="0" applyFont="1" applyFill="1" applyBorder="1" applyAlignment="1">
      <alignment horizontal="center" vertical="center" wrapText="1"/>
    </xf>
    <xf numFmtId="0" fontId="46" fillId="10" borderId="1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center" vertical="center"/>
    </xf>
    <xf numFmtId="0" fontId="47" fillId="10" borderId="1" xfId="0" applyFont="1" applyFill="1" applyBorder="1" applyAlignment="1">
      <alignment horizontal="center" vertical="center"/>
    </xf>
    <xf numFmtId="0" fontId="27" fillId="11" borderId="1" xfId="0" applyFont="1" applyFill="1" applyBorder="1" applyAlignment="1">
      <alignment horizontal="left" vertical="center"/>
    </xf>
    <xf numFmtId="0" fontId="48" fillId="0" borderId="1" xfId="0" applyFont="1" applyFill="1" applyBorder="1" applyAlignment="1">
      <alignment vertical="center"/>
    </xf>
    <xf numFmtId="0" fontId="27" fillId="0" borderId="1" xfId="0" applyFont="1" applyFill="1" applyBorder="1" applyAlignment="1">
      <alignment horizontal="left" vertical="center"/>
    </xf>
    <xf numFmtId="0" fontId="27" fillId="12" borderId="1" xfId="0" applyFont="1" applyFill="1" applyBorder="1" applyAlignment="1">
      <alignment horizontal="left" vertical="center"/>
    </xf>
    <xf numFmtId="0" fontId="27" fillId="13" borderId="1" xfId="0" applyFont="1" applyFill="1" applyBorder="1" applyAlignment="1">
      <alignment horizontal="left" vertical="center"/>
    </xf>
    <xf numFmtId="0" fontId="46" fillId="10" borderId="1" xfId="0" applyFont="1" applyFill="1" applyBorder="1" applyAlignment="1">
      <alignment horizontal="center" vertical="center" wrapText="1"/>
    </xf>
    <xf numFmtId="0" fontId="27" fillId="14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 wrapText="1"/>
    </xf>
    <xf numFmtId="0" fontId="27" fillId="0" borderId="1" xfId="0" applyFont="1" applyFill="1" applyBorder="1" applyAlignment="1">
      <alignment horizontal="center" vertical="center"/>
    </xf>
    <xf numFmtId="9" fontId="27" fillId="0" borderId="0" xfId="3" applyFont="1" applyFill="1" applyBorder="1" applyAlignment="1">
      <alignment horizontal="center" vertical="center"/>
    </xf>
    <xf numFmtId="176" fontId="27" fillId="0" borderId="1" xfId="3" applyNumberFormat="1" applyBorder="1" applyAlignment="1">
      <alignment horizontal="center" vertical="center"/>
    </xf>
    <xf numFmtId="0" fontId="49" fillId="0" borderId="1" xfId="0" applyFont="1" applyFill="1" applyBorder="1" applyAlignment="1">
      <alignment horizontal="center" vertical="center"/>
    </xf>
    <xf numFmtId="0" fontId="50" fillId="10" borderId="1" xfId="0" applyFont="1" applyFill="1" applyBorder="1" applyAlignment="1">
      <alignment horizontal="center" vertical="center"/>
    </xf>
    <xf numFmtId="0" fontId="27" fillId="15" borderId="1" xfId="0" applyFont="1" applyFill="1" applyBorder="1" applyAlignment="1">
      <alignment horizontal="center" vertical="center"/>
    </xf>
    <xf numFmtId="0" fontId="27" fillId="16" borderId="1" xfId="0" applyFont="1" applyFill="1" applyBorder="1" applyAlignment="1">
      <alignment horizontal="center" vertical="center"/>
    </xf>
    <xf numFmtId="0" fontId="27" fillId="4" borderId="1" xfId="0" applyFont="1" applyFill="1" applyBorder="1" applyAlignment="1">
      <alignment horizontal="center" vertical="center"/>
    </xf>
    <xf numFmtId="0" fontId="27" fillId="17" borderId="1" xfId="0" applyFont="1" applyFill="1" applyBorder="1" applyAlignment="1">
      <alignment horizontal="center" vertical="center"/>
    </xf>
    <xf numFmtId="0" fontId="27" fillId="18" borderId="1" xfId="0" applyFont="1" applyFill="1" applyBorder="1" applyAlignment="1">
      <alignment horizontal="center" vertical="center"/>
    </xf>
    <xf numFmtId="0" fontId="27" fillId="19" borderId="1" xfId="0" applyFont="1" applyFill="1" applyBorder="1" applyAlignment="1">
      <alignment horizontal="center" vertical="center"/>
    </xf>
    <xf numFmtId="0" fontId="27" fillId="20" borderId="1" xfId="0" applyFont="1" applyFill="1" applyBorder="1" applyAlignment="1">
      <alignment horizontal="center" vertical="center"/>
    </xf>
    <xf numFmtId="0" fontId="27" fillId="21" borderId="1" xfId="0" applyFont="1" applyFill="1" applyBorder="1" applyAlignment="1">
      <alignment horizontal="center" vertical="center"/>
    </xf>
    <xf numFmtId="0" fontId="27" fillId="22" borderId="1" xfId="0" applyFont="1" applyFill="1" applyBorder="1" applyAlignment="1">
      <alignment horizontal="center" vertical="center"/>
    </xf>
    <xf numFmtId="0" fontId="27" fillId="23" borderId="1" xfId="0" applyFont="1" applyFill="1" applyBorder="1" applyAlignment="1">
      <alignment horizontal="center" vertical="center"/>
    </xf>
    <xf numFmtId="0" fontId="27" fillId="24" borderId="1" xfId="0" applyFont="1" applyFill="1" applyBorder="1" applyAlignment="1">
      <alignment horizontal="center" vertical="center"/>
    </xf>
    <xf numFmtId="0" fontId="27" fillId="25" borderId="1" xfId="0" applyFont="1" applyFill="1" applyBorder="1" applyAlignment="1">
      <alignment horizontal="center" vertical="center"/>
    </xf>
    <xf numFmtId="0" fontId="27" fillId="26" borderId="1" xfId="0" applyFont="1" applyFill="1" applyBorder="1" applyAlignment="1">
      <alignment horizontal="center" vertical="center"/>
    </xf>
    <xf numFmtId="178" fontId="27" fillId="25" borderId="1" xfId="0" applyNumberFormat="1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vertical="center"/>
    </xf>
    <xf numFmtId="0" fontId="0" fillId="0" borderId="1" xfId="0" applyFill="1" applyBorder="1" applyAlignment="1">
      <alignment horizontal="left" vertical="center" wrapText="1"/>
    </xf>
    <xf numFmtId="0" fontId="27" fillId="0" borderId="0" xfId="0" applyFont="1" applyFill="1" applyAlignment="1">
      <alignment vertical="center"/>
    </xf>
    <xf numFmtId="0" fontId="23" fillId="10" borderId="1" xfId="0" applyFont="1" applyFill="1" applyBorder="1" applyAlignment="1">
      <alignment horizontal="center" vertical="center"/>
    </xf>
    <xf numFmtId="0" fontId="27" fillId="0" borderId="0" xfId="0" applyFont="1" applyFill="1" applyAlignment="1">
      <alignment horizontal="center" vertical="center" wrapText="1"/>
    </xf>
    <xf numFmtId="0" fontId="26" fillId="0" borderId="0" xfId="0" applyFont="1" applyFill="1" applyBorder="1" applyAlignment="1">
      <alignment horizontal="left" vertical="center" wrapText="1"/>
    </xf>
    <xf numFmtId="0" fontId="27" fillId="3" borderId="1" xfId="0" applyFont="1" applyFill="1" applyBorder="1" applyAlignment="1">
      <alignment horizontal="left" vertical="center"/>
    </xf>
    <xf numFmtId="0" fontId="27" fillId="4" borderId="1" xfId="0" applyFont="1" applyFill="1" applyBorder="1" applyAlignment="1">
      <alignment horizontal="left" vertical="center"/>
    </xf>
    <xf numFmtId="0" fontId="27" fillId="27" borderId="1" xfId="0" applyFont="1" applyFill="1" applyBorder="1" applyAlignment="1">
      <alignment horizontal="center" vertical="center"/>
    </xf>
    <xf numFmtId="0" fontId="27" fillId="3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 wrapText="1"/>
    </xf>
    <xf numFmtId="0" fontId="27" fillId="20" borderId="1" xfId="0" applyFont="1" applyFill="1" applyBorder="1" applyAlignment="1">
      <alignment horizontal="left" vertical="center"/>
    </xf>
    <xf numFmtId="0" fontId="27" fillId="28" borderId="1" xfId="0" applyFont="1" applyFill="1" applyBorder="1" applyAlignment="1">
      <alignment horizontal="center" vertical="center"/>
    </xf>
    <xf numFmtId="0" fontId="27" fillId="29" borderId="1" xfId="0" applyFont="1" applyFill="1" applyBorder="1" applyAlignment="1">
      <alignment horizontal="center" vertical="center"/>
    </xf>
    <xf numFmtId="0" fontId="27" fillId="30" borderId="1" xfId="0" applyFont="1" applyFill="1" applyBorder="1" applyAlignment="1">
      <alignment horizontal="center" vertical="center"/>
    </xf>
    <xf numFmtId="0" fontId="27" fillId="31" borderId="1" xfId="0" applyFont="1" applyFill="1" applyBorder="1" applyAlignment="1">
      <alignment horizontal="center" vertical="center"/>
    </xf>
    <xf numFmtId="0" fontId="26" fillId="0" borderId="0" xfId="0" applyFont="1" applyFill="1" applyBorder="1" applyAlignment="1">
      <alignment horizontal="left" vertical="center"/>
    </xf>
    <xf numFmtId="0" fontId="27" fillId="32" borderId="1" xfId="0" applyFont="1" applyFill="1" applyBorder="1" applyAlignment="1">
      <alignment horizontal="center" vertical="center"/>
    </xf>
    <xf numFmtId="0" fontId="27" fillId="32" borderId="1" xfId="0" applyFont="1" applyFill="1" applyBorder="1" applyAlignment="1">
      <alignment horizontal="left" vertical="center"/>
    </xf>
    <xf numFmtId="0" fontId="27" fillId="0" borderId="1" xfId="0" applyFont="1" applyFill="1" applyBorder="1" applyAlignment="1">
      <alignment horizontal="left" vertical="center"/>
    </xf>
    <xf numFmtId="0" fontId="27" fillId="9" borderId="1" xfId="0" applyFont="1" applyFill="1" applyBorder="1" applyAlignment="1">
      <alignment horizontal="center" vertical="center"/>
    </xf>
    <xf numFmtId="176" fontId="27" fillId="0" borderId="0" xfId="3" applyNumberFormat="1" applyFont="1" applyFill="1" applyBorder="1" applyAlignment="1">
      <alignment horizontal="center" vertical="center"/>
    </xf>
    <xf numFmtId="176" fontId="27" fillId="0" borderId="0" xfId="3" applyNumberFormat="1" applyFont="1" applyFill="1" applyAlignment="1">
      <alignment horizontal="center" vertical="center"/>
    </xf>
    <xf numFmtId="0" fontId="0" fillId="4" borderId="0" xfId="0" applyFill="1" applyBorder="1" applyAlignment="1">
      <alignment horizontal="left" vertical="center" wrapText="1"/>
    </xf>
    <xf numFmtId="0" fontId="0" fillId="3" borderId="0" xfId="0" applyFill="1" applyBorder="1" applyAlignment="1">
      <alignment horizontal="left" vertical="center" wrapText="1"/>
    </xf>
    <xf numFmtId="176" fontId="0" fillId="0" borderId="0" xfId="3" applyNumberFormat="1" applyFont="1" applyFill="1" applyBorder="1" applyAlignment="1">
      <alignment horizontal="center" vertical="center" wrapText="1"/>
    </xf>
    <xf numFmtId="0" fontId="27" fillId="9" borderId="0" xfId="0" applyFont="1" applyFill="1" applyAlignment="1">
      <alignment horizontal="center" vertical="center"/>
    </xf>
    <xf numFmtId="0" fontId="26" fillId="0" borderId="0" xfId="0" applyFont="1" applyFill="1" applyBorder="1" applyAlignment="1">
      <alignment horizontal="center" vertical="center"/>
    </xf>
    <xf numFmtId="176" fontId="27" fillId="9" borderId="1" xfId="3" applyNumberFormat="1" applyFill="1" applyBorder="1" applyAlignment="1">
      <alignment horizontal="center" vertical="center"/>
    </xf>
    <xf numFmtId="0" fontId="27" fillId="9" borderId="0" xfId="0" applyFont="1" applyFill="1" applyAlignment="1">
      <alignment vertical="center"/>
    </xf>
    <xf numFmtId="0" fontId="0" fillId="15" borderId="0" xfId="0" applyFill="1" applyBorder="1" applyAlignment="1">
      <alignment horizontal="left" vertical="center" wrapText="1"/>
    </xf>
    <xf numFmtId="0" fontId="0" fillId="9" borderId="0" xfId="0" applyFill="1" applyBorder="1" applyAlignment="1">
      <alignment horizontal="center" vertical="center" wrapText="1"/>
    </xf>
    <xf numFmtId="0" fontId="0" fillId="33" borderId="0" xfId="0" applyFill="1" applyBorder="1" applyAlignment="1">
      <alignment horizontal="left" vertical="center" wrapText="1"/>
    </xf>
    <xf numFmtId="0" fontId="27" fillId="12" borderId="0" xfId="0" applyFont="1" applyFill="1" applyAlignment="1">
      <alignment horizontal="center" vertical="center"/>
    </xf>
    <xf numFmtId="0" fontId="27" fillId="9" borderId="1" xfId="0" applyFont="1" applyFill="1" applyBorder="1" applyAlignment="1">
      <alignment horizontal="left" vertical="center"/>
    </xf>
    <xf numFmtId="0" fontId="27" fillId="28" borderId="1" xfId="0" applyFont="1" applyFill="1" applyBorder="1" applyAlignment="1">
      <alignment horizontal="left" vertical="center"/>
    </xf>
    <xf numFmtId="176" fontId="27" fillId="4" borderId="1" xfId="3" applyNumberFormat="1" applyFont="1" applyFill="1" applyBorder="1" applyAlignment="1">
      <alignment horizontal="center" vertical="center"/>
    </xf>
    <xf numFmtId="176" fontId="27" fillId="0" borderId="0" xfId="3" applyNumberFormat="1" applyFill="1" applyBorder="1" applyAlignment="1">
      <alignment horizontal="center" vertical="center"/>
    </xf>
    <xf numFmtId="178" fontId="27" fillId="0" borderId="0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 wrapText="1"/>
    </xf>
    <xf numFmtId="177" fontId="27" fillId="0" borderId="0" xfId="0" applyNumberFormat="1" applyFont="1" applyFill="1" applyAlignment="1">
      <alignment horizontal="center" vertical="center"/>
    </xf>
    <xf numFmtId="180" fontId="8" fillId="0" borderId="1" xfId="0" applyNumberFormat="1" applyFont="1" applyFill="1" applyBorder="1" applyAlignment="1">
      <alignment horizontal="center" vertical="center"/>
    </xf>
    <xf numFmtId="0" fontId="51" fillId="0" borderId="0" xfId="0" applyFont="1" applyFill="1" applyBorder="1" applyAlignment="1">
      <alignment vertical="center"/>
    </xf>
    <xf numFmtId="0" fontId="52" fillId="0" borderId="0" xfId="0" applyFont="1" applyFill="1" applyBorder="1" applyAlignment="1">
      <alignment horizontal="right" vertical="center"/>
    </xf>
    <xf numFmtId="0" fontId="52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left" vertical="center"/>
    </xf>
    <xf numFmtId="0" fontId="53" fillId="0" borderId="75" xfId="0" applyFont="1" applyFill="1" applyBorder="1" applyAlignment="1">
      <alignment horizontal="left" vertical="center"/>
    </xf>
    <xf numFmtId="0" fontId="53" fillId="0" borderId="75" xfId="0" applyFont="1" applyFill="1" applyBorder="1" applyAlignment="1">
      <alignment horizontal="right" vertical="center"/>
    </xf>
    <xf numFmtId="0" fontId="53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0" fontId="48" fillId="0" borderId="69" xfId="0" applyFont="1" applyFill="1" applyBorder="1" applyAlignment="1">
      <alignment horizontal="center" vertical="center"/>
    </xf>
    <xf numFmtId="0" fontId="52" fillId="34" borderId="1" xfId="50" applyFont="1" applyFill="1" applyBorder="1" applyAlignment="1">
      <alignment horizontal="right" vertical="center"/>
    </xf>
    <xf numFmtId="0" fontId="52" fillId="0" borderId="0" xfId="50" applyFont="1" applyFill="1" applyBorder="1" applyAlignment="1">
      <alignment horizontal="center" vertical="center"/>
    </xf>
    <xf numFmtId="0" fontId="48" fillId="0" borderId="69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center" vertical="center"/>
    </xf>
    <xf numFmtId="0" fontId="52" fillId="3" borderId="1" xfId="50" applyFont="1" applyFill="1" applyBorder="1" applyAlignment="1">
      <alignment horizontal="right" vertical="center"/>
    </xf>
    <xf numFmtId="0" fontId="48" fillId="4" borderId="69" xfId="0" applyFont="1" applyFill="1" applyBorder="1" applyAlignment="1">
      <alignment horizontal="left" vertical="center"/>
    </xf>
    <xf numFmtId="0" fontId="52" fillId="4" borderId="1" xfId="50" applyFont="1" applyFill="1" applyBorder="1" applyAlignment="1">
      <alignment horizontal="right" vertical="center"/>
    </xf>
    <xf numFmtId="0" fontId="52" fillId="0" borderId="1" xfId="50" applyFont="1" applyFill="1" applyBorder="1" applyAlignment="1">
      <alignment horizontal="center" vertical="center"/>
    </xf>
    <xf numFmtId="0" fontId="48" fillId="0" borderId="1" xfId="0" applyFont="1" applyFill="1" applyBorder="1" applyAlignment="1">
      <alignment horizontal="left" vertical="center"/>
    </xf>
    <xf numFmtId="0" fontId="54" fillId="0" borderId="0" xfId="0" applyFont="1" applyFill="1" applyBorder="1" applyAlignment="1">
      <alignment vertical="center"/>
    </xf>
    <xf numFmtId="0" fontId="54" fillId="0" borderId="0" xfId="0" applyFont="1" applyFill="1" applyBorder="1" applyAlignment="1">
      <alignment horizontal="centerContinuous" vertical="center"/>
    </xf>
    <xf numFmtId="0" fontId="8" fillId="0" borderId="0" xfId="0" applyFont="1" applyFill="1" applyBorder="1" applyAlignment="1">
      <alignment horizontal="centerContinuous" vertical="center"/>
    </xf>
    <xf numFmtId="0" fontId="54" fillId="0" borderId="0" xfId="0" applyFont="1" applyFill="1" applyBorder="1" applyAlignment="1">
      <alignment horizontal="center" vertical="center"/>
    </xf>
    <xf numFmtId="0" fontId="54" fillId="0" borderId="0" xfId="0" applyFont="1" applyFill="1" applyBorder="1" applyAlignment="1">
      <alignment horizontal="left" vertical="center"/>
    </xf>
    <xf numFmtId="0" fontId="8" fillId="0" borderId="0" xfId="0" applyFont="1" applyFill="1" applyAlignment="1">
      <alignment horizontal="left" vertical="center"/>
    </xf>
    <xf numFmtId="10" fontId="8" fillId="0" borderId="0" xfId="3" applyNumberFormat="1" applyFont="1" applyFill="1" applyBorder="1" applyAlignment="1">
      <alignment horizontal="center" vertical="center"/>
    </xf>
    <xf numFmtId="0" fontId="48" fillId="3" borderId="1" xfId="0" applyFont="1" applyFill="1" applyBorder="1" applyAlignment="1">
      <alignment horizontal="left" vertical="center"/>
    </xf>
    <xf numFmtId="0" fontId="51" fillId="0" borderId="1" xfId="0" applyFont="1" applyFill="1" applyBorder="1" applyAlignment="1">
      <alignment horizontal="left" vertical="center"/>
    </xf>
    <xf numFmtId="0" fontId="48" fillId="12" borderId="1" xfId="0" applyFont="1" applyFill="1" applyBorder="1" applyAlignment="1">
      <alignment horizontal="left" vertical="center"/>
    </xf>
    <xf numFmtId="0" fontId="48" fillId="0" borderId="1" xfId="0" applyFont="1" applyFill="1" applyBorder="1" applyAlignment="1">
      <alignment horizontal="left" vertical="center"/>
    </xf>
    <xf numFmtId="0" fontId="48" fillId="4" borderId="1" xfId="0" applyFont="1" applyFill="1" applyBorder="1" applyAlignment="1">
      <alignment horizontal="left" vertical="center"/>
    </xf>
    <xf numFmtId="0" fontId="48" fillId="35" borderId="1" xfId="0" applyFont="1" applyFill="1" applyBorder="1" applyAlignment="1">
      <alignment horizontal="left" vertical="center"/>
    </xf>
    <xf numFmtId="0" fontId="51" fillId="0" borderId="1" xfId="0" applyFont="1" applyFill="1" applyBorder="1" applyAlignment="1">
      <alignment vertical="center"/>
    </xf>
    <xf numFmtId="0" fontId="52" fillId="34" borderId="76" xfId="50" applyFont="1" applyFill="1" applyBorder="1" applyAlignment="1">
      <alignment horizontal="right" vertical="center"/>
    </xf>
    <xf numFmtId="0" fontId="0" fillId="36" borderId="0" xfId="0" applyFill="1" applyBorder="1" applyAlignment="1">
      <alignment horizontal="left" vertical="top" wrapText="1"/>
    </xf>
    <xf numFmtId="0" fontId="0" fillId="37" borderId="0" xfId="0" applyFill="1" applyBorder="1" applyAlignment="1">
      <alignment horizontal="left" vertical="top" wrapText="1"/>
    </xf>
    <xf numFmtId="0" fontId="55" fillId="25" borderId="8" xfId="0" applyFont="1" applyFill="1" applyBorder="1" applyAlignment="1">
      <alignment horizontal="center" vertical="center"/>
    </xf>
    <xf numFmtId="0" fontId="55" fillId="25" borderId="14" xfId="0" applyFont="1" applyFill="1" applyBorder="1" applyAlignment="1">
      <alignment horizontal="center" vertical="center"/>
    </xf>
    <xf numFmtId="0" fontId="56" fillId="25" borderId="14" xfId="0" applyFont="1" applyFill="1" applyBorder="1" applyAlignment="1">
      <alignment horizontal="center" vertical="center" wrapText="1"/>
    </xf>
    <xf numFmtId="0" fontId="32" fillId="0" borderId="0" xfId="0" applyFont="1"/>
    <xf numFmtId="0" fontId="57" fillId="0" borderId="0" xfId="0" applyFont="1"/>
    <xf numFmtId="0" fontId="27" fillId="37" borderId="1" xfId="0" applyFont="1" applyFill="1" applyBorder="1" applyAlignment="1">
      <alignment horizontal="center" vertical="center"/>
    </xf>
    <xf numFmtId="0" fontId="27" fillId="37" borderId="1" xfId="0" applyFont="1" applyFill="1" applyBorder="1" applyAlignment="1">
      <alignment horizontal="left" vertical="center"/>
    </xf>
    <xf numFmtId="0" fontId="57" fillId="37" borderId="0" xfId="0" applyFont="1" applyFill="1"/>
    <xf numFmtId="0" fontId="58" fillId="0" borderId="77" xfId="0" applyFont="1" applyFill="1" applyBorder="1" applyAlignment="1"/>
    <xf numFmtId="0" fontId="55" fillId="25" borderId="14" xfId="0" applyFont="1" applyFill="1" applyBorder="1" applyAlignment="1">
      <alignment horizontal="center" vertical="center" wrapText="1"/>
    </xf>
    <xf numFmtId="0" fontId="59" fillId="0" borderId="0" xfId="0" applyFont="1" applyFill="1" applyBorder="1" applyAlignment="1">
      <alignment horizontal="left" vertical="top" wrapText="1"/>
    </xf>
    <xf numFmtId="0" fontId="0" fillId="0" borderId="0" xfId="0"/>
    <xf numFmtId="0" fontId="59" fillId="37" borderId="0" xfId="0" applyFont="1" applyFill="1" applyBorder="1" applyAlignment="1">
      <alignment horizontal="left" vertical="top" wrapText="1"/>
    </xf>
    <xf numFmtId="0" fontId="27" fillId="37" borderId="0" xfId="0" applyFont="1" applyFill="1" applyAlignment="1">
      <alignment horizontal="center"/>
    </xf>
    <xf numFmtId="0" fontId="27" fillId="0" borderId="0" xfId="0" applyFont="1" applyFill="1" applyAlignment="1">
      <alignment horizontal="center"/>
    </xf>
    <xf numFmtId="0" fontId="60" fillId="25" borderId="0" xfId="0" applyFont="1" applyFill="1" applyBorder="1" applyAlignment="1">
      <alignment horizontal="center" vertical="center" wrapText="1"/>
    </xf>
    <xf numFmtId="0" fontId="55" fillId="25" borderId="0" xfId="0" applyFont="1" applyFill="1" applyBorder="1" applyAlignment="1">
      <alignment horizontal="center" vertical="center"/>
    </xf>
    <xf numFmtId="0" fontId="27" fillId="36" borderId="1" xfId="0" applyFont="1" applyFill="1" applyBorder="1" applyAlignment="1">
      <alignment horizontal="center" vertical="center"/>
    </xf>
    <xf numFmtId="0" fontId="0" fillId="0" borderId="0" xfId="0" quotePrefix="1"/>
    <xf numFmtId="0" fontId="0" fillId="0" borderId="0" xfId="0" applyFill="1" applyBorder="1" applyAlignment="1" quotePrefix="1">
      <alignment horizontal="left" vertical="top" wrapTex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3" xfId="49"/>
    <cellStyle name="常规 2" xfId="50"/>
    <cellStyle name="常规 2 2" xfId="51"/>
  </cellStyles>
  <dxfs count="4">
    <dxf>
      <fill>
        <patternFill patternType="solid">
          <bgColor rgb="FFFF9900"/>
        </patternFill>
      </fill>
    </dxf>
    <dxf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000"/>
        </patternFill>
      </fill>
    </dxf>
  </dxfs>
  <tableStyles count="0" defaultTableStyle="TableStyleMedium9" defaultPivotStyle="PivotStyleLight16"/>
  <colors>
    <mruColors>
      <color rgb="00E7FB9A"/>
      <color rgb="00000000"/>
      <color rgb="00FFFFFF"/>
      <color rgb="0092D050"/>
      <color rgb="00FFFF00"/>
      <color rgb="00FF0000"/>
      <color rgb="009BADF9"/>
      <color rgb="00EDA7D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eetMetadata" Target="metadata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externalLink" Target="externalLinks/externalLink3.xml"/><Relationship Id="rId15" Type="http://schemas.openxmlformats.org/officeDocument/2006/relationships/externalLink" Target="externalLinks/externalLink2.xml"/><Relationship Id="rId14" Type="http://schemas.openxmlformats.org/officeDocument/2006/relationships/externalLink" Target="externalLinks/externalLink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angyawen/Library/Containers/com.tencent.xinWeChat/Data/Documents/xwechat_files/wxid_g49ppx8qdewi12_0962/msg/file/2026-06/2026&#20135;&#33021;&#35268;&#21010;&#39044;&#25490;&#65288;R11&#65289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7.2%20ARISUN%20TIANLI&#34917;&#23492;&#26631;&#31614;&#19979;&#21333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angyawen/Library/Containers/com.tencent.xinWeChat/Data/Documents/xwechat_files/wxid_g49ppx8qdewi12_0962/msg/file/2026-06/6.29%20&#28023;&#36793;&#21830;&#26631;(2)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2026产能规划预排R1"/>
      <sheetName val="炼胶用量预测表R1"/>
      <sheetName val="2026产能规划预排R2"/>
      <sheetName val="2026年产能规划R11"/>
      <sheetName val="胶料用量预测R11"/>
      <sheetName val="给公司生产部"/>
      <sheetName val="密炼机配置选型说明"/>
      <sheetName val="Sheet1"/>
      <sheetName val="Sheet2"/>
      <sheetName val="Sheet3"/>
    </sheetNames>
    <sheetDataSet>
      <sheetData sheetId="0"/>
      <sheetData sheetId="1"/>
      <sheetData sheetId="2"/>
      <sheetData sheetId="3">
        <row r="35">
          <cell r="K35">
            <v>20859.20694</v>
          </cell>
        </row>
        <row r="65">
          <cell r="K65">
            <v>4655.952</v>
          </cell>
        </row>
        <row r="77">
          <cell r="K77">
            <v>1176.35328</v>
          </cell>
        </row>
        <row r="85">
          <cell r="K85">
            <v>821.268864</v>
          </cell>
        </row>
        <row r="93">
          <cell r="K93">
            <v>499.224</v>
          </cell>
        </row>
        <row r="101">
          <cell r="K101">
            <v>1677.39264</v>
          </cell>
        </row>
        <row r="124">
          <cell r="K124">
            <v>324.2724</v>
          </cell>
        </row>
        <row r="132">
          <cell r="K132">
            <v>630.4284</v>
          </cell>
        </row>
        <row r="140">
          <cell r="K140">
            <v>350.238</v>
          </cell>
        </row>
        <row r="189">
          <cell r="K189">
            <v>582.552</v>
          </cell>
        </row>
        <row r="200">
          <cell r="K200">
            <v>71.0079552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  <sheetName val="Sheet1"/>
    </sheetNames>
    <sheetDataSet>
      <sheetData sheetId="0"/>
      <sheetData sheetId="1">
        <row r="3">
          <cell r="C3" t="str">
            <v>ID10.00R20-18PR(149/146K)[FOLO.R109]EFFIPLUS</v>
          </cell>
          <cell r="D3" t="str">
            <v>张PC</v>
          </cell>
          <cell r="E3">
            <v>0.0001</v>
          </cell>
          <cell r="F3">
            <v>5600</v>
          </cell>
          <cell r="G3">
            <v>5600</v>
          </cell>
        </row>
        <row r="4">
          <cell r="C4" t="str">
            <v>ID10.00R20-18PR(149/146K)[MOBY.R856X]EFFIPLUS</v>
          </cell>
          <cell r="D4" t="str">
            <v>张PC</v>
          </cell>
          <cell r="E4">
            <v>0.0001</v>
          </cell>
          <cell r="F4">
            <v>10589</v>
          </cell>
          <cell r="G4">
            <v>8900</v>
          </cell>
        </row>
        <row r="5">
          <cell r="C5" t="str">
            <v>ID12.00R24-20PR(160/156F)[AM4S.Q678]EFFIPLUS</v>
          </cell>
          <cell r="D5" t="str">
            <v>张PC</v>
          </cell>
          <cell r="E5">
            <v>0.0001</v>
          </cell>
          <cell r="F5">
            <v>2000</v>
          </cell>
          <cell r="G5">
            <v>2000</v>
          </cell>
        </row>
        <row r="6">
          <cell r="C6" t="str">
            <v>ID7.50R16-14PR(122/118J)[AM4S.Q669]EFFIPLUS</v>
          </cell>
          <cell r="D6" t="str">
            <v>张PC</v>
          </cell>
          <cell r="E6">
            <v>0.0001</v>
          </cell>
          <cell r="F6">
            <v>17150</v>
          </cell>
          <cell r="G6">
            <v>17200</v>
          </cell>
        </row>
        <row r="7">
          <cell r="C7" t="str">
            <v>ID7.50R16-14PR(122/118L)[MOBY.R856X]EFFIPLUS</v>
          </cell>
          <cell r="D7" t="str">
            <v>张PC</v>
          </cell>
          <cell r="E7">
            <v>0.0001</v>
          </cell>
          <cell r="F7">
            <v>18619</v>
          </cell>
          <cell r="G7">
            <v>17200</v>
          </cell>
        </row>
        <row r="8">
          <cell r="C8" t="str">
            <v>ID11.00R20-16PR(150/147F)[AM4S.Q689]EFFIPLUS</v>
          </cell>
          <cell r="D8" t="str">
            <v>张PC</v>
          </cell>
          <cell r="E8">
            <v>0.0001</v>
          </cell>
          <cell r="F8">
            <v>2000</v>
          </cell>
          <cell r="G8">
            <v>2000</v>
          </cell>
        </row>
        <row r="9">
          <cell r="C9" t="str">
            <v>ID11.00R20-18PR(152/149K)[AM4S.Q679]EFFIPLUS</v>
          </cell>
          <cell r="D9" t="str">
            <v>张PC</v>
          </cell>
          <cell r="E9">
            <v>0.0001</v>
          </cell>
          <cell r="F9">
            <v>2000</v>
          </cell>
          <cell r="G9">
            <v>2000</v>
          </cell>
        </row>
        <row r="10">
          <cell r="C10" t="str">
            <v>ID11.00R20-18PR(152/149L)[FOLO.R109]EFFIPLUS</v>
          </cell>
          <cell r="D10" t="str">
            <v>张PC</v>
          </cell>
          <cell r="E10">
            <v>0.0001</v>
          </cell>
          <cell r="F10">
            <v>1900</v>
          </cell>
          <cell r="G10">
            <v>1800</v>
          </cell>
        </row>
        <row r="11">
          <cell r="C11" t="str">
            <v>ID12.00R20-20PR(156/153F)[AM4S.Q669]EFFIPLUS</v>
          </cell>
          <cell r="D11" t="str">
            <v>张PC</v>
          </cell>
          <cell r="E11">
            <v>0.0001</v>
          </cell>
          <cell r="F11">
            <v>2000</v>
          </cell>
          <cell r="G11">
            <v>2000</v>
          </cell>
        </row>
        <row r="12">
          <cell r="C12" t="str">
            <v>ID7.50R16-14PR(122/118L)[FOLO.R109]EFFIPLUS</v>
          </cell>
          <cell r="D12" t="str">
            <v>张PC</v>
          </cell>
          <cell r="E12">
            <v>0.0001</v>
          </cell>
          <cell r="F12">
            <v>2000</v>
          </cell>
          <cell r="G12">
            <v>2000</v>
          </cell>
        </row>
        <row r="13">
          <cell r="C13" t="str">
            <v>ID(LB0501)ATV 21x7-10/6 [AR05]FREE COUNTRY TL BENGAL</v>
          </cell>
          <cell r="D13" t="str">
            <v>张PC</v>
          </cell>
          <cell r="E13">
            <v>1</v>
          </cell>
          <cell r="F13">
            <v>3000</v>
          </cell>
          <cell r="G13">
            <v>3000</v>
          </cell>
        </row>
        <row r="14">
          <cell r="C14" t="str">
            <v>ID(LB0603)ATV 22x10-10/6[AR06]FREE COUNTRY TL BENGAL</v>
          </cell>
          <cell r="D14" t="str">
            <v>张PC</v>
          </cell>
          <cell r="E14">
            <v>1</v>
          </cell>
          <cell r="F14">
            <v>3000</v>
          </cell>
          <cell r="G14">
            <v>3000</v>
          </cell>
        </row>
        <row r="15">
          <cell r="C15" t="str">
            <v>ID(LB0604)ATV 22x11-10/6[AR06]FREE COUNTRY TL BENGAL</v>
          </cell>
          <cell r="D15" t="str">
            <v>张PC</v>
          </cell>
          <cell r="E15">
            <v>1</v>
          </cell>
          <cell r="F15">
            <v>3000</v>
          </cell>
          <cell r="G15">
            <v>3000</v>
          </cell>
        </row>
        <row r="16">
          <cell r="C16" t="str">
            <v>ID(LB1003)ATV 24x8-12/6[AR10]FREE COUNTRY TL BLACK ELK</v>
          </cell>
          <cell r="D16" t="str">
            <v>张PC</v>
          </cell>
          <cell r="E16">
            <v>1</v>
          </cell>
          <cell r="F16">
            <v>2805</v>
          </cell>
          <cell r="G16">
            <v>3000</v>
          </cell>
        </row>
        <row r="17">
          <cell r="C17" t="str">
            <v>ID(LB1004)ATV 24x10-12/6[AR10]FREE COUNTRY TL BLACK ELK</v>
          </cell>
          <cell r="D17" t="str">
            <v>张PC</v>
          </cell>
          <cell r="E17">
            <v>1</v>
          </cell>
          <cell r="F17">
            <v>2955</v>
          </cell>
          <cell r="G17">
            <v>2800</v>
          </cell>
        </row>
        <row r="18">
          <cell r="C18" t="str">
            <v>ID(LB1005)ATV 25×8-12/6[AR10]FREE COUNTRY TL BLACK ELK</v>
          </cell>
          <cell r="D18" t="str">
            <v>张PC</v>
          </cell>
          <cell r="E18">
            <v>0.0001</v>
          </cell>
          <cell r="F18">
            <v>18136</v>
          </cell>
          <cell r="G18">
            <v>14000</v>
          </cell>
        </row>
        <row r="19">
          <cell r="C19" t="str">
            <v>ID(LB1006)ATV 25×10-12/6[AR10]FREE COUNTRY TL BLACK ELK</v>
          </cell>
          <cell r="D19" t="str">
            <v>张PC</v>
          </cell>
          <cell r="E19">
            <v>0.0001</v>
          </cell>
          <cell r="F19">
            <v>18469</v>
          </cell>
          <cell r="G19">
            <v>15000</v>
          </cell>
        </row>
        <row r="20">
          <cell r="C20" t="str">
            <v>ID(LB1101)ATV 25×8R12/8[AR11]FREE COUNTRY TL BUFFALO</v>
          </cell>
          <cell r="D20" t="str">
            <v>张PC</v>
          </cell>
          <cell r="E20">
            <v>0.0001</v>
          </cell>
          <cell r="F20">
            <v>19500</v>
          </cell>
          <cell r="G20">
            <v>15000</v>
          </cell>
        </row>
        <row r="21">
          <cell r="C21" t="str">
            <v>ID(LB1102)ATV 25×10R12/8[AR11]FREE COUNTRY TL BUFFALO</v>
          </cell>
          <cell r="D21" t="str">
            <v>张PC</v>
          </cell>
          <cell r="E21">
            <v>0.0001</v>
          </cell>
          <cell r="F21">
            <v>19700</v>
          </cell>
          <cell r="G21">
            <v>15000</v>
          </cell>
        </row>
        <row r="22">
          <cell r="C22" t="str">
            <v>ID(LB1103)ATV 26×9R12/8[AR11]FREE COUNTRY TL BUFFALO</v>
          </cell>
          <cell r="D22" t="str">
            <v>张PC</v>
          </cell>
          <cell r="E22">
            <v>0.0001</v>
          </cell>
          <cell r="F22">
            <v>20000</v>
          </cell>
          <cell r="G22">
            <v>15000</v>
          </cell>
        </row>
        <row r="23">
          <cell r="C23" t="str">
            <v>ID(LB1104)ATV 26×10R12/8[AR11]FREE COUNTRY TL BUFFALO</v>
          </cell>
          <cell r="D23" t="str">
            <v>张PC</v>
          </cell>
          <cell r="E23">
            <v>0.0001</v>
          </cell>
          <cell r="F23">
            <v>20000</v>
          </cell>
          <cell r="G23">
            <v>15000</v>
          </cell>
        </row>
        <row r="24">
          <cell r="C24" t="str">
            <v>ID(LB1105)ATV 26×12R12/8[AR11]FREE COUNTRY TL BUFFALO</v>
          </cell>
          <cell r="D24" t="str">
            <v>张PC</v>
          </cell>
          <cell r="E24">
            <v>0.0001</v>
          </cell>
          <cell r="F24">
            <v>20000</v>
          </cell>
          <cell r="G24">
            <v>15000</v>
          </cell>
        </row>
        <row r="25">
          <cell r="C25" t="str">
            <v>ID(LB1204)ATV 24x8-12/6[AR12]FREE COUNTRY TL KOMODO</v>
          </cell>
          <cell r="D25" t="str">
            <v>张PC</v>
          </cell>
          <cell r="E25">
            <v>1</v>
          </cell>
          <cell r="F25">
            <v>3000</v>
          </cell>
          <cell r="G25">
            <v>3000</v>
          </cell>
        </row>
        <row r="26">
          <cell r="C26" t="str">
            <v>ID(LB1205)ATV 25x8-12/6[AR12]FREE COUNTRY TL KOMODO</v>
          </cell>
          <cell r="D26" t="str">
            <v>张PC</v>
          </cell>
          <cell r="E26">
            <v>1</v>
          </cell>
          <cell r="F26">
            <v>2930</v>
          </cell>
          <cell r="G26">
            <v>3000</v>
          </cell>
        </row>
        <row r="27">
          <cell r="C27" t="str">
            <v>ID(LB1206)ATV 25x10-12/6[AR12]FREE COUNTRY TL KOMODO</v>
          </cell>
          <cell r="D27" t="str">
            <v>张PC</v>
          </cell>
          <cell r="E27">
            <v>1</v>
          </cell>
          <cell r="F27">
            <v>2941</v>
          </cell>
          <cell r="G27">
            <v>3000</v>
          </cell>
        </row>
        <row r="28">
          <cell r="C28" t="str">
            <v>ID(LB1207)ATV 26×9-12/6[AR12]FREE COUNTRY TL KOMODO</v>
          </cell>
          <cell r="D28" t="str">
            <v>张PC</v>
          </cell>
          <cell r="E28">
            <v>0.0001</v>
          </cell>
          <cell r="F28">
            <v>19500</v>
          </cell>
          <cell r="G28">
            <v>36080</v>
          </cell>
        </row>
        <row r="29">
          <cell r="C29" t="str">
            <v>ID(LB1208)ATV 26×10-12/6[AR12]FREE COUNTRY TL KOMODO</v>
          </cell>
          <cell r="D29" t="str">
            <v>张PC</v>
          </cell>
          <cell r="E29">
            <v>0.0001</v>
          </cell>
          <cell r="F29">
            <v>19500</v>
          </cell>
          <cell r="G29">
            <v>19500</v>
          </cell>
        </row>
        <row r="30">
          <cell r="C30" t="str">
            <v>ID(LB1209)ATV 26×12-12/6[AR12]FREE COUNTRY TL KOMODO</v>
          </cell>
          <cell r="D30" t="str">
            <v>张PC</v>
          </cell>
          <cell r="E30">
            <v>0.0001</v>
          </cell>
          <cell r="F30">
            <v>40000</v>
          </cell>
          <cell r="G30">
            <v>3500</v>
          </cell>
        </row>
        <row r="31">
          <cell r="C31" t="str">
            <v>ID(LB6701)ATV 25x8-12/6[AR67]FREE COUNTRY TL SILVERBACK</v>
          </cell>
          <cell r="D31" t="str">
            <v>张PC</v>
          </cell>
          <cell r="E31">
            <v>1</v>
          </cell>
          <cell r="F31">
            <v>2945</v>
          </cell>
          <cell r="G31">
            <v>3000</v>
          </cell>
        </row>
        <row r="32">
          <cell r="C32" t="str">
            <v>ID(LB6702)ATV 25x10-12/6[AR67]FREE COUNTRY TL SILVERBACK</v>
          </cell>
          <cell r="D32" t="str">
            <v>张PC</v>
          </cell>
          <cell r="E32">
            <v>1</v>
          </cell>
          <cell r="F32">
            <v>2950</v>
          </cell>
          <cell r="G32">
            <v>3000</v>
          </cell>
        </row>
        <row r="33">
          <cell r="C33" t="str">
            <v>ID(LBF201)ATV 18×8.50-8/4[TF02]FREE COUNTRY TL NEO-RIDE</v>
          </cell>
          <cell r="D33" t="str">
            <v>张PC</v>
          </cell>
          <cell r="E33">
            <v>0.0001</v>
          </cell>
          <cell r="F33">
            <v>20000</v>
          </cell>
          <cell r="G33">
            <v>20000</v>
          </cell>
        </row>
        <row r="34">
          <cell r="C34" t="str">
            <v>ID26×12-12-8PR[STRONG GUARD R1]119A2 HERCULES无内</v>
          </cell>
          <cell r="D34" t="str">
            <v>张PC</v>
          </cell>
          <cell r="E34">
            <v>1</v>
          </cell>
          <cell r="F34">
            <v>3000</v>
          </cell>
          <cell r="G34">
            <v>3000</v>
          </cell>
        </row>
        <row r="35">
          <cell r="C35" t="str">
            <v>ID27×8.5-15-8PR[STRONG GUARD SS]HERCULES无内</v>
          </cell>
          <cell r="D35" t="str">
            <v>张PC</v>
          </cell>
          <cell r="E35">
            <v>1</v>
          </cell>
          <cell r="F35">
            <v>3000</v>
          </cell>
          <cell r="G35">
            <v>3000</v>
          </cell>
        </row>
        <row r="36">
          <cell r="C36" t="str">
            <v>ID215/75R17.5-16PR(135/133L)[Strong Guard H-RA]HERCULES无内</v>
          </cell>
          <cell r="D36" t="str">
            <v>张PC</v>
          </cell>
          <cell r="E36">
            <v>0.0001</v>
          </cell>
          <cell r="F36">
            <v>637</v>
          </cell>
          <cell r="G36">
            <v>0</v>
          </cell>
        </row>
        <row r="37">
          <cell r="C37" t="str">
            <v>ID11R22.5-16PR(146/143L)[Strong Guard H-RD]HERCULES无内</v>
          </cell>
          <cell r="D37" t="str">
            <v>张PC</v>
          </cell>
          <cell r="E37">
            <v>0.0001</v>
          </cell>
          <cell r="F37">
            <v>7530</v>
          </cell>
          <cell r="G37">
            <v>6000</v>
          </cell>
        </row>
        <row r="38">
          <cell r="C38" t="str">
            <v>ID215/75R17.5-16PR(135/133L)[Strong Guard H-RA]HERCULES无内</v>
          </cell>
          <cell r="D38" t="str">
            <v>张PC</v>
          </cell>
          <cell r="E38">
            <v>0.0001</v>
          </cell>
          <cell r="F38">
            <v>21292</v>
          </cell>
          <cell r="G38">
            <v>12600</v>
          </cell>
        </row>
        <row r="39">
          <cell r="C39" t="str">
            <v>ID225/70R19.5-14PR(128/126L)[Strong Guard H-RA]HERCULES无内</v>
          </cell>
          <cell r="D39" t="str">
            <v>张PC</v>
          </cell>
          <cell r="E39">
            <v>0.0001</v>
          </cell>
          <cell r="F39">
            <v>1352</v>
          </cell>
          <cell r="G39">
            <v>2200</v>
          </cell>
        </row>
        <row r="40">
          <cell r="C40" t="str">
            <v>ID235/75R17.5-18PR(143/141L)[Strong Guard H-RA]HERCULES无内</v>
          </cell>
          <cell r="D40" t="str">
            <v>张PC</v>
          </cell>
          <cell r="E40">
            <v>0.0001</v>
          </cell>
          <cell r="F40">
            <v>6698</v>
          </cell>
          <cell r="G40">
            <v>6564</v>
          </cell>
        </row>
        <row r="41">
          <cell r="C41" t="str">
            <v>ID275/70R22.5-16PR(148/145M)[Strong Guard H-RA]HERCULES无内</v>
          </cell>
          <cell r="D41" t="str">
            <v>张PC</v>
          </cell>
          <cell r="E41">
            <v>0.0001</v>
          </cell>
          <cell r="F41">
            <v>7842</v>
          </cell>
          <cell r="G41">
            <v>7880</v>
          </cell>
        </row>
        <row r="42">
          <cell r="C42" t="str">
            <v>ID295/75R22.5-14PR(144/141L)[Strong Guard H-RD]HERCULES无内</v>
          </cell>
          <cell r="D42" t="str">
            <v>张PC</v>
          </cell>
          <cell r="E42">
            <v>1</v>
          </cell>
          <cell r="F42">
            <v>3000</v>
          </cell>
          <cell r="G42">
            <v>3000</v>
          </cell>
        </row>
        <row r="43">
          <cell r="C43" t="str">
            <v>ID295/75R22.5-14PR(144/141M)[Strong Guard H-TL]HERCULES无内</v>
          </cell>
          <cell r="D43" t="str">
            <v>张PC</v>
          </cell>
          <cell r="E43">
            <v>1</v>
          </cell>
          <cell r="F43">
            <v>2580</v>
          </cell>
          <cell r="G43">
            <v>2600</v>
          </cell>
        </row>
        <row r="44">
          <cell r="C44" t="str">
            <v>ID295/80R22.5-18PR(152/149M)[Strong Guard H-RA]HERCULES无内</v>
          </cell>
          <cell r="D44" t="str">
            <v>张PC</v>
          </cell>
          <cell r="E44">
            <v>0.0001</v>
          </cell>
          <cell r="F44">
            <v>5586</v>
          </cell>
          <cell r="G44">
            <v>5600</v>
          </cell>
        </row>
        <row r="45">
          <cell r="C45" t="str">
            <v>ID445/65R22.5-20PR(169K)[Strong Guard H-MW]HERCULES无内</v>
          </cell>
          <cell r="D45" t="str">
            <v>张PC</v>
          </cell>
          <cell r="E45">
            <v>1</v>
          </cell>
          <cell r="F45">
            <v>5730</v>
          </cell>
          <cell r="G45">
            <v>5680</v>
          </cell>
        </row>
        <row r="46">
          <cell r="C46" t="str">
            <v>ID11R22.5-14PR(144/142M)[Strong Guard H-TL]HERCULES无内</v>
          </cell>
          <cell r="D46" t="str">
            <v>张PC</v>
          </cell>
          <cell r="E46">
            <v>0.0001</v>
          </cell>
          <cell r="F46">
            <v>11488</v>
          </cell>
          <cell r="G46">
            <v>11500</v>
          </cell>
        </row>
        <row r="47">
          <cell r="C47" t="str">
            <v>ID11R22.5-16PR(146/143M)[Strong Guard H-RA]HERCULES无内</v>
          </cell>
          <cell r="D47" t="str">
            <v>张PC</v>
          </cell>
          <cell r="E47">
            <v>0.0001</v>
          </cell>
          <cell r="F47">
            <v>10862</v>
          </cell>
          <cell r="G47">
            <v>9900</v>
          </cell>
        </row>
        <row r="48">
          <cell r="C48" t="str">
            <v>ID11R22.5-16PR(148/145K)[Strong Guard H-MD]HERCULES无内</v>
          </cell>
          <cell r="D48" t="str">
            <v>张PC</v>
          </cell>
          <cell r="E48">
            <v>0.0001</v>
          </cell>
          <cell r="F48">
            <v>9000</v>
          </cell>
          <cell r="G48">
            <v>9000</v>
          </cell>
        </row>
        <row r="49">
          <cell r="C49" t="str">
            <v>ID11R24.5-14PR(146/143M)[Strong Guard H-TL]HERCULES无内</v>
          </cell>
          <cell r="D49" t="str">
            <v>张PC</v>
          </cell>
          <cell r="E49">
            <v>0.0001</v>
          </cell>
          <cell r="F49">
            <v>8260</v>
          </cell>
          <cell r="G49">
            <v>7900</v>
          </cell>
        </row>
        <row r="50">
          <cell r="C50" t="str">
            <v>ID11R24.5-16PR(149/146K)[Strong Guard H-MD]HERCULES无内</v>
          </cell>
          <cell r="D50" t="str">
            <v>张PC</v>
          </cell>
          <cell r="E50">
            <v>0.0001</v>
          </cell>
          <cell r="F50">
            <v>8345</v>
          </cell>
          <cell r="G50">
            <v>8400</v>
          </cell>
        </row>
        <row r="51">
          <cell r="C51" t="str">
            <v>ID11R24.5-16PR(149/146L)[Strong Guard H-RD]HERCULES无内</v>
          </cell>
          <cell r="D51" t="str">
            <v>张PC</v>
          </cell>
          <cell r="E51">
            <v>0.0001</v>
          </cell>
          <cell r="F51">
            <v>8700</v>
          </cell>
          <cell r="G51">
            <v>8700</v>
          </cell>
        </row>
        <row r="52">
          <cell r="C52" t="str">
            <v>ID12R22.5-18PR(152/149K)[Strong Guard H-MD]HERCULES无内</v>
          </cell>
          <cell r="D52" t="str">
            <v>张PC</v>
          </cell>
          <cell r="E52">
            <v>0.0001</v>
          </cell>
          <cell r="F52">
            <v>7728</v>
          </cell>
          <cell r="G52">
            <v>7750</v>
          </cell>
        </row>
        <row r="53">
          <cell r="C53" t="str">
            <v>ID245/70R19.5-14PR(133/131L)[Strong Guard H-RA]HERCULES无内</v>
          </cell>
          <cell r="D53" t="str">
            <v>张PC</v>
          </cell>
          <cell r="E53">
            <v>0.0001</v>
          </cell>
          <cell r="F53">
            <v>5730</v>
          </cell>
          <cell r="G53">
            <v>5900</v>
          </cell>
        </row>
        <row r="54">
          <cell r="C54" t="str">
            <v>ID245/75R22.5-14PR(134/131L)[Strong Guard H-RA]HERCULES无内</v>
          </cell>
          <cell r="D54" t="str">
            <v>张PC</v>
          </cell>
          <cell r="E54">
            <v>1</v>
          </cell>
          <cell r="F54">
            <v>5000</v>
          </cell>
          <cell r="G54">
            <v>5000</v>
          </cell>
        </row>
        <row r="55">
          <cell r="C55" t="str">
            <v>ID255/70R22.5-16PR(140/137L)[Strong Guard H-RA]HERCULES无内</v>
          </cell>
          <cell r="D55" t="str">
            <v>张PC</v>
          </cell>
          <cell r="E55">
            <v>0.0001</v>
          </cell>
          <cell r="F55">
            <v>11950</v>
          </cell>
          <cell r="G55">
            <v>11900</v>
          </cell>
        </row>
        <row r="56">
          <cell r="C56" t="str">
            <v>ID285/75R24.5-14PR(144/141L)[Strong Guard H-TL]HERCULES无内</v>
          </cell>
          <cell r="D56" t="str">
            <v>张PC</v>
          </cell>
          <cell r="E56">
            <v>0.0001</v>
          </cell>
          <cell r="F56">
            <v>8350</v>
          </cell>
          <cell r="G56">
            <v>8500</v>
          </cell>
        </row>
        <row r="57">
          <cell r="C57" t="str">
            <v>ID295/75R22.5-16PR(146/143M)[Strong Guard H-RA]HERCULES无内</v>
          </cell>
          <cell r="D57" t="str">
            <v>张PC</v>
          </cell>
          <cell r="E57">
            <v>1</v>
          </cell>
          <cell r="F57">
            <v>3000</v>
          </cell>
          <cell r="G57">
            <v>2700</v>
          </cell>
        </row>
        <row r="58">
          <cell r="C58" t="str">
            <v>ID315/80R22.5-20PR(161/157L)[Strong Guard H-RD]HERCULES无内</v>
          </cell>
          <cell r="D58" t="str">
            <v>张PC</v>
          </cell>
          <cell r="E58">
            <v>0.0001</v>
          </cell>
          <cell r="F58">
            <v>7834</v>
          </cell>
          <cell r="G58">
            <v>10200</v>
          </cell>
        </row>
        <row r="59">
          <cell r="C59" t="str">
            <v>ID385/65R22.5-20PR(160K)[Strong Guard H-MW]HERCULES无内</v>
          </cell>
          <cell r="D59" t="str">
            <v>张PC</v>
          </cell>
          <cell r="E59">
            <v>0.0001</v>
          </cell>
          <cell r="F59">
            <v>10697</v>
          </cell>
          <cell r="G59">
            <v>10700</v>
          </cell>
        </row>
        <row r="60">
          <cell r="C60" t="str">
            <v>ID425/65R22.5-20PR(165K)[Strong Guard H-MW]HERCULES无内</v>
          </cell>
          <cell r="D60" t="str">
            <v>张PC</v>
          </cell>
          <cell r="E60">
            <v>0.0001</v>
          </cell>
          <cell r="F60">
            <v>6827</v>
          </cell>
          <cell r="G60">
            <v>6800</v>
          </cell>
        </row>
        <row r="61">
          <cell r="C61" t="str">
            <v>ID11R22.5-14PR(144/142M)[I-48T]IRONMAN无内 SMARTWAY</v>
          </cell>
          <cell r="D61" t="str">
            <v>张PC</v>
          </cell>
          <cell r="E61">
            <v>0.0001</v>
          </cell>
          <cell r="F61">
            <v>8521</v>
          </cell>
          <cell r="G61">
            <v>7500</v>
          </cell>
        </row>
        <row r="62">
          <cell r="C62" t="str">
            <v>ID11R22.5-16PR(148/145L)[I-28D]IRONMAN无内 SMARTWAY</v>
          </cell>
          <cell r="D62" t="str">
            <v>张PC</v>
          </cell>
          <cell r="E62">
            <v>0.0001</v>
          </cell>
          <cell r="F62">
            <v>2313</v>
          </cell>
          <cell r="G62">
            <v>2800</v>
          </cell>
        </row>
        <row r="63">
          <cell r="C63" t="str">
            <v>ID11R22.5-16PR(148/145L)[I-37D]IRONMAN无内</v>
          </cell>
          <cell r="D63" t="str">
            <v>张PC</v>
          </cell>
          <cell r="E63">
            <v>0.0001</v>
          </cell>
          <cell r="F63">
            <v>8956</v>
          </cell>
          <cell r="G63">
            <v>8500</v>
          </cell>
        </row>
        <row r="64">
          <cell r="C64" t="str">
            <v>ID11R22.5-16PR(148/145L)[I-52A]IRONMAN无内 SMARTWAY</v>
          </cell>
          <cell r="D64" t="str">
            <v>张PC</v>
          </cell>
          <cell r="E64">
            <v>0.0001</v>
          </cell>
          <cell r="F64">
            <v>12500</v>
          </cell>
          <cell r="G64">
            <v>12462</v>
          </cell>
        </row>
        <row r="65">
          <cell r="C65" t="str">
            <v>ID11R24.5-16PR(149/146L)[I-28D]IRONMAN无内 SMARTWAY</v>
          </cell>
          <cell r="D65" t="str">
            <v>张PC</v>
          </cell>
          <cell r="E65">
            <v>0.0001</v>
          </cell>
          <cell r="F65">
            <v>6152</v>
          </cell>
          <cell r="G65">
            <v>11500</v>
          </cell>
        </row>
        <row r="66">
          <cell r="C66" t="str">
            <v>ID11R24.5-16PR(149/146L)[I-37D]IRONMAN无内</v>
          </cell>
          <cell r="D66" t="str">
            <v>张PC</v>
          </cell>
          <cell r="E66">
            <v>0.0001</v>
          </cell>
          <cell r="F66">
            <v>6266</v>
          </cell>
          <cell r="G66">
            <v>13000</v>
          </cell>
        </row>
        <row r="67">
          <cell r="C67" t="str">
            <v>ID235/75R17.5-18PR(143/141L)[I-19A]IRONMAN无内</v>
          </cell>
          <cell r="D67" t="str">
            <v>张PC</v>
          </cell>
          <cell r="E67">
            <v>0.0001</v>
          </cell>
          <cell r="F67">
            <v>9076</v>
          </cell>
          <cell r="G67">
            <v>12100</v>
          </cell>
        </row>
        <row r="68">
          <cell r="C68" t="str">
            <v>ID245/70R19.5-16PR(136/134N)[I-37D]IRONMAN无内</v>
          </cell>
          <cell r="D68" t="str">
            <v>张PC</v>
          </cell>
          <cell r="E68">
            <v>0.0001</v>
          </cell>
          <cell r="F68">
            <v>12719</v>
          </cell>
          <cell r="G68">
            <v>11900</v>
          </cell>
        </row>
        <row r="69">
          <cell r="C69" t="str">
            <v>ID285/75R24.5-14PR(144/141M)[I-19A]IRONMAN无内 SMARTWAY</v>
          </cell>
          <cell r="D69" t="str">
            <v>张PC</v>
          </cell>
          <cell r="E69">
            <v>0.0001</v>
          </cell>
          <cell r="F69">
            <v>10422</v>
          </cell>
          <cell r="G69">
            <v>11973</v>
          </cell>
        </row>
        <row r="70">
          <cell r="C70" t="str">
            <v>ID295/75R22.5-14PR(144/141L)[I-37D]IRONMAN无内</v>
          </cell>
          <cell r="D70" t="str">
            <v>张PC</v>
          </cell>
          <cell r="E70">
            <v>0.0001</v>
          </cell>
          <cell r="F70">
            <v>9062</v>
          </cell>
          <cell r="G70">
            <v>16500</v>
          </cell>
        </row>
        <row r="71">
          <cell r="C71" t="str">
            <v>ID295/75R22.5-16PR(146/143M)[I-61S]IRONMAN无内</v>
          </cell>
          <cell r="D71" t="str">
            <v>张PC</v>
          </cell>
          <cell r="E71">
            <v>0.0001</v>
          </cell>
          <cell r="F71">
            <v>13094</v>
          </cell>
          <cell r="G71">
            <v>17400</v>
          </cell>
        </row>
        <row r="72">
          <cell r="C72" t="str">
            <v>ID315/80R22.5-20PR(161/157K)[I-31M]IRONMAN无内</v>
          </cell>
          <cell r="D72" t="str">
            <v>张PC</v>
          </cell>
          <cell r="E72">
            <v>0.0001</v>
          </cell>
          <cell r="F72">
            <v>16836</v>
          </cell>
          <cell r="G72">
            <v>17200</v>
          </cell>
        </row>
        <row r="73">
          <cell r="C73" t="str">
            <v>ID315/80R22.5-20PR(161/157K)[I-52A]IRONMAN无内</v>
          </cell>
          <cell r="D73" t="str">
            <v>张PC</v>
          </cell>
          <cell r="E73">
            <v>0.0001</v>
          </cell>
          <cell r="F73">
            <v>14870</v>
          </cell>
          <cell r="G73">
            <v>14800</v>
          </cell>
        </row>
        <row r="74">
          <cell r="C74" t="str">
            <v>ID11R22.5-16PR(148/145L)[I-31M]IRONMAN无内</v>
          </cell>
          <cell r="D74" t="str">
            <v>张PC</v>
          </cell>
          <cell r="E74">
            <v>0.0001</v>
          </cell>
          <cell r="F74">
            <v>9888</v>
          </cell>
          <cell r="G74">
            <v>13900</v>
          </cell>
        </row>
        <row r="75">
          <cell r="C75" t="str">
            <v>ID11R22.5-16PR(148/145M)[I-19A]IRONMAN无内 SMARTWAY</v>
          </cell>
          <cell r="D75" t="str">
            <v>张PC</v>
          </cell>
          <cell r="E75">
            <v>0.0001</v>
          </cell>
          <cell r="F75">
            <v>10812</v>
          </cell>
          <cell r="G75">
            <v>10500</v>
          </cell>
        </row>
        <row r="76">
          <cell r="C76" t="str">
            <v>ID11R22.5-16PR(148/145M)[I-61S]IRONMAN无内 SMARTWAY</v>
          </cell>
          <cell r="D76" t="str">
            <v>张PC</v>
          </cell>
          <cell r="E76">
            <v>0.0001</v>
          </cell>
          <cell r="F76">
            <v>10658</v>
          </cell>
          <cell r="G76">
            <v>10500</v>
          </cell>
        </row>
        <row r="77">
          <cell r="C77" t="str">
            <v>ID11R24.5-14PR(146/143M)[I-48T]IRONMAN无内 SMARTWAY</v>
          </cell>
          <cell r="D77" t="str">
            <v>张PC</v>
          </cell>
          <cell r="E77">
            <v>0.0001</v>
          </cell>
          <cell r="F77">
            <v>9635</v>
          </cell>
          <cell r="G77">
            <v>9600</v>
          </cell>
        </row>
        <row r="78">
          <cell r="C78" t="str">
            <v>ID11R24.5-16PR(149/146L)[I-31M]IRONMAN无内</v>
          </cell>
          <cell r="D78" t="str">
            <v>张PC</v>
          </cell>
          <cell r="E78">
            <v>0.0001</v>
          </cell>
          <cell r="F78">
            <v>7598</v>
          </cell>
          <cell r="G78">
            <v>11400</v>
          </cell>
        </row>
        <row r="79">
          <cell r="C79" t="str">
            <v>ID11R24.5-16PR(149/146L)[I-52A]IRONMAN无内 SMARTWAY</v>
          </cell>
          <cell r="D79" t="str">
            <v>张PC</v>
          </cell>
          <cell r="E79">
            <v>0.0001</v>
          </cell>
          <cell r="F79">
            <v>11486</v>
          </cell>
          <cell r="G79">
            <v>13000</v>
          </cell>
        </row>
        <row r="80">
          <cell r="C80" t="str">
            <v>ID11R24.5-16PR(149/146M)[I-19A]IRONMAN无内 SMARTWAY</v>
          </cell>
          <cell r="D80" t="str">
            <v>张PC</v>
          </cell>
          <cell r="E80">
            <v>0.0001</v>
          </cell>
          <cell r="F80">
            <v>17047</v>
          </cell>
          <cell r="G80">
            <v>17100</v>
          </cell>
        </row>
        <row r="81">
          <cell r="C81" t="str">
            <v>ID11R24.5-16PR(149/146M)[I-61S]IRONMAN无内 SMARTWAY</v>
          </cell>
          <cell r="D81" t="str">
            <v>张PC</v>
          </cell>
          <cell r="E81">
            <v>0.0001</v>
          </cell>
          <cell r="F81">
            <v>12464</v>
          </cell>
          <cell r="G81">
            <v>12550</v>
          </cell>
        </row>
        <row r="82">
          <cell r="C82" t="str">
            <v>ID12.00R24-20PR(160/157K)[I-301]IRONMAN</v>
          </cell>
          <cell r="D82" t="str">
            <v>张PC</v>
          </cell>
          <cell r="E82">
            <v>0.0001</v>
          </cell>
          <cell r="F82">
            <v>11663</v>
          </cell>
          <cell r="G82">
            <v>11600</v>
          </cell>
        </row>
        <row r="83">
          <cell r="C83" t="str">
            <v>ID12R22.5-18PR(152/149L)[I-181]IRONMAN无内</v>
          </cell>
          <cell r="D83" t="str">
            <v>张PC</v>
          </cell>
          <cell r="E83">
            <v>1</v>
          </cell>
          <cell r="F83">
            <v>2094</v>
          </cell>
          <cell r="G83">
            <v>2300</v>
          </cell>
        </row>
        <row r="84">
          <cell r="C84" t="str">
            <v>ID215/75R17.5-16PR(135/133L)[I-19A]IRONMAN无内</v>
          </cell>
          <cell r="D84" t="str">
            <v>张PC</v>
          </cell>
          <cell r="E84">
            <v>0.0001</v>
          </cell>
          <cell r="F84">
            <v>8456</v>
          </cell>
          <cell r="G84">
            <v>8200</v>
          </cell>
        </row>
        <row r="85">
          <cell r="C85" t="str">
            <v>ID225/70R19.5-14PR(128/126L)[I-208]IRONMAN无内</v>
          </cell>
          <cell r="D85" t="str">
            <v>张PC</v>
          </cell>
          <cell r="E85">
            <v>0.0001</v>
          </cell>
          <cell r="F85">
            <v>8260</v>
          </cell>
          <cell r="G85">
            <v>11300</v>
          </cell>
        </row>
        <row r="86">
          <cell r="C86" t="str">
            <v>ID225/70R19.5-14PR(128/126N)[I-37D]IRONMAN无内</v>
          </cell>
          <cell r="D86" t="str">
            <v>张PC</v>
          </cell>
          <cell r="E86">
            <v>0.0001</v>
          </cell>
          <cell r="F86">
            <v>9367</v>
          </cell>
          <cell r="G86">
            <v>10000</v>
          </cell>
        </row>
        <row r="87">
          <cell r="C87" t="str">
            <v>ID245/70R17.5-18PR(143/141J)[I-19A]IRONMAN无内</v>
          </cell>
          <cell r="D87" t="str">
            <v>张PC</v>
          </cell>
          <cell r="E87">
            <v>0.0001</v>
          </cell>
          <cell r="F87">
            <v>4508</v>
          </cell>
          <cell r="G87">
            <v>6200</v>
          </cell>
        </row>
        <row r="88">
          <cell r="C88" t="str">
            <v>ID245/70R19.5-16PR(136/134N)[I-19A]IRONMAN无内</v>
          </cell>
          <cell r="D88" t="str">
            <v>张PC</v>
          </cell>
          <cell r="E88">
            <v>0.0001</v>
          </cell>
          <cell r="F88">
            <v>8994</v>
          </cell>
          <cell r="G88">
            <v>19950</v>
          </cell>
        </row>
        <row r="89">
          <cell r="C89" t="str">
            <v>ID255/70R22.5-16PR(140/137M)[I-19A]IRONMAN无内</v>
          </cell>
          <cell r="D89" t="str">
            <v>张PC</v>
          </cell>
          <cell r="E89">
            <v>0.0001</v>
          </cell>
          <cell r="F89">
            <v>3490</v>
          </cell>
          <cell r="G89">
            <v>8900</v>
          </cell>
        </row>
        <row r="90">
          <cell r="C90" t="str">
            <v>ID265/70R19.5-18PR(143/141K)[I-19A]IRONMAN无内</v>
          </cell>
          <cell r="D90" t="str">
            <v>张PC</v>
          </cell>
          <cell r="E90">
            <v>0.0001</v>
          </cell>
          <cell r="F90">
            <v>10772</v>
          </cell>
        </row>
        <row r="91">
          <cell r="C91" t="str">
            <v>ID275/70R22.5-18PR(152/148L)[I-19A]IRONMAN无内 美国</v>
          </cell>
          <cell r="D91" t="str">
            <v>张PC</v>
          </cell>
          <cell r="E91">
            <v>0.0001</v>
          </cell>
          <cell r="F91">
            <v>8760</v>
          </cell>
          <cell r="G91">
            <v>9300</v>
          </cell>
        </row>
        <row r="92">
          <cell r="C92" t="str">
            <v>ID285/75R24.5-14PR(144/141L)[I-28D]IRONMAN无内 SMARTWAY</v>
          </cell>
          <cell r="D92" t="str">
            <v>张PC</v>
          </cell>
          <cell r="E92">
            <v>0.0001</v>
          </cell>
          <cell r="F92">
            <v>4818</v>
          </cell>
          <cell r="G92">
            <v>4550</v>
          </cell>
        </row>
        <row r="93">
          <cell r="C93" t="str">
            <v>ID295/75R22.5-14PR(144/141L)[I-28D]IRONMAN无内 SMARTWAY</v>
          </cell>
          <cell r="D93" t="str">
            <v>张PC</v>
          </cell>
          <cell r="E93">
            <v>0.0001</v>
          </cell>
          <cell r="F93">
            <v>11845</v>
          </cell>
          <cell r="G93">
            <v>12238</v>
          </cell>
        </row>
        <row r="94">
          <cell r="C94" t="str">
            <v>ID295/75R22.5-14PR(144/141M)[I-19A]IRONMAN无内 SMARTWAY</v>
          </cell>
          <cell r="D94" t="str">
            <v>张PC</v>
          </cell>
          <cell r="E94">
            <v>0.0001</v>
          </cell>
          <cell r="F94">
            <v>1422</v>
          </cell>
          <cell r="G94">
            <v>1400</v>
          </cell>
        </row>
        <row r="95">
          <cell r="C95" t="str">
            <v>ID295/75R22.5-14PR(144/141M)[I-48T]IRONMAN无内 SMARTWAY</v>
          </cell>
          <cell r="D95" t="str">
            <v>张PC</v>
          </cell>
          <cell r="E95">
            <v>0.0001</v>
          </cell>
          <cell r="F95">
            <v>2886</v>
          </cell>
          <cell r="G95">
            <v>7700</v>
          </cell>
        </row>
        <row r="96">
          <cell r="C96" t="str">
            <v>ID295/75R22.5-16PR(146/143M)[I-19A]IRONMAN无内 SMARTWAY</v>
          </cell>
          <cell r="D96" t="str">
            <v>张PC</v>
          </cell>
          <cell r="E96">
            <v>0.0001</v>
          </cell>
          <cell r="F96">
            <v>11852</v>
          </cell>
          <cell r="G96">
            <v>11450</v>
          </cell>
        </row>
        <row r="97">
          <cell r="C97" t="str">
            <v>ID385/65R22.5-20PR(160K)[I-42W]IRONMAN无内</v>
          </cell>
          <cell r="D97" t="str">
            <v>张PC</v>
          </cell>
          <cell r="E97">
            <v>0.0001</v>
          </cell>
          <cell r="F97">
            <v>5165</v>
          </cell>
          <cell r="G97">
            <v>5200</v>
          </cell>
        </row>
        <row r="98">
          <cell r="C98" t="str">
            <v>ID425/65R22.5-20PR(165K)[I-42W]IRONMAN无内</v>
          </cell>
          <cell r="D98" t="str">
            <v>张PC</v>
          </cell>
          <cell r="E98">
            <v>0.0001</v>
          </cell>
          <cell r="F98">
            <v>2220</v>
          </cell>
          <cell r="G98">
            <v>2200</v>
          </cell>
        </row>
        <row r="99">
          <cell r="C99" t="str">
            <v>ID445/65R22.5-20PR(169K)[I-42W]IRONMAN无内</v>
          </cell>
          <cell r="D99" t="str">
            <v>张PC</v>
          </cell>
          <cell r="E99">
            <v>0.0001</v>
          </cell>
          <cell r="F99">
            <v>3285</v>
          </cell>
          <cell r="G99">
            <v>3300</v>
          </cell>
        </row>
        <row r="100">
          <cell r="C100" t="str">
            <v>ID10.00R20-16PR(146/143K)[I-181]IRONMAN</v>
          </cell>
          <cell r="D100" t="str">
            <v>张PC</v>
          </cell>
          <cell r="E100">
            <v>0.0001</v>
          </cell>
          <cell r="F100">
            <v>7418</v>
          </cell>
          <cell r="G100">
            <v>7500</v>
          </cell>
        </row>
        <row r="101">
          <cell r="C101" t="str">
            <v>ID285/75R24.5-14PR(144/141L)[I-37D]IRONMAN无内</v>
          </cell>
          <cell r="D101" t="str">
            <v>张PC</v>
          </cell>
          <cell r="E101">
            <v>0.0001</v>
          </cell>
          <cell r="F101">
            <v>4564</v>
          </cell>
          <cell r="G101">
            <v>4550</v>
          </cell>
        </row>
        <row r="102">
          <cell r="C102" t="str">
            <v>ID285/75R24.5-14PR(144/141M)[I-48T]IRONMAN无内 SMARTWAY</v>
          </cell>
          <cell r="D102" t="str">
            <v>张PC</v>
          </cell>
          <cell r="E102">
            <v>0.0001</v>
          </cell>
          <cell r="F102">
            <v>4902</v>
          </cell>
          <cell r="G102">
            <v>4650</v>
          </cell>
        </row>
        <row r="103">
          <cell r="C103" t="str">
            <v>ID285/75R24.5-16PR(147/144M)[I-61S]IRONMAN无内 SMARTWAY</v>
          </cell>
          <cell r="D103" t="str">
            <v>张PC</v>
          </cell>
          <cell r="E103">
            <v>0.0001</v>
          </cell>
          <cell r="F103">
            <v>5572</v>
          </cell>
          <cell r="G103">
            <v>5350</v>
          </cell>
        </row>
        <row r="104">
          <cell r="C104" t="str">
            <v>ID285/75R24.5-16PR(148/145L)[I-52A]IRONMAN无内 SMARTWAY</v>
          </cell>
          <cell r="D104" t="str">
            <v>张PC</v>
          </cell>
          <cell r="E104">
            <v>0.0001</v>
          </cell>
          <cell r="F104">
            <v>5425</v>
          </cell>
          <cell r="G104">
            <v>5400</v>
          </cell>
        </row>
        <row r="105">
          <cell r="C105" t="str">
            <v>ID295/75R22.5-16PR(146/143L)[I-52A]IRONMAN无内 SMARTWAY</v>
          </cell>
          <cell r="D105" t="str">
            <v>张PC</v>
          </cell>
          <cell r="E105">
            <v>0.0001</v>
          </cell>
          <cell r="F105">
            <v>5253</v>
          </cell>
          <cell r="G105">
            <v>6000</v>
          </cell>
        </row>
        <row r="106">
          <cell r="C106" t="str">
            <v>ID295/75R22.5-16PR(146/143M)[I-61S]IRONMAN无内 SMARTWAY</v>
          </cell>
          <cell r="D106" t="str">
            <v>张PC</v>
          </cell>
          <cell r="E106">
            <v>0.0001</v>
          </cell>
          <cell r="F106">
            <v>5450</v>
          </cell>
          <cell r="G106">
            <v>8400</v>
          </cell>
        </row>
        <row r="107">
          <cell r="C107" t="str">
            <v>ID(570-4000)ATV 25×8-12/6[AT12]SEDONA TL MUD REBEL(USA)</v>
          </cell>
          <cell r="D107" t="str">
            <v>张PC</v>
          </cell>
          <cell r="E107">
            <v>0.0001</v>
          </cell>
          <cell r="F107">
            <v>4900</v>
          </cell>
          <cell r="G107">
            <v>4950</v>
          </cell>
        </row>
        <row r="108">
          <cell r="C108" t="str">
            <v>ID(570-4004)ATV 25×10-12/6[AT12]SEDONA TL MUD REBEL(USA)</v>
          </cell>
          <cell r="D108" t="str">
            <v>张PC</v>
          </cell>
          <cell r="E108">
            <v>0.0001</v>
          </cell>
          <cell r="F108">
            <v>7400</v>
          </cell>
          <cell r="G108">
            <v>7400</v>
          </cell>
        </row>
        <row r="109">
          <cell r="C109" t="str">
            <v>ID(570-4200)ATV 25×8-12/6[WL6A]SEDONA TL COYOTE(USA)</v>
          </cell>
          <cell r="D109" t="str">
            <v>张PC</v>
          </cell>
          <cell r="E109">
            <v>0.0001</v>
          </cell>
          <cell r="F109">
            <v>4800</v>
          </cell>
          <cell r="G109">
            <v>4400</v>
          </cell>
        </row>
        <row r="110">
          <cell r="C110" t="str">
            <v>ID(570-4201)ATV 25×10-12/6[WL6A] SEDONA TL COYOTE(USA)</v>
          </cell>
          <cell r="D110" t="str">
            <v>张PC</v>
          </cell>
          <cell r="E110">
            <v>0.0001</v>
          </cell>
          <cell r="F110">
            <v>700</v>
          </cell>
          <cell r="G110">
            <v>4300</v>
          </cell>
        </row>
        <row r="111">
          <cell r="C111" t="str">
            <v>ID(570-4204)ATV 27×9-12/6[WL6A]SEDONA TL COYOTE(USA)</v>
          </cell>
          <cell r="D111" t="str">
            <v>张PC</v>
          </cell>
          <cell r="E111">
            <v>0.0001</v>
          </cell>
          <cell r="F111">
            <v>3970</v>
          </cell>
          <cell r="G111">
            <v>3800</v>
          </cell>
        </row>
        <row r="112">
          <cell r="C112" t="str">
            <v>ID(570-4205)ATV 27×11-12/6[WL6A]SEDONA TL COYOTE(USA)</v>
          </cell>
          <cell r="D112" t="str">
            <v>张PC</v>
          </cell>
          <cell r="E112">
            <v>0.0001</v>
          </cell>
          <cell r="F112">
            <v>1445</v>
          </cell>
          <cell r="G112">
            <v>1300</v>
          </cell>
        </row>
        <row r="113">
          <cell r="C113" t="str">
            <v>ID11R24.5-16PR(149/146J)[VDM924]VITOUR无内</v>
          </cell>
          <cell r="D113" t="str">
            <v>张PC</v>
          </cell>
          <cell r="E113">
            <v>0.0001</v>
          </cell>
          <cell r="F113">
            <v>7688</v>
          </cell>
          <cell r="G113">
            <v>6900</v>
          </cell>
        </row>
        <row r="114">
          <cell r="C114" t="str">
            <v>ID215/75R17.5-18PR(135/133L)[VA933]VITOUR无内</v>
          </cell>
          <cell r="D114" t="str">
            <v>张PC</v>
          </cell>
          <cell r="E114">
            <v>0.0001</v>
          </cell>
          <cell r="F114">
            <v>7592</v>
          </cell>
          <cell r="G114">
            <v>8500</v>
          </cell>
        </row>
        <row r="115">
          <cell r="C115" t="str">
            <v>ID225/70R19.5-14PR(128/126M)[VA933]VITOUR无内</v>
          </cell>
          <cell r="D115" t="str">
            <v>张PC</v>
          </cell>
          <cell r="E115">
            <v>0.0001</v>
          </cell>
          <cell r="F115">
            <v>4924</v>
          </cell>
          <cell r="G115">
            <v>5600</v>
          </cell>
        </row>
        <row r="116">
          <cell r="C116" t="str">
            <v>ID225/70R19.5-14PR(128/126M)[VD935]VITOUR无内</v>
          </cell>
          <cell r="D116" t="str">
            <v>张PC</v>
          </cell>
          <cell r="E116">
            <v>0.0001</v>
          </cell>
          <cell r="F116">
            <v>3005</v>
          </cell>
          <cell r="G116">
            <v>3100</v>
          </cell>
        </row>
        <row r="117">
          <cell r="C117" t="str">
            <v>ID235/75R17.5-18PR(143/141L)[VA933]VITOUR无内</v>
          </cell>
          <cell r="D117" t="str">
            <v>张PC</v>
          </cell>
          <cell r="E117">
            <v>0.0001</v>
          </cell>
          <cell r="F117">
            <v>13064</v>
          </cell>
          <cell r="G117">
            <v>19650</v>
          </cell>
        </row>
        <row r="118">
          <cell r="C118" t="str">
            <v>ID245/70R19.5-16PR(136/134M)[VD935]VITOUR无内</v>
          </cell>
          <cell r="D118" t="str">
            <v>张PC</v>
          </cell>
          <cell r="E118">
            <v>0.0001</v>
          </cell>
          <cell r="F118">
            <v>4488</v>
          </cell>
          <cell r="G118">
            <v>5750</v>
          </cell>
        </row>
        <row r="119">
          <cell r="C119" t="str">
            <v>ID265/70R19.5-18PR(143/141J)[VA933]VITOUR无内</v>
          </cell>
          <cell r="D119" t="str">
            <v>张PC</v>
          </cell>
          <cell r="E119">
            <v>0.0001</v>
          </cell>
          <cell r="F119">
            <v>4756</v>
          </cell>
          <cell r="G119">
            <v>5550</v>
          </cell>
        </row>
        <row r="120">
          <cell r="C120" t="str">
            <v>ID285/75R24.5-16PR(147/144L)[VA996]VITOUR无内</v>
          </cell>
          <cell r="D120" t="str">
            <v>张PC</v>
          </cell>
          <cell r="E120">
            <v>0.0001</v>
          </cell>
          <cell r="F120">
            <v>7470</v>
          </cell>
          <cell r="G120">
            <v>7400</v>
          </cell>
        </row>
        <row r="121">
          <cell r="C121" t="str">
            <v>ID285/75R24.5-16PR(147/144L)[VD998]VITOUR无内</v>
          </cell>
          <cell r="D121" t="str">
            <v>张PC</v>
          </cell>
          <cell r="E121">
            <v>0.0001</v>
          </cell>
          <cell r="F121">
            <v>7300</v>
          </cell>
          <cell r="G121">
            <v>7300</v>
          </cell>
        </row>
        <row r="122">
          <cell r="C122" t="str">
            <v>ID295/75R22.5-16PR(146/143L)[VD998]VITOUR无内</v>
          </cell>
          <cell r="D122" t="str">
            <v>张PC</v>
          </cell>
          <cell r="E122">
            <v>0.0001</v>
          </cell>
          <cell r="F122">
            <v>2896</v>
          </cell>
          <cell r="G122">
            <v>2900</v>
          </cell>
        </row>
        <row r="123">
          <cell r="C123" t="str">
            <v>ID295/75R22.5-16PR(146/143L)[VXD932]VITOUR无内</v>
          </cell>
          <cell r="D123" t="str">
            <v>张PC</v>
          </cell>
          <cell r="E123">
            <v>0.0001</v>
          </cell>
          <cell r="F123">
            <v>4777</v>
          </cell>
          <cell r="G123">
            <v>5100</v>
          </cell>
        </row>
        <row r="124">
          <cell r="C124" t="str">
            <v>ID295/75R22.5-16PR(146/143M)[VA996]VITOUR无内</v>
          </cell>
          <cell r="D124" t="str">
            <v>张PC</v>
          </cell>
          <cell r="E124">
            <v>0.0001</v>
          </cell>
          <cell r="F124">
            <v>6404</v>
          </cell>
          <cell r="G124">
            <v>5700</v>
          </cell>
        </row>
        <row r="125">
          <cell r="C125" t="str">
            <v>ID385/65R22.5-20PR(160K)[VA916]VITOUR无内</v>
          </cell>
          <cell r="D125" t="str">
            <v>张PC</v>
          </cell>
          <cell r="E125">
            <v>0.0001</v>
          </cell>
          <cell r="F125">
            <v>6018</v>
          </cell>
          <cell r="G125">
            <v>6000</v>
          </cell>
        </row>
        <row r="126">
          <cell r="C126" t="str">
            <v>ID425/65R22.5-20PR(165K)[VA916]VITOUR无内</v>
          </cell>
          <cell r="D126" t="str">
            <v>张PC</v>
          </cell>
          <cell r="E126">
            <v>0.0001</v>
          </cell>
          <cell r="F126">
            <v>12376</v>
          </cell>
          <cell r="G126">
            <v>13700</v>
          </cell>
        </row>
        <row r="127">
          <cell r="C127" t="str">
            <v>ID445/50R22.5-20PR(161L)[VA905]VITOUR无内</v>
          </cell>
          <cell r="D127" t="str">
            <v>张PC</v>
          </cell>
          <cell r="E127">
            <v>0.0001</v>
          </cell>
          <cell r="F127">
            <v>4930</v>
          </cell>
          <cell r="G127">
            <v>4900</v>
          </cell>
        </row>
        <row r="128">
          <cell r="C128" t="str">
            <v>ID12.00R24-20PR(160/157F)[CB972E]威狮</v>
          </cell>
          <cell r="D128" t="str">
            <v>张PC</v>
          </cell>
          <cell r="E128">
            <v>0.0001</v>
          </cell>
          <cell r="F128">
            <v>2870</v>
          </cell>
          <cell r="G128">
            <v>5000</v>
          </cell>
        </row>
        <row r="129">
          <cell r="C129" t="str">
            <v>ID10.00R20-18PR(149/146K)[SUPER AM S]TECHKING</v>
          </cell>
          <cell r="D129" t="str">
            <v>张PC</v>
          </cell>
          <cell r="E129">
            <v>0.0001</v>
          </cell>
          <cell r="F129">
            <v>5000</v>
          </cell>
          <cell r="G129">
            <v>5000</v>
          </cell>
        </row>
        <row r="130">
          <cell r="C130" t="str">
            <v>ID10.00R20-18PR(149/146K)[TKAL Ⅲ]TECHKING</v>
          </cell>
          <cell r="D130" t="str">
            <v>张PC</v>
          </cell>
          <cell r="E130">
            <v>0.0001</v>
          </cell>
          <cell r="F130">
            <v>1700</v>
          </cell>
          <cell r="G130">
            <v>1700</v>
          </cell>
        </row>
        <row r="131">
          <cell r="C131" t="str">
            <v>ID12.00R24-20PR(160/156F)[ETOT]TECHKING</v>
          </cell>
          <cell r="D131" t="str">
            <v>张PC</v>
          </cell>
          <cell r="E131">
            <v>0.0001</v>
          </cell>
          <cell r="F131">
            <v>8440</v>
          </cell>
          <cell r="G131">
            <v>8300</v>
          </cell>
        </row>
        <row r="132">
          <cell r="C132" t="str">
            <v>ID7.50R16-14PR(122/118J)[ETOD]TECHKING</v>
          </cell>
          <cell r="D132" t="str">
            <v>张PC</v>
          </cell>
          <cell r="E132">
            <v>0.0001</v>
          </cell>
          <cell r="F132">
            <v>5000</v>
          </cell>
          <cell r="G132">
            <v>5000</v>
          </cell>
        </row>
        <row r="133">
          <cell r="C133" t="str">
            <v>ID7.50R16-14PR(122/118L)[SUPER AM S]TECHKING</v>
          </cell>
          <cell r="D133" t="str">
            <v>张PC</v>
          </cell>
          <cell r="E133">
            <v>0.0001</v>
          </cell>
          <cell r="F133">
            <v>12200</v>
          </cell>
          <cell r="G133">
            <v>12050</v>
          </cell>
        </row>
        <row r="134">
          <cell r="C134" t="str">
            <v>ID11.00R20-16PR(150/147F)[SUPER ETOT]TECHKING</v>
          </cell>
          <cell r="D134" t="str">
            <v>张PC</v>
          </cell>
          <cell r="E134">
            <v>0.0001</v>
          </cell>
          <cell r="F134">
            <v>2000</v>
          </cell>
          <cell r="G134">
            <v>2000</v>
          </cell>
        </row>
        <row r="135">
          <cell r="C135" t="str">
            <v>ID11.00R20-18PR(152/149K)[ETRF]TECHKING</v>
          </cell>
          <cell r="D135" t="str">
            <v>张PC</v>
          </cell>
          <cell r="E135">
            <v>0.0001</v>
          </cell>
          <cell r="F135">
            <v>8800</v>
          </cell>
          <cell r="G135">
            <v>8800</v>
          </cell>
        </row>
        <row r="136">
          <cell r="C136" t="str">
            <v>ID11.00R20-18PR(152/149L)[TKAL Ⅲ]TECHKING</v>
          </cell>
          <cell r="D136" t="str">
            <v>张PC</v>
          </cell>
          <cell r="E136">
            <v>0.0001</v>
          </cell>
          <cell r="F136">
            <v>2000</v>
          </cell>
          <cell r="G136">
            <v>2000</v>
          </cell>
        </row>
        <row r="137">
          <cell r="C137" t="str">
            <v>ID12.00R20-20PR(156/153F)[ETOD]TECHKING</v>
          </cell>
          <cell r="D137" t="str">
            <v>张PC</v>
          </cell>
          <cell r="E137">
            <v>0.0001</v>
          </cell>
          <cell r="F137">
            <v>8000</v>
          </cell>
          <cell r="G137">
            <v>7400</v>
          </cell>
        </row>
        <row r="138">
          <cell r="C138" t="str">
            <v>ID7.50R16-14PR(122/118L)[TKAL Ⅲ]TECHKING</v>
          </cell>
          <cell r="D138" t="str">
            <v>张PC</v>
          </cell>
          <cell r="E138">
            <v>0.0001</v>
          </cell>
          <cell r="F138">
            <v>4600</v>
          </cell>
          <cell r="G138">
            <v>4600</v>
          </cell>
        </row>
        <row r="139">
          <cell r="C139" t="str">
            <v>ID12.00R20-☆☆(158/155C)PR[XC809]路诚 综合型</v>
          </cell>
          <cell r="D139" t="str">
            <v>张PC</v>
          </cell>
          <cell r="E139">
            <v>0.0001</v>
          </cell>
          <cell r="F139">
            <v>66910</v>
          </cell>
          <cell r="G139">
            <v>70400</v>
          </cell>
        </row>
        <row r="140">
          <cell r="C140" t="str">
            <v>ID12.00R24-☆☆(162/160C)PR[XC809]路诚 综合型</v>
          </cell>
          <cell r="D140" t="str">
            <v>张PC</v>
          </cell>
          <cell r="E140">
            <v>0.0001</v>
          </cell>
          <cell r="F140">
            <v>58137</v>
          </cell>
          <cell r="G140">
            <v>80100</v>
          </cell>
        </row>
        <row r="141">
          <cell r="C141" t="str">
            <v>ID12.00R24-☆☆(162/160C)PR[XC819]路诚 综合型</v>
          </cell>
          <cell r="D141" t="str">
            <v>张PC</v>
          </cell>
          <cell r="E141">
            <v>1</v>
          </cell>
          <cell r="F141">
            <v>9000</v>
          </cell>
          <cell r="G141">
            <v>9000</v>
          </cell>
        </row>
        <row r="142">
          <cell r="C142" t="str">
            <v>ID11R22.5-16PR(146/143J)[VDM924]VITOUR无内</v>
          </cell>
          <cell r="D142" t="str">
            <v>张PC</v>
          </cell>
          <cell r="E142">
            <v>0.0001</v>
          </cell>
          <cell r="F142">
            <v>4988</v>
          </cell>
          <cell r="G142">
            <v>5000</v>
          </cell>
        </row>
        <row r="143">
          <cell r="C143" t="str">
            <v>ID11R22.5-16PR(146/143L)[VA991]VITOUR无内</v>
          </cell>
          <cell r="D143" t="str">
            <v>张PC</v>
          </cell>
          <cell r="E143">
            <v>0.0001</v>
          </cell>
          <cell r="F143">
            <v>3278</v>
          </cell>
          <cell r="G143">
            <v>4000</v>
          </cell>
        </row>
        <row r="144">
          <cell r="C144" t="str">
            <v>ID11R22.5-16PR(146/143L)[VD908]VITOUR无内</v>
          </cell>
          <cell r="D144" t="str">
            <v>张PC</v>
          </cell>
          <cell r="E144">
            <v>0.0001</v>
          </cell>
          <cell r="F144">
            <v>4762</v>
          </cell>
          <cell r="G144">
            <v>4800</v>
          </cell>
        </row>
        <row r="145">
          <cell r="C145" t="str">
            <v>ID11R22.5-16PR(146/143L)[VD998]VITOUR无内</v>
          </cell>
          <cell r="D145" t="str">
            <v>张PC</v>
          </cell>
          <cell r="E145">
            <v>0.0001</v>
          </cell>
          <cell r="F145">
            <v>4172</v>
          </cell>
          <cell r="G145">
            <v>4100</v>
          </cell>
        </row>
        <row r="146">
          <cell r="C146" t="str">
            <v>ID11R22.5-16PR(146/143L)[VXD932]VITOUR无内</v>
          </cell>
          <cell r="D146" t="str">
            <v>张PC</v>
          </cell>
          <cell r="E146">
            <v>0.0001</v>
          </cell>
          <cell r="F146">
            <v>4265</v>
          </cell>
          <cell r="G146">
            <v>4300</v>
          </cell>
        </row>
        <row r="147">
          <cell r="C147" t="str">
            <v>ID11R22.5-16PR(146/143M)[VA996]VITOUR无内</v>
          </cell>
          <cell r="D147" t="str">
            <v>张PC</v>
          </cell>
          <cell r="E147">
            <v>0.0001</v>
          </cell>
          <cell r="F147">
            <v>6247</v>
          </cell>
          <cell r="G147">
            <v>5700</v>
          </cell>
        </row>
        <row r="148">
          <cell r="C148" t="str">
            <v>ID11R22.5-16PR(146/143M)[VT993]VITOUR无内</v>
          </cell>
          <cell r="D148" t="str">
            <v>张PC</v>
          </cell>
          <cell r="E148">
            <v>0.0001</v>
          </cell>
          <cell r="F148">
            <v>1155</v>
          </cell>
          <cell r="G148">
            <v>2800</v>
          </cell>
        </row>
        <row r="149">
          <cell r="C149" t="str">
            <v>ID11R24.5-16PR(149/146L)[VA991]VITOUR无内</v>
          </cell>
          <cell r="D149" t="str">
            <v>张PC</v>
          </cell>
          <cell r="E149">
            <v>0.0001</v>
          </cell>
          <cell r="F149">
            <v>3200</v>
          </cell>
          <cell r="G149">
            <v>3200</v>
          </cell>
        </row>
        <row r="150">
          <cell r="C150" t="str">
            <v>ID11R24.5-16PR(149/146L)[VD908]VITOUR无内</v>
          </cell>
          <cell r="D150" t="str">
            <v>张PC</v>
          </cell>
          <cell r="E150">
            <v>0.0001</v>
          </cell>
          <cell r="F150">
            <v>3656</v>
          </cell>
          <cell r="G150">
            <v>3700</v>
          </cell>
        </row>
        <row r="151">
          <cell r="C151" t="str">
            <v>ID11R24.5-16PR(149/146L)[VD998]VITOUR无内</v>
          </cell>
          <cell r="D151" t="str">
            <v>张PC</v>
          </cell>
          <cell r="E151">
            <v>0.0001</v>
          </cell>
          <cell r="F151">
            <v>5072</v>
          </cell>
          <cell r="G151">
            <v>5000</v>
          </cell>
        </row>
        <row r="152">
          <cell r="C152" t="str">
            <v>ID11R24.5-16PR(149/146L)[VXD932]VITOUR无内</v>
          </cell>
          <cell r="D152" t="str">
            <v>张PC</v>
          </cell>
          <cell r="E152">
            <v>0.0001</v>
          </cell>
          <cell r="F152">
            <v>4150</v>
          </cell>
          <cell r="G152">
            <v>4200</v>
          </cell>
        </row>
        <row r="153">
          <cell r="C153" t="str">
            <v>ID11R24.5-16PR(149/146M)[VA996]VITOUR无内</v>
          </cell>
          <cell r="D153" t="str">
            <v>张PC</v>
          </cell>
          <cell r="E153">
            <v>0.0001</v>
          </cell>
          <cell r="F153">
            <v>6626</v>
          </cell>
          <cell r="G153">
            <v>6500</v>
          </cell>
        </row>
        <row r="154">
          <cell r="C154" t="str">
            <v>ID245/70R19.5-16PR(136/134M)[VA933]VITOUR无内</v>
          </cell>
          <cell r="D154" t="str">
            <v>张PC</v>
          </cell>
          <cell r="E154">
            <v>0.0001</v>
          </cell>
          <cell r="F154">
            <v>7648</v>
          </cell>
          <cell r="G154">
            <v>9400</v>
          </cell>
        </row>
        <row r="155">
          <cell r="C155" t="str">
            <v>ID295/75R22.5-16PR(146/143M)[VT993]VITOUR无内</v>
          </cell>
          <cell r="D155" t="str">
            <v>张PC</v>
          </cell>
          <cell r="E155">
            <v>0.0001</v>
          </cell>
          <cell r="F155">
            <v>4592</v>
          </cell>
          <cell r="G155">
            <v>14200</v>
          </cell>
        </row>
        <row r="156">
          <cell r="C156" t="str">
            <v>ID315/80R22.5-20PR(161/157J)[VDM924]VITOUR无内</v>
          </cell>
          <cell r="D156" t="str">
            <v>张PC</v>
          </cell>
          <cell r="E156">
            <v>0.0001</v>
          </cell>
          <cell r="F156">
            <v>4928</v>
          </cell>
          <cell r="G156">
            <v>4900</v>
          </cell>
        </row>
        <row r="157">
          <cell r="C157" t="str">
            <v>ID315/80R22.5-20PR(161/157K)[VA996]VITOUR无内</v>
          </cell>
          <cell r="D157" t="str">
            <v>张PC</v>
          </cell>
          <cell r="E157">
            <v>0.0001</v>
          </cell>
          <cell r="F157">
            <v>4452</v>
          </cell>
          <cell r="G157">
            <v>7500</v>
          </cell>
        </row>
        <row r="158">
          <cell r="C158" t="str">
            <v>ID255/70R22.5-16PR(140/137M)[VA996]VITOUR无内</v>
          </cell>
          <cell r="D158" t="str">
            <v>张PC</v>
          </cell>
          <cell r="E158">
            <v>1</v>
          </cell>
          <cell r="F158">
            <v>2490</v>
          </cell>
          <cell r="G158">
            <v>1800</v>
          </cell>
        </row>
        <row r="159">
          <cell r="C159" t="str">
            <v>ID295/75R22.5-14PR(144/141M)[VT993]VITOUR无内</v>
          </cell>
          <cell r="D159" t="str">
            <v>张PC</v>
          </cell>
          <cell r="E159">
            <v>1</v>
          </cell>
          <cell r="F159">
            <v>400</v>
          </cell>
          <cell r="G159">
            <v>7000</v>
          </cell>
        </row>
        <row r="160">
          <cell r="C160" t="str">
            <v>ID295/75R22.5-16PR(146/143M)[VT993]VITOUR无内</v>
          </cell>
          <cell r="D160" t="str">
            <v>张PC</v>
          </cell>
          <cell r="E160">
            <v>0.0001</v>
          </cell>
          <cell r="F160">
            <v>6000</v>
          </cell>
        </row>
        <row r="161">
          <cell r="C161" t="str">
            <v>ID225/70R19.5-14PR(128/126L)[CM983]威狮无内</v>
          </cell>
          <cell r="D161" t="str">
            <v>张PC</v>
          </cell>
          <cell r="E161">
            <v>1</v>
          </cell>
          <cell r="F161">
            <v>5000</v>
          </cell>
          <cell r="G161">
            <v>11000</v>
          </cell>
        </row>
        <row r="162">
          <cell r="C162" t="str">
            <v>ID7.50R16-14PR(122/118L)[AZ676]威狮</v>
          </cell>
          <cell r="D162" t="str">
            <v>张PC</v>
          </cell>
          <cell r="E162">
            <v>0.0001</v>
          </cell>
          <cell r="F162">
            <v>1700</v>
          </cell>
        </row>
        <row r="163">
          <cell r="C163" t="str">
            <v>ID275/80R22.5-16PR(149/146J)[CR906]威狮无内</v>
          </cell>
          <cell r="D163" t="str">
            <v>张PC</v>
          </cell>
          <cell r="E163">
            <v>0.0001</v>
          </cell>
          <cell r="F163">
            <v>5950</v>
          </cell>
          <cell r="G163">
            <v>10500</v>
          </cell>
        </row>
        <row r="164">
          <cell r="C164" t="str">
            <v>ID275/80R22.5-16PR(149/146L)[AD153]威狮无内</v>
          </cell>
          <cell r="D164" t="str">
            <v>张PC</v>
          </cell>
          <cell r="E164">
            <v>1</v>
          </cell>
          <cell r="F164">
            <v>3000</v>
          </cell>
          <cell r="G164">
            <v>3000</v>
          </cell>
        </row>
        <row r="165">
          <cell r="C165" t="str">
            <v>ID275/80R22.5-16PR(149/146L)[EZ573]威狮无内</v>
          </cell>
          <cell r="D165" t="str">
            <v>张PC</v>
          </cell>
          <cell r="E165">
            <v>1</v>
          </cell>
          <cell r="F165">
            <v>2100</v>
          </cell>
          <cell r="G165">
            <v>5100</v>
          </cell>
        </row>
        <row r="166">
          <cell r="C166" t="str">
            <v>ID275/80R22.5-16PR(149/146M)[AD528]威狮无内</v>
          </cell>
          <cell r="D166" t="str">
            <v>张PC</v>
          </cell>
          <cell r="E166">
            <v>0.0001</v>
          </cell>
          <cell r="F166">
            <v>4500</v>
          </cell>
          <cell r="G166">
            <v>4500</v>
          </cell>
        </row>
        <row r="167">
          <cell r="C167" t="str">
            <v>ID275/80R22.5-16PR(149/146M)[AS678]威狮无内</v>
          </cell>
          <cell r="D167" t="str">
            <v>张PC</v>
          </cell>
          <cell r="E167">
            <v>1</v>
          </cell>
          <cell r="F167">
            <v>3000</v>
          </cell>
          <cell r="G167">
            <v>3000</v>
          </cell>
        </row>
        <row r="168">
          <cell r="C168" t="str">
            <v>ID275/80R22.5-16PR(149/146M)[CR976A]威狮无内</v>
          </cell>
          <cell r="D168" t="str">
            <v>张PC</v>
          </cell>
          <cell r="E168">
            <v>1</v>
          </cell>
          <cell r="F168">
            <v>2900</v>
          </cell>
          <cell r="G168">
            <v>20200</v>
          </cell>
        </row>
        <row r="169">
          <cell r="C169" t="str">
            <v>ID295/80R22.5-18PR(152/149J)[CB919]威狮无内</v>
          </cell>
          <cell r="D169" t="str">
            <v>张PC</v>
          </cell>
          <cell r="E169">
            <v>0.0001</v>
          </cell>
          <cell r="F169">
            <v>4240</v>
          </cell>
          <cell r="G169">
            <v>3200</v>
          </cell>
        </row>
        <row r="170">
          <cell r="C170" t="str">
            <v>ID295/80R22.5-18PR(152/149J)[CB972]威狮无内</v>
          </cell>
          <cell r="D170" t="str">
            <v>张PC</v>
          </cell>
          <cell r="E170">
            <v>1</v>
          </cell>
          <cell r="F170">
            <v>2650</v>
          </cell>
          <cell r="G170">
            <v>2600</v>
          </cell>
        </row>
        <row r="171">
          <cell r="C171" t="str">
            <v>ID295/80R22.5-18PR(152/149J)[CM997]威狮无内</v>
          </cell>
          <cell r="D171" t="str">
            <v>张PC</v>
          </cell>
          <cell r="E171">
            <v>0.0001</v>
          </cell>
          <cell r="F171">
            <v>3000</v>
          </cell>
          <cell r="G171">
            <v>3000</v>
          </cell>
        </row>
        <row r="172">
          <cell r="C172" t="str">
            <v>ID295/80R22.5-18PR(152/149K)[MD777]威狮无内</v>
          </cell>
          <cell r="D172" t="str">
            <v>张PC</v>
          </cell>
          <cell r="E172">
            <v>1</v>
          </cell>
          <cell r="F172">
            <v>1971</v>
          </cell>
          <cell r="G172">
            <v>2200</v>
          </cell>
        </row>
        <row r="173">
          <cell r="C173" t="str">
            <v>ID295/80R22.5-18PR(152/149L)[AD153]威狮无内</v>
          </cell>
          <cell r="D173" t="str">
            <v>张PC</v>
          </cell>
          <cell r="E173">
            <v>1</v>
          </cell>
          <cell r="F173">
            <v>5600</v>
          </cell>
          <cell r="G173">
            <v>5300</v>
          </cell>
        </row>
        <row r="174">
          <cell r="C174" t="str">
            <v>ID295/80R22.5-18PR(152/149L)[CR906]威狮无内</v>
          </cell>
          <cell r="D174" t="str">
            <v>张PC</v>
          </cell>
          <cell r="E174">
            <v>0.0001</v>
          </cell>
          <cell r="F174">
            <v>3700</v>
          </cell>
          <cell r="G174">
            <v>6700</v>
          </cell>
        </row>
        <row r="175">
          <cell r="C175" t="str">
            <v>ID295/80R22.5-18PR(152/149L)[CR926D]威狮无内</v>
          </cell>
          <cell r="D175" t="str">
            <v>张PC</v>
          </cell>
          <cell r="E175">
            <v>0.0001</v>
          </cell>
          <cell r="F175">
            <v>5800</v>
          </cell>
          <cell r="G175">
            <v>5800</v>
          </cell>
        </row>
        <row r="176">
          <cell r="C176" t="str">
            <v>ID295/80R22.5-18PR(152/149L)[EZ573]威狮无内</v>
          </cell>
          <cell r="D176" t="str">
            <v>张PC</v>
          </cell>
          <cell r="E176">
            <v>1</v>
          </cell>
          <cell r="F176">
            <v>4726</v>
          </cell>
          <cell r="G176">
            <v>7620</v>
          </cell>
        </row>
        <row r="177">
          <cell r="C177" t="str">
            <v>ID295/80R22.5-18PR(152/149M)[AD528]威狮无内</v>
          </cell>
          <cell r="D177" t="str">
            <v>张PC</v>
          </cell>
          <cell r="E177">
            <v>0.0001</v>
          </cell>
          <cell r="F177">
            <v>5610</v>
          </cell>
          <cell r="G177">
            <v>5600</v>
          </cell>
        </row>
        <row r="178">
          <cell r="C178" t="str">
            <v>ID295/80R22.5-18PR(152/149M)[AD733]威狮无内</v>
          </cell>
          <cell r="D178" t="str">
            <v>张PC</v>
          </cell>
          <cell r="E178">
            <v>0.0001</v>
          </cell>
          <cell r="F178">
            <v>165</v>
          </cell>
          <cell r="G178">
            <v>2000</v>
          </cell>
        </row>
        <row r="179">
          <cell r="C179" t="str">
            <v>ID295/80R22.5-18PR(152/149M)[AD733pro]威狮无内</v>
          </cell>
          <cell r="D179" t="str">
            <v>张PC</v>
          </cell>
          <cell r="E179">
            <v>0.0001</v>
          </cell>
          <cell r="F179">
            <v>1965</v>
          </cell>
          <cell r="G179">
            <v>1960</v>
          </cell>
        </row>
        <row r="180">
          <cell r="C180" t="str">
            <v>ID295/80R22.5-18PR(152/149M)[AD818]威狮无内</v>
          </cell>
          <cell r="D180" t="str">
            <v>张PC</v>
          </cell>
          <cell r="E180">
            <v>1</v>
          </cell>
          <cell r="F180">
            <v>2930</v>
          </cell>
          <cell r="G180">
            <v>2930</v>
          </cell>
        </row>
        <row r="181">
          <cell r="C181" t="str">
            <v>ID295/80R22.5-18PR(152/149M)[AS567]威狮无内</v>
          </cell>
          <cell r="D181" t="str">
            <v>张PC</v>
          </cell>
          <cell r="E181">
            <v>0.0001</v>
          </cell>
          <cell r="F181">
            <v>2046</v>
          </cell>
          <cell r="G181">
            <v>2030</v>
          </cell>
        </row>
        <row r="182">
          <cell r="C182" t="str">
            <v>ID295/80R22.5-18PR(152/149M)[AS589]威狮无内</v>
          </cell>
          <cell r="D182" t="str">
            <v>张PC</v>
          </cell>
          <cell r="E182">
            <v>0.0001</v>
          </cell>
          <cell r="F182">
            <v>2500</v>
          </cell>
          <cell r="G182">
            <v>2500</v>
          </cell>
        </row>
        <row r="183">
          <cell r="C183" t="str">
            <v>ID295/80R22.5-18PR(152/149M)[AS668]威狮无内</v>
          </cell>
          <cell r="D183" t="str">
            <v>张PC</v>
          </cell>
          <cell r="E183">
            <v>0.0001</v>
          </cell>
          <cell r="F183">
            <v>7500</v>
          </cell>
          <cell r="G183">
            <v>10500</v>
          </cell>
        </row>
        <row r="184">
          <cell r="C184" t="str">
            <v>ID295/80R22.5-18PR(152/149M)[AS678]威狮无内</v>
          </cell>
          <cell r="D184" t="str">
            <v>张PC</v>
          </cell>
          <cell r="E184">
            <v>0.0001</v>
          </cell>
          <cell r="F184">
            <v>7650</v>
          </cell>
          <cell r="G184">
            <v>9400</v>
          </cell>
        </row>
        <row r="185">
          <cell r="C185" t="str">
            <v>ID295/80R22.5-18PR(152/149M)[AS898]威狮无内</v>
          </cell>
          <cell r="D185" t="str">
            <v>张PC</v>
          </cell>
          <cell r="E185">
            <v>1</v>
          </cell>
          <cell r="F185">
            <v>2518</v>
          </cell>
          <cell r="G185">
            <v>2700</v>
          </cell>
        </row>
        <row r="186">
          <cell r="C186" t="str">
            <v>ID295/80R22.5-18PR(152/149M)[AT161]威狮无内</v>
          </cell>
          <cell r="D186" t="str">
            <v>张PC</v>
          </cell>
          <cell r="E186">
            <v>0.0001</v>
          </cell>
          <cell r="F186">
            <v>6400</v>
          </cell>
          <cell r="G186">
            <v>6600</v>
          </cell>
        </row>
        <row r="187">
          <cell r="C187" t="str">
            <v>ID295/80R22.5-18PR(152/149M)[CM335]威狮无内</v>
          </cell>
          <cell r="D187" t="str">
            <v>张PC</v>
          </cell>
          <cell r="E187">
            <v>1</v>
          </cell>
          <cell r="F187">
            <v>2920</v>
          </cell>
          <cell r="G187">
            <v>3000</v>
          </cell>
        </row>
        <row r="188">
          <cell r="C188" t="str">
            <v>ID295/80R22.5-18PR(152/149M)[CM958]威狮无内</v>
          </cell>
          <cell r="D188" t="str">
            <v>张PC</v>
          </cell>
          <cell r="E188">
            <v>0.0001</v>
          </cell>
          <cell r="F188">
            <v>3000</v>
          </cell>
          <cell r="G188">
            <v>3000</v>
          </cell>
        </row>
        <row r="189">
          <cell r="C189" t="str">
            <v>ID295/80R22.5-18PR(152/149M)[CR976A]威狮无内</v>
          </cell>
          <cell r="D189" t="str">
            <v>张PC</v>
          </cell>
          <cell r="E189">
            <v>1</v>
          </cell>
          <cell r="F189">
            <v>10800</v>
          </cell>
          <cell r="G189">
            <v>10800</v>
          </cell>
        </row>
        <row r="190">
          <cell r="C190" t="str">
            <v>ID295/80R22.5-18PR(152/149M)[WDR1]威狮无内</v>
          </cell>
          <cell r="D190" t="str">
            <v>张PC</v>
          </cell>
          <cell r="E190">
            <v>0.0001</v>
          </cell>
          <cell r="F190">
            <v>5150</v>
          </cell>
          <cell r="G190">
            <v>5000</v>
          </cell>
        </row>
        <row r="191">
          <cell r="C191" t="str">
            <v>ID295/80R22.5-18PR(154/149L)[WDA2]威狮无内</v>
          </cell>
          <cell r="D191" t="str">
            <v>张PC</v>
          </cell>
          <cell r="E191">
            <v>0.0001</v>
          </cell>
          <cell r="F191">
            <v>2800</v>
          </cell>
          <cell r="G191">
            <v>2800</v>
          </cell>
        </row>
        <row r="192">
          <cell r="C192" t="str">
            <v>ID295/80R22.5-18PR(154/149L)[WSA2]威狮无内</v>
          </cell>
          <cell r="D192" t="str">
            <v>张PC</v>
          </cell>
          <cell r="E192">
            <v>0.0001</v>
          </cell>
          <cell r="F192">
            <v>12800</v>
          </cell>
          <cell r="G192">
            <v>12800</v>
          </cell>
        </row>
        <row r="193">
          <cell r="C193" t="str">
            <v>ID295/80R22.5-18PR(154/149M)[WSR1]威狮无内</v>
          </cell>
          <cell r="D193" t="str">
            <v>张PC</v>
          </cell>
          <cell r="E193">
            <v>0.0001</v>
          </cell>
          <cell r="F193">
            <v>6800</v>
          </cell>
          <cell r="G193">
            <v>6800</v>
          </cell>
        </row>
        <row r="194">
          <cell r="C194" t="str">
            <v>ID385/65R22.5-20PR(160K)[CR976A]威狮无内</v>
          </cell>
          <cell r="D194" t="str">
            <v>张PC</v>
          </cell>
          <cell r="E194">
            <v>1</v>
          </cell>
          <cell r="F194">
            <v>5000</v>
          </cell>
          <cell r="G194">
            <v>5000</v>
          </cell>
        </row>
        <row r="195">
          <cell r="C195" t="str">
            <v>ID11R22.5-14PR(144/142M)[CR915 eco]威狮无内</v>
          </cell>
          <cell r="D195" t="str">
            <v>张PC</v>
          </cell>
          <cell r="E195">
            <v>0.0001</v>
          </cell>
          <cell r="F195">
            <v>3200</v>
          </cell>
          <cell r="G195">
            <v>4600</v>
          </cell>
        </row>
        <row r="196">
          <cell r="C196" t="str">
            <v>ID11R22.5-14PR(144/142M)[CR915]威狮无内</v>
          </cell>
          <cell r="D196" t="str">
            <v>张PC</v>
          </cell>
          <cell r="E196">
            <v>0.0001</v>
          </cell>
          <cell r="F196">
            <v>8856</v>
          </cell>
          <cell r="G196">
            <v>5700</v>
          </cell>
        </row>
        <row r="197">
          <cell r="C197" t="str">
            <v>ID11R22.5-16PR(148/145L)[AD716]威狮无内</v>
          </cell>
          <cell r="D197" t="str">
            <v>张PC</v>
          </cell>
          <cell r="E197">
            <v>0.0001</v>
          </cell>
          <cell r="F197">
            <v>2000</v>
          </cell>
          <cell r="G197">
            <v>2000</v>
          </cell>
        </row>
        <row r="198">
          <cell r="C198" t="str">
            <v>ID11R22.5-16PR(148/145L)[AZ599]威狮无内</v>
          </cell>
          <cell r="D198" t="str">
            <v>张PC</v>
          </cell>
          <cell r="E198">
            <v>0.0001</v>
          </cell>
          <cell r="F198">
            <v>1782</v>
          </cell>
          <cell r="G198">
            <v>1740</v>
          </cell>
        </row>
        <row r="199">
          <cell r="C199" t="str">
            <v>ID11R22.5-16PR(148/145L)[DA23]威狮无内</v>
          </cell>
          <cell r="D199" t="str">
            <v>张PC</v>
          </cell>
          <cell r="E199">
            <v>0.0001</v>
          </cell>
          <cell r="F199">
            <v>1000</v>
          </cell>
          <cell r="G199">
            <v>1000</v>
          </cell>
        </row>
        <row r="200">
          <cell r="C200" t="str">
            <v>ID11R22.5-16PR(148/145L)[DA25]威狮无内</v>
          </cell>
          <cell r="D200" t="str">
            <v>张PC</v>
          </cell>
          <cell r="E200">
            <v>0.0001</v>
          </cell>
          <cell r="F200">
            <v>1000</v>
          </cell>
          <cell r="G200">
            <v>1000</v>
          </cell>
        </row>
        <row r="201">
          <cell r="C201" t="str">
            <v>ID11R22.5-16PR(148/145L)[DL21]威狮无内</v>
          </cell>
          <cell r="D201" t="str">
            <v>张PC</v>
          </cell>
          <cell r="E201">
            <v>0.0001</v>
          </cell>
          <cell r="F201">
            <v>1000</v>
          </cell>
          <cell r="G201">
            <v>1000</v>
          </cell>
        </row>
        <row r="202">
          <cell r="C202" t="str">
            <v>ID11R22.5-16PR(148/145L)[DL22]威狮无内</v>
          </cell>
          <cell r="D202" t="str">
            <v>张PC</v>
          </cell>
          <cell r="E202">
            <v>0.0001</v>
          </cell>
          <cell r="F202">
            <v>1000</v>
          </cell>
          <cell r="G202">
            <v>1000</v>
          </cell>
        </row>
        <row r="203">
          <cell r="C203" t="str">
            <v>ID11R22.5-16PR(148/145L)[ZA12]威狮无内</v>
          </cell>
          <cell r="D203" t="str">
            <v>张PC</v>
          </cell>
          <cell r="E203">
            <v>0.0001</v>
          </cell>
          <cell r="F203">
            <v>1000</v>
          </cell>
          <cell r="G203">
            <v>1000</v>
          </cell>
        </row>
        <row r="204">
          <cell r="C204" t="str">
            <v>ID11R22.5-16PR(148/145L)[ZM41]威狮无内</v>
          </cell>
          <cell r="D204" t="str">
            <v>张PC</v>
          </cell>
          <cell r="E204">
            <v>0.0001</v>
          </cell>
          <cell r="F204">
            <v>1000</v>
          </cell>
          <cell r="G204">
            <v>1000</v>
          </cell>
        </row>
        <row r="205">
          <cell r="C205" t="str">
            <v>ID11R22.5-16PR(148/145M)[SL11]威狮无内</v>
          </cell>
          <cell r="D205" t="str">
            <v>张PC</v>
          </cell>
          <cell r="E205">
            <v>0.0001</v>
          </cell>
          <cell r="F205">
            <v>1000</v>
          </cell>
          <cell r="G205">
            <v>1000</v>
          </cell>
        </row>
        <row r="206">
          <cell r="C206" t="str">
            <v>ID11R22.5-16PR(148/145M)[TL31]威狮无内</v>
          </cell>
          <cell r="D206" t="str">
            <v>张PC</v>
          </cell>
          <cell r="E206">
            <v>0.0001</v>
          </cell>
          <cell r="F206">
            <v>1000</v>
          </cell>
          <cell r="G206">
            <v>1000</v>
          </cell>
        </row>
        <row r="207">
          <cell r="C207" t="str">
            <v>ID11R24.5-16PR(149/146L)[AD716]威狮无内</v>
          </cell>
          <cell r="D207" t="str">
            <v>张PC</v>
          </cell>
          <cell r="E207">
            <v>0.0001</v>
          </cell>
          <cell r="F207">
            <v>2000</v>
          </cell>
          <cell r="G207">
            <v>2000</v>
          </cell>
        </row>
        <row r="208">
          <cell r="C208" t="str">
            <v>ID11R24.5-16PR(149/146L)[AZ599]威狮无内</v>
          </cell>
          <cell r="D208" t="str">
            <v>张PC</v>
          </cell>
          <cell r="E208">
            <v>0.0001</v>
          </cell>
          <cell r="F208">
            <v>1960</v>
          </cell>
          <cell r="G208">
            <v>1750</v>
          </cell>
        </row>
        <row r="209">
          <cell r="C209" t="str">
            <v>ID11R24.5-16PR(149/146L)[CR960A]威狮无内</v>
          </cell>
          <cell r="D209" t="str">
            <v>张PC</v>
          </cell>
          <cell r="E209">
            <v>0.0001</v>
          </cell>
          <cell r="F209">
            <v>3100</v>
          </cell>
          <cell r="G209">
            <v>3200</v>
          </cell>
        </row>
        <row r="210">
          <cell r="C210" t="str">
            <v>ID11R24.5-16PR(149/146L)[DA23]威狮无内</v>
          </cell>
          <cell r="D210" t="str">
            <v>张PC</v>
          </cell>
          <cell r="E210">
            <v>0.0001</v>
          </cell>
          <cell r="F210">
            <v>9900</v>
          </cell>
          <cell r="G210">
            <v>10000</v>
          </cell>
        </row>
        <row r="211">
          <cell r="C211" t="str">
            <v>ID11R24.5-16PR(149/146L)[DL21]威狮无内</v>
          </cell>
          <cell r="D211" t="str">
            <v>张PC</v>
          </cell>
          <cell r="E211">
            <v>0.0001</v>
          </cell>
          <cell r="F211">
            <v>1000</v>
          </cell>
          <cell r="G211">
            <v>1000</v>
          </cell>
        </row>
        <row r="212">
          <cell r="C212" t="str">
            <v>ID11R24.5-16PR(149/146L)[DL22]威狮无内</v>
          </cell>
          <cell r="D212" t="str">
            <v>张PC</v>
          </cell>
          <cell r="E212">
            <v>0.0001</v>
          </cell>
          <cell r="F212">
            <v>1000</v>
          </cell>
          <cell r="G212">
            <v>1000</v>
          </cell>
        </row>
        <row r="213">
          <cell r="C213" t="str">
            <v>ID11R24.5-16PR(149/146L)[ZA12]威狮无内</v>
          </cell>
          <cell r="D213" t="str">
            <v>张PC</v>
          </cell>
          <cell r="E213">
            <v>0.0001</v>
          </cell>
          <cell r="F213">
            <v>1000</v>
          </cell>
          <cell r="G213">
            <v>1000</v>
          </cell>
        </row>
        <row r="214">
          <cell r="C214" t="str">
            <v>ID11R24.5-16PR(149/146L)[ZM41]威狮无内</v>
          </cell>
          <cell r="D214" t="str">
            <v>张PC</v>
          </cell>
          <cell r="E214">
            <v>0.0001</v>
          </cell>
          <cell r="F214">
            <v>1000</v>
          </cell>
          <cell r="G214">
            <v>1000</v>
          </cell>
        </row>
        <row r="215">
          <cell r="C215" t="str">
            <v>ID11R24.5-16PR(149/146M)[SL11]威狮无内</v>
          </cell>
          <cell r="D215" t="str">
            <v>张PC</v>
          </cell>
          <cell r="E215">
            <v>0.0001</v>
          </cell>
          <cell r="F215">
            <v>1000</v>
          </cell>
          <cell r="G215">
            <v>1000</v>
          </cell>
        </row>
        <row r="216">
          <cell r="C216" t="str">
            <v>ID215/75R17.5-16PR(135/133L)[W-Elite ZA15]威狮无内</v>
          </cell>
          <cell r="D216" t="str">
            <v>张PC</v>
          </cell>
          <cell r="E216">
            <v>0.0001</v>
          </cell>
          <cell r="F216">
            <v>1000</v>
          </cell>
          <cell r="G216">
            <v>4000</v>
          </cell>
        </row>
        <row r="217">
          <cell r="C217" t="str">
            <v>ID215/75R17.5-18PR(135/133L)[W-Elite ZA15]威狮无内</v>
          </cell>
          <cell r="D217" t="str">
            <v>张PC</v>
          </cell>
          <cell r="E217">
            <v>0.0001</v>
          </cell>
          <cell r="F217">
            <v>4000</v>
          </cell>
          <cell r="G217">
            <v>4500</v>
          </cell>
        </row>
        <row r="218">
          <cell r="C218" t="str">
            <v>ID225/70R19.5-14PR(128/126N)[AZ599]威狮无内 US</v>
          </cell>
          <cell r="D218" t="str">
            <v>张PC</v>
          </cell>
          <cell r="E218">
            <v>0.0001</v>
          </cell>
          <cell r="F218">
            <v>2000</v>
          </cell>
          <cell r="G218">
            <v>2000</v>
          </cell>
        </row>
        <row r="219">
          <cell r="C219" t="str">
            <v>ID225/70R19.5-14PR(128/126N)[CM986]威狮无内 US</v>
          </cell>
          <cell r="D219" t="str">
            <v>张PC</v>
          </cell>
          <cell r="E219">
            <v>0.0001</v>
          </cell>
          <cell r="F219">
            <v>4200</v>
          </cell>
          <cell r="G219">
            <v>4200</v>
          </cell>
        </row>
        <row r="220">
          <cell r="C220" t="str">
            <v>ID225/70R19.5-14PR(128/126N)[CR960A]威狮无内 US</v>
          </cell>
          <cell r="D220" t="str">
            <v>张PC</v>
          </cell>
          <cell r="E220">
            <v>0.0001</v>
          </cell>
          <cell r="F220">
            <v>4100</v>
          </cell>
          <cell r="G220">
            <v>4100</v>
          </cell>
        </row>
        <row r="221">
          <cell r="C221" t="str">
            <v>ID225/70R19.5-14PR(128/126N)[DA24]威狮无内</v>
          </cell>
          <cell r="D221" t="str">
            <v>张PC</v>
          </cell>
          <cell r="E221">
            <v>0.0001</v>
          </cell>
          <cell r="F221">
            <v>7000</v>
          </cell>
          <cell r="G221">
            <v>7000</v>
          </cell>
        </row>
        <row r="222">
          <cell r="C222" t="str">
            <v>ID225/70R19.5-14PR(128/126N)[ZA15]威狮无内</v>
          </cell>
          <cell r="D222" t="str">
            <v>张PC</v>
          </cell>
          <cell r="E222">
            <v>0.0001</v>
          </cell>
          <cell r="F222">
            <v>3200</v>
          </cell>
          <cell r="G222">
            <v>3200</v>
          </cell>
        </row>
        <row r="223">
          <cell r="C223" t="str">
            <v>ID235/75R17.5-18PR(143/141L)[W-Elite ZA15]威狮无内</v>
          </cell>
          <cell r="D223" t="str">
            <v>张PC</v>
          </cell>
          <cell r="E223">
            <v>0.0001</v>
          </cell>
          <cell r="F223">
            <v>1000</v>
          </cell>
          <cell r="G223">
            <v>1000</v>
          </cell>
        </row>
        <row r="224">
          <cell r="C224" t="str">
            <v>ID245/70R19.5-16PR(136/134M)[CM986]威狮无内 US</v>
          </cell>
          <cell r="D224" t="str">
            <v>张PC</v>
          </cell>
          <cell r="E224">
            <v>0.0001</v>
          </cell>
          <cell r="F224">
            <v>2000</v>
          </cell>
          <cell r="G224">
            <v>2000</v>
          </cell>
        </row>
        <row r="225">
          <cell r="C225" t="str">
            <v>ID245/70R19.5-16PR(136/134N)[DA24]威狮无内</v>
          </cell>
          <cell r="D225" t="str">
            <v>张PC</v>
          </cell>
          <cell r="E225">
            <v>0.0001</v>
          </cell>
          <cell r="F225">
            <v>7111</v>
          </cell>
          <cell r="G225">
            <v>7000</v>
          </cell>
        </row>
        <row r="226">
          <cell r="C226" t="str">
            <v>ID245/70R19.5-16PR(136/134N)[ZA15]威狮无内</v>
          </cell>
          <cell r="D226" t="str">
            <v>张PC</v>
          </cell>
          <cell r="E226">
            <v>0.0001</v>
          </cell>
          <cell r="F226">
            <v>7000</v>
          </cell>
          <cell r="G226">
            <v>5000</v>
          </cell>
        </row>
        <row r="227">
          <cell r="C227" t="str">
            <v>ID255/70R22.5-16PR(140/137L)[DA23]威狮无内</v>
          </cell>
          <cell r="D227" t="str">
            <v>张PC</v>
          </cell>
          <cell r="E227">
            <v>0.0001</v>
          </cell>
          <cell r="F227">
            <v>1000</v>
          </cell>
          <cell r="G227">
            <v>1000</v>
          </cell>
        </row>
        <row r="228">
          <cell r="C228" t="str">
            <v>ID255/70R22.5-16PR(140/137M)[AZ599]威狮无内</v>
          </cell>
          <cell r="D228" t="str">
            <v>张PC</v>
          </cell>
          <cell r="E228">
            <v>0.0001</v>
          </cell>
          <cell r="F228">
            <v>2000</v>
          </cell>
          <cell r="G228">
            <v>2000</v>
          </cell>
        </row>
        <row r="229">
          <cell r="C229" t="str">
            <v>ID255/70R22.5-16PR(140/137M)[ZA12]威狮无内</v>
          </cell>
          <cell r="D229" t="str">
            <v>张PC</v>
          </cell>
          <cell r="E229">
            <v>0.0001</v>
          </cell>
          <cell r="F229">
            <v>1000</v>
          </cell>
          <cell r="G229">
            <v>1000</v>
          </cell>
        </row>
        <row r="230">
          <cell r="C230" t="str">
            <v>ID265/70R19.5-18PR(143/141J)[DA24]威狮无内</v>
          </cell>
          <cell r="D230" t="str">
            <v>张PC</v>
          </cell>
          <cell r="E230">
            <v>0.0001</v>
          </cell>
          <cell r="F230">
            <v>1000</v>
          </cell>
          <cell r="G230">
            <v>1000</v>
          </cell>
        </row>
        <row r="231">
          <cell r="C231" t="str">
            <v>ID265/70R19.5-18PR(143/141J)[ZA15]威狮无内</v>
          </cell>
          <cell r="D231" t="str">
            <v>张PC</v>
          </cell>
          <cell r="E231">
            <v>0.0001</v>
          </cell>
          <cell r="F231">
            <v>1000</v>
          </cell>
          <cell r="G231">
            <v>1000</v>
          </cell>
        </row>
        <row r="232">
          <cell r="C232" t="str">
            <v>ID285/75R24.5-14PR(144/141L)[DA23]威狮无内</v>
          </cell>
          <cell r="D232" t="str">
            <v>张PC</v>
          </cell>
          <cell r="E232">
            <v>0.0001</v>
          </cell>
          <cell r="F232">
            <v>1000</v>
          </cell>
          <cell r="G232">
            <v>1000</v>
          </cell>
        </row>
        <row r="233">
          <cell r="C233" t="str">
            <v>ID285/75R24.5-14PR(144/141L)[DL21]威狮无内</v>
          </cell>
          <cell r="D233" t="str">
            <v>张PC</v>
          </cell>
          <cell r="E233">
            <v>0.0001</v>
          </cell>
          <cell r="F233">
            <v>1000</v>
          </cell>
          <cell r="G233">
            <v>1000</v>
          </cell>
        </row>
        <row r="234">
          <cell r="C234" t="str">
            <v>ID285/75R24.5-14PR(144/141L)[DL22]威狮无内</v>
          </cell>
          <cell r="D234" t="str">
            <v>张PC</v>
          </cell>
          <cell r="E234">
            <v>0.0001</v>
          </cell>
          <cell r="F234">
            <v>1000</v>
          </cell>
          <cell r="G234">
            <v>1000</v>
          </cell>
        </row>
        <row r="235">
          <cell r="C235" t="str">
            <v>ID285/75R24.5-14PR(144/141L)[ZA12]威狮无内</v>
          </cell>
          <cell r="D235" t="str">
            <v>张PC</v>
          </cell>
          <cell r="E235">
            <v>0.0001</v>
          </cell>
          <cell r="F235">
            <v>1000</v>
          </cell>
          <cell r="G235">
            <v>1000</v>
          </cell>
        </row>
        <row r="236">
          <cell r="C236" t="str">
            <v>ID285/75R24.5-14PR(144/141M)[SL11]威狮无内</v>
          </cell>
          <cell r="D236" t="str">
            <v>张PC</v>
          </cell>
          <cell r="E236">
            <v>0.0001</v>
          </cell>
          <cell r="F236">
            <v>1000</v>
          </cell>
          <cell r="G236">
            <v>1000</v>
          </cell>
        </row>
        <row r="237">
          <cell r="C237" t="str">
            <v>ID295/75R22.5-14PR(144/141L)[AD716]威狮无内</v>
          </cell>
          <cell r="D237" t="str">
            <v>张PC</v>
          </cell>
          <cell r="E237">
            <v>0.0001</v>
          </cell>
          <cell r="F237">
            <v>3700</v>
          </cell>
          <cell r="G237">
            <v>4000</v>
          </cell>
        </row>
        <row r="238">
          <cell r="C238" t="str">
            <v>ID295/75R22.5-14PR(144/141L)[AZ599]威狮无内</v>
          </cell>
          <cell r="D238" t="str">
            <v>张PC</v>
          </cell>
          <cell r="E238">
            <v>0.0001</v>
          </cell>
          <cell r="F238">
            <v>1500</v>
          </cell>
          <cell r="G238">
            <v>4400</v>
          </cell>
        </row>
        <row r="239">
          <cell r="C239" t="str">
            <v>ID295/75R22.5-14PR(144/141L)[DA23]威狮无内</v>
          </cell>
          <cell r="D239" t="str">
            <v>张PC</v>
          </cell>
          <cell r="E239">
            <v>0.0001</v>
          </cell>
          <cell r="F239">
            <v>1000</v>
          </cell>
          <cell r="G239">
            <v>1000</v>
          </cell>
        </row>
        <row r="240">
          <cell r="C240" t="str">
            <v>ID295/75R22.5-14PR(144/141L)[DA25]威狮无内</v>
          </cell>
          <cell r="D240" t="str">
            <v>张PC</v>
          </cell>
          <cell r="E240">
            <v>0.0001</v>
          </cell>
          <cell r="F240">
            <v>1000</v>
          </cell>
          <cell r="G240">
            <v>1000</v>
          </cell>
        </row>
        <row r="241">
          <cell r="C241" t="str">
            <v>ID295/75R22.5-14PR(144/141L)[DL21]威狮无内</v>
          </cell>
          <cell r="D241" t="str">
            <v>张PC</v>
          </cell>
          <cell r="E241">
            <v>0.0001</v>
          </cell>
          <cell r="F241">
            <v>1000</v>
          </cell>
          <cell r="G241">
            <v>1000</v>
          </cell>
        </row>
        <row r="242">
          <cell r="C242" t="str">
            <v>ID295/75R22.5-14PR(144/141L)[DL22]威狮无内</v>
          </cell>
          <cell r="D242" t="str">
            <v>张PC</v>
          </cell>
          <cell r="E242">
            <v>0.0001</v>
          </cell>
          <cell r="F242">
            <v>1000</v>
          </cell>
          <cell r="G242">
            <v>1000</v>
          </cell>
        </row>
        <row r="243">
          <cell r="C243" t="str">
            <v>ID295/75R22.5-14PR(144/141L)[ZA12]威狮无内</v>
          </cell>
          <cell r="D243" t="str">
            <v>张PC</v>
          </cell>
          <cell r="E243">
            <v>0.0001</v>
          </cell>
          <cell r="F243">
            <v>1000</v>
          </cell>
          <cell r="G243">
            <v>1000</v>
          </cell>
        </row>
        <row r="244">
          <cell r="C244" t="str">
            <v>ID295/75R22.5-14PR(144/141M)[CR915 eco]威狮无内</v>
          </cell>
          <cell r="D244" t="str">
            <v>张PC</v>
          </cell>
          <cell r="E244">
            <v>0.0001</v>
          </cell>
          <cell r="F244">
            <v>3000</v>
          </cell>
          <cell r="G244">
            <v>4700</v>
          </cell>
        </row>
        <row r="245">
          <cell r="C245" t="str">
            <v>ID295/75R22.5-14PR(144/141M)[CR915]威狮无内 SMARTWAY</v>
          </cell>
          <cell r="D245" t="str">
            <v>张PC</v>
          </cell>
          <cell r="E245">
            <v>1</v>
          </cell>
          <cell r="F245">
            <v>1684</v>
          </cell>
          <cell r="G245">
            <v>3700</v>
          </cell>
        </row>
        <row r="246">
          <cell r="C246" t="str">
            <v>ID295/75R22.5-14PR(144/141M)[SL11]威狮无内</v>
          </cell>
          <cell r="D246" t="str">
            <v>张PC</v>
          </cell>
          <cell r="E246">
            <v>0.0001</v>
          </cell>
          <cell r="F246">
            <v>1000</v>
          </cell>
          <cell r="G246">
            <v>1000</v>
          </cell>
        </row>
        <row r="247">
          <cell r="C247" t="str">
            <v>ID295/75R22.5-14PR(144/141M)[TL31]威狮无内</v>
          </cell>
          <cell r="D247" t="str">
            <v>张PC</v>
          </cell>
          <cell r="E247">
            <v>0.0001</v>
          </cell>
          <cell r="F247">
            <v>1000</v>
          </cell>
          <cell r="G247">
            <v>1000</v>
          </cell>
        </row>
        <row r="248">
          <cell r="C248" t="str">
            <v>ID295/75R22.5-16PR(146/143M)[CR915]威狮无内 SMARTWAY</v>
          </cell>
          <cell r="D248" t="str">
            <v>张PC</v>
          </cell>
          <cell r="E248">
            <v>0.0001</v>
          </cell>
          <cell r="F248">
            <v>3000</v>
          </cell>
          <cell r="G248">
            <v>5000</v>
          </cell>
        </row>
        <row r="249">
          <cell r="C249" t="str">
            <v>ID295/80R22.5-18PR(152/149M)[AT161]威狮无内</v>
          </cell>
          <cell r="D249" t="str">
            <v>张PC</v>
          </cell>
          <cell r="E249">
            <v>1</v>
          </cell>
          <cell r="F249">
            <v>1500</v>
          </cell>
          <cell r="G249">
            <v>6000</v>
          </cell>
        </row>
        <row r="250">
          <cell r="C250" t="str">
            <v>ID295/80R22.5-18PR(152/149M)[CR976A]威狮无内</v>
          </cell>
          <cell r="D250" t="str">
            <v>张PC</v>
          </cell>
          <cell r="E250">
            <v>1</v>
          </cell>
          <cell r="F250">
            <v>3000</v>
          </cell>
          <cell r="G250">
            <v>3000</v>
          </cell>
        </row>
        <row r="251">
          <cell r="C251" t="str">
            <v>ID315/80R22.5-20PR(157/154K)[CM913A]威狮无内</v>
          </cell>
          <cell r="D251" t="str">
            <v>张PC</v>
          </cell>
          <cell r="E251">
            <v>0.0001</v>
          </cell>
          <cell r="F251">
            <v>4028</v>
          </cell>
          <cell r="G251">
            <v>5800</v>
          </cell>
        </row>
        <row r="252">
          <cell r="C252" t="str">
            <v>ID315/80R22.5-20PR(157/154K)[CR926B]威狮无内</v>
          </cell>
          <cell r="D252" t="str">
            <v>张PC</v>
          </cell>
          <cell r="E252">
            <v>0.0001</v>
          </cell>
          <cell r="F252">
            <v>2890</v>
          </cell>
          <cell r="G252">
            <v>1800</v>
          </cell>
        </row>
        <row r="253">
          <cell r="C253" t="str">
            <v>ID315/80R22.5-20PR(161/157K)[ZM41]威狮无内</v>
          </cell>
          <cell r="D253" t="str">
            <v>张PC</v>
          </cell>
          <cell r="E253">
            <v>0.0001</v>
          </cell>
          <cell r="F253">
            <v>1000</v>
          </cell>
          <cell r="G253">
            <v>1000</v>
          </cell>
        </row>
        <row r="254">
          <cell r="C254" t="str">
            <v>ID325/95R24-22PR(162/160K)[AZ828]威狮无内</v>
          </cell>
          <cell r="D254" t="str">
            <v>张PC</v>
          </cell>
          <cell r="E254">
            <v>0.0001</v>
          </cell>
          <cell r="F254">
            <v>1434</v>
          </cell>
          <cell r="G254">
            <v>3000</v>
          </cell>
        </row>
        <row r="255">
          <cell r="C255" t="str">
            <v>ID325/95R24-22PR(162/160K)[CM913A]威狮无内</v>
          </cell>
          <cell r="D255" t="str">
            <v>张PC</v>
          </cell>
          <cell r="E255">
            <v>0.0001</v>
          </cell>
          <cell r="F255">
            <v>1000</v>
          </cell>
          <cell r="G255">
            <v>4600</v>
          </cell>
        </row>
        <row r="256">
          <cell r="C256" t="str">
            <v>ID325/95R24-22PR(162/160K)[MD752]威狮无内</v>
          </cell>
          <cell r="D256" t="str">
            <v>张PC</v>
          </cell>
          <cell r="E256">
            <v>0.0001</v>
          </cell>
          <cell r="F256">
            <v>4057</v>
          </cell>
          <cell r="G256">
            <v>5250</v>
          </cell>
        </row>
        <row r="257">
          <cell r="C257" t="str">
            <v>ID385/65R22.5-20PR(160K)[ZM42]威狮无内</v>
          </cell>
          <cell r="D257" t="str">
            <v>张PC</v>
          </cell>
          <cell r="E257">
            <v>0.0001</v>
          </cell>
          <cell r="F257">
            <v>1000</v>
          </cell>
          <cell r="G257">
            <v>1000</v>
          </cell>
        </row>
        <row r="258">
          <cell r="C258" t="str">
            <v>ID425/65R22.5-20PR(165K)[ZM42]威狮无内</v>
          </cell>
          <cell r="D258" t="str">
            <v>张PC</v>
          </cell>
          <cell r="E258">
            <v>0.0001</v>
          </cell>
          <cell r="F258">
            <v>1000</v>
          </cell>
          <cell r="G258">
            <v>1000</v>
          </cell>
        </row>
        <row r="259">
          <cell r="C259" t="str">
            <v>ID445/50R22.5-20PR(161L)[AT566]威狮无内</v>
          </cell>
          <cell r="D259" t="str">
            <v>张PC</v>
          </cell>
          <cell r="E259">
            <v>1</v>
          </cell>
          <cell r="F259">
            <v>2708</v>
          </cell>
          <cell r="G259">
            <v>8700</v>
          </cell>
        </row>
        <row r="260">
          <cell r="C260" t="str">
            <v>ID445/50R22.5-20PR(161L)[DL26]威狮无内</v>
          </cell>
          <cell r="D260" t="str">
            <v>张PC</v>
          </cell>
          <cell r="E260">
            <v>0.0001</v>
          </cell>
          <cell r="F260">
            <v>1000</v>
          </cell>
          <cell r="G260">
            <v>1000</v>
          </cell>
        </row>
        <row r="261">
          <cell r="C261" t="str">
            <v>ID445/50R22.5-20PR(161L)[TL32]威狮无内</v>
          </cell>
          <cell r="D261" t="str">
            <v>张PC</v>
          </cell>
          <cell r="E261">
            <v>0.0001</v>
          </cell>
          <cell r="F261">
            <v>1000</v>
          </cell>
          <cell r="G261">
            <v>1000</v>
          </cell>
        </row>
        <row r="262">
          <cell r="C262" t="str">
            <v>ID445/65R22.5-20PR(169K)[ZM42]威狮无内</v>
          </cell>
          <cell r="D262" t="str">
            <v>张PC</v>
          </cell>
          <cell r="E262">
            <v>0.0001</v>
          </cell>
          <cell r="F262">
            <v>1000</v>
          </cell>
          <cell r="G262">
            <v>1000</v>
          </cell>
        </row>
        <row r="263">
          <cell r="C263" t="str">
            <v>ID10.00R20-18PR(149/146F)[CB332]威狮</v>
          </cell>
          <cell r="D263" t="str">
            <v>张PC</v>
          </cell>
          <cell r="E263">
            <v>0.0001</v>
          </cell>
          <cell r="F263">
            <v>4000</v>
          </cell>
          <cell r="G263">
            <v>5200</v>
          </cell>
        </row>
        <row r="264">
          <cell r="C264" t="str">
            <v>ID10.00R20-18PR(149/146F)[CB972]威狮</v>
          </cell>
          <cell r="D264" t="str">
            <v>张PC</v>
          </cell>
          <cell r="E264">
            <v>1</v>
          </cell>
          <cell r="F264">
            <v>1600</v>
          </cell>
          <cell r="G264">
            <v>10100</v>
          </cell>
        </row>
        <row r="265">
          <cell r="C265" t="str">
            <v>ID10.00R20-18PR(149/146J)[AZ601]威狮</v>
          </cell>
          <cell r="D265" t="str">
            <v>张PC</v>
          </cell>
          <cell r="E265">
            <v>1</v>
          </cell>
          <cell r="F265">
            <v>1197</v>
          </cell>
          <cell r="G265">
            <v>6850</v>
          </cell>
        </row>
        <row r="266">
          <cell r="C266" t="str">
            <v>ID10.00R20-18PR(149/146J)[AZ802S]威狮</v>
          </cell>
          <cell r="D266" t="str">
            <v>张PC</v>
          </cell>
          <cell r="E266">
            <v>0.0001</v>
          </cell>
          <cell r="F266">
            <v>5000</v>
          </cell>
          <cell r="G266">
            <v>5000</v>
          </cell>
        </row>
        <row r="267">
          <cell r="C267" t="str">
            <v>ID10.00R20-18PR(149/146J)[CB981]威狮</v>
          </cell>
          <cell r="D267" t="str">
            <v>张PC</v>
          </cell>
          <cell r="E267">
            <v>1</v>
          </cell>
          <cell r="F267">
            <v>5500</v>
          </cell>
          <cell r="G267">
            <v>3100</v>
          </cell>
        </row>
        <row r="268">
          <cell r="C268" t="str">
            <v>ID10.00R20-18PR(149/146J)[CM988]威狮</v>
          </cell>
          <cell r="D268" t="str">
            <v>张PC</v>
          </cell>
          <cell r="E268">
            <v>0.0001</v>
          </cell>
          <cell r="F268">
            <v>8000</v>
          </cell>
          <cell r="G268">
            <v>8200</v>
          </cell>
        </row>
        <row r="269">
          <cell r="C269" t="str">
            <v>ID10.00R20-18PR(149/146J)[CR926]威狮</v>
          </cell>
          <cell r="D269" t="str">
            <v>张PC</v>
          </cell>
          <cell r="E269">
            <v>1</v>
          </cell>
          <cell r="F269">
            <v>5999</v>
          </cell>
          <cell r="G269">
            <v>5400</v>
          </cell>
        </row>
        <row r="270">
          <cell r="C270" t="str">
            <v>ID11.00R20-18PR(152/149F)[CB332A]威狮</v>
          </cell>
          <cell r="D270" t="str">
            <v>张PC</v>
          </cell>
          <cell r="E270">
            <v>0.0001</v>
          </cell>
          <cell r="F270">
            <v>3800</v>
          </cell>
          <cell r="G270">
            <v>3200</v>
          </cell>
        </row>
        <row r="271">
          <cell r="C271" t="str">
            <v>ID11.00R20-18PR(152/149F)[CB972]威狮</v>
          </cell>
          <cell r="D271" t="str">
            <v>张PC</v>
          </cell>
          <cell r="E271">
            <v>1</v>
          </cell>
          <cell r="F271">
            <v>10510</v>
          </cell>
          <cell r="G271">
            <v>10600</v>
          </cell>
        </row>
        <row r="272">
          <cell r="C272" t="str">
            <v>ID11.00R20-18PR(152/149K)[AZ676]威狮</v>
          </cell>
          <cell r="D272" t="str">
            <v>张PC</v>
          </cell>
          <cell r="E272">
            <v>0.0001</v>
          </cell>
          <cell r="F272">
            <v>2000</v>
          </cell>
          <cell r="G272">
            <v>2000</v>
          </cell>
        </row>
        <row r="273">
          <cell r="C273" t="str">
            <v>ID11.00R20-18PR(152/149K)[CR926+]威狮</v>
          </cell>
          <cell r="D273" t="str">
            <v>张PC</v>
          </cell>
          <cell r="E273">
            <v>1</v>
          </cell>
          <cell r="F273">
            <v>1259</v>
          </cell>
          <cell r="G273">
            <v>2400</v>
          </cell>
        </row>
        <row r="274">
          <cell r="C274" t="str">
            <v>ID11R22.5-16PR(148/145L)[AS858]威狮无内</v>
          </cell>
          <cell r="D274" t="str">
            <v>张PC</v>
          </cell>
          <cell r="E274">
            <v>1</v>
          </cell>
          <cell r="F274">
            <v>5227</v>
          </cell>
          <cell r="G274">
            <v>5300</v>
          </cell>
        </row>
        <row r="275">
          <cell r="C275" t="str">
            <v>ID12.00R20-18PR(154/151F)[CB332]威狮</v>
          </cell>
          <cell r="D275" t="str">
            <v>张PC</v>
          </cell>
          <cell r="E275">
            <v>0.0001</v>
          </cell>
          <cell r="F275">
            <v>9400</v>
          </cell>
          <cell r="G275">
            <v>9600</v>
          </cell>
        </row>
        <row r="276">
          <cell r="C276" t="str">
            <v>ID12.00R20-18PR(154/151F)[CB919]威狮</v>
          </cell>
          <cell r="D276" t="str">
            <v>张PC</v>
          </cell>
          <cell r="E276">
            <v>0.0001</v>
          </cell>
          <cell r="F276">
            <v>4500</v>
          </cell>
          <cell r="G276">
            <v>1500</v>
          </cell>
        </row>
        <row r="277">
          <cell r="C277" t="str">
            <v>ID12.00R20-18PR(154/151F)[CB972]威狮</v>
          </cell>
          <cell r="D277" t="str">
            <v>张PC</v>
          </cell>
          <cell r="E277">
            <v>1</v>
          </cell>
          <cell r="F277">
            <v>7800</v>
          </cell>
          <cell r="G277">
            <v>8400</v>
          </cell>
        </row>
        <row r="278">
          <cell r="C278" t="str">
            <v>ID12.00R20-20PR(156/153F)[CB332]威狮</v>
          </cell>
          <cell r="D278" t="str">
            <v>张PC</v>
          </cell>
          <cell r="E278">
            <v>0.0001</v>
          </cell>
          <cell r="F278">
            <v>5000</v>
          </cell>
          <cell r="G278">
            <v>4700</v>
          </cell>
        </row>
        <row r="279">
          <cell r="C279" t="str">
            <v>ID12.00R20-20PR(156/153F)[CB972]威狮</v>
          </cell>
          <cell r="D279" t="str">
            <v>张PC</v>
          </cell>
          <cell r="E279">
            <v>0.0001</v>
          </cell>
          <cell r="F279">
            <v>7196</v>
          </cell>
          <cell r="G279">
            <v>10100</v>
          </cell>
        </row>
        <row r="280">
          <cell r="C280" t="str">
            <v>ID12.00R24-20PR(160/157F)[CB332]威狮</v>
          </cell>
          <cell r="D280" t="str">
            <v>张PC</v>
          </cell>
          <cell r="E280">
            <v>0.0001</v>
          </cell>
          <cell r="F280">
            <v>2600</v>
          </cell>
          <cell r="G280">
            <v>2300</v>
          </cell>
        </row>
        <row r="281">
          <cell r="C281" t="str">
            <v>ID12.00R24-20PR(160/157F)[CB919]威狮</v>
          </cell>
          <cell r="D281" t="str">
            <v>张PC</v>
          </cell>
          <cell r="E281">
            <v>1</v>
          </cell>
          <cell r="F281">
            <v>5000</v>
          </cell>
          <cell r="G281">
            <v>3000</v>
          </cell>
        </row>
        <row r="282">
          <cell r="C282" t="str">
            <v>ID12.00R24-20PR(160/157F)[CB972]威狮</v>
          </cell>
          <cell r="D282" t="str">
            <v>张PC</v>
          </cell>
          <cell r="E282">
            <v>0.0001</v>
          </cell>
          <cell r="F282">
            <v>4000</v>
          </cell>
          <cell r="G282">
            <v>3800</v>
          </cell>
        </row>
        <row r="283">
          <cell r="C283" t="str">
            <v>ID12.00R24-20PR(160/157F)[CB972E]威狮</v>
          </cell>
          <cell r="D283" t="str">
            <v>张PC</v>
          </cell>
          <cell r="E283">
            <v>1</v>
          </cell>
          <cell r="F283">
            <v>4808</v>
          </cell>
          <cell r="G283">
            <v>11600</v>
          </cell>
        </row>
        <row r="284">
          <cell r="C284" t="str">
            <v>ID12R22.5-20PR(154/151K)[EZ867]威狮无内</v>
          </cell>
          <cell r="D284" t="str">
            <v>张PC</v>
          </cell>
          <cell r="E284">
            <v>0.0001</v>
          </cell>
          <cell r="F284">
            <v>5000</v>
          </cell>
          <cell r="G284">
            <v>5000</v>
          </cell>
        </row>
        <row r="285">
          <cell r="C285" t="str">
            <v>ID295/80R22.5-18PR(152/149J)[CB919]威狮无内</v>
          </cell>
          <cell r="D285" t="str">
            <v>张PC</v>
          </cell>
          <cell r="E285">
            <v>0.0001</v>
          </cell>
          <cell r="F285">
            <v>3000</v>
          </cell>
          <cell r="G285">
            <v>3000</v>
          </cell>
        </row>
        <row r="286">
          <cell r="C286" t="str">
            <v>ID295/80R22.5-18PR(152/149L)[CR906]威狮无内</v>
          </cell>
          <cell r="D286" t="str">
            <v>张PC</v>
          </cell>
          <cell r="E286">
            <v>0.0001</v>
          </cell>
          <cell r="F286">
            <v>3000</v>
          </cell>
          <cell r="G286">
            <v>3200</v>
          </cell>
        </row>
        <row r="287">
          <cell r="C287" t="str">
            <v>ID295/80R22.5-18PR(152/149L)[CR926D]威狮无内</v>
          </cell>
          <cell r="D287" t="str">
            <v>张PC</v>
          </cell>
          <cell r="E287">
            <v>0.0001</v>
          </cell>
          <cell r="F287">
            <v>5340</v>
          </cell>
          <cell r="G287">
            <v>5900</v>
          </cell>
        </row>
        <row r="288">
          <cell r="C288" t="str">
            <v>ID295/80R22.5-18PR(152/149M)[AS858Pro]威狮无内</v>
          </cell>
          <cell r="D288" t="str">
            <v>张PC</v>
          </cell>
          <cell r="E288">
            <v>1</v>
          </cell>
          <cell r="F288">
            <v>3914</v>
          </cell>
          <cell r="G288">
            <v>4200</v>
          </cell>
        </row>
        <row r="289">
          <cell r="C289" t="str">
            <v>ID295/80R22.5-18PR(152/149M)[AS868Pro]威狮无内</v>
          </cell>
          <cell r="D289" t="str">
            <v>张PC</v>
          </cell>
          <cell r="E289">
            <v>0.0001</v>
          </cell>
          <cell r="F289">
            <v>4295</v>
          </cell>
          <cell r="G289">
            <v>4500</v>
          </cell>
        </row>
        <row r="290">
          <cell r="C290" t="str">
            <v>ID295/80R22.5-18PR(152/149M)[CM958]威狮无内</v>
          </cell>
          <cell r="D290" t="str">
            <v>张PC</v>
          </cell>
          <cell r="E290">
            <v>0.0001</v>
          </cell>
          <cell r="F290">
            <v>3750</v>
          </cell>
          <cell r="G290">
            <v>5000</v>
          </cell>
        </row>
        <row r="291">
          <cell r="C291" t="str">
            <v>ID325/95R24-22PR(162/160F)[CB332]威狮无内</v>
          </cell>
          <cell r="D291" t="str">
            <v>张PC</v>
          </cell>
          <cell r="E291">
            <v>0.0001</v>
          </cell>
          <cell r="F291">
            <v>4000</v>
          </cell>
          <cell r="G291">
            <v>4000</v>
          </cell>
        </row>
        <row r="292">
          <cell r="C292" t="str">
            <v>ID325/95R24-22PR(162/160F)[CB972]威狮无内</v>
          </cell>
          <cell r="D292" t="str">
            <v>张PC</v>
          </cell>
          <cell r="E292">
            <v>0.0001</v>
          </cell>
          <cell r="F292">
            <v>5352</v>
          </cell>
          <cell r="G292">
            <v>2000</v>
          </cell>
        </row>
        <row r="293">
          <cell r="C293" t="str">
            <v>ID325/95R24-22PR(162/160F)[CM913A]威狮无内 印尼</v>
          </cell>
          <cell r="D293" t="str">
            <v>张PC</v>
          </cell>
          <cell r="E293">
            <v>0.0001</v>
          </cell>
          <cell r="F293">
            <v>2200</v>
          </cell>
          <cell r="G293">
            <v>2000</v>
          </cell>
        </row>
        <row r="294">
          <cell r="C294" t="str">
            <v>ID325/95R24-22PR(162/160K)[CM913A]威狮无内</v>
          </cell>
          <cell r="D294" t="str">
            <v>张PC</v>
          </cell>
          <cell r="E294">
            <v>0.0001</v>
          </cell>
          <cell r="F294">
            <v>5300</v>
          </cell>
          <cell r="G294">
            <v>2200</v>
          </cell>
        </row>
        <row r="295">
          <cell r="C295" t="str">
            <v>ID385/65R22.5-20PR(160K)[AT557]威狮无内</v>
          </cell>
          <cell r="D295" t="str">
            <v>张PC</v>
          </cell>
          <cell r="E295">
            <v>0.0001</v>
          </cell>
          <cell r="F295">
            <v>5000</v>
          </cell>
          <cell r="G295">
            <v>5000</v>
          </cell>
        </row>
        <row r="296">
          <cell r="C296" t="str">
            <v>ID7.50R16-14PR(122/118F)[CB972]威狮</v>
          </cell>
          <cell r="D296" t="str">
            <v>张PC</v>
          </cell>
          <cell r="E296">
            <v>1</v>
          </cell>
          <cell r="F296">
            <v>5360</v>
          </cell>
          <cell r="G296">
            <v>5300</v>
          </cell>
        </row>
        <row r="297">
          <cell r="C297" t="str">
            <v>ID7.50R16-14PR(122/118F)[EZ377]威狮</v>
          </cell>
          <cell r="D297" t="str">
            <v>张PC</v>
          </cell>
          <cell r="E297">
            <v>0.0001</v>
          </cell>
          <cell r="F297">
            <v>4184</v>
          </cell>
          <cell r="G297">
            <v>4000</v>
          </cell>
        </row>
        <row r="298">
          <cell r="C298" t="str">
            <v>ID7.50R16-14PR(122/118L)[AZ601]威狮</v>
          </cell>
          <cell r="D298" t="str">
            <v>张PC</v>
          </cell>
          <cell r="E298">
            <v>1</v>
          </cell>
          <cell r="F298">
            <v>2665</v>
          </cell>
          <cell r="G298">
            <v>3000</v>
          </cell>
        </row>
        <row r="299">
          <cell r="C299" t="str">
            <v>ID7.50R16-14PR(122/118L)[CB981]威狮</v>
          </cell>
          <cell r="D299" t="str">
            <v>张PC</v>
          </cell>
          <cell r="E299">
            <v>1</v>
          </cell>
          <cell r="F299">
            <v>4430</v>
          </cell>
          <cell r="G299">
            <v>2900</v>
          </cell>
        </row>
        <row r="300">
          <cell r="C300" t="str">
            <v>ID7.50R16-14PR(122/118L)[CM988]威狮</v>
          </cell>
          <cell r="D300" t="str">
            <v>张PC</v>
          </cell>
          <cell r="E300">
            <v>1</v>
          </cell>
          <cell r="F300">
            <v>4565</v>
          </cell>
          <cell r="G300">
            <v>5200</v>
          </cell>
        </row>
        <row r="301">
          <cell r="C301" t="str">
            <v>ID7.50R16-14PR(122/118L)[CR926]威狮</v>
          </cell>
          <cell r="D301" t="str">
            <v>张PC</v>
          </cell>
          <cell r="E301">
            <v>1</v>
          </cell>
          <cell r="F301">
            <v>2000</v>
          </cell>
          <cell r="G301">
            <v>1400</v>
          </cell>
        </row>
        <row r="302">
          <cell r="C302" t="str">
            <v>ID8.25R16-14PR(128/126L)[CR926]威狮</v>
          </cell>
          <cell r="D302" t="str">
            <v>张PC</v>
          </cell>
          <cell r="E302">
            <v>0.0001</v>
          </cell>
          <cell r="F302">
            <v>9000</v>
          </cell>
          <cell r="G302">
            <v>4600</v>
          </cell>
        </row>
        <row r="303">
          <cell r="C303" t="str">
            <v>ID8.25R16-16PR(128/124L)[CR926]威狮</v>
          </cell>
          <cell r="D303" t="str">
            <v>张PC</v>
          </cell>
          <cell r="E303">
            <v>0.0001</v>
          </cell>
          <cell r="F303">
            <v>4980</v>
          </cell>
          <cell r="G303">
            <v>5200</v>
          </cell>
        </row>
        <row r="304">
          <cell r="C304" t="str">
            <v>ID295/80R22.5-18PR(150/147M)[ECOPLUS]XBRI无内 巴拉圭</v>
          </cell>
          <cell r="D304" t="str">
            <v>张PC</v>
          </cell>
          <cell r="E304">
            <v>0.0001</v>
          </cell>
          <cell r="F304">
            <v>6400</v>
          </cell>
          <cell r="G304">
            <v>5500</v>
          </cell>
        </row>
        <row r="305">
          <cell r="C305" t="str">
            <v>ID12.00R20-20PR(156/153F)[EZ336]雅度</v>
          </cell>
          <cell r="D305" t="str">
            <v>张PC</v>
          </cell>
          <cell r="E305">
            <v>0.0001</v>
          </cell>
          <cell r="F305">
            <v>4502</v>
          </cell>
          <cell r="G305">
            <v>6400</v>
          </cell>
        </row>
        <row r="306">
          <cell r="C306" t="str">
            <v>ID12.00R20-20PR(156/153F)[EZ345]雅度</v>
          </cell>
          <cell r="D306" t="str">
            <v>张PC</v>
          </cell>
          <cell r="E306">
            <v>1</v>
          </cell>
          <cell r="F306">
            <v>6150</v>
          </cell>
          <cell r="G306">
            <v>1100</v>
          </cell>
        </row>
        <row r="307">
          <cell r="C307" t="str">
            <v>ID12.00R20-22PR(158/155F)[CB972]雅度 东南亚</v>
          </cell>
          <cell r="D307" t="str">
            <v>张PC</v>
          </cell>
          <cell r="E307">
            <v>1</v>
          </cell>
          <cell r="F307">
            <v>8632</v>
          </cell>
          <cell r="G307">
            <v>19800</v>
          </cell>
        </row>
        <row r="308">
          <cell r="C308" t="str">
            <v>ID12.00R20-22PR(158/155F)[EZ310 pro]雅度</v>
          </cell>
          <cell r="D308" t="str">
            <v>张PC</v>
          </cell>
          <cell r="E308">
            <v>0.0001</v>
          </cell>
          <cell r="F308">
            <v>8896</v>
          </cell>
          <cell r="G308">
            <v>1900</v>
          </cell>
        </row>
        <row r="309">
          <cell r="C309" t="str">
            <v>ID12.00R24-20PR(160/157F)[CB332]雅度</v>
          </cell>
          <cell r="D309" t="str">
            <v>张PC</v>
          </cell>
          <cell r="E309">
            <v>1</v>
          </cell>
          <cell r="F309">
            <v>5000</v>
          </cell>
          <cell r="G309">
            <v>3900</v>
          </cell>
        </row>
        <row r="310">
          <cell r="C310" t="str">
            <v>ID12.00R24-20PR(160/157F)[CB972]雅度</v>
          </cell>
          <cell r="D310" t="str">
            <v>张PC</v>
          </cell>
          <cell r="E310">
            <v>0.0001</v>
          </cell>
          <cell r="F310">
            <v>10500</v>
          </cell>
          <cell r="G310">
            <v>200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KCBB0101"/>
    </sheetNames>
    <sheetDataSet>
      <sheetData sheetId="0">
        <row r="3">
          <cell r="C3" t="str">
            <v>ID11R22.5-16PR(146/143L)[AD600]ANTINI无内</v>
          </cell>
          <cell r="D3">
            <v>3740</v>
          </cell>
          <cell r="E3" t="str">
            <v>张PC</v>
          </cell>
          <cell r="F3">
            <v>3740</v>
          </cell>
        </row>
        <row r="4">
          <cell r="C4" t="str">
            <v>ID11R22.5-16PR(146/143M)[AS200]ANTINI无内</v>
          </cell>
          <cell r="D4">
            <v>6993</v>
          </cell>
          <cell r="E4" t="str">
            <v>张PC</v>
          </cell>
          <cell r="F4">
            <v>6993</v>
          </cell>
        </row>
        <row r="5">
          <cell r="C5" t="str">
            <v>ID11R24.5-16PR(149/146L)[AD600]ANTINI无内</v>
          </cell>
          <cell r="D5">
            <v>1980</v>
          </cell>
          <cell r="E5" t="str">
            <v>张PC</v>
          </cell>
          <cell r="F5">
            <v>1980</v>
          </cell>
        </row>
        <row r="6">
          <cell r="C6" t="str">
            <v>ID11R24.5-16PR(149/146M)[AS200]ANTINI无内</v>
          </cell>
          <cell r="D6">
            <v>2105</v>
          </cell>
          <cell r="E6" t="str">
            <v>张PC</v>
          </cell>
          <cell r="F6">
            <v>2105</v>
          </cell>
        </row>
        <row r="7">
          <cell r="C7" t="str">
            <v>ID295/75R22.5-16PR(146/143L)[AD600]ANTINI无内</v>
          </cell>
          <cell r="D7">
            <v>7310</v>
          </cell>
          <cell r="E7" t="str">
            <v>张PC</v>
          </cell>
          <cell r="F7">
            <v>7310</v>
          </cell>
        </row>
        <row r="8">
          <cell r="C8" t="str">
            <v>ID295/75R22.5-16PR(146/143M)[AS200]ANTINI无内</v>
          </cell>
          <cell r="D8">
            <v>9980</v>
          </cell>
          <cell r="E8" t="str">
            <v>张PC</v>
          </cell>
          <cell r="F8">
            <v>9980</v>
          </cell>
        </row>
        <row r="9">
          <cell r="C9" t="str">
            <v>ID295/75R22.5-16PR(146/143M)[AS201]ANTINI无内</v>
          </cell>
          <cell r="D9">
            <v>1373</v>
          </cell>
          <cell r="E9" t="str">
            <v>张PC</v>
          </cell>
          <cell r="F9">
            <v>1373</v>
          </cell>
        </row>
        <row r="10">
          <cell r="C10" t="str">
            <v>ID295/75R22.5-16PR(146/143M)[AT100]ANTINI无内</v>
          </cell>
          <cell r="D10">
            <v>1955</v>
          </cell>
          <cell r="E10" t="str">
            <v>张PC</v>
          </cell>
          <cell r="F10">
            <v>1955</v>
          </cell>
        </row>
        <row r="11">
          <cell r="C11" t="str">
            <v>ID(A104001)100/90-12-4P[H-565-2]59P ARISUN  纳米高抓 TL</v>
          </cell>
          <cell r="D11">
            <v>8000</v>
          </cell>
          <cell r="E11" t="str">
            <v>张PC</v>
          </cell>
          <cell r="F11" t="str">
            <v>_</v>
          </cell>
        </row>
        <row r="12">
          <cell r="C12" t="str">
            <v>ID(A104002)110/70-12-6P[H-565-2]52P ARISUN  纳米高抓 TL</v>
          </cell>
          <cell r="D12">
            <v>5000</v>
          </cell>
          <cell r="E12" t="str">
            <v>张PC</v>
          </cell>
          <cell r="F12" t="str">
            <v>_</v>
          </cell>
        </row>
        <row r="13">
          <cell r="C13" t="str">
            <v>ID(A104003)110/90-12-6P[H-565-2]69P ARISUN  纳米高抓 TL</v>
          </cell>
          <cell r="D13">
            <v>10000</v>
          </cell>
          <cell r="E13" t="str">
            <v>张PC</v>
          </cell>
          <cell r="F13" t="str">
            <v>_</v>
          </cell>
        </row>
        <row r="14">
          <cell r="C14" t="str">
            <v>ID(A104004)120/70-12-6P[H-565-2]58P ARISUN  纳米高抓 TL</v>
          </cell>
          <cell r="D14">
            <v>3000</v>
          </cell>
          <cell r="E14" t="str">
            <v>张PC</v>
          </cell>
          <cell r="F14" t="str">
            <v>_</v>
          </cell>
        </row>
        <row r="15">
          <cell r="C15" t="str">
            <v>ID(A105001)70/90-14-4P[H-577]34P ARISUN 纳米高抓 TL</v>
          </cell>
          <cell r="D15">
            <v>3000</v>
          </cell>
          <cell r="E15" t="str">
            <v>张PC</v>
          </cell>
          <cell r="F15" t="str">
            <v>_</v>
          </cell>
        </row>
        <row r="16">
          <cell r="C16" t="str">
            <v>ID(A105002)80/80-14-4P[H-577]37P ARISUN 纳米高抓 TL</v>
          </cell>
          <cell r="D16">
            <v>4000</v>
          </cell>
          <cell r="E16" t="str">
            <v>张PC</v>
          </cell>
          <cell r="F16" t="str">
            <v>_</v>
          </cell>
        </row>
        <row r="17">
          <cell r="C17" t="str">
            <v>ID(A105003)80/90-14-4P[H-577]40P ARISUN 纳米高抓 TL</v>
          </cell>
          <cell r="D17">
            <v>30000</v>
          </cell>
          <cell r="E17" t="str">
            <v>张PC</v>
          </cell>
          <cell r="F17" t="str">
            <v>-</v>
          </cell>
        </row>
        <row r="18">
          <cell r="C18" t="str">
            <v>ID(A105004)90/80-14-4P[H-577]43P ARISUN 纳米高抓 TL</v>
          </cell>
          <cell r="D18">
            <v>11000</v>
          </cell>
          <cell r="E18" t="str">
            <v>张PC</v>
          </cell>
          <cell r="F18" t="str">
            <v>-</v>
          </cell>
        </row>
        <row r="19">
          <cell r="C19" t="str">
            <v>ID(A105005)90/90-14-4P[H-577]46P ARISUN 纳米高抓 TL</v>
          </cell>
          <cell r="D19">
            <v>36000</v>
          </cell>
          <cell r="E19" t="str">
            <v>张PC</v>
          </cell>
          <cell r="F19" t="str">
            <v>-</v>
          </cell>
        </row>
        <row r="20">
          <cell r="C20" t="str">
            <v>ID(A105006)100/80-14-4P[H-577]48P ARISUN 纳米高抓 TL</v>
          </cell>
          <cell r="D20">
            <v>8000</v>
          </cell>
          <cell r="E20" t="str">
            <v>张PC</v>
          </cell>
          <cell r="F20" t="str">
            <v>-</v>
          </cell>
        </row>
        <row r="21">
          <cell r="C21" t="str">
            <v>IDST205/75R14-8PR[ST-100A]105/101M ARISUN无内</v>
          </cell>
          <cell r="D21">
            <v>3000</v>
          </cell>
          <cell r="E21" t="str">
            <v>张PC</v>
          </cell>
          <cell r="F21" t="str">
            <v>-</v>
          </cell>
        </row>
        <row r="22">
          <cell r="C22" t="str">
            <v>IDST215/75R14-6PR[ST100]102/98M ARISUN无内</v>
          </cell>
          <cell r="D22">
            <v>3000</v>
          </cell>
          <cell r="E22" t="str">
            <v>张PC</v>
          </cell>
          <cell r="F22" t="str">
            <v>-</v>
          </cell>
        </row>
        <row r="23">
          <cell r="C23" t="str">
            <v>IDST215/75R14-8PR[ST100]108/103M ARISUN无内</v>
          </cell>
          <cell r="D23">
            <v>3000</v>
          </cell>
          <cell r="E23" t="str">
            <v>张PC</v>
          </cell>
          <cell r="F23" t="str">
            <v>-</v>
          </cell>
        </row>
        <row r="24">
          <cell r="C24" t="str">
            <v>IDST235/80R16-10PR[ST100]124/120M ARISUN无内</v>
          </cell>
          <cell r="D24">
            <v>13000</v>
          </cell>
          <cell r="E24" t="str">
            <v>张PC</v>
          </cell>
          <cell r="F24" t="str">
            <v>-</v>
          </cell>
        </row>
        <row r="25">
          <cell r="C25" t="str">
            <v>ID275/80R22.5-16PR(149/146M)[CR976A]ARISUN无内</v>
          </cell>
          <cell r="D25">
            <v>4770</v>
          </cell>
          <cell r="E25" t="str">
            <v>张PC</v>
          </cell>
          <cell r="F25">
            <v>4770</v>
          </cell>
        </row>
        <row r="26">
          <cell r="C26" t="str">
            <v>ID295/80R22.5-18PR(152/149M)[CR976A]ARISUN无内</v>
          </cell>
          <cell r="D26">
            <v>8000</v>
          </cell>
          <cell r="E26" t="str">
            <v>张PC</v>
          </cell>
          <cell r="F26">
            <v>8000</v>
          </cell>
        </row>
        <row r="27">
          <cell r="C27" t="str">
            <v>ID11R22.5-14PR(144/142M)[AT552]ARISUN无内</v>
          </cell>
          <cell r="D27">
            <v>8214</v>
          </cell>
          <cell r="E27" t="str">
            <v>张PC</v>
          </cell>
          <cell r="F27">
            <v>8214</v>
          </cell>
        </row>
        <row r="28">
          <cell r="C28" t="str">
            <v>ID11R22.5-14PR(144/142M)[AT563]ARISUN无内</v>
          </cell>
          <cell r="D28">
            <v>2573</v>
          </cell>
          <cell r="E28" t="str">
            <v>张PC</v>
          </cell>
          <cell r="F28">
            <v>2573</v>
          </cell>
        </row>
        <row r="29">
          <cell r="C29" t="str">
            <v>ID11R24.5-16PR(149/146L)[AT563]ARISUN无内</v>
          </cell>
          <cell r="D29">
            <v>1680</v>
          </cell>
          <cell r="E29" t="str">
            <v>张PC</v>
          </cell>
          <cell r="F29">
            <v>1680</v>
          </cell>
        </row>
        <row r="30">
          <cell r="C30" t="str">
            <v>ID11R24.5-16PR(149/146L)[AZ692]ARISUN无内</v>
          </cell>
          <cell r="D30">
            <v>5100</v>
          </cell>
          <cell r="E30" t="str">
            <v>张PC</v>
          </cell>
          <cell r="F30">
            <v>5100</v>
          </cell>
        </row>
        <row r="31">
          <cell r="C31" t="str">
            <v>ID235/75R17.5-16PR(143/141J)[AS673]ARISUN无内</v>
          </cell>
          <cell r="D31">
            <v>2450</v>
          </cell>
          <cell r="E31" t="str">
            <v>张PC</v>
          </cell>
          <cell r="F31">
            <v>2450</v>
          </cell>
        </row>
        <row r="32">
          <cell r="C32" t="str">
            <v>ID295/75R22.5-14PR(144/141L)[AS600]ARISUN无内</v>
          </cell>
          <cell r="D32">
            <v>3000</v>
          </cell>
          <cell r="E32" t="str">
            <v>张PC</v>
          </cell>
          <cell r="F32">
            <v>3000</v>
          </cell>
        </row>
        <row r="33">
          <cell r="C33" t="str">
            <v>ID295/75R22.5-14PR(144/141L)[AT563]ARISUN无内</v>
          </cell>
          <cell r="D33">
            <v>5378</v>
          </cell>
          <cell r="E33" t="str">
            <v>张PC</v>
          </cell>
          <cell r="F33">
            <v>5378</v>
          </cell>
        </row>
        <row r="34">
          <cell r="C34" t="str">
            <v>ID295/75R22.5-14PR(144/141M)[AT552]ARISUN无内</v>
          </cell>
          <cell r="D34">
            <v>3204</v>
          </cell>
          <cell r="E34" t="str">
            <v>张PC</v>
          </cell>
          <cell r="F34">
            <v>3204</v>
          </cell>
        </row>
        <row r="35">
          <cell r="C35" t="str">
            <v>ID295/75R22.5-16PR(146/143L)[AD759]ARISUN无内</v>
          </cell>
          <cell r="D35">
            <v>8000</v>
          </cell>
          <cell r="E35" t="str">
            <v>张PC</v>
          </cell>
          <cell r="F35">
            <v>8000</v>
          </cell>
        </row>
        <row r="36">
          <cell r="C36" t="str">
            <v>ID295/75R22.5-16PR(146/143L)[AT563]ARISUN无内</v>
          </cell>
          <cell r="D36">
            <v>8000</v>
          </cell>
          <cell r="E36" t="str">
            <v>张PC</v>
          </cell>
          <cell r="F36">
            <v>8000</v>
          </cell>
        </row>
        <row r="37">
          <cell r="C37" t="str">
            <v>ID295/80R22.5-18PR(152/149L)[AD153]ARISUN无内</v>
          </cell>
          <cell r="D37">
            <v>7700</v>
          </cell>
          <cell r="E37" t="str">
            <v>张PC</v>
          </cell>
          <cell r="F37">
            <v>7700</v>
          </cell>
        </row>
        <row r="38">
          <cell r="C38" t="str">
            <v>ID295/80R22.5-18PR(152/149M)[AS668]ARISUN无内</v>
          </cell>
          <cell r="D38">
            <v>3000</v>
          </cell>
          <cell r="E38" t="str">
            <v>张PC</v>
          </cell>
          <cell r="F38">
            <v>3000</v>
          </cell>
        </row>
        <row r="39">
          <cell r="C39" t="str">
            <v>ID315/80R22.5-20PR(157/154K)[AD710A]ARISUN无内</v>
          </cell>
          <cell r="D39">
            <v>3000</v>
          </cell>
          <cell r="E39" t="str">
            <v>张PC</v>
          </cell>
          <cell r="F39">
            <v>3000</v>
          </cell>
        </row>
        <row r="40">
          <cell r="C40" t="str">
            <v>ID315/80R22.5-20PR(157/154K)[CR926B]ARISUN无内</v>
          </cell>
          <cell r="D40">
            <v>2900</v>
          </cell>
          <cell r="E40" t="str">
            <v>张PC</v>
          </cell>
          <cell r="F40">
            <v>2900</v>
          </cell>
        </row>
        <row r="41">
          <cell r="C41" t="str">
            <v>ID325/95R24-22PR(162/160K)[AZ828]ARISUN无内</v>
          </cell>
          <cell r="D41">
            <v>2020</v>
          </cell>
          <cell r="E41" t="str">
            <v>张PC</v>
          </cell>
          <cell r="F41">
            <v>2020</v>
          </cell>
        </row>
        <row r="42">
          <cell r="C42" t="str">
            <v>ID325/95R24-22PR(162/160K)[EZ865]ARISUN无内</v>
          </cell>
          <cell r="D42">
            <v>2240</v>
          </cell>
          <cell r="E42" t="str">
            <v>张PC</v>
          </cell>
          <cell r="F42">
            <v>2240</v>
          </cell>
        </row>
        <row r="43">
          <cell r="C43" t="str">
            <v>ID325/95R24-22PR(162/160K)[MD752]ARISUN无内</v>
          </cell>
          <cell r="D43">
            <v>1800</v>
          </cell>
          <cell r="E43" t="str">
            <v>张PC</v>
          </cell>
          <cell r="F43">
            <v>1800</v>
          </cell>
        </row>
        <row r="44">
          <cell r="C44" t="str">
            <v>ID385/65R22.5-20PR(160K)[AT532]ARISUN无内</v>
          </cell>
          <cell r="D44">
            <v>3000</v>
          </cell>
          <cell r="E44" t="str">
            <v>张PC</v>
          </cell>
          <cell r="F44">
            <v>3000</v>
          </cell>
        </row>
        <row r="45">
          <cell r="C45" t="str">
            <v>ID445/50R22.5-20PR(161L)[AD755]ARISUN无内</v>
          </cell>
          <cell r="D45">
            <v>2745</v>
          </cell>
          <cell r="E45" t="str">
            <v>张PC</v>
          </cell>
          <cell r="F45">
            <v>2745</v>
          </cell>
        </row>
        <row r="46">
          <cell r="C46" t="str">
            <v>ID445/50R22.5-20PR(161L)[AT570] ARISUN TL</v>
          </cell>
          <cell r="D46">
            <v>2900</v>
          </cell>
          <cell r="E46" t="str">
            <v>张PC</v>
          </cell>
          <cell r="F46">
            <v>2900</v>
          </cell>
        </row>
        <row r="47">
          <cell r="C47" t="str">
            <v>ID445/50R22.5-20PR(161L)[AT570]ARISUN无内</v>
          </cell>
          <cell r="D47">
            <v>2950</v>
          </cell>
          <cell r="E47" t="str">
            <v>张PC</v>
          </cell>
          <cell r="F47">
            <v>2950</v>
          </cell>
        </row>
        <row r="48">
          <cell r="C48" t="str">
            <v>ID10.00R20-18PR(149/146F)[CB972]ARISUN</v>
          </cell>
          <cell r="D48">
            <v>5000</v>
          </cell>
          <cell r="E48" t="str">
            <v>张PC</v>
          </cell>
          <cell r="F48">
            <v>5000</v>
          </cell>
        </row>
        <row r="49">
          <cell r="C49" t="str">
            <v>ID10.00R20-18PR(149/146J)[CR926]ARISUN</v>
          </cell>
          <cell r="D49">
            <v>4200</v>
          </cell>
          <cell r="E49" t="str">
            <v>张PC</v>
          </cell>
          <cell r="F49">
            <v>4200</v>
          </cell>
        </row>
        <row r="50">
          <cell r="C50" t="str">
            <v>ID11.00R20-18FR(152/149K)[CR926+]ARISUN</v>
          </cell>
          <cell r="D50">
            <v>2684</v>
          </cell>
          <cell r="E50" t="str">
            <v>张PC</v>
          </cell>
          <cell r="F50">
            <v>2684</v>
          </cell>
        </row>
        <row r="51">
          <cell r="C51" t="str">
            <v>ID11.00R20-18PR(152/149F)[CB972]ARISUN</v>
          </cell>
          <cell r="D51">
            <v>5200</v>
          </cell>
          <cell r="E51" t="str">
            <v>张PC</v>
          </cell>
          <cell r="F51">
            <v>5200</v>
          </cell>
        </row>
        <row r="52">
          <cell r="C52" t="str">
            <v>ID11.00R20-18PR(152/149K)[CR926+]ARISUN</v>
          </cell>
          <cell r="D52">
            <v>3000</v>
          </cell>
          <cell r="E52" t="str">
            <v>张PC</v>
          </cell>
          <cell r="F52">
            <v>3000</v>
          </cell>
        </row>
        <row r="53">
          <cell r="C53" t="str">
            <v>ID12.00R20-18PR(154/151F)[CB919]ARISUN</v>
          </cell>
          <cell r="D53">
            <v>5600</v>
          </cell>
          <cell r="E53" t="str">
            <v>张PC</v>
          </cell>
          <cell r="F53">
            <v>5600</v>
          </cell>
        </row>
        <row r="54">
          <cell r="C54" t="str">
            <v>ID12.00R24-20PR(160/157F)[CB919]ARISUN</v>
          </cell>
          <cell r="D54">
            <v>6000</v>
          </cell>
          <cell r="E54" t="str">
            <v>张PC</v>
          </cell>
          <cell r="F54">
            <v>6000</v>
          </cell>
        </row>
        <row r="55">
          <cell r="C55" t="str">
            <v>ID7.50R16-14PR(122/118L)[CB981]ARISUN</v>
          </cell>
          <cell r="D55">
            <v>5500</v>
          </cell>
          <cell r="E55" t="str">
            <v>张PC</v>
          </cell>
          <cell r="F55">
            <v>5500</v>
          </cell>
        </row>
        <row r="56">
          <cell r="C56" t="str">
            <v>ID10.00-20-18PR[AB111]150/145G ASCENDO</v>
          </cell>
          <cell r="D56">
            <v>5050</v>
          </cell>
          <cell r="E56" t="str">
            <v>张PC</v>
          </cell>
          <cell r="F56">
            <v>5050</v>
          </cell>
        </row>
        <row r="57">
          <cell r="C57" t="str">
            <v>ID10.00-20-18PR[AB313]150/145G ASCENDO</v>
          </cell>
          <cell r="D57">
            <v>5450</v>
          </cell>
          <cell r="E57" t="str">
            <v>张PC</v>
          </cell>
          <cell r="F57">
            <v>5450</v>
          </cell>
        </row>
        <row r="58">
          <cell r="C58" t="str">
            <v>ID10.00-20-18PR[AB316]150/145G ASCENDO</v>
          </cell>
          <cell r="D58">
            <v>5000</v>
          </cell>
          <cell r="E58" t="str">
            <v>张PC</v>
          </cell>
          <cell r="F58">
            <v>5000</v>
          </cell>
        </row>
        <row r="59">
          <cell r="C59" t="str">
            <v>ID11.00-20-18PR[AB112]153/148G ASCENDO</v>
          </cell>
          <cell r="D59">
            <v>2590</v>
          </cell>
          <cell r="E59" t="str">
            <v>张PC</v>
          </cell>
          <cell r="F59">
            <v>2590</v>
          </cell>
        </row>
        <row r="60">
          <cell r="C60" t="str">
            <v>ID11.00-20-18PR[AB535]153/148G ASCENDO</v>
          </cell>
          <cell r="D60">
            <v>5000</v>
          </cell>
          <cell r="E60" t="str">
            <v>张PC</v>
          </cell>
          <cell r="F60">
            <v>5000</v>
          </cell>
        </row>
        <row r="61">
          <cell r="C61" t="str">
            <v>ID7.50-16-14PR[AB111]122/118J ASCENDO</v>
          </cell>
          <cell r="D61">
            <v>4013</v>
          </cell>
          <cell r="E61" t="str">
            <v>张PC</v>
          </cell>
          <cell r="F61">
            <v>4013</v>
          </cell>
        </row>
        <row r="62">
          <cell r="C62" t="str">
            <v>ID7.50-16-14PR[AB313]122/118G ASCENDO</v>
          </cell>
          <cell r="D62">
            <v>4972</v>
          </cell>
          <cell r="E62" t="str">
            <v>张PC</v>
          </cell>
          <cell r="F62">
            <v>4972</v>
          </cell>
        </row>
        <row r="63">
          <cell r="C63" t="str">
            <v>ID11R22.5-16PR(146/143L)[DOMINATE D01]BLACKARROW无内</v>
          </cell>
          <cell r="D63">
            <v>3000</v>
          </cell>
          <cell r="E63" t="str">
            <v>张PC</v>
          </cell>
          <cell r="F63">
            <v>3000</v>
          </cell>
        </row>
        <row r="64">
          <cell r="C64" t="str">
            <v>ID11R22.5-16PR(146/143M)[STEALTH S01]BLACKARROW无内</v>
          </cell>
          <cell r="D64">
            <v>3000</v>
          </cell>
          <cell r="E64" t="str">
            <v>张PC</v>
          </cell>
          <cell r="F64">
            <v>3000</v>
          </cell>
        </row>
        <row r="65">
          <cell r="C65" t="str">
            <v>ID11R24.5-16PR(149/146L)[DOMINATE D01]BLACKARROW无内</v>
          </cell>
          <cell r="D65">
            <v>3000</v>
          </cell>
          <cell r="E65" t="str">
            <v>张PC</v>
          </cell>
          <cell r="F65">
            <v>3000</v>
          </cell>
        </row>
        <row r="66">
          <cell r="C66" t="str">
            <v>ID295/75R22.5-16PR(146/143L)[DOMINATE D01]BLACKARROW无内</v>
          </cell>
          <cell r="D66">
            <v>3000</v>
          </cell>
          <cell r="E66" t="str">
            <v>张PC</v>
          </cell>
          <cell r="F66">
            <v>3000</v>
          </cell>
        </row>
        <row r="67">
          <cell r="C67" t="str">
            <v>ID295/75R22.5-16PR(146/143M)[STEALTH S01]BLACKARROW无内</v>
          </cell>
          <cell r="D67">
            <v>3000</v>
          </cell>
          <cell r="E67" t="str">
            <v>张PC</v>
          </cell>
          <cell r="F67">
            <v>3000</v>
          </cell>
        </row>
        <row r="68">
          <cell r="C68" t="str">
            <v>ID10.00R20-18PR(149/146J)[BMA08]BRANSALES</v>
          </cell>
          <cell r="D68">
            <v>3000</v>
          </cell>
          <cell r="E68" t="str">
            <v>张PC</v>
          </cell>
          <cell r="F68">
            <v>3000</v>
          </cell>
        </row>
        <row r="69">
          <cell r="C69" t="str">
            <v>ID275/80R22.5-16PR(149/146M)[BMD06 PRO]BRANSALES无内</v>
          </cell>
          <cell r="D69">
            <v>13000</v>
          </cell>
          <cell r="E69" t="str">
            <v>张PC</v>
          </cell>
          <cell r="F69">
            <v>8000</v>
          </cell>
        </row>
        <row r="70">
          <cell r="C70" t="str">
            <v>ID275/80R22.5-16PR(149/146L)[BMA03 ECO]BRANSALES无内</v>
          </cell>
          <cell r="D70">
            <v>7040</v>
          </cell>
          <cell r="E70" t="str">
            <v>张PC</v>
          </cell>
          <cell r="F70">
            <v>7040</v>
          </cell>
        </row>
        <row r="71">
          <cell r="C71" t="str">
            <v>ID275/80R22.5-16PR(149/146L)[BRD02 ECO]BRANSALES无内</v>
          </cell>
          <cell r="D71">
            <v>2000</v>
          </cell>
          <cell r="E71" t="str">
            <v>张PC</v>
          </cell>
          <cell r="F71">
            <v>2000</v>
          </cell>
        </row>
        <row r="72">
          <cell r="C72" t="str">
            <v>ID275/80R22.5-16PR(149/146M)[BRA04]BRANSALES无内</v>
          </cell>
          <cell r="D72">
            <v>2450</v>
          </cell>
          <cell r="E72" t="str">
            <v>张PC</v>
          </cell>
          <cell r="F72">
            <v>2450</v>
          </cell>
        </row>
        <row r="73">
          <cell r="C73" t="str">
            <v>ID295/80R22.5-18PR(152/149K)[BMD06 PRO]BRANSALES无内</v>
          </cell>
          <cell r="D73">
            <v>1970</v>
          </cell>
          <cell r="E73" t="str">
            <v>张PC</v>
          </cell>
          <cell r="F73">
            <v>1970</v>
          </cell>
        </row>
        <row r="74">
          <cell r="C74" t="str">
            <v>ID295/80R22.5-18PR(152/149L)[BMA02 ECO]Bransales无内</v>
          </cell>
          <cell r="D74">
            <v>1900</v>
          </cell>
          <cell r="E74" t="str">
            <v>张PC</v>
          </cell>
          <cell r="F74">
            <v>1900</v>
          </cell>
        </row>
        <row r="75">
          <cell r="C75" t="str">
            <v>ID295/80R22.5-18PR(152/149L)[BMA07 ECO]BRANSALES无内</v>
          </cell>
          <cell r="D75">
            <v>9995</v>
          </cell>
          <cell r="E75" t="str">
            <v>张PC</v>
          </cell>
          <cell r="F75">
            <v>6000</v>
          </cell>
        </row>
        <row r="76">
          <cell r="C76" t="str">
            <v>ID295/80R22.5-18PR(152/149L)[BRD02 ECO]Bransales无内</v>
          </cell>
          <cell r="D76">
            <v>1600</v>
          </cell>
          <cell r="E76" t="str">
            <v>张PC</v>
          </cell>
          <cell r="F76">
            <v>1600</v>
          </cell>
        </row>
        <row r="77">
          <cell r="C77" t="str">
            <v>ID295/80R22.5-18PR(152/149M)[BRA02 ECO]Bransales无内</v>
          </cell>
          <cell r="D77">
            <v>1800</v>
          </cell>
          <cell r="E77" t="str">
            <v>张PC</v>
          </cell>
          <cell r="F77">
            <v>1800</v>
          </cell>
        </row>
        <row r="78">
          <cell r="C78" t="str">
            <v>ID295/80R22.5-18PR(152/149M)[BRA07 ECO]BRANSALES无内</v>
          </cell>
          <cell r="D78">
            <v>9300</v>
          </cell>
          <cell r="E78" t="str">
            <v>张PC</v>
          </cell>
          <cell r="F78">
            <v>7000</v>
          </cell>
        </row>
        <row r="79">
          <cell r="C79" t="str">
            <v>ID295/80R22.5-18PR(152/149M)[BRD06 PRO]BRANSALES无内</v>
          </cell>
          <cell r="D79">
            <v>2000</v>
          </cell>
          <cell r="E79" t="str">
            <v>张PC</v>
          </cell>
          <cell r="F79">
            <v>2000</v>
          </cell>
        </row>
        <row r="80">
          <cell r="C80" t="str">
            <v>ID295/80R22.5-18PR(154/149M)[BRA06 PRO]BRANSALES无内</v>
          </cell>
          <cell r="D80">
            <v>6880</v>
          </cell>
          <cell r="E80" t="str">
            <v>张PC</v>
          </cell>
          <cell r="F80">
            <v>6880</v>
          </cell>
        </row>
        <row r="81">
          <cell r="C81" t="str">
            <v>ID10.00-20-16PR[M9097]146/142G 朝阳</v>
          </cell>
          <cell r="D81">
            <v>2840</v>
          </cell>
          <cell r="E81" t="str">
            <v>张PC</v>
          </cell>
          <cell r="F81">
            <v>2840</v>
          </cell>
        </row>
        <row r="82">
          <cell r="C82" t="str">
            <v>ID10.00-20-16PR[R9037]146/142G 朝阳</v>
          </cell>
          <cell r="D82">
            <v>3671</v>
          </cell>
          <cell r="E82" t="str">
            <v>张PC</v>
          </cell>
          <cell r="F82">
            <v>3671</v>
          </cell>
        </row>
        <row r="83">
          <cell r="C83" t="str">
            <v>ID10.00-20-18PR[CR952]150/145G 朝阳</v>
          </cell>
          <cell r="D83">
            <v>2440</v>
          </cell>
          <cell r="E83" t="str">
            <v>张PC</v>
          </cell>
          <cell r="F83">
            <v>2440</v>
          </cell>
        </row>
        <row r="84">
          <cell r="C84" t="str">
            <v>ID10.00-20-18PR[M9097]150/145G 朝阳</v>
          </cell>
          <cell r="D84">
            <v>4624</v>
          </cell>
          <cell r="E84" t="str">
            <v>张PC</v>
          </cell>
          <cell r="F84">
            <v>4626</v>
          </cell>
        </row>
        <row r="85">
          <cell r="C85" t="str">
            <v>ID10.00-20-18PR[R9037]150/145G 朝阳</v>
          </cell>
          <cell r="D85">
            <v>4243</v>
          </cell>
          <cell r="E85" t="str">
            <v>张PC</v>
          </cell>
          <cell r="F85">
            <v>4234</v>
          </cell>
        </row>
        <row r="86">
          <cell r="C86" t="str">
            <v>ID11.00-20-18PR[CL969]153/148G 朝阳</v>
          </cell>
          <cell r="D86">
            <v>2780</v>
          </cell>
          <cell r="E86" t="str">
            <v>张PC</v>
          </cell>
          <cell r="F86">
            <v>2780</v>
          </cell>
        </row>
        <row r="87">
          <cell r="C87" t="str">
            <v>ID11.00-20-18PR[CR952]153/148G 朝阳</v>
          </cell>
          <cell r="D87">
            <v>2584</v>
          </cell>
          <cell r="E87" t="str">
            <v>张PC</v>
          </cell>
          <cell r="F87">
            <v>2584</v>
          </cell>
        </row>
        <row r="88">
          <cell r="C88" t="str">
            <v>ID11.00-20-18PR[CR952PRO]153/148G 朝阳</v>
          </cell>
          <cell r="D88">
            <v>7758</v>
          </cell>
          <cell r="E88" t="str">
            <v>张PC</v>
          </cell>
          <cell r="F88">
            <v>7758</v>
          </cell>
        </row>
        <row r="89">
          <cell r="C89" t="str">
            <v>ID23.5-25-20PR[EL36]朝阳</v>
          </cell>
          <cell r="D89">
            <v>300</v>
          </cell>
          <cell r="E89" t="str">
            <v>张PC</v>
          </cell>
          <cell r="F89">
            <v>300</v>
          </cell>
        </row>
        <row r="90">
          <cell r="C90" t="str">
            <v>ID23.5-25-24PR[EL36A]朝阳</v>
          </cell>
          <cell r="D90">
            <v>1608</v>
          </cell>
          <cell r="E90" t="str">
            <v>张PC</v>
          </cell>
          <cell r="F90">
            <v>1608</v>
          </cell>
        </row>
        <row r="91">
          <cell r="C91" t="str">
            <v>ID7.50-15-12PR[R8037]119/115J 朝阳</v>
          </cell>
          <cell r="D91">
            <v>4367</v>
          </cell>
          <cell r="E91" t="str">
            <v>张PC</v>
          </cell>
          <cell r="F91">
            <v>4367</v>
          </cell>
        </row>
        <row r="92">
          <cell r="C92" t="str">
            <v>ID7.50-16-14PR[L8056]122/118G 朝阳</v>
          </cell>
          <cell r="D92">
            <v>2512</v>
          </cell>
          <cell r="E92" t="str">
            <v>张PC</v>
          </cell>
          <cell r="F92">
            <v>2512</v>
          </cell>
        </row>
        <row r="93">
          <cell r="C93" t="str">
            <v>ID7.50-16-14PR[M8086]122/118G 朝阳</v>
          </cell>
          <cell r="D93">
            <v>3900</v>
          </cell>
          <cell r="E93" t="str">
            <v>张PC</v>
          </cell>
          <cell r="F93">
            <v>3900</v>
          </cell>
        </row>
        <row r="94">
          <cell r="C94" t="str">
            <v>ID7.50-16-14PR[M8087]122/118G 朝阳</v>
          </cell>
          <cell r="D94">
            <v>5292</v>
          </cell>
          <cell r="E94" t="str">
            <v>张PC</v>
          </cell>
          <cell r="F94">
            <v>5292</v>
          </cell>
        </row>
        <row r="95">
          <cell r="C95" t="str">
            <v>ID7.50-16-14PR[R8037]122/118J 朝阳</v>
          </cell>
          <cell r="D95">
            <v>18461</v>
          </cell>
          <cell r="E95" t="str">
            <v>张PC</v>
          </cell>
          <cell r="F95">
            <v>18461</v>
          </cell>
        </row>
        <row r="96">
          <cell r="C96" t="str">
            <v>IDLT7.00-16-12PR[R8037]115/110J 朝阳</v>
          </cell>
          <cell r="D96">
            <v>1800</v>
          </cell>
          <cell r="E96" t="str">
            <v>张PC</v>
          </cell>
          <cell r="F96">
            <v>1800</v>
          </cell>
        </row>
        <row r="97">
          <cell r="C97" t="str">
            <v>ID275/80R22.5-16PR(149/146L)[AD153]朝阳无内</v>
          </cell>
          <cell r="D97">
            <v>2203</v>
          </cell>
          <cell r="E97" t="str">
            <v>张PC</v>
          </cell>
          <cell r="F97">
            <v>2203</v>
          </cell>
        </row>
        <row r="98">
          <cell r="C98" t="str">
            <v>ID275/80R22.5-16PR(149/146L)[EZ573]朝阳无内</v>
          </cell>
          <cell r="D98">
            <v>1485</v>
          </cell>
          <cell r="E98" t="str">
            <v>张PC</v>
          </cell>
          <cell r="F98">
            <v>1485</v>
          </cell>
        </row>
        <row r="99">
          <cell r="C99" t="str">
            <v>ID275/80R22.5-16PR(149/146M)[AD528]朝阳无内</v>
          </cell>
          <cell r="D99">
            <v>3350</v>
          </cell>
          <cell r="E99" t="str">
            <v>张PC</v>
          </cell>
          <cell r="F99">
            <v>3350</v>
          </cell>
        </row>
        <row r="100">
          <cell r="C100" t="str">
            <v>ID275/80R22.5-16PR(149/146M)[AS678]朝阳无内</v>
          </cell>
          <cell r="D100">
            <v>9275</v>
          </cell>
          <cell r="E100" t="str">
            <v>张PC</v>
          </cell>
          <cell r="F100">
            <v>7000</v>
          </cell>
        </row>
        <row r="101">
          <cell r="C101" t="str">
            <v>ID275/80R22.5-16PR(149/146M)[CR976A]朝阳无内</v>
          </cell>
          <cell r="D101">
            <v>2932</v>
          </cell>
          <cell r="E101" t="str">
            <v>张PC</v>
          </cell>
          <cell r="F101">
            <v>2932</v>
          </cell>
        </row>
        <row r="102">
          <cell r="C102" t="str">
            <v>ID295/80R22.5-18PR(152/149J)[CB972]朝阳无内</v>
          </cell>
          <cell r="D102">
            <v>2049</v>
          </cell>
          <cell r="E102" t="str">
            <v>张PC</v>
          </cell>
          <cell r="F102">
            <v>2049</v>
          </cell>
        </row>
        <row r="103">
          <cell r="C103" t="str">
            <v>ID295/80R22.5-18PR(152/149K)[MD777]朝阳无内</v>
          </cell>
          <cell r="D103">
            <v>4500</v>
          </cell>
          <cell r="E103" t="str">
            <v>张PC</v>
          </cell>
          <cell r="F103">
            <v>3800</v>
          </cell>
        </row>
        <row r="104">
          <cell r="C104" t="str">
            <v>ID295/80R22.5-18PR(152/149L)[AD153]朝阳无内</v>
          </cell>
          <cell r="D104">
            <v>7450</v>
          </cell>
          <cell r="E104" t="str">
            <v>张PC</v>
          </cell>
          <cell r="F104">
            <v>7450</v>
          </cell>
        </row>
        <row r="105">
          <cell r="C105" t="str">
            <v>ID295/80R22.5-18PR(152/149M)[AD528]朝阳无内</v>
          </cell>
          <cell r="D105">
            <v>2950</v>
          </cell>
          <cell r="E105" t="str">
            <v>张PC</v>
          </cell>
          <cell r="F105">
            <v>2950</v>
          </cell>
        </row>
        <row r="106">
          <cell r="C106" t="str">
            <v>ID295/80R22.5-18PR(152/149M)[AD818]朝阳无内</v>
          </cell>
          <cell r="D106">
            <v>2320</v>
          </cell>
          <cell r="E106" t="str">
            <v>张PC</v>
          </cell>
          <cell r="F106">
            <v>2320</v>
          </cell>
        </row>
        <row r="107">
          <cell r="C107" t="str">
            <v>ID295/80R22.5-18PR(152/149M)[AS668]朝阳无内</v>
          </cell>
          <cell r="D107">
            <v>2965</v>
          </cell>
          <cell r="E107" t="str">
            <v>张PC</v>
          </cell>
          <cell r="F107">
            <v>2965</v>
          </cell>
        </row>
        <row r="108">
          <cell r="C108" t="str">
            <v>ID295/80R22.5-18PR(152/149M)[AS678]朝阳无内</v>
          </cell>
          <cell r="D108">
            <v>5058</v>
          </cell>
          <cell r="E108" t="str">
            <v>张PC</v>
          </cell>
          <cell r="F108">
            <v>5058</v>
          </cell>
        </row>
        <row r="109">
          <cell r="C109" t="str">
            <v>ID295/80R22.5-18PR(152/149M)[AS898]朝阳无内</v>
          </cell>
          <cell r="D109">
            <v>3000</v>
          </cell>
          <cell r="E109" t="str">
            <v>张PC</v>
          </cell>
          <cell r="F109">
            <v>3000</v>
          </cell>
        </row>
        <row r="110">
          <cell r="C110" t="str">
            <v>ID295/80R22.5-18PR(152/149M)[CR976A]朝阳无内</v>
          </cell>
          <cell r="D110">
            <v>5000</v>
          </cell>
          <cell r="E110" t="str">
            <v>张PC</v>
          </cell>
          <cell r="F110">
            <v>4115</v>
          </cell>
        </row>
        <row r="111">
          <cell r="C111" t="str">
            <v>ID325/95R24-22PR(162/160K)[AZ272]朝阳无内</v>
          </cell>
          <cell r="D111">
            <v>3200</v>
          </cell>
          <cell r="E111" t="str">
            <v>张PC</v>
          </cell>
          <cell r="F111">
            <v>3200</v>
          </cell>
        </row>
        <row r="112">
          <cell r="C112" t="str">
            <v>ID325/95R24-22PR(162/160K)[AZ691]朝阳无内</v>
          </cell>
          <cell r="D112">
            <v>3256</v>
          </cell>
          <cell r="E112" t="str">
            <v>张PC</v>
          </cell>
          <cell r="F112">
            <v>2600</v>
          </cell>
        </row>
        <row r="113">
          <cell r="C113" t="str">
            <v>ID325/95R24-22PR(162/160K)[AZ828]朝阳无内</v>
          </cell>
          <cell r="D113">
            <v>1760</v>
          </cell>
          <cell r="E113" t="str">
            <v>张PC</v>
          </cell>
          <cell r="F113">
            <v>1760</v>
          </cell>
        </row>
        <row r="114">
          <cell r="C114" t="str">
            <v>ID325/95R24-22PR(162/160K)[CM912A]朝阳无内</v>
          </cell>
          <cell r="D114">
            <v>4570</v>
          </cell>
          <cell r="E114" t="str">
            <v>张PC</v>
          </cell>
          <cell r="F114">
            <v>4570</v>
          </cell>
        </row>
        <row r="115">
          <cell r="C115" t="str">
            <v>ID325/95R24-22PR(162/160K)[CM913A]朝阳无内</v>
          </cell>
          <cell r="D115">
            <v>2600</v>
          </cell>
          <cell r="E115" t="str">
            <v>张PC</v>
          </cell>
          <cell r="F115">
            <v>2430</v>
          </cell>
        </row>
        <row r="116">
          <cell r="C116" t="str">
            <v>ID425/65R22.5-20PR(165K)[AT557]朝阳无内</v>
          </cell>
          <cell r="D116">
            <v>3000</v>
          </cell>
          <cell r="E116" t="str">
            <v>张PC</v>
          </cell>
          <cell r="F116">
            <v>3000</v>
          </cell>
        </row>
        <row r="117">
          <cell r="C117" t="str">
            <v>ID10.00R20-18PR(149/146F)[CB332]  朝阳</v>
          </cell>
          <cell r="D117">
            <v>2960</v>
          </cell>
          <cell r="E117" t="str">
            <v>张PC</v>
          </cell>
          <cell r="F117">
            <v>2960</v>
          </cell>
        </row>
        <row r="118">
          <cell r="C118" t="str">
            <v>ID10.00R20-18PR(149/146F)[CB332]朝阳</v>
          </cell>
          <cell r="D118">
            <v>2550</v>
          </cell>
          <cell r="E118" t="str">
            <v>张PC</v>
          </cell>
          <cell r="F118">
            <v>2550</v>
          </cell>
        </row>
        <row r="119">
          <cell r="C119" t="str">
            <v>ID10.00R20-18PR(149/146F)[CB905]朝阳</v>
          </cell>
          <cell r="D119">
            <v>4110</v>
          </cell>
          <cell r="E119" t="str">
            <v>张PC</v>
          </cell>
          <cell r="F119">
            <v>4110</v>
          </cell>
        </row>
        <row r="120">
          <cell r="C120" t="str">
            <v>ID10.00R20-18PR(149/146F)[CB972]朝阳</v>
          </cell>
          <cell r="D120">
            <v>7045</v>
          </cell>
          <cell r="E120" t="str">
            <v>张PC</v>
          </cell>
          <cell r="F120">
            <v>7045</v>
          </cell>
        </row>
        <row r="121">
          <cell r="C121" t="str">
            <v>ID10.00R20-18PR(149/146J)[AZ676]朝阳</v>
          </cell>
          <cell r="D121">
            <v>5000</v>
          </cell>
          <cell r="E121" t="str">
            <v>张PC</v>
          </cell>
          <cell r="F121">
            <v>4800</v>
          </cell>
        </row>
        <row r="122">
          <cell r="C122" t="str">
            <v>ID10.00R20-18PR(149/146J)[AZ697]朝阳</v>
          </cell>
          <cell r="D122">
            <v>6391</v>
          </cell>
          <cell r="E122" t="str">
            <v>张PC</v>
          </cell>
          <cell r="F122">
            <v>6391</v>
          </cell>
        </row>
        <row r="123">
          <cell r="C123" t="str">
            <v>ID10.00R20-18PR(149/146J)[AZ850]朝阳</v>
          </cell>
          <cell r="D123">
            <v>1723</v>
          </cell>
          <cell r="E123" t="str">
            <v>张PC</v>
          </cell>
          <cell r="F123">
            <v>1723</v>
          </cell>
        </row>
        <row r="124">
          <cell r="C124" t="str">
            <v>ID10.00R20-18PR(149/146J)[CM958]朝阳</v>
          </cell>
          <cell r="D124">
            <v>2400</v>
          </cell>
          <cell r="E124" t="str">
            <v>张PC</v>
          </cell>
          <cell r="F124">
            <v>2400</v>
          </cell>
        </row>
        <row r="125">
          <cell r="C125" t="str">
            <v>ID10.00R20-18PR(149/146J)[CR926]朝阳</v>
          </cell>
          <cell r="D125">
            <v>5701</v>
          </cell>
          <cell r="E125" t="str">
            <v>张PC</v>
          </cell>
          <cell r="F125">
            <v>5701</v>
          </cell>
        </row>
        <row r="126">
          <cell r="C126" t="str">
            <v>ID10.00R20-18PR(149/146J)[EZ369]朝阳</v>
          </cell>
          <cell r="D126">
            <v>9060</v>
          </cell>
          <cell r="E126" t="str">
            <v>张PC</v>
          </cell>
          <cell r="F126">
            <v>6700</v>
          </cell>
        </row>
        <row r="127">
          <cell r="C127" t="str">
            <v>ID11.00R20-18PR(152/149F)[CB332A]朝阳</v>
          </cell>
          <cell r="D127">
            <v>1300</v>
          </cell>
          <cell r="E127" t="str">
            <v>张PC</v>
          </cell>
          <cell r="F127">
            <v>1300</v>
          </cell>
        </row>
        <row r="128">
          <cell r="C128" t="str">
            <v>ID11.00R20-18PR(152/149F)[CB905A]朝阳</v>
          </cell>
          <cell r="D128">
            <v>1268</v>
          </cell>
          <cell r="E128" t="str">
            <v>张PC</v>
          </cell>
          <cell r="F128">
            <v>1268</v>
          </cell>
        </row>
        <row r="129">
          <cell r="C129" t="str">
            <v>ID11.00R20-18PR(152/149F)[CB972]朝阳</v>
          </cell>
          <cell r="D129">
            <v>4757</v>
          </cell>
          <cell r="E129" t="str">
            <v>张PC</v>
          </cell>
          <cell r="F129">
            <v>4757</v>
          </cell>
        </row>
        <row r="130">
          <cell r="C130" t="str">
            <v>ID11.00R20-18PR(152/149F)[EZ330A]朝阳</v>
          </cell>
          <cell r="D130">
            <v>4980</v>
          </cell>
          <cell r="E130" t="str">
            <v>张PC</v>
          </cell>
          <cell r="F130">
            <v>4980</v>
          </cell>
        </row>
        <row r="131">
          <cell r="C131" t="str">
            <v>ID11.00R20-18PR(152/149K)[AS578]朝阳</v>
          </cell>
          <cell r="D131">
            <v>3000</v>
          </cell>
          <cell r="E131" t="str">
            <v>张PC</v>
          </cell>
          <cell r="F131">
            <v>3000</v>
          </cell>
        </row>
        <row r="132">
          <cell r="C132" t="str">
            <v>ID11.00R20-18PR(152/149K)[AS678]朝阳</v>
          </cell>
          <cell r="D132">
            <v>3800</v>
          </cell>
          <cell r="E132" t="str">
            <v>张PC</v>
          </cell>
          <cell r="F132">
            <v>3800</v>
          </cell>
        </row>
        <row r="133">
          <cell r="C133" t="str">
            <v>ID11.00R20-18PR(152/149K)[AZ850]朝阳</v>
          </cell>
          <cell r="D133">
            <v>15719</v>
          </cell>
          <cell r="E133" t="str">
            <v>张PC</v>
          </cell>
          <cell r="F133">
            <v>15710</v>
          </cell>
        </row>
        <row r="134">
          <cell r="C134" t="str">
            <v>ID11.00R20-18PR(152/149K)[CR926+]朝阳</v>
          </cell>
          <cell r="D134">
            <v>4500</v>
          </cell>
          <cell r="E134" t="str">
            <v>张PC</v>
          </cell>
          <cell r="F134">
            <v>4500</v>
          </cell>
        </row>
        <row r="135">
          <cell r="C135" t="str">
            <v>ID11.00R20-18PR(152/149K)[EZ369]朝阳</v>
          </cell>
          <cell r="D135">
            <v>4000</v>
          </cell>
          <cell r="E135" t="str">
            <v>张PC</v>
          </cell>
          <cell r="F135">
            <v>4000</v>
          </cell>
        </row>
        <row r="136">
          <cell r="C136" t="str">
            <v>ID11R22.5-16PR(148/145L)[AS858]朝阳无内</v>
          </cell>
          <cell r="D136">
            <v>5100</v>
          </cell>
          <cell r="E136" t="str">
            <v>张PC</v>
          </cell>
          <cell r="F136">
            <v>5100</v>
          </cell>
        </row>
        <row r="137">
          <cell r="C137" t="str">
            <v>ID11R22.5-16PR(148/145L)[AS868]朝阳无内</v>
          </cell>
          <cell r="D137">
            <v>3194</v>
          </cell>
          <cell r="E137" t="str">
            <v>张PC</v>
          </cell>
          <cell r="F137">
            <v>3194</v>
          </cell>
        </row>
        <row r="138">
          <cell r="C138" t="str">
            <v>ID11R22.5-16PR(148/145L)[AZ850]朝阳无内</v>
          </cell>
          <cell r="D138">
            <v>4566</v>
          </cell>
          <cell r="E138" t="str">
            <v>张PC</v>
          </cell>
          <cell r="F138">
            <v>4566</v>
          </cell>
        </row>
        <row r="139">
          <cell r="C139" t="str">
            <v>ID12.00R20-18PR(154/151F)[CB972]朝阳</v>
          </cell>
          <cell r="D139">
            <v>4313</v>
          </cell>
          <cell r="E139" t="str">
            <v>张PC</v>
          </cell>
          <cell r="F139">
            <v>4313</v>
          </cell>
        </row>
        <row r="140">
          <cell r="C140" t="str">
            <v>ID12.00R20-20PR(156/153F)[CB972]CHAOYANG</v>
          </cell>
          <cell r="D140">
            <v>14786</v>
          </cell>
          <cell r="E140" t="str">
            <v>张PC</v>
          </cell>
          <cell r="F140">
            <v>14786</v>
          </cell>
        </row>
        <row r="141">
          <cell r="C141" t="str">
            <v>ID12.00R20-20PR(156/153F)[CB972]朝阳</v>
          </cell>
          <cell r="D141">
            <v>5000</v>
          </cell>
          <cell r="E141" t="str">
            <v>张PC</v>
          </cell>
          <cell r="F141">
            <v>5000</v>
          </cell>
        </row>
        <row r="142">
          <cell r="C142" t="str">
            <v>ID12.00R24-20PR(160/157F)[CB972E]朝阳</v>
          </cell>
          <cell r="D142">
            <v>6275</v>
          </cell>
          <cell r="E142" t="str">
            <v>张PC</v>
          </cell>
          <cell r="F142">
            <v>6275</v>
          </cell>
        </row>
        <row r="143">
          <cell r="C143" t="str">
            <v>ID295/80R22.5-18PR(152/149M)[AS858Pro]朝阳无内</v>
          </cell>
          <cell r="D143">
            <v>4000</v>
          </cell>
          <cell r="E143" t="str">
            <v>张PC</v>
          </cell>
          <cell r="F143">
            <v>4000</v>
          </cell>
        </row>
        <row r="144">
          <cell r="C144" t="str">
            <v>ID295/80R22.5-18PR(152/149M)[AS868Pro]朝阳无内</v>
          </cell>
          <cell r="D144">
            <v>3730</v>
          </cell>
          <cell r="E144" t="str">
            <v>张PC</v>
          </cell>
          <cell r="F144">
            <v>3730</v>
          </cell>
        </row>
        <row r="145">
          <cell r="C145" t="str">
            <v>ID315/80R22.5-20PR(157/154K)[CR926B]朝阳无内</v>
          </cell>
          <cell r="D145">
            <v>3000</v>
          </cell>
          <cell r="E145" t="str">
            <v>张PC</v>
          </cell>
          <cell r="F145">
            <v>3000</v>
          </cell>
        </row>
        <row r="146">
          <cell r="C146" t="str">
            <v>ID7.50R16-14PR(122/118F)[CB972]朝阳</v>
          </cell>
          <cell r="D146">
            <v>4946</v>
          </cell>
          <cell r="E146" t="str">
            <v>张PC</v>
          </cell>
          <cell r="F146">
            <v>4940</v>
          </cell>
        </row>
        <row r="147">
          <cell r="C147" t="str">
            <v>ID7.50R16-14PR(122/118L)[AZ601]朝阳</v>
          </cell>
          <cell r="D147">
            <v>7500</v>
          </cell>
          <cell r="E147" t="str">
            <v>张PC</v>
          </cell>
          <cell r="F147">
            <v>7500</v>
          </cell>
        </row>
        <row r="148">
          <cell r="C148" t="str">
            <v>ID7.50R16-14PR(122/118L)[AZ697]朝阳</v>
          </cell>
          <cell r="D148">
            <v>8095</v>
          </cell>
          <cell r="E148" t="str">
            <v>张PC</v>
          </cell>
          <cell r="F148">
            <v>8090</v>
          </cell>
        </row>
        <row r="149">
          <cell r="C149" t="str">
            <v>ID7.50R16-14PR(122/118L)[AZ850S]朝阳</v>
          </cell>
          <cell r="D149">
            <v>5593</v>
          </cell>
          <cell r="E149" t="str">
            <v>张PC</v>
          </cell>
          <cell r="F149">
            <v>5590</v>
          </cell>
        </row>
        <row r="150">
          <cell r="C150" t="str">
            <v>ID7.50R16-14PR(122/118L)[CB981]朝阳</v>
          </cell>
          <cell r="D150">
            <v>4500</v>
          </cell>
          <cell r="E150" t="str">
            <v>张PC</v>
          </cell>
          <cell r="F150">
            <v>4500</v>
          </cell>
        </row>
        <row r="151">
          <cell r="C151" t="str">
            <v>ID7.50R16-14PR(122/118L)[CR926]朝阳</v>
          </cell>
          <cell r="D151">
            <v>8251</v>
          </cell>
          <cell r="E151" t="str">
            <v>张PC</v>
          </cell>
          <cell r="F151">
            <v>8250</v>
          </cell>
        </row>
        <row r="152">
          <cell r="C152" t="str">
            <v>ID7.50R16-14PR(122/118L)[EZ369]朝阳</v>
          </cell>
          <cell r="D152">
            <v>3668</v>
          </cell>
          <cell r="E152" t="str">
            <v>张PC</v>
          </cell>
          <cell r="F152">
            <v>3660</v>
          </cell>
        </row>
        <row r="153">
          <cell r="C153" t="str">
            <v>ID8.25R16-14PR(128/126L)[CR926]朝阳</v>
          </cell>
          <cell r="D153">
            <v>2427</v>
          </cell>
          <cell r="E153" t="str">
            <v>张PC</v>
          </cell>
          <cell r="F153">
            <v>2420</v>
          </cell>
        </row>
        <row r="154">
          <cell r="C154" t="str">
            <v>ID315/80R22.5-20PR(157/154K)[CM913A]DIDAR无内</v>
          </cell>
          <cell r="D154">
            <v>2880</v>
          </cell>
          <cell r="E154" t="str">
            <v>张PC</v>
          </cell>
          <cell r="F154">
            <v>2880</v>
          </cell>
        </row>
        <row r="155">
          <cell r="C155" t="str">
            <v>ID315/80R22.5-20PR(157/154K)[CR926B]DIDAR无内</v>
          </cell>
          <cell r="D155">
            <v>4800</v>
          </cell>
          <cell r="E155" t="str">
            <v>张PC</v>
          </cell>
          <cell r="F155">
            <v>4800</v>
          </cell>
        </row>
        <row r="156">
          <cell r="C156" t="str">
            <v>ID325/95R24-22PR(162/160K)[AZ272]DIDAR无内</v>
          </cell>
          <cell r="D156">
            <v>2300</v>
          </cell>
          <cell r="E156" t="str">
            <v>张PC</v>
          </cell>
          <cell r="F156">
            <v>2300</v>
          </cell>
        </row>
        <row r="157">
          <cell r="C157" t="str">
            <v>ID325/95R24-22PR(162/160K)[AZ691]DIDAR无内</v>
          </cell>
          <cell r="D157">
            <v>7300</v>
          </cell>
          <cell r="E157" t="str">
            <v>张PC</v>
          </cell>
          <cell r="F157">
            <v>7300</v>
          </cell>
        </row>
        <row r="158">
          <cell r="C158" t="str">
            <v>ID325/95R24-22PR(162/160K)[AZ828]DIDAR无内</v>
          </cell>
          <cell r="D158">
            <v>2850</v>
          </cell>
          <cell r="E158" t="str">
            <v>张PC</v>
          </cell>
          <cell r="F158">
            <v>2850</v>
          </cell>
        </row>
        <row r="159">
          <cell r="C159" t="str">
            <v>ID325/95R24-22PR(162/160K)[CM912A]DIDAR无内</v>
          </cell>
          <cell r="D159">
            <v>2400</v>
          </cell>
          <cell r="E159" t="str">
            <v>张PC</v>
          </cell>
          <cell r="F159">
            <v>2400</v>
          </cell>
        </row>
        <row r="160">
          <cell r="C160" t="str">
            <v>ID325/95R24-22PR(162/160K)[CM913A]DIDAR无内</v>
          </cell>
          <cell r="D160">
            <v>2300</v>
          </cell>
          <cell r="E160" t="str">
            <v>张PC</v>
          </cell>
          <cell r="F160">
            <v>2300</v>
          </cell>
        </row>
        <row r="161">
          <cell r="C161" t="str">
            <v>ID325/95R24-22PR(162/160K)[EZ509]DIDAR无内</v>
          </cell>
          <cell r="D161">
            <v>3000</v>
          </cell>
          <cell r="E161" t="str">
            <v>张PC</v>
          </cell>
          <cell r="F161">
            <v>2800</v>
          </cell>
        </row>
        <row r="162">
          <cell r="C162" t="str">
            <v>ID325/95R24-22PR(162/160K)[MD752]DIDAR无内</v>
          </cell>
          <cell r="D162">
            <v>3000</v>
          </cell>
          <cell r="E162" t="str">
            <v>张PC</v>
          </cell>
          <cell r="F162">
            <v>2800</v>
          </cell>
        </row>
        <row r="163">
          <cell r="C163" t="str">
            <v>ID5.30-12-6PR[ST5000]GOODRIDE(好运)无内</v>
          </cell>
          <cell r="D163">
            <v>3000</v>
          </cell>
          <cell r="E163" t="str">
            <v>张PC</v>
          </cell>
          <cell r="F163">
            <v>3000</v>
          </cell>
        </row>
        <row r="164">
          <cell r="C164" t="str">
            <v>ID10.00-20-18PR[CL956]150/145G GOODRIDE(好运)</v>
          </cell>
          <cell r="D164">
            <v>2450</v>
          </cell>
          <cell r="E164" t="str">
            <v>张PC</v>
          </cell>
          <cell r="F164">
            <v>2450</v>
          </cell>
        </row>
        <row r="165">
          <cell r="C165" t="str">
            <v>ID10.00-20-18PR[M9096]150/145G GOODRIDE(好运)</v>
          </cell>
          <cell r="D165">
            <v>6529</v>
          </cell>
          <cell r="E165" t="str">
            <v>张PC</v>
          </cell>
          <cell r="F165">
            <v>6520</v>
          </cell>
        </row>
        <row r="166">
          <cell r="C166" t="str">
            <v>ID10.00-20-18PR[R9038]150/145G GOODRIDE(好运)</v>
          </cell>
          <cell r="D166">
            <v>4096</v>
          </cell>
          <cell r="E166" t="str">
            <v>张PC</v>
          </cell>
          <cell r="F166">
            <v>4090</v>
          </cell>
        </row>
        <row r="167">
          <cell r="C167" t="str">
            <v>ID11.00-20-18PR[CR952]153/148G GOODRIDE(好运)</v>
          </cell>
          <cell r="D167">
            <v>3681</v>
          </cell>
          <cell r="E167" t="str">
            <v>张PC</v>
          </cell>
          <cell r="F167">
            <v>3680</v>
          </cell>
        </row>
        <row r="168">
          <cell r="C168" t="str">
            <v>ID7.50-15-12PR[R8037]119/115J GOODRIDE(好运)</v>
          </cell>
          <cell r="D168">
            <v>2559</v>
          </cell>
          <cell r="E168" t="str">
            <v>张PC</v>
          </cell>
          <cell r="F168">
            <v>2550</v>
          </cell>
        </row>
        <row r="169">
          <cell r="C169" t="str">
            <v>ID7.50-16-14PR[M8086]122/118G GOODRIDE(好运)</v>
          </cell>
          <cell r="D169">
            <v>8705</v>
          </cell>
          <cell r="E169" t="str">
            <v>张PC</v>
          </cell>
          <cell r="F169">
            <v>8700</v>
          </cell>
        </row>
        <row r="170">
          <cell r="C170" t="str">
            <v>ID7.50-16-14PR[M8087]122/118G GOODRIDE(好运)</v>
          </cell>
          <cell r="D170">
            <v>7500</v>
          </cell>
          <cell r="E170" t="str">
            <v>张PC</v>
          </cell>
          <cell r="F170">
            <v>7500</v>
          </cell>
        </row>
        <row r="171">
          <cell r="C171" t="str">
            <v>ID7.50-16-14PR[R8037]122/118J GOODRIDE(好运)</v>
          </cell>
          <cell r="D171">
            <v>3850</v>
          </cell>
          <cell r="E171" t="str">
            <v>张PC</v>
          </cell>
          <cell r="F171">
            <v>3850</v>
          </cell>
        </row>
        <row r="172">
          <cell r="C172" t="str">
            <v>ID7.50-16-14PR[R8038]122/118J GOODRIDE(好运)</v>
          </cell>
          <cell r="D172">
            <v>10534</v>
          </cell>
          <cell r="E172" t="str">
            <v>张PC</v>
          </cell>
          <cell r="F172">
            <v>6450</v>
          </cell>
        </row>
        <row r="173">
          <cell r="C173" t="str">
            <v>ID7.50R16-14PR(122/118F)[CB972]GOODRIDE(好运)</v>
          </cell>
          <cell r="D173">
            <v>6700</v>
          </cell>
          <cell r="E173" t="str">
            <v>张PC</v>
          </cell>
          <cell r="F173">
            <v>6700</v>
          </cell>
        </row>
        <row r="174">
          <cell r="C174" t="str">
            <v>IDLT7.00-16-12PR[R8037]115/110J GOODRIDE(好运)</v>
          </cell>
          <cell r="D174">
            <v>4300</v>
          </cell>
          <cell r="E174" t="str">
            <v>张PC</v>
          </cell>
          <cell r="F174">
            <v>4300</v>
          </cell>
        </row>
        <row r="175">
          <cell r="C175" t="str">
            <v>ID(G104001)90/80-12-6P[H-602]55J GOODRIDE 纳米高抓 TL 配套 E4-75R-0021081</v>
          </cell>
          <cell r="D175">
            <v>3000</v>
          </cell>
          <cell r="E175" t="str">
            <v>张PC</v>
          </cell>
          <cell r="F175" t="str">
            <v>-</v>
          </cell>
        </row>
        <row r="176">
          <cell r="C176" t="str">
            <v>ID(G104003)90/90-12-4P[H-565-2]54P GOODRIDE 纳米高抓 TL 配套 E4-75R-0015058</v>
          </cell>
          <cell r="D176">
            <v>7188</v>
          </cell>
          <cell r="E176" t="str">
            <v>张PC</v>
          </cell>
          <cell r="F176" t="str">
            <v>-</v>
          </cell>
        </row>
        <row r="177">
          <cell r="C177" t="str">
            <v>ID(G104004)80/90-12-6P[H-565-2]53J GOODRIDE  纳米高抓 TL 配套</v>
          </cell>
          <cell r="D177">
            <v>5000</v>
          </cell>
          <cell r="E177" t="str">
            <v>张PC</v>
          </cell>
          <cell r="F177" t="str">
            <v>-</v>
          </cell>
        </row>
        <row r="178">
          <cell r="C178" t="str">
            <v>ID(G104005)90/90-12-4P[H-565-2]54J GOODRIDE 纳米高抓 TL 配套 E4-75R-0011097</v>
          </cell>
          <cell r="D178">
            <v>11000</v>
          </cell>
          <cell r="E178" t="str">
            <v>张PC</v>
          </cell>
          <cell r="F178" t="str">
            <v>-</v>
          </cell>
        </row>
        <row r="179">
          <cell r="C179" t="str">
            <v>ID(G104019)100/90-12-4P[H-565-2]59P GOODRIDE  纳米高抓 TL</v>
          </cell>
          <cell r="D179">
            <v>10000</v>
          </cell>
          <cell r="E179" t="str">
            <v>张PC</v>
          </cell>
          <cell r="F179" t="str">
            <v>-</v>
          </cell>
        </row>
        <row r="180">
          <cell r="C180" t="str">
            <v>ID(G104023)110/70-12-6P[H-565-2]52P GOODRIDE 纳米高抓 TL</v>
          </cell>
          <cell r="D180">
            <v>5000</v>
          </cell>
          <cell r="E180" t="str">
            <v>张PC</v>
          </cell>
          <cell r="F180" t="str">
            <v>-</v>
          </cell>
        </row>
        <row r="181">
          <cell r="C181" t="str">
            <v>ID(G104024)110/90-12-6P[H-565-2]69P GOODRIDE 纳米高抓 TL</v>
          </cell>
          <cell r="D181">
            <v>10000</v>
          </cell>
          <cell r="E181" t="str">
            <v>张PC</v>
          </cell>
          <cell r="F181" t="str">
            <v>-</v>
          </cell>
        </row>
        <row r="182">
          <cell r="C182" t="str">
            <v>ID(G104025)120/70-12-6P[H-565-2]58P GOODRIDE 纳米高抓 TL</v>
          </cell>
          <cell r="D182">
            <v>3000</v>
          </cell>
          <cell r="E182" t="str">
            <v>张PC</v>
          </cell>
          <cell r="F182" t="str">
            <v>-</v>
          </cell>
        </row>
        <row r="183">
          <cell r="C183" t="str">
            <v>ID(G105001)70/90-14-4P[H-577]34P GOODRIDE 纳米高抓 TL E4-75R-0018738</v>
          </cell>
          <cell r="D183">
            <v>5000</v>
          </cell>
          <cell r="E183" t="str">
            <v>张PC</v>
          </cell>
          <cell r="F183" t="str">
            <v>-</v>
          </cell>
        </row>
        <row r="184">
          <cell r="C184" t="str">
            <v>ID(G105002)80/80-14-4P[H-577]37P GOODRIDE 纳米高抓 TL E4-75R-0015453</v>
          </cell>
          <cell r="D184">
            <v>12000</v>
          </cell>
          <cell r="E184" t="str">
            <v>张PC</v>
          </cell>
          <cell r="F184" t="str">
            <v>-</v>
          </cell>
        </row>
        <row r="185">
          <cell r="C185" t="str">
            <v>ID(G105003)80/90-14-4P[H-577]40P GOODRIDE 纳米高抓 TL E4-75R-0018686</v>
          </cell>
          <cell r="D185">
            <v>48000</v>
          </cell>
          <cell r="E185" t="str">
            <v>张PC</v>
          </cell>
          <cell r="F185" t="str">
            <v>-</v>
          </cell>
        </row>
        <row r="186">
          <cell r="C186" t="str">
            <v>ID(G105004)90/80-14-4P[H-577]43P GOODRIDE 纳米高抓 TL E4-75R-0018739</v>
          </cell>
          <cell r="D186">
            <v>24500</v>
          </cell>
          <cell r="E186" t="str">
            <v>张PC</v>
          </cell>
          <cell r="F186" t="str">
            <v>-</v>
          </cell>
        </row>
        <row r="187">
          <cell r="C187" t="str">
            <v>ID(G105005)90/90-14-4P[H-577]46P GOODRIDE 纳米高抓 TL E4-75R-0014568</v>
          </cell>
          <cell r="D187">
            <v>54000</v>
          </cell>
          <cell r="E187" t="str">
            <v>张PC</v>
          </cell>
          <cell r="F187" t="str">
            <v>-</v>
          </cell>
        </row>
        <row r="188">
          <cell r="C188" t="str">
            <v>ID(G105006)100/80-14-4P[H-577]48P GOODRIDE 纳米高抓 TL E4-75R-0017425</v>
          </cell>
          <cell r="D188">
            <v>21000</v>
          </cell>
          <cell r="E188" t="str">
            <v>张PC</v>
          </cell>
          <cell r="F188" t="str">
            <v>-</v>
          </cell>
        </row>
        <row r="189">
          <cell r="C189" t="str">
            <v>ID(G105007)100/90-14-4P[H-577]57P GOODRIDE 纳米高抓 TL 配套 E4-75R-0014570</v>
          </cell>
          <cell r="D189">
            <v>3000</v>
          </cell>
          <cell r="E189" t="str">
            <v>张PC</v>
          </cell>
          <cell r="F189" t="str">
            <v>-</v>
          </cell>
        </row>
        <row r="190">
          <cell r="C190" t="str">
            <v>ID4.80-12-6PR[ST600]GOODRIDE(好运)无内</v>
          </cell>
          <cell r="D190">
            <v>8000</v>
          </cell>
          <cell r="E190" t="str">
            <v>张PC</v>
          </cell>
          <cell r="F190">
            <v>8000</v>
          </cell>
        </row>
        <row r="191">
          <cell r="C191" t="str">
            <v>IDST175/80D13-6PR[ST600]GOODRIDE(好运)无内</v>
          </cell>
          <cell r="D191">
            <v>17920</v>
          </cell>
          <cell r="E191" t="str">
            <v>张PC</v>
          </cell>
          <cell r="F191">
            <v>17900</v>
          </cell>
        </row>
        <row r="192">
          <cell r="C192" t="str">
            <v>IDST175/80R13-6PR[ST200]91/87M GOODRIDE(好运)无内NR</v>
          </cell>
          <cell r="D192">
            <v>8000</v>
          </cell>
          <cell r="E192" t="str">
            <v>张PC</v>
          </cell>
          <cell r="F192">
            <v>8000</v>
          </cell>
        </row>
        <row r="193">
          <cell r="C193" t="str">
            <v>IDST175/80R13-8PR[ST200]97/93M GOODRIDE(好运)无内NR</v>
          </cell>
          <cell r="D193">
            <v>3000</v>
          </cell>
          <cell r="E193" t="str">
            <v>张PC</v>
          </cell>
          <cell r="F193">
            <v>3000</v>
          </cell>
        </row>
        <row r="194">
          <cell r="C194" t="str">
            <v>IDST205/75D14-6PR[ST600]GOODRIDE(好运)无内</v>
          </cell>
          <cell r="D194">
            <v>2410</v>
          </cell>
          <cell r="E194" t="str">
            <v>张PC</v>
          </cell>
          <cell r="F194">
            <v>2400</v>
          </cell>
        </row>
        <row r="195">
          <cell r="C195" t="str">
            <v>IDST205/75D15-6PR[ST600]GOODRIDE(好运)无内</v>
          </cell>
          <cell r="D195">
            <v>14260</v>
          </cell>
          <cell r="E195" t="str">
            <v>张PC</v>
          </cell>
          <cell r="F195">
            <v>14000</v>
          </cell>
        </row>
        <row r="196">
          <cell r="C196" t="str">
            <v>IDST205/75R14-6PR[ST-100A]100/96M GOODRIDE(好运)无内</v>
          </cell>
          <cell r="D196">
            <v>3000</v>
          </cell>
          <cell r="E196" t="str">
            <v>张PC</v>
          </cell>
          <cell r="F196">
            <v>3000</v>
          </cell>
        </row>
        <row r="197">
          <cell r="C197" t="str">
            <v>IDST205/75R14-6PR[ST200]100/96M GOODRIDE(好运)无内</v>
          </cell>
          <cell r="D197">
            <v>5000</v>
          </cell>
          <cell r="E197" t="str">
            <v>张PC</v>
          </cell>
          <cell r="F197">
            <v>5000</v>
          </cell>
        </row>
        <row r="198">
          <cell r="C198" t="str">
            <v>IDST205/75R14-8PR[ST200]105/101M GOODRIDE(好运)无内</v>
          </cell>
          <cell r="D198">
            <v>5000</v>
          </cell>
          <cell r="E198" t="str">
            <v>张PC</v>
          </cell>
          <cell r="F198">
            <v>5000</v>
          </cell>
        </row>
        <row r="199">
          <cell r="C199" t="str">
            <v>IDST205/75R14-8PR[ST200]105/101M GOODRIDE(好运)无内 NR</v>
          </cell>
          <cell r="D199">
            <v>3000</v>
          </cell>
          <cell r="E199" t="str">
            <v>张PC</v>
          </cell>
          <cell r="F199">
            <v>3000</v>
          </cell>
        </row>
        <row r="200">
          <cell r="C200" t="str">
            <v>IDST205/75R15-6PR[ST200]101/97M GOODRIDE(好运)无内</v>
          </cell>
          <cell r="D200">
            <v>8000</v>
          </cell>
          <cell r="E200" t="str">
            <v>张PC</v>
          </cell>
          <cell r="F200">
            <v>3000</v>
          </cell>
        </row>
        <row r="201">
          <cell r="C201" t="str">
            <v>IDST205/75R15-8PR[ST-100A]107/102M GOODRIDE(好运)无内</v>
          </cell>
          <cell r="D201">
            <v>3000</v>
          </cell>
          <cell r="E201" t="str">
            <v>张PC</v>
          </cell>
          <cell r="F201">
            <v>3000</v>
          </cell>
        </row>
        <row r="202">
          <cell r="C202" t="str">
            <v>IDST205/75R15-8PR[ST200]107/102M GOODRIDE(好运)无内</v>
          </cell>
          <cell r="D202">
            <v>3000</v>
          </cell>
          <cell r="E202" t="str">
            <v>张PC</v>
          </cell>
          <cell r="F202">
            <v>3000</v>
          </cell>
        </row>
        <row r="203">
          <cell r="C203" t="str">
            <v>IDST215/75R14-8PR[ST-100A]108/103M GOODRIDE(好运)无内</v>
          </cell>
          <cell r="D203">
            <v>3000</v>
          </cell>
          <cell r="E203" t="str">
            <v>张PC</v>
          </cell>
          <cell r="F203">
            <v>3000</v>
          </cell>
        </row>
        <row r="204">
          <cell r="C204" t="str">
            <v>IDST215/75R14-8PR[ST100]108/103M GOODRIDE(好运)无内</v>
          </cell>
          <cell r="D204">
            <v>3000</v>
          </cell>
          <cell r="E204" t="str">
            <v>张PC</v>
          </cell>
          <cell r="F204">
            <v>3000</v>
          </cell>
        </row>
        <row r="205">
          <cell r="C205" t="str">
            <v>IDST225/75D15-8PR[ST600]GOODRIDE(好运)无内</v>
          </cell>
          <cell r="D205">
            <v>5600</v>
          </cell>
          <cell r="E205" t="str">
            <v>张PC</v>
          </cell>
          <cell r="F205">
            <v>5600</v>
          </cell>
        </row>
        <row r="206">
          <cell r="C206" t="str">
            <v>IDST225/75R15-10PR[ST200]117/112M GOODRIDE(好运)无内NR</v>
          </cell>
          <cell r="D206">
            <v>10000</v>
          </cell>
          <cell r="E206" t="str">
            <v>张PC</v>
          </cell>
          <cell r="F206">
            <v>8000</v>
          </cell>
        </row>
        <row r="207">
          <cell r="C207" t="str">
            <v>IDST225/75R15-8PR[ST200]113/108M GOODRIDE(好运)无内NR</v>
          </cell>
          <cell r="D207">
            <v>5000</v>
          </cell>
          <cell r="E207" t="str">
            <v>张PC</v>
          </cell>
          <cell r="F207">
            <v>5000</v>
          </cell>
        </row>
        <row r="208">
          <cell r="C208" t="str">
            <v>IDST235/80R16-10PR[ST200]124/120M GOODRIDE(好运)无内NR</v>
          </cell>
          <cell r="D208">
            <v>8000</v>
          </cell>
          <cell r="E208" t="str">
            <v>张PC</v>
          </cell>
          <cell r="F208">
            <v>8000</v>
          </cell>
        </row>
        <row r="209">
          <cell r="C209" t="str">
            <v>ID11R22.5-16PR(148/145L)[AD716]GOODRIDE(好运)无内</v>
          </cell>
          <cell r="D209">
            <v>4000</v>
          </cell>
          <cell r="E209" t="str">
            <v>张PC</v>
          </cell>
          <cell r="F209">
            <v>4000</v>
          </cell>
        </row>
        <row r="210">
          <cell r="C210" t="str">
            <v>ID11R22.5-16PR(148/145L)[AS858]GOODRIDE(好运)无内</v>
          </cell>
          <cell r="D210">
            <v>6660</v>
          </cell>
          <cell r="E210" t="str">
            <v>张PC</v>
          </cell>
          <cell r="F210">
            <v>6660</v>
          </cell>
        </row>
        <row r="211">
          <cell r="C211" t="str">
            <v>ID11R22.5-16PR(148/145L)[AZ599]GOODRIDE(好运)无内</v>
          </cell>
          <cell r="D211">
            <v>1901</v>
          </cell>
          <cell r="E211" t="str">
            <v>张PC</v>
          </cell>
          <cell r="F211">
            <v>1700</v>
          </cell>
        </row>
        <row r="212">
          <cell r="C212" t="str">
            <v>ID11R24.5-16PR(149/146L)[AD716]GOODRIDE(好运)无内</v>
          </cell>
          <cell r="D212">
            <v>1800</v>
          </cell>
          <cell r="E212" t="str">
            <v>张PC</v>
          </cell>
          <cell r="F212">
            <v>1800</v>
          </cell>
        </row>
        <row r="213">
          <cell r="C213" t="str">
            <v>ID11R24.5-16PR(149/146L)[AZ599]GOODRIDE(好运)无内</v>
          </cell>
          <cell r="D213">
            <v>1870</v>
          </cell>
          <cell r="E213" t="str">
            <v>张PC</v>
          </cell>
          <cell r="F213">
            <v>1870</v>
          </cell>
        </row>
        <row r="214">
          <cell r="C214" t="str">
            <v>ID225/70R19.5-14PR(128/126N)[AZ599]GOODRIDE(好运)无内 US</v>
          </cell>
          <cell r="D214">
            <v>1500</v>
          </cell>
          <cell r="E214" t="str">
            <v>张PC</v>
          </cell>
          <cell r="F214">
            <v>1500</v>
          </cell>
        </row>
        <row r="215">
          <cell r="C215" t="str">
            <v>ID225/70R19.5-14PR(128/126N)[CM986]GOODRIDE(好运)无内 US</v>
          </cell>
          <cell r="D215">
            <v>4400</v>
          </cell>
          <cell r="E215" t="str">
            <v>张PC</v>
          </cell>
          <cell r="F215">
            <v>4400</v>
          </cell>
        </row>
        <row r="216">
          <cell r="C216" t="str">
            <v>ID245/70R19.5-16PR(136/134M)[CM986]GOODRIDE(好运)无内 US</v>
          </cell>
          <cell r="D216">
            <v>2500</v>
          </cell>
          <cell r="E216" t="str">
            <v>张PC</v>
          </cell>
          <cell r="F216">
            <v>2500</v>
          </cell>
        </row>
        <row r="217">
          <cell r="C217" t="str">
            <v>ID255/70R22.5-16PR(140/137M)[AZ599]GOODRIDE(好运)无内</v>
          </cell>
          <cell r="D217">
            <v>2000</v>
          </cell>
          <cell r="E217" t="str">
            <v>张PC</v>
          </cell>
          <cell r="F217">
            <v>1600</v>
          </cell>
        </row>
        <row r="218">
          <cell r="C218" t="str">
            <v>ID295/75R22.5-14PR(144/141L)[AD716]GOODRIDE(好运)无内</v>
          </cell>
          <cell r="D218">
            <v>6900</v>
          </cell>
          <cell r="E218" t="str">
            <v>张PC</v>
          </cell>
          <cell r="F218">
            <v>6900</v>
          </cell>
        </row>
        <row r="219">
          <cell r="C219" t="str">
            <v>ID295/75R22.5-14PR(144/141L)[AZ599]GOODRIDE(好运)无内</v>
          </cell>
          <cell r="D219">
            <v>1700</v>
          </cell>
          <cell r="E219" t="str">
            <v>张PC</v>
          </cell>
          <cell r="F219">
            <v>1600</v>
          </cell>
        </row>
        <row r="220">
          <cell r="C220" t="str">
            <v>ID325/95R24-22PR(162/160K)[AZ272]GOODRIDE(好运)无内</v>
          </cell>
          <cell r="D220">
            <v>3100</v>
          </cell>
          <cell r="E220" t="str">
            <v>张PC</v>
          </cell>
          <cell r="F220">
            <v>2100</v>
          </cell>
        </row>
        <row r="221">
          <cell r="C221" t="str">
            <v>ID325/95R24-22PR(162/160K)[AZ691]GOODRIDE(好运)无内</v>
          </cell>
          <cell r="D221">
            <v>7000</v>
          </cell>
          <cell r="E221" t="str">
            <v>张PC</v>
          </cell>
          <cell r="F221">
            <v>7000</v>
          </cell>
        </row>
        <row r="222">
          <cell r="C222" t="str">
            <v>ID325/95R24-22PR(162/160K)[CM912A]GOODRIDE(好运)无内</v>
          </cell>
          <cell r="D222">
            <v>7310</v>
          </cell>
          <cell r="E222" t="str">
            <v>张PC</v>
          </cell>
          <cell r="F222">
            <v>7300</v>
          </cell>
        </row>
        <row r="223">
          <cell r="C223" t="str">
            <v>ID325/95R24-22PR(162/160K)[CM913A]GOODRIDE(好运)无内</v>
          </cell>
          <cell r="D223">
            <v>1810</v>
          </cell>
          <cell r="E223" t="str">
            <v>张PC</v>
          </cell>
          <cell r="F223">
            <v>1800</v>
          </cell>
        </row>
        <row r="224">
          <cell r="C224" t="str">
            <v>ID445/50R22.5-20PR(161L)[AD781]GOODRIDE(好运)无内</v>
          </cell>
          <cell r="D224">
            <v>6000</v>
          </cell>
          <cell r="E224" t="str">
            <v>张PC</v>
          </cell>
          <cell r="F224">
            <v>6000</v>
          </cell>
        </row>
        <row r="225">
          <cell r="C225" t="str">
            <v>ID445/50R22.5-20PR(161L)[AT566]GOODRIDE(好运)无内</v>
          </cell>
          <cell r="D225">
            <v>9000</v>
          </cell>
          <cell r="E225" t="str">
            <v>张PC</v>
          </cell>
          <cell r="F225">
            <v>6000</v>
          </cell>
        </row>
        <row r="226">
          <cell r="C226" t="str">
            <v>ID10.00R20-18PR(149/146F)[CB972]GOODRIDE(好运)</v>
          </cell>
          <cell r="D226">
            <v>5192</v>
          </cell>
          <cell r="E226" t="str">
            <v>张PC</v>
          </cell>
          <cell r="F226">
            <v>5190</v>
          </cell>
        </row>
        <row r="227">
          <cell r="C227" t="str">
            <v>ID10.00R20-18PR(149/146F)[EZ330]GOODRIDE(好运)</v>
          </cell>
          <cell r="D227">
            <v>3900</v>
          </cell>
          <cell r="E227" t="str">
            <v>张PC</v>
          </cell>
          <cell r="F227">
            <v>3900</v>
          </cell>
        </row>
        <row r="228">
          <cell r="C228" t="str">
            <v>ID10.00R20-18PR(149/146J)[AZ676]GOODRIDE(好运)</v>
          </cell>
          <cell r="D228">
            <v>4500</v>
          </cell>
          <cell r="E228" t="str">
            <v>张PC</v>
          </cell>
          <cell r="F228">
            <v>4500</v>
          </cell>
        </row>
        <row r="229">
          <cell r="C229" t="str">
            <v>ID10.00R20-18PR(149/146J)[AZ686]GOODRIDE(好运)</v>
          </cell>
          <cell r="D229">
            <v>5308</v>
          </cell>
          <cell r="E229" t="str">
            <v>张PC</v>
          </cell>
          <cell r="F229">
            <v>5300</v>
          </cell>
        </row>
        <row r="230">
          <cell r="C230" t="str">
            <v>ID10.00R20-18PR(149/146J)[AZ697]GOODRIDE(好运)</v>
          </cell>
          <cell r="D230">
            <v>5000</v>
          </cell>
          <cell r="E230" t="str">
            <v>张PC</v>
          </cell>
          <cell r="F230">
            <v>5000</v>
          </cell>
        </row>
        <row r="231">
          <cell r="C231" t="str">
            <v>ID10.00R20-18PR(149/146J)[AZ850]GOODRIDE(好运)</v>
          </cell>
          <cell r="D231">
            <v>5340</v>
          </cell>
          <cell r="E231" t="str">
            <v>张PC</v>
          </cell>
          <cell r="F231">
            <v>5340</v>
          </cell>
        </row>
        <row r="232">
          <cell r="C232" t="str">
            <v>ID10.00R20-18PR(149/146J)[CM913]GOODRIDE(好运)</v>
          </cell>
          <cell r="D232">
            <v>4191</v>
          </cell>
          <cell r="E232" t="str">
            <v>张PC</v>
          </cell>
          <cell r="F232">
            <v>4190</v>
          </cell>
        </row>
        <row r="233">
          <cell r="C233" t="str">
            <v>ID10.00R20-18PR(149/146J)[CM988]GOODRIDE(好运)</v>
          </cell>
          <cell r="D233">
            <v>5787</v>
          </cell>
          <cell r="E233" t="str">
            <v>张PC</v>
          </cell>
          <cell r="F233">
            <v>5787</v>
          </cell>
        </row>
        <row r="234">
          <cell r="C234" t="str">
            <v>ID10.00R20-18PR(149/146J)[CM998]GOODRIDE(好运)</v>
          </cell>
          <cell r="D234">
            <v>4000</v>
          </cell>
          <cell r="E234" t="str">
            <v>张PC</v>
          </cell>
          <cell r="F234">
            <v>4000</v>
          </cell>
        </row>
        <row r="235">
          <cell r="C235" t="str">
            <v>ID10.00R20-18PR(149/146J)[CR926]GOODRIDE(好运)</v>
          </cell>
          <cell r="D235">
            <v>3514</v>
          </cell>
          <cell r="E235" t="str">
            <v>张PC</v>
          </cell>
          <cell r="F235">
            <v>3500</v>
          </cell>
        </row>
        <row r="236">
          <cell r="C236" t="str">
            <v>ID10.00R20-18PR(149/146J)[MD758]GOODRIDE(好运)</v>
          </cell>
          <cell r="D236">
            <v>6000</v>
          </cell>
          <cell r="E236" t="str">
            <v>张PC</v>
          </cell>
          <cell r="F236">
            <v>6000</v>
          </cell>
        </row>
        <row r="237">
          <cell r="C237" t="str">
            <v>ID11.00R20-18PR(152/149F)[CB332A]GOODRIDE(好运)</v>
          </cell>
          <cell r="D237">
            <v>3500</v>
          </cell>
          <cell r="E237" t="str">
            <v>张PC</v>
          </cell>
          <cell r="F237">
            <v>3500</v>
          </cell>
        </row>
        <row r="238">
          <cell r="C238" t="str">
            <v>ID11.00R20-18PR(152/149F)[CB905A]GOODRIDE(好运)</v>
          </cell>
          <cell r="D238">
            <v>5100</v>
          </cell>
          <cell r="E238" t="str">
            <v>张PC</v>
          </cell>
          <cell r="F238">
            <v>5100</v>
          </cell>
        </row>
        <row r="239">
          <cell r="C239" t="str">
            <v>ID11.00R20-18PR(152/149F)[CB972]GOODRIDE(好运)</v>
          </cell>
          <cell r="D239">
            <v>6509</v>
          </cell>
          <cell r="E239" t="str">
            <v>张PC</v>
          </cell>
          <cell r="F239">
            <v>6500</v>
          </cell>
        </row>
        <row r="240">
          <cell r="C240" t="str">
            <v>ID11.00R20-18PR(152/149F)[EZ330A]GOODRIDE(好运)</v>
          </cell>
          <cell r="D240">
            <v>7000</v>
          </cell>
          <cell r="E240" t="str">
            <v>张PC</v>
          </cell>
          <cell r="F240">
            <v>7000</v>
          </cell>
        </row>
        <row r="241">
          <cell r="C241" t="str">
            <v>ID11.00R20-18PR(152/149F)[EZ336]GOODRIDE(好运)</v>
          </cell>
          <cell r="D241">
            <v>5100</v>
          </cell>
          <cell r="E241" t="str">
            <v>张PC</v>
          </cell>
          <cell r="F241">
            <v>5100</v>
          </cell>
        </row>
        <row r="242">
          <cell r="C242" t="str">
            <v>ID11.00R20-18PR(152/149J)[CM998]GOODRIDE(好运)</v>
          </cell>
          <cell r="D242">
            <v>4000</v>
          </cell>
          <cell r="E242" t="str">
            <v>张PC</v>
          </cell>
          <cell r="F242">
            <v>4000</v>
          </cell>
        </row>
        <row r="243">
          <cell r="C243" t="str">
            <v>ID11.00R20-18PR(152/149K)[AS578]GOODRIDE(好运)</v>
          </cell>
          <cell r="D243">
            <v>4500</v>
          </cell>
          <cell r="E243" t="str">
            <v>张PC</v>
          </cell>
          <cell r="F243">
            <v>4500</v>
          </cell>
        </row>
        <row r="244">
          <cell r="C244" t="str">
            <v>ID11.00R20-18PR(152/149K)[AS678]GOODRIDE(好运)</v>
          </cell>
          <cell r="D244">
            <v>4350</v>
          </cell>
          <cell r="E244" t="str">
            <v>张PC</v>
          </cell>
          <cell r="F244">
            <v>4350</v>
          </cell>
        </row>
        <row r="245">
          <cell r="C245" t="str">
            <v>ID11.00R20-18PR(152/149K)[AZ850]GOODRIDE(好运)</v>
          </cell>
          <cell r="D245">
            <v>3500</v>
          </cell>
          <cell r="E245" t="str">
            <v>张PC</v>
          </cell>
          <cell r="F245">
            <v>3500</v>
          </cell>
        </row>
        <row r="246">
          <cell r="C246" t="str">
            <v>ID11.00R20-18PR(152/149K)[CM988]GOODRIDE(好运)</v>
          </cell>
          <cell r="D246">
            <v>3958</v>
          </cell>
          <cell r="E246" t="str">
            <v>张PC</v>
          </cell>
          <cell r="F246">
            <v>3950</v>
          </cell>
        </row>
        <row r="247">
          <cell r="C247" t="str">
            <v>ID11.00R20-18PR(152/149K)[CR926+]GOODRIDE(好运)</v>
          </cell>
          <cell r="D247">
            <v>11486</v>
          </cell>
          <cell r="E247" t="str">
            <v>张PC</v>
          </cell>
          <cell r="F247">
            <v>11480</v>
          </cell>
        </row>
        <row r="248">
          <cell r="C248" t="str">
            <v>ID11.00R20-18PR(152/149K)[EZ369]GOODRIDE(好运)</v>
          </cell>
          <cell r="D248">
            <v>3200</v>
          </cell>
          <cell r="E248" t="str">
            <v>张PC</v>
          </cell>
          <cell r="F248">
            <v>3200</v>
          </cell>
        </row>
        <row r="249">
          <cell r="C249" t="str">
            <v>ID11R22.5-16PR(148/145L)[AS858]GOODRIDE(好运)无内</v>
          </cell>
          <cell r="D249">
            <v>8525</v>
          </cell>
          <cell r="E249" t="str">
            <v>张PC</v>
          </cell>
          <cell r="F249">
            <v>8525</v>
          </cell>
        </row>
        <row r="250">
          <cell r="C250" t="str">
            <v>ID11R22.5-16PR(148/145L)[AS868]GOODRIDE(好运)无内</v>
          </cell>
          <cell r="D250">
            <v>5000</v>
          </cell>
          <cell r="E250" t="str">
            <v>张PC</v>
          </cell>
          <cell r="F250">
            <v>5000</v>
          </cell>
        </row>
        <row r="251">
          <cell r="C251" t="str">
            <v>ID11R22.5-16PR(148/145L)[AZ599]GOODRIDE(好运)无内</v>
          </cell>
          <cell r="D251">
            <v>3000</v>
          </cell>
          <cell r="E251" t="str">
            <v>张PC</v>
          </cell>
          <cell r="F251">
            <v>3000</v>
          </cell>
        </row>
        <row r="252">
          <cell r="C252" t="str">
            <v>ID12.00R20-18PR(154/151F)[CB332]GOODRIDE(好运)</v>
          </cell>
          <cell r="D252">
            <v>5800</v>
          </cell>
          <cell r="E252" t="str">
            <v>张PC</v>
          </cell>
          <cell r="F252">
            <v>5800</v>
          </cell>
        </row>
        <row r="253">
          <cell r="C253" t="str">
            <v>ID12.00R20-18PR(154/151F)[CB919]GOODRIDE(好运)</v>
          </cell>
          <cell r="D253">
            <v>5200</v>
          </cell>
          <cell r="E253" t="str">
            <v>张PC</v>
          </cell>
          <cell r="F253">
            <v>5200</v>
          </cell>
        </row>
        <row r="254">
          <cell r="C254" t="str">
            <v>ID12.00R20-18PR(154/151F)[CB972]GOODRIDE(好运)</v>
          </cell>
          <cell r="D254">
            <v>3439</v>
          </cell>
          <cell r="E254" t="str">
            <v>张PC</v>
          </cell>
          <cell r="F254">
            <v>3430</v>
          </cell>
        </row>
        <row r="255">
          <cell r="C255" t="str">
            <v>ID12.00R20-18PR(154/151F)[EZ310]GOODRIDE(好运)</v>
          </cell>
          <cell r="D255">
            <v>6000</v>
          </cell>
          <cell r="E255" t="str">
            <v>张PC</v>
          </cell>
          <cell r="F255">
            <v>6000</v>
          </cell>
        </row>
        <row r="256">
          <cell r="C256" t="str">
            <v>ID12.00R20-20PR(156/153F)[CB972]GOODRIDE(好运)</v>
          </cell>
          <cell r="D256">
            <v>4495</v>
          </cell>
          <cell r="E256" t="str">
            <v>张PC</v>
          </cell>
          <cell r="F256">
            <v>4495</v>
          </cell>
        </row>
        <row r="257">
          <cell r="C257" t="str">
            <v>ID12.00R20-22PR(158/155C)[CB919]GOODRIDE(好运)</v>
          </cell>
          <cell r="D257">
            <v>2000</v>
          </cell>
          <cell r="E257" t="str">
            <v>张PC</v>
          </cell>
          <cell r="F257">
            <v>2000</v>
          </cell>
        </row>
        <row r="258">
          <cell r="C258" t="str">
            <v>ID12.00R20-22PR(158/155F)[CB919]GOODRIDE(好运)</v>
          </cell>
          <cell r="D258">
            <v>3500</v>
          </cell>
          <cell r="E258" t="str">
            <v>张PC</v>
          </cell>
          <cell r="F258">
            <v>23500</v>
          </cell>
        </row>
        <row r="259">
          <cell r="C259" t="str">
            <v>ID12.00R24-20PR(160/157F)[CB332]GOODRIDE(好运)</v>
          </cell>
          <cell r="D259">
            <v>5100</v>
          </cell>
          <cell r="E259" t="str">
            <v>张PC</v>
          </cell>
          <cell r="F259">
            <v>5100</v>
          </cell>
        </row>
        <row r="260">
          <cell r="C260" t="str">
            <v>ID12.00R24-20PR(160/157F)[CB919]GOODRIDE(好运)</v>
          </cell>
          <cell r="D260">
            <v>3800</v>
          </cell>
          <cell r="E260" t="str">
            <v>张PC</v>
          </cell>
          <cell r="F260">
            <v>3800</v>
          </cell>
        </row>
        <row r="261">
          <cell r="C261" t="str">
            <v>ID12.00R24-20PR(160/157F)[CB972]GOODRIDE(好运)</v>
          </cell>
          <cell r="D261">
            <v>4200</v>
          </cell>
          <cell r="E261" t="str">
            <v>张PC</v>
          </cell>
          <cell r="F261">
            <v>4200</v>
          </cell>
        </row>
        <row r="262">
          <cell r="C262" t="str">
            <v>ID12.00R24-20PR(160/157F)[CB972E]GOODRIDE(好运)</v>
          </cell>
          <cell r="D262">
            <v>3693</v>
          </cell>
          <cell r="E262" t="str">
            <v>张PC</v>
          </cell>
          <cell r="F262">
            <v>3690</v>
          </cell>
        </row>
        <row r="263">
          <cell r="C263" t="str">
            <v>ID295/80R22.5-18PR(152/149M)[AS858Pro]GOODRIDE(好运)无内</v>
          </cell>
          <cell r="D263">
            <v>5439</v>
          </cell>
          <cell r="E263" t="str">
            <v>张PC</v>
          </cell>
          <cell r="F263">
            <v>5430</v>
          </cell>
        </row>
        <row r="264">
          <cell r="C264" t="str">
            <v>ID7.50R16-14PR(122/118L)[AZ686]GOODRIDE(好运)</v>
          </cell>
          <cell r="D264">
            <v>12425</v>
          </cell>
          <cell r="E264" t="str">
            <v>张PC</v>
          </cell>
          <cell r="F264">
            <v>12425</v>
          </cell>
        </row>
        <row r="265">
          <cell r="C265" t="str">
            <v>ID7.50R16-14PR(122/118L)[AZ850S]GOODRIDE(好运)</v>
          </cell>
          <cell r="D265">
            <v>5500</v>
          </cell>
          <cell r="E265" t="str">
            <v>张PC</v>
          </cell>
          <cell r="F265">
            <v>5500</v>
          </cell>
        </row>
        <row r="266">
          <cell r="C266" t="str">
            <v>ID7.50R16-14PR(122/118L)[CB981]GOODRIDE(好运)</v>
          </cell>
          <cell r="D266">
            <v>2600</v>
          </cell>
          <cell r="E266" t="str">
            <v>张PC</v>
          </cell>
          <cell r="F266">
            <v>2600</v>
          </cell>
        </row>
        <row r="267">
          <cell r="C267" t="str">
            <v>ID7.50R16-14PR(122/118L)[CM913]GOODRIDE(好运)</v>
          </cell>
          <cell r="D267">
            <v>10300</v>
          </cell>
          <cell r="E267" t="str">
            <v>张PC</v>
          </cell>
          <cell r="F267">
            <v>10300</v>
          </cell>
        </row>
        <row r="268">
          <cell r="C268" t="str">
            <v>ID7.50R16-14PR(122/118L)[CM988]GOODRIDE(好运)</v>
          </cell>
          <cell r="D268">
            <v>2174</v>
          </cell>
          <cell r="E268" t="str">
            <v>张PC</v>
          </cell>
          <cell r="F268">
            <v>2170</v>
          </cell>
        </row>
        <row r="269">
          <cell r="C269" t="str">
            <v>ID7.50R16-14PR(122/118L)[CR926]GOODRIDE(好运)</v>
          </cell>
          <cell r="D269">
            <v>4620</v>
          </cell>
          <cell r="E269" t="str">
            <v>张PC</v>
          </cell>
          <cell r="F269">
            <v>4620</v>
          </cell>
        </row>
        <row r="270">
          <cell r="C270" t="str">
            <v>ID7.50R16-14PR(122/118L)[EZ369]GOODRIDE(好运)</v>
          </cell>
          <cell r="D270">
            <v>2800</v>
          </cell>
          <cell r="E270" t="str">
            <v>张PC</v>
          </cell>
          <cell r="F270">
            <v>2800</v>
          </cell>
        </row>
        <row r="271">
          <cell r="C271" t="str">
            <v>ID8.25R16-14PR(128/126L)[CR926]GOODRIDE(好运)</v>
          </cell>
          <cell r="D271">
            <v>1883</v>
          </cell>
          <cell r="E271" t="str">
            <v>张PC</v>
          </cell>
          <cell r="F271">
            <v>1880</v>
          </cell>
        </row>
        <row r="272">
          <cell r="C272" t="str">
            <v>ID8.25R16-16PR(128/124L)[CR926]GOODRIDE(好运)</v>
          </cell>
          <cell r="D272">
            <v>3000</v>
          </cell>
          <cell r="E272" t="str">
            <v>张PC</v>
          </cell>
          <cell r="F272">
            <v>3000</v>
          </cell>
        </row>
        <row r="273">
          <cell r="C273" t="str">
            <v>ID275/80R22.5-16PR(149/146L)[G-PERFORM D]GRIPMASTER无内</v>
          </cell>
          <cell r="D273">
            <v>6578</v>
          </cell>
          <cell r="E273" t="str">
            <v>张PC</v>
          </cell>
          <cell r="F273">
            <v>6578</v>
          </cell>
        </row>
        <row r="274">
          <cell r="C274" t="str">
            <v>ID275/80R22.5-16PR(149/146M)[G-PERFORM S]GRIPMASTER无内</v>
          </cell>
          <cell r="D274">
            <v>24402</v>
          </cell>
          <cell r="E274" t="str">
            <v>张PC</v>
          </cell>
          <cell r="F274">
            <v>13000</v>
          </cell>
        </row>
        <row r="275">
          <cell r="C275" t="str">
            <v>ID275/80R22.5-16PR(149/146L)[G-PRO MSA]GRIPMASTER无内</v>
          </cell>
          <cell r="D275">
            <v>6194</v>
          </cell>
          <cell r="E275" t="str">
            <v>张PC</v>
          </cell>
          <cell r="F275">
            <v>6194</v>
          </cell>
        </row>
        <row r="276">
          <cell r="C276" t="str">
            <v>ID275/80R22.5-16PR(149/146M)[G-PRO MSD]GRIPMASTER无内</v>
          </cell>
          <cell r="D276">
            <v>1995</v>
          </cell>
          <cell r="E276" t="str">
            <v>张PC</v>
          </cell>
          <cell r="F276">
            <v>1995</v>
          </cell>
        </row>
        <row r="277">
          <cell r="C277" t="str">
            <v>ID295/80R22.5-18PR(152/149J)[G-PERFORM O]GRIPMASTER无内</v>
          </cell>
          <cell r="D277">
            <v>3500</v>
          </cell>
          <cell r="E277" t="str">
            <v>张PC</v>
          </cell>
          <cell r="F277">
            <v>3500</v>
          </cell>
        </row>
        <row r="278">
          <cell r="C278" t="str">
            <v>ID295/80R22.5-18PR(152/149K)[G-PRO MSD]GRIPMASTER无内</v>
          </cell>
          <cell r="D278">
            <v>10217</v>
          </cell>
          <cell r="E278" t="str">
            <v>张PC</v>
          </cell>
          <cell r="F278">
            <v>10217</v>
          </cell>
        </row>
        <row r="279">
          <cell r="C279" t="str">
            <v>ID295/80R22.5-18PR(152/149L)[G-PERFORM D]GRIPMASTER无内</v>
          </cell>
          <cell r="D279">
            <v>12875</v>
          </cell>
          <cell r="E279" t="str">
            <v>张PC</v>
          </cell>
          <cell r="F279">
            <v>12875</v>
          </cell>
        </row>
        <row r="280">
          <cell r="C280" t="str">
            <v>ID295/80R22.5-18PR(152/149L)[G-PRO MSA]GRIPMASTER无内</v>
          </cell>
          <cell r="D280">
            <v>20632</v>
          </cell>
          <cell r="E280" t="str">
            <v>张PC</v>
          </cell>
          <cell r="F280">
            <v>17000</v>
          </cell>
        </row>
        <row r="281">
          <cell r="C281" t="str">
            <v>ID295/80R22.5-18PR(152/149L)[G-PRO U]GRIPMASTER无内</v>
          </cell>
          <cell r="D281">
            <v>2100</v>
          </cell>
          <cell r="E281" t="str">
            <v>张PC</v>
          </cell>
          <cell r="F281">
            <v>2100</v>
          </cell>
        </row>
        <row r="282">
          <cell r="C282" t="str">
            <v>ID295/80R22.5-18PR(152/149M)[G-PERFORM S]GRIPMASTER无内</v>
          </cell>
          <cell r="D282">
            <v>37466</v>
          </cell>
          <cell r="E282" t="str">
            <v>张PC</v>
          </cell>
          <cell r="F282">
            <v>29000</v>
          </cell>
        </row>
        <row r="283">
          <cell r="C283" t="str">
            <v>ID295/80R22.5-18PR(152/149M)[G-PRO D]GRIPMASTER无内</v>
          </cell>
          <cell r="D283">
            <v>13297</v>
          </cell>
          <cell r="E283" t="str">
            <v>张PC</v>
          </cell>
          <cell r="F283">
            <v>13297</v>
          </cell>
        </row>
        <row r="284">
          <cell r="C284" t="str">
            <v>ID295/80R22.5-18PR(152/149M)[G-PRO S]GRIPMASTER无内</v>
          </cell>
          <cell r="D284">
            <v>25336</v>
          </cell>
          <cell r="E284" t="str">
            <v>张PC</v>
          </cell>
          <cell r="F284">
            <v>25336</v>
          </cell>
        </row>
        <row r="285">
          <cell r="C285" t="str">
            <v>ID18.5x8.5-8-6PR[SU202]HI-RUN无内</v>
          </cell>
          <cell r="D285">
            <v>13000</v>
          </cell>
          <cell r="E285" t="str">
            <v>张PC</v>
          </cell>
          <cell r="F285">
            <v>13000</v>
          </cell>
        </row>
        <row r="286">
          <cell r="C286" t="str">
            <v>ID5.70-8-8PR[SU201]83M HI-RUN无内</v>
          </cell>
          <cell r="D286">
            <v>20600</v>
          </cell>
          <cell r="E286" t="str">
            <v>张PC</v>
          </cell>
          <cell r="F286">
            <v>20600</v>
          </cell>
        </row>
        <row r="287">
          <cell r="C287" t="str">
            <v>ID16.5X6.5-8-6PR[SU202]72M HI-RUN无内</v>
          </cell>
          <cell r="D287">
            <v>7750</v>
          </cell>
          <cell r="E287" t="str">
            <v>张PC</v>
          </cell>
          <cell r="F287">
            <v>7750</v>
          </cell>
        </row>
        <row r="288">
          <cell r="C288" t="str">
            <v>ID16.5X6.5-8-6PR[SU202]72M HI-RUN无内（停用）</v>
          </cell>
          <cell r="D288">
            <v>4830</v>
          </cell>
          <cell r="E288" t="str">
            <v>张PC</v>
          </cell>
          <cell r="F288">
            <v>4830</v>
          </cell>
        </row>
        <row r="289">
          <cell r="C289" t="str">
            <v>ID20.5×8.0-10-10PR[SU202]HI RUN无内</v>
          </cell>
          <cell r="D289">
            <v>13140</v>
          </cell>
          <cell r="E289" t="str">
            <v>张PC</v>
          </cell>
          <cell r="F289">
            <v>13140</v>
          </cell>
        </row>
        <row r="290">
          <cell r="C290" t="str">
            <v>ID4.80-12-6PR[SU201]HI RUN无内</v>
          </cell>
          <cell r="D290">
            <v>6432</v>
          </cell>
          <cell r="E290" t="str">
            <v>张PC</v>
          </cell>
          <cell r="F290">
            <v>6432</v>
          </cell>
        </row>
        <row r="291">
          <cell r="C291" t="str">
            <v>ID4.80-8-6PR[SU201]71M HI RUN无内</v>
          </cell>
          <cell r="D291">
            <v>15700</v>
          </cell>
          <cell r="E291" t="str">
            <v>张PC</v>
          </cell>
          <cell r="F291">
            <v>15700</v>
          </cell>
        </row>
        <row r="292">
          <cell r="C292" t="str">
            <v>ID5.30-12-6PR[SU201]HI-RUN无内</v>
          </cell>
          <cell r="D292">
            <v>9770</v>
          </cell>
          <cell r="E292" t="str">
            <v>张PC</v>
          </cell>
          <cell r="F292">
            <v>9770</v>
          </cell>
        </row>
        <row r="293">
          <cell r="C293" t="str">
            <v>IDST175/80D13-6PR[H180]91/87M HI RUN无内</v>
          </cell>
          <cell r="D293">
            <v>9880</v>
          </cell>
          <cell r="E293" t="str">
            <v>张PC</v>
          </cell>
          <cell r="F293">
            <v>9880</v>
          </cell>
        </row>
        <row r="294">
          <cell r="C294" t="str">
            <v>IDST205/75D14-6PR[H180]100/96M HI RUN无内</v>
          </cell>
          <cell r="D294">
            <v>3500</v>
          </cell>
          <cell r="E294" t="str">
            <v>张PC</v>
          </cell>
          <cell r="F294">
            <v>3500</v>
          </cell>
        </row>
        <row r="295">
          <cell r="C295" t="str">
            <v>IDST205/75D15-6PR[H180]101/97M HI RUN无内</v>
          </cell>
          <cell r="D295">
            <v>12200</v>
          </cell>
          <cell r="E295" t="str">
            <v>张PC</v>
          </cell>
          <cell r="F295">
            <v>12200</v>
          </cell>
        </row>
        <row r="296">
          <cell r="C296" t="str">
            <v>IDST215/75D14-6PR[H180]102/98M HI RUN无内</v>
          </cell>
          <cell r="D296">
            <v>5500</v>
          </cell>
          <cell r="E296" t="str">
            <v>张PC</v>
          </cell>
          <cell r="F296">
            <v>5500</v>
          </cell>
        </row>
        <row r="297">
          <cell r="C297" t="str">
            <v>IDST225/75D15-8PR[H180]113/108M HI RUN无内</v>
          </cell>
          <cell r="D297">
            <v>5400</v>
          </cell>
          <cell r="E297" t="str">
            <v>张PC</v>
          </cell>
          <cell r="F297">
            <v>5400</v>
          </cell>
        </row>
        <row r="298">
          <cell r="C298" t="str">
            <v>ID11R22.5-16PR(146/143L)[KOBE DPM]ITARO无内</v>
          </cell>
          <cell r="D298">
            <v>3503</v>
          </cell>
          <cell r="E298" t="str">
            <v>张PC</v>
          </cell>
          <cell r="F298">
            <v>3503</v>
          </cell>
        </row>
        <row r="299">
          <cell r="C299" t="str">
            <v>ID11R22.5-16PR(146/143M)[KOBE APM]ITARO无内</v>
          </cell>
          <cell r="D299">
            <v>6321</v>
          </cell>
          <cell r="E299" t="str">
            <v>张PC</v>
          </cell>
          <cell r="F299">
            <v>6321</v>
          </cell>
        </row>
        <row r="300">
          <cell r="C300" t="str">
            <v>ID11R24.5-16PR(149/146L)[KOBE APM]ITARO无内</v>
          </cell>
          <cell r="D300">
            <v>3251</v>
          </cell>
          <cell r="E300" t="str">
            <v>张PC</v>
          </cell>
          <cell r="F300">
            <v>3251</v>
          </cell>
        </row>
        <row r="301">
          <cell r="C301" t="str">
            <v>ID11R24.5-16PR(149/146L)[KOBE DPM]ITARO无内</v>
          </cell>
          <cell r="D301">
            <v>4308</v>
          </cell>
          <cell r="E301" t="str">
            <v>张PC</v>
          </cell>
          <cell r="F301">
            <v>4308</v>
          </cell>
        </row>
        <row r="302">
          <cell r="C302" t="str">
            <v>ID295/75R22.5-16PR(146/143L)[KOBE APM]ITARO无内</v>
          </cell>
          <cell r="D302">
            <v>3364</v>
          </cell>
          <cell r="E302" t="str">
            <v>张PC</v>
          </cell>
          <cell r="F302">
            <v>3364</v>
          </cell>
        </row>
        <row r="303">
          <cell r="C303" t="str">
            <v>ID295/75R22.5-16PR(146/143L)[KOBE DPM]ITARO无内</v>
          </cell>
          <cell r="D303">
            <v>8943</v>
          </cell>
          <cell r="E303" t="str">
            <v>张PC</v>
          </cell>
          <cell r="F303">
            <v>8943</v>
          </cell>
        </row>
        <row r="304">
          <cell r="C304" t="str">
            <v>ID295/75R22.5-16PR(146/143M)[KOBE TPM]ITARO无内</v>
          </cell>
          <cell r="D304">
            <v>4923</v>
          </cell>
          <cell r="E304" t="str">
            <v>张PC</v>
          </cell>
          <cell r="F304">
            <v>4923</v>
          </cell>
        </row>
        <row r="305">
          <cell r="C305" t="str">
            <v>ID10.00-20-16PR[M9096]146/142G 金冠</v>
          </cell>
          <cell r="D305">
            <v>6000</v>
          </cell>
          <cell r="E305" t="str">
            <v>张PC</v>
          </cell>
          <cell r="F305">
            <v>6000</v>
          </cell>
        </row>
        <row r="306">
          <cell r="C306" t="str">
            <v>ID10.00-20-16PR[R9037]146/142G 金冠</v>
          </cell>
          <cell r="D306">
            <v>9501</v>
          </cell>
          <cell r="E306" t="str">
            <v>张PC</v>
          </cell>
          <cell r="F306">
            <v>9501</v>
          </cell>
        </row>
        <row r="307">
          <cell r="C307" t="str">
            <v>ID10.00-20-18PR[CL956]150/145G 金冠</v>
          </cell>
          <cell r="D307">
            <v>2444</v>
          </cell>
          <cell r="E307" t="str">
            <v>张PC</v>
          </cell>
          <cell r="F307">
            <v>2444</v>
          </cell>
        </row>
        <row r="308">
          <cell r="C308" t="str">
            <v>ID10.00-20-18PR[CR952]150/145G 金冠</v>
          </cell>
          <cell r="D308">
            <v>4607</v>
          </cell>
          <cell r="E308" t="str">
            <v>张PC</v>
          </cell>
          <cell r="F308">
            <v>4607</v>
          </cell>
        </row>
        <row r="309">
          <cell r="C309" t="str">
            <v>ID10.00-20-18PR[M9097]150/145G 金冠</v>
          </cell>
          <cell r="D309">
            <v>8355</v>
          </cell>
          <cell r="E309" t="str">
            <v>张PC</v>
          </cell>
          <cell r="F309">
            <v>8355</v>
          </cell>
        </row>
        <row r="310">
          <cell r="C310" t="str">
            <v>ID10.00-20-18PR[R9037]150/145G 金冠</v>
          </cell>
          <cell r="D310">
            <v>4378</v>
          </cell>
          <cell r="E310" t="str">
            <v>张PC</v>
          </cell>
          <cell r="F310">
            <v>4378</v>
          </cell>
        </row>
        <row r="311">
          <cell r="C311" t="str">
            <v>ID10.00-20-18PR[R9038]150/145G 金冠</v>
          </cell>
          <cell r="D311">
            <v>5403</v>
          </cell>
          <cell r="E311" t="str">
            <v>张PC</v>
          </cell>
          <cell r="F311">
            <v>5403</v>
          </cell>
        </row>
        <row r="312">
          <cell r="C312" t="str">
            <v>ID11.00-20-18PR[CL969]153/148G 金冠</v>
          </cell>
          <cell r="D312">
            <v>7416</v>
          </cell>
          <cell r="E312" t="str">
            <v>张PC</v>
          </cell>
          <cell r="F312">
            <v>7416</v>
          </cell>
        </row>
        <row r="313">
          <cell r="C313" t="str">
            <v>ID11.00-20-18PR[CR952]153/148G 金冠</v>
          </cell>
          <cell r="D313">
            <v>3357</v>
          </cell>
          <cell r="E313" t="str">
            <v>张PC</v>
          </cell>
          <cell r="F313">
            <v>3357</v>
          </cell>
        </row>
        <row r="314">
          <cell r="C314" t="str">
            <v>ID11.00-20-18PR[CR952PRO]153/148G 金冠</v>
          </cell>
          <cell r="D314">
            <v>7435</v>
          </cell>
          <cell r="E314" t="str">
            <v>张PC</v>
          </cell>
          <cell r="F314">
            <v>7435</v>
          </cell>
        </row>
        <row r="315">
          <cell r="C315" t="str">
            <v>ID11.00-20-20PR[CL969]155/150B 金冠</v>
          </cell>
          <cell r="D315">
            <v>2220</v>
          </cell>
          <cell r="E315" t="str">
            <v>张PC</v>
          </cell>
          <cell r="F315">
            <v>2220</v>
          </cell>
        </row>
        <row r="316">
          <cell r="C316" t="str">
            <v>ID7.50-16-14PR[M8086]122/118G 金冠</v>
          </cell>
          <cell r="D316">
            <v>2745</v>
          </cell>
          <cell r="E316" t="str">
            <v>张PC</v>
          </cell>
          <cell r="F316">
            <v>2745</v>
          </cell>
        </row>
        <row r="317">
          <cell r="C317" t="str">
            <v>ID7.50-16-14PR[M8087]122/118G 金冠</v>
          </cell>
          <cell r="D317">
            <v>5274</v>
          </cell>
          <cell r="E317" t="str">
            <v>张PC</v>
          </cell>
          <cell r="F317">
            <v>5274</v>
          </cell>
        </row>
        <row r="318">
          <cell r="C318" t="str">
            <v>ID7.50-16-14PR[R8037]122/118J 金冠</v>
          </cell>
          <cell r="D318">
            <v>8478</v>
          </cell>
          <cell r="E318" t="str">
            <v>张PC</v>
          </cell>
          <cell r="F318">
            <v>8478</v>
          </cell>
        </row>
        <row r="319">
          <cell r="C319" t="str">
            <v>ID7.50-16-14PR[R8038]122/118J 金冠</v>
          </cell>
          <cell r="D319">
            <v>8561</v>
          </cell>
          <cell r="E319" t="str">
            <v>张PC</v>
          </cell>
          <cell r="F319">
            <v>8561</v>
          </cell>
        </row>
        <row r="320">
          <cell r="C320" t="str">
            <v>ID(D104004)100/90-12-4P[H-566]59P GOLDEN CROWN  纳米高抓 TL</v>
          </cell>
          <cell r="D320">
            <v>10000</v>
          </cell>
          <cell r="E320" t="str">
            <v>张PC</v>
          </cell>
          <cell r="F320" t="str">
            <v>-</v>
          </cell>
        </row>
        <row r="321">
          <cell r="C321" t="str">
            <v>ID(D104008)110/70-12-6P[H-566]52P GOLDEN CROWN 纳米高抓 TL</v>
          </cell>
          <cell r="D321">
            <v>5000</v>
          </cell>
          <cell r="E321" t="str">
            <v>张PC</v>
          </cell>
          <cell r="F321" t="str">
            <v>-</v>
          </cell>
        </row>
        <row r="322">
          <cell r="C322" t="str">
            <v>ID(D104009)110/90-12-6P[H-566]69P GOLDEN CROWN 纳米高抓 TL</v>
          </cell>
          <cell r="D322">
            <v>10000</v>
          </cell>
          <cell r="E322" t="str">
            <v>张PC</v>
          </cell>
          <cell r="F322" t="str">
            <v>-</v>
          </cell>
        </row>
        <row r="323">
          <cell r="C323" t="str">
            <v>ID(D104009)120/70-12-6P[H-566]58P GOLDEN CROWN 纳米高抓 TL</v>
          </cell>
          <cell r="D323">
            <v>3000</v>
          </cell>
          <cell r="E323" t="str">
            <v>张PC</v>
          </cell>
          <cell r="F323" t="str">
            <v>-</v>
          </cell>
        </row>
        <row r="324">
          <cell r="C324" t="str">
            <v>ID(D105001)70/90-14-4P[H-999-A]34P GOLDEN CROWN 纳米高抓 TL</v>
          </cell>
          <cell r="D324">
            <v>15956</v>
          </cell>
          <cell r="E324" t="str">
            <v>张PC</v>
          </cell>
          <cell r="F324" t="str">
            <v>-</v>
          </cell>
        </row>
        <row r="325">
          <cell r="C325" t="str">
            <v>ID(D105002)80/80-14-4P[H-999-A]37P GOLDEN CROWN 纳米高抓 TL E4-75R-0015453</v>
          </cell>
          <cell r="D325">
            <v>16000</v>
          </cell>
          <cell r="E325" t="str">
            <v>张PC</v>
          </cell>
          <cell r="F325" t="str">
            <v>-</v>
          </cell>
        </row>
        <row r="326">
          <cell r="C326" t="str">
            <v>ID(D105003)80/90-14-4P[H-999-A]40P GOLDEN CROWN 纳米高抓 TL E4-75R-0018686</v>
          </cell>
          <cell r="D326">
            <v>60000</v>
          </cell>
          <cell r="E326" t="str">
            <v>张PC</v>
          </cell>
          <cell r="F326" t="str">
            <v>-</v>
          </cell>
        </row>
        <row r="327">
          <cell r="C327" t="str">
            <v>ID(D105004)90/80-14-4P[H-999-A]43P GOLDEN CROWN 纳米高抓 TL</v>
          </cell>
          <cell r="D327">
            <v>30419</v>
          </cell>
          <cell r="E327" t="str">
            <v>张PC</v>
          </cell>
          <cell r="F327" t="str">
            <v>-</v>
          </cell>
        </row>
        <row r="328">
          <cell r="C328" t="str">
            <v>ID(D105005)90/90-14-4P[H-999-A]46P GOLDEN CROWN 纳米高抓 TL E4-75R-0014568</v>
          </cell>
          <cell r="D328">
            <v>55224</v>
          </cell>
          <cell r="E328" t="str">
            <v>张PC</v>
          </cell>
          <cell r="F328" t="str">
            <v>-</v>
          </cell>
        </row>
        <row r="329">
          <cell r="C329" t="str">
            <v>ID(D105006)100/80-14-4P[H-999-A]48P GOLDEN CROWN 纳米高抓 TL E4-75R-0017425</v>
          </cell>
          <cell r="D329">
            <v>13000</v>
          </cell>
          <cell r="E329" t="str">
            <v>张PC</v>
          </cell>
          <cell r="F329" t="str">
            <v>-</v>
          </cell>
        </row>
        <row r="330">
          <cell r="C330" t="str">
            <v>ID275/80R22.5-16PR(149/146L)[EZ573A]金冠无内</v>
          </cell>
          <cell r="D330">
            <v>2900</v>
          </cell>
          <cell r="E330" t="str">
            <v>张PC</v>
          </cell>
          <cell r="F330">
            <v>2900</v>
          </cell>
        </row>
        <row r="331">
          <cell r="C331" t="str">
            <v>ID275/80R22.5-16PR(149/146M)[AZ179]金冠无内</v>
          </cell>
          <cell r="D331">
            <v>8915</v>
          </cell>
          <cell r="E331" t="str">
            <v>张PC</v>
          </cell>
          <cell r="F331">
            <v>8915</v>
          </cell>
        </row>
        <row r="332">
          <cell r="C332" t="str">
            <v>ID275/80R22.5-18PR(149/146L)[AZ179]金冠无内</v>
          </cell>
          <cell r="D332">
            <v>9866</v>
          </cell>
          <cell r="E332" t="str">
            <v>张PC</v>
          </cell>
          <cell r="F332">
            <v>9866</v>
          </cell>
        </row>
        <row r="333">
          <cell r="C333" t="str">
            <v>ID295/80R22.5-18PR(152/149J)[EZ177]金冠无内</v>
          </cell>
          <cell r="D333">
            <v>6491</v>
          </cell>
          <cell r="E333" t="str">
            <v>张PC</v>
          </cell>
          <cell r="F333">
            <v>6491</v>
          </cell>
        </row>
        <row r="334">
          <cell r="C334" t="str">
            <v>ID295/80R22.5-18PR(152/149L)[AZ183]金冠无内</v>
          </cell>
          <cell r="D334">
            <v>4215</v>
          </cell>
          <cell r="E334" t="str">
            <v>张PC</v>
          </cell>
          <cell r="F334">
            <v>4215</v>
          </cell>
        </row>
        <row r="335">
          <cell r="C335" t="str">
            <v>ID295/80R22.5-18PR(152/149M)[AD156A]金冠无内</v>
          </cell>
          <cell r="D335">
            <v>8388</v>
          </cell>
          <cell r="E335" t="str">
            <v>张PC</v>
          </cell>
          <cell r="F335">
            <v>8388</v>
          </cell>
        </row>
        <row r="336">
          <cell r="C336" t="str">
            <v>ID295/80R22.5-18PR(152/149M)[AT161]金冠无内</v>
          </cell>
          <cell r="D336">
            <v>3000</v>
          </cell>
          <cell r="E336" t="str">
            <v>张PC</v>
          </cell>
          <cell r="F336">
            <v>3000</v>
          </cell>
        </row>
        <row r="337">
          <cell r="C337" t="str">
            <v>ID295/80R22.5-18PR(152/149M)[AT167]金冠无内</v>
          </cell>
          <cell r="D337">
            <v>2850</v>
          </cell>
          <cell r="E337" t="str">
            <v>张PC</v>
          </cell>
          <cell r="F337">
            <v>2850</v>
          </cell>
        </row>
        <row r="338">
          <cell r="C338" t="str">
            <v>ID295/80R22.5-18PR(152/149M)[AT186]金冠无内</v>
          </cell>
          <cell r="D338">
            <v>44119</v>
          </cell>
          <cell r="E338" t="str">
            <v>张PC</v>
          </cell>
          <cell r="F338">
            <v>44119</v>
          </cell>
        </row>
        <row r="339">
          <cell r="C339" t="str">
            <v>ID295/80R22.5-18PR(152/149M)[AT196]金冠无内</v>
          </cell>
          <cell r="D339">
            <v>13158</v>
          </cell>
          <cell r="E339" t="str">
            <v>张PC</v>
          </cell>
          <cell r="F339">
            <v>13158</v>
          </cell>
        </row>
        <row r="340">
          <cell r="C340" t="str">
            <v>ID10.00R20-18PR(149/146F)[CB972]金冠</v>
          </cell>
          <cell r="D340">
            <v>8775</v>
          </cell>
          <cell r="E340" t="str">
            <v>张PC</v>
          </cell>
          <cell r="F340">
            <v>8775</v>
          </cell>
        </row>
        <row r="341">
          <cell r="C341" t="str">
            <v>ID10.00R20-18PR(149/146J)[CM988]金冠</v>
          </cell>
          <cell r="D341">
            <v>3787</v>
          </cell>
          <cell r="E341" t="str">
            <v>张PC</v>
          </cell>
          <cell r="F341">
            <v>3787</v>
          </cell>
        </row>
        <row r="342">
          <cell r="C342" t="str">
            <v>ID10.00R20-18PR(149/146J)[CR926]金冠</v>
          </cell>
          <cell r="D342">
            <v>8863</v>
          </cell>
          <cell r="E342" t="str">
            <v>张PC</v>
          </cell>
          <cell r="F342">
            <v>8863</v>
          </cell>
        </row>
        <row r="343">
          <cell r="C343" t="str">
            <v>ID11.00R20-18PR(152/149F)[CB905A]金冠</v>
          </cell>
          <cell r="D343">
            <v>4000</v>
          </cell>
          <cell r="E343" t="str">
            <v>张PC</v>
          </cell>
          <cell r="F343">
            <v>4000</v>
          </cell>
        </row>
        <row r="344">
          <cell r="C344" t="str">
            <v>ID11.00R20-18PR(152/149F)[CB972]金冠</v>
          </cell>
          <cell r="D344">
            <v>4230</v>
          </cell>
          <cell r="E344" t="str">
            <v>张PC</v>
          </cell>
          <cell r="F344">
            <v>4230</v>
          </cell>
        </row>
        <row r="345">
          <cell r="C345" t="str">
            <v>ID11.00R20-18PR(152/149K)[CM988]金冠</v>
          </cell>
          <cell r="D345">
            <v>8000</v>
          </cell>
          <cell r="E345" t="str">
            <v>张PC</v>
          </cell>
          <cell r="F345">
            <v>8000</v>
          </cell>
        </row>
        <row r="346">
          <cell r="C346" t="str">
            <v>ID11.00R20-18PR(152/149K)[CR926+]金冠</v>
          </cell>
          <cell r="D346">
            <v>8441</v>
          </cell>
          <cell r="E346" t="str">
            <v>张PC</v>
          </cell>
          <cell r="F346">
            <v>7500</v>
          </cell>
        </row>
        <row r="347">
          <cell r="C347" t="str">
            <v>ID11.00R20-18PR(152/149K)[EZ867]金冠</v>
          </cell>
          <cell r="D347">
            <v>9000</v>
          </cell>
          <cell r="E347" t="str">
            <v>张PC</v>
          </cell>
          <cell r="F347">
            <v>9000</v>
          </cell>
        </row>
        <row r="348">
          <cell r="C348" t="str">
            <v>ID11R22.5-16PR(148/145L)[AS868]金冠无内</v>
          </cell>
          <cell r="D348">
            <v>6581</v>
          </cell>
          <cell r="E348" t="str">
            <v>张PC</v>
          </cell>
          <cell r="F348">
            <v>6581</v>
          </cell>
        </row>
        <row r="349">
          <cell r="C349" t="str">
            <v>ID12.00R20-20PR(156/153F)[CB972]金冠</v>
          </cell>
          <cell r="D349">
            <v>4922</v>
          </cell>
          <cell r="E349" t="str">
            <v>张PC</v>
          </cell>
          <cell r="F349">
            <v>4922</v>
          </cell>
        </row>
        <row r="350">
          <cell r="C350" t="str">
            <v>ID295/80R22.5-18PR(152/149M)[AS868Pro]金冠无内</v>
          </cell>
          <cell r="D350">
            <v>4285</v>
          </cell>
          <cell r="E350" t="str">
            <v>张PC</v>
          </cell>
          <cell r="F350">
            <v>4285</v>
          </cell>
        </row>
        <row r="351">
          <cell r="C351" t="str">
            <v>ID7.50-15-12PR[R8037]119/115J 金冠</v>
          </cell>
          <cell r="D351">
            <v>4555</v>
          </cell>
          <cell r="E351" t="str">
            <v>张PC</v>
          </cell>
          <cell r="F351">
            <v>4555</v>
          </cell>
        </row>
        <row r="352">
          <cell r="C352" t="str">
            <v>ID7.50R16-14PR(122/118F)[CB972]金冠</v>
          </cell>
          <cell r="D352">
            <v>3026</v>
          </cell>
          <cell r="E352" t="str">
            <v>张PC</v>
          </cell>
          <cell r="F352">
            <v>3026</v>
          </cell>
        </row>
        <row r="353">
          <cell r="C353" t="str">
            <v>ID7.50R16-14PR(122/118L)[CM988]金冠</v>
          </cell>
          <cell r="D353">
            <v>5820</v>
          </cell>
          <cell r="E353" t="str">
            <v>张PC</v>
          </cell>
          <cell r="F353">
            <v>5820</v>
          </cell>
        </row>
        <row r="354">
          <cell r="C354" t="str">
            <v>ID7.50R16-14PR(122/118L)[CR926]金冠</v>
          </cell>
          <cell r="D354">
            <v>2500</v>
          </cell>
          <cell r="E354" t="str">
            <v>张PC</v>
          </cell>
          <cell r="F354">
            <v>2500</v>
          </cell>
        </row>
        <row r="355">
          <cell r="C355" t="str">
            <v>ID7.50R16-14PR(122/118L)[EZ369]金冠</v>
          </cell>
          <cell r="D355">
            <v>5460</v>
          </cell>
          <cell r="E355" t="str">
            <v>张PC</v>
          </cell>
          <cell r="F355">
            <v>5460</v>
          </cell>
        </row>
        <row r="356">
          <cell r="C356" t="str">
            <v>ID8.25R16-14PR(128/126L)[CR926]金冠</v>
          </cell>
          <cell r="D356">
            <v>3500</v>
          </cell>
          <cell r="E356" t="str">
            <v>张PC</v>
          </cell>
          <cell r="F356">
            <v>3500</v>
          </cell>
        </row>
        <row r="357">
          <cell r="C357" t="str">
            <v>ID11R22.5-16PR(148/145L)[M-TRAC AP]MASTERTRACK无内</v>
          </cell>
          <cell r="D357">
            <v>12240</v>
          </cell>
          <cell r="E357" t="str">
            <v>张PC</v>
          </cell>
          <cell r="F357">
            <v>12240</v>
          </cell>
        </row>
        <row r="358">
          <cell r="C358" t="str">
            <v>ID11R22.5-16PR(148/145L)[M-TRAC CSD]MASTERTRACK无内</v>
          </cell>
          <cell r="D358">
            <v>11167</v>
          </cell>
          <cell r="E358" t="str">
            <v>张PC</v>
          </cell>
          <cell r="F358">
            <v>11167</v>
          </cell>
        </row>
        <row r="359">
          <cell r="C359" t="str">
            <v>ID225/70R19.5-14PR(128/126N)[M-TRAC AP]MASTERTRACK无内</v>
          </cell>
          <cell r="D359">
            <v>9034</v>
          </cell>
          <cell r="E359" t="str">
            <v>张PC</v>
          </cell>
          <cell r="F359">
            <v>9034</v>
          </cell>
        </row>
        <row r="360">
          <cell r="C360" t="str">
            <v>ID225/70R19.5-14PR(128/126N)[M-TRAC HTD]MASTERTRACK无内</v>
          </cell>
          <cell r="D360">
            <v>6682</v>
          </cell>
          <cell r="E360" t="str">
            <v>张PC</v>
          </cell>
          <cell r="F360">
            <v>6682</v>
          </cell>
        </row>
        <row r="361">
          <cell r="C361" t="str">
            <v>ID255/70R22.5-16PR(140/137M)[M-TRAC AP]MASTERTRACK无内</v>
          </cell>
          <cell r="D361">
            <v>4407</v>
          </cell>
          <cell r="E361" t="str">
            <v>张PC</v>
          </cell>
          <cell r="F361">
            <v>4407</v>
          </cell>
        </row>
        <row r="362">
          <cell r="C362" t="str">
            <v>ID295/75R22.5-16PR(146/143L)[M-TRAC AP]MASTERTRACK无内</v>
          </cell>
          <cell r="D362">
            <v>13171</v>
          </cell>
          <cell r="E362" t="str">
            <v>张PC</v>
          </cell>
          <cell r="F362">
            <v>13171</v>
          </cell>
        </row>
        <row r="363">
          <cell r="C363" t="str">
            <v>ID445/50R22.5-20PR(161L)[M-TRAC WBT]MASTERTRACK无内</v>
          </cell>
          <cell r="D363">
            <v>6071</v>
          </cell>
          <cell r="E363" t="str">
            <v>张PC</v>
          </cell>
          <cell r="F363">
            <v>6071</v>
          </cell>
        </row>
        <row r="364">
          <cell r="C364" t="str">
            <v>ID11R22.5-14PR(144/142M)[M-TRAC TR]MASTERTRACK无内</v>
          </cell>
          <cell r="D364">
            <v>8000</v>
          </cell>
          <cell r="E364" t="str">
            <v>张PC</v>
          </cell>
          <cell r="F364">
            <v>8000</v>
          </cell>
        </row>
        <row r="365">
          <cell r="C365" t="str">
            <v>ID11R22.5-16PR(146/143L)[M-TRAC MS]MASTERTRACK无内</v>
          </cell>
          <cell r="D365">
            <v>8000</v>
          </cell>
          <cell r="E365" t="str">
            <v>张PC</v>
          </cell>
          <cell r="F365">
            <v>8000</v>
          </cell>
        </row>
        <row r="366">
          <cell r="C366" t="str">
            <v>ID11R22.5-16PR(146/143L)[M-TRAC OSD]MASTERTRACK无内</v>
          </cell>
          <cell r="D366">
            <v>8000</v>
          </cell>
          <cell r="E366" t="str">
            <v>张PC</v>
          </cell>
          <cell r="F366">
            <v>8000</v>
          </cell>
        </row>
        <row r="367">
          <cell r="C367" t="str">
            <v>ID11R22.5-16PR(148/145M)[M-TRAC MST]MASTERTRACK无内</v>
          </cell>
          <cell r="D367">
            <v>8000</v>
          </cell>
          <cell r="E367" t="str">
            <v>张PC</v>
          </cell>
          <cell r="F367">
            <v>8000</v>
          </cell>
        </row>
        <row r="368">
          <cell r="C368" t="str">
            <v>ID11R24.5-16PR(149/146L)[M-TRAC AP]MASTERTRACK无内</v>
          </cell>
          <cell r="D368">
            <v>11000</v>
          </cell>
          <cell r="E368" t="str">
            <v>张PC</v>
          </cell>
          <cell r="F368">
            <v>11000</v>
          </cell>
        </row>
        <row r="369">
          <cell r="C369" t="str">
            <v>ID11R24.5-16PR(149/146L)[M-TRAC CSD]MASTERTRACK无内</v>
          </cell>
          <cell r="D369">
            <v>8000</v>
          </cell>
          <cell r="E369" t="str">
            <v>张PC</v>
          </cell>
          <cell r="F369">
            <v>8000</v>
          </cell>
        </row>
        <row r="370">
          <cell r="C370" t="str">
            <v>ID11R24.5-16PR(149/146L)[M-TRAC MS]MASTERTRACK无内</v>
          </cell>
          <cell r="D370">
            <v>8000</v>
          </cell>
          <cell r="E370" t="str">
            <v>张PC</v>
          </cell>
          <cell r="F370">
            <v>8000</v>
          </cell>
        </row>
        <row r="371">
          <cell r="C371" t="str">
            <v>ID11R24.5-16PR(149/146L)[M-TRAC MST]MASTERTRACK无内</v>
          </cell>
          <cell r="D371">
            <v>8000</v>
          </cell>
          <cell r="E371" t="str">
            <v>张PC</v>
          </cell>
          <cell r="F371">
            <v>8000</v>
          </cell>
        </row>
        <row r="372">
          <cell r="C372" t="str">
            <v>ID11R24.5-16PR(149/146L)[M-TRAC OSD]MASTERTRACK无内</v>
          </cell>
          <cell r="D372">
            <v>11000</v>
          </cell>
          <cell r="E372" t="str">
            <v>张PC</v>
          </cell>
          <cell r="F372">
            <v>11000</v>
          </cell>
        </row>
        <row r="373">
          <cell r="C373" t="str">
            <v>ID215/75R17.5-18PR(135/133L)[M-TRAC AP]MASTERTRACK无内</v>
          </cell>
          <cell r="D373">
            <v>10752</v>
          </cell>
          <cell r="E373" t="str">
            <v>张PC</v>
          </cell>
          <cell r="F373">
            <v>10752</v>
          </cell>
        </row>
        <row r="374">
          <cell r="C374" t="str">
            <v>ID235/75R17.5-18PR(143/141L)[M-TRAC AP]MASTERTRACK无内</v>
          </cell>
          <cell r="D374">
            <v>11000</v>
          </cell>
          <cell r="E374" t="str">
            <v>张PC</v>
          </cell>
          <cell r="F374">
            <v>11000</v>
          </cell>
        </row>
        <row r="375">
          <cell r="C375" t="str">
            <v>ID245/70R19.5-16PR(136/134M)[M-TRAC AP]MASTERTRACK无内</v>
          </cell>
          <cell r="D375">
            <v>11000</v>
          </cell>
          <cell r="E375" t="str">
            <v>张PC</v>
          </cell>
          <cell r="F375">
            <v>11000</v>
          </cell>
        </row>
        <row r="376">
          <cell r="C376" t="str">
            <v>ID245/70R19.5-16PR(136/134M)[M-TRAC HTD]MASTERTRACK无内</v>
          </cell>
          <cell r="D376">
            <v>8000</v>
          </cell>
          <cell r="E376" t="str">
            <v>张PC</v>
          </cell>
          <cell r="F376">
            <v>8000</v>
          </cell>
        </row>
        <row r="377">
          <cell r="C377" t="str">
            <v>ID275/70R22.5-16PR(148/145L)[M-TRAC AP]MASTERTRACK无内</v>
          </cell>
          <cell r="D377">
            <v>8000</v>
          </cell>
          <cell r="E377" t="str">
            <v>张PC</v>
          </cell>
          <cell r="F377">
            <v>8000</v>
          </cell>
        </row>
        <row r="378">
          <cell r="C378" t="str">
            <v>ID285/75R24.5-16PR(147/144L)[M-TRAC AP]MASTERTRACK无内</v>
          </cell>
          <cell r="D378">
            <v>8000</v>
          </cell>
          <cell r="E378" t="str">
            <v>张PC</v>
          </cell>
          <cell r="F378">
            <v>8000</v>
          </cell>
        </row>
        <row r="379">
          <cell r="C379" t="str">
            <v>ID295/75R22.5-14PR(144/141L)[M-TRAC CSD]MASTERTRACK无内</v>
          </cell>
          <cell r="D379">
            <v>11000</v>
          </cell>
          <cell r="E379" t="str">
            <v>张PC</v>
          </cell>
          <cell r="F379">
            <v>11000</v>
          </cell>
        </row>
        <row r="380">
          <cell r="C380" t="str">
            <v>ID295/75R22.5-14PR(144/141L)[M-TRAC OSD]MASTERTRACK无内</v>
          </cell>
          <cell r="D380">
            <v>5000</v>
          </cell>
          <cell r="E380" t="str">
            <v>张PC</v>
          </cell>
          <cell r="F380">
            <v>5000</v>
          </cell>
        </row>
        <row r="381">
          <cell r="C381" t="str">
            <v>ID295/75R22.5-14PR(144/141L)[M-TRAC TR]MASTERTRACK无内</v>
          </cell>
          <cell r="D381">
            <v>5000</v>
          </cell>
          <cell r="E381" t="str">
            <v>张PC</v>
          </cell>
          <cell r="F381">
            <v>5000</v>
          </cell>
        </row>
        <row r="382">
          <cell r="C382" t="str">
            <v>ID295/75R22.5-16PR(146/143L)[M-TRAC CSD]MASTERTRACK无内</v>
          </cell>
          <cell r="D382">
            <v>11000</v>
          </cell>
          <cell r="E382" t="str">
            <v>张PC</v>
          </cell>
          <cell r="F382">
            <v>11000</v>
          </cell>
        </row>
        <row r="383">
          <cell r="C383" t="str">
            <v>ID315/80R22.5-20PR(161/157K)[M-TRAC MS]MASTERTRACK TL</v>
          </cell>
          <cell r="D383">
            <v>7628</v>
          </cell>
          <cell r="E383" t="str">
            <v>张PC</v>
          </cell>
          <cell r="F383">
            <v>7628</v>
          </cell>
        </row>
        <row r="384">
          <cell r="C384" t="str">
            <v>ID315/80R22.5-20PR(161/157K)[M-TRAC MS]MASTERTRACK无内</v>
          </cell>
          <cell r="D384">
            <v>5000</v>
          </cell>
          <cell r="E384" t="str">
            <v>张PC</v>
          </cell>
          <cell r="F384">
            <v>5000</v>
          </cell>
        </row>
        <row r="385">
          <cell r="C385" t="str">
            <v>ID385/65R22.5-20PR(160K)[M-TRAC MSF]MASTERTRACK无内</v>
          </cell>
          <cell r="D385">
            <v>5000</v>
          </cell>
          <cell r="E385" t="str">
            <v>张PC</v>
          </cell>
          <cell r="F385">
            <v>5000</v>
          </cell>
        </row>
        <row r="386">
          <cell r="C386" t="str">
            <v>ID425/65R22.5-20PR(165K)[M-TRAC MSF]MASTERTRACK无内</v>
          </cell>
          <cell r="D386">
            <v>8000</v>
          </cell>
          <cell r="E386" t="str">
            <v>张PC</v>
          </cell>
          <cell r="F386">
            <v>8000</v>
          </cell>
        </row>
        <row r="387">
          <cell r="C387" t="str">
            <v>ID295/80R22.5-18PR(152/149M)[ECOLINE A-I]NEBULA无内</v>
          </cell>
          <cell r="D387">
            <v>1500</v>
          </cell>
          <cell r="E387" t="str">
            <v>张PC</v>
          </cell>
          <cell r="F387">
            <v>1500</v>
          </cell>
        </row>
        <row r="388">
          <cell r="C388" t="str">
            <v>ID295/80R22.5-18PR(152/149M)[ECOTRAX D-I]NEBULA无内</v>
          </cell>
          <cell r="D388">
            <v>2000</v>
          </cell>
          <cell r="E388" t="str">
            <v>张PC</v>
          </cell>
          <cell r="F388">
            <v>2000</v>
          </cell>
        </row>
        <row r="389">
          <cell r="C389" t="str">
            <v>ID275/80R22.5-16PR(149/146M)[ECOLINE A-II]NEBULA无内</v>
          </cell>
          <cell r="D389">
            <v>3000</v>
          </cell>
          <cell r="E389" t="str">
            <v>张PC</v>
          </cell>
          <cell r="F389">
            <v>3000</v>
          </cell>
        </row>
        <row r="390">
          <cell r="C390" t="str">
            <v>ID275/80R22.5-16PR(149/146M)[ECOTRAX D-II]NEBULA无内</v>
          </cell>
          <cell r="D390">
            <v>3000</v>
          </cell>
          <cell r="E390" t="str">
            <v>张PC</v>
          </cell>
          <cell r="F390">
            <v>3000</v>
          </cell>
        </row>
        <row r="391">
          <cell r="C391" t="str">
            <v>ID275/80R22.5-16PR(149/146L)[AZ179]力奔无内</v>
          </cell>
          <cell r="D391">
            <v>3000</v>
          </cell>
          <cell r="E391" t="str">
            <v>张PC</v>
          </cell>
          <cell r="F391">
            <v>3000</v>
          </cell>
        </row>
        <row r="392">
          <cell r="C392" t="str">
            <v>ID275/80R22.5-16PR(149/146L)[EZ573A]力奔无内</v>
          </cell>
          <cell r="D392">
            <v>9000</v>
          </cell>
          <cell r="E392" t="str">
            <v>张PC</v>
          </cell>
          <cell r="F392">
            <v>9000</v>
          </cell>
        </row>
        <row r="393">
          <cell r="C393" t="str">
            <v>ID275/80R22.5-16PR(149/146M)[AZ179]力奔无内</v>
          </cell>
          <cell r="D393">
            <v>6000</v>
          </cell>
          <cell r="E393" t="str">
            <v>张PC</v>
          </cell>
          <cell r="F393">
            <v>6000</v>
          </cell>
        </row>
        <row r="394">
          <cell r="C394" t="str">
            <v>ID275/80R22.5-18PR(149/146L)[AZ179]力奔无内</v>
          </cell>
          <cell r="D394">
            <v>2500</v>
          </cell>
          <cell r="E394" t="str">
            <v>张PC</v>
          </cell>
          <cell r="F394">
            <v>2500</v>
          </cell>
        </row>
        <row r="395">
          <cell r="C395" t="str">
            <v>ID295/80R22.5-18PR(152/149L)[AZ126T]力奔无内</v>
          </cell>
          <cell r="D395">
            <v>2000</v>
          </cell>
          <cell r="E395" t="str">
            <v>张PC</v>
          </cell>
          <cell r="F395">
            <v>2000</v>
          </cell>
        </row>
        <row r="396">
          <cell r="C396" t="str">
            <v>ID295/80R22.5-18PR(152/149M)[AD156A]力奔无内</v>
          </cell>
          <cell r="D396">
            <v>16410</v>
          </cell>
          <cell r="E396" t="str">
            <v>张PC</v>
          </cell>
          <cell r="F396">
            <v>16410</v>
          </cell>
        </row>
        <row r="397">
          <cell r="C397" t="str">
            <v>ID295/80R22.5-18PR(152/149M)[AT186]力奔无内</v>
          </cell>
          <cell r="D397">
            <v>9000</v>
          </cell>
          <cell r="E397" t="str">
            <v>张PC</v>
          </cell>
          <cell r="F397">
            <v>9000</v>
          </cell>
        </row>
        <row r="398">
          <cell r="C398" t="str">
            <v>ID295/80R22.5-18PR(152/149M)[AT196]力奔无内</v>
          </cell>
          <cell r="D398">
            <v>12705</v>
          </cell>
          <cell r="E398" t="str">
            <v>张PC</v>
          </cell>
          <cell r="F398">
            <v>5200</v>
          </cell>
        </row>
        <row r="399">
          <cell r="C399" t="str">
            <v>ID295/80R22.5-18PR(152/149M)[AT186]欧耐特无内</v>
          </cell>
          <cell r="D399">
            <v>6495</v>
          </cell>
          <cell r="E399" t="str">
            <v>张PC</v>
          </cell>
          <cell r="F399">
            <v>6495</v>
          </cell>
        </row>
        <row r="400">
          <cell r="C400" t="str">
            <v>ID295/75R22.5-16PR(146/143L)[RLINE-D2]REDCLIFF无内</v>
          </cell>
          <cell r="D400">
            <v>2456</v>
          </cell>
          <cell r="E400" t="str">
            <v>张PC</v>
          </cell>
          <cell r="F400">
            <v>2456</v>
          </cell>
        </row>
        <row r="401">
          <cell r="C401" t="str">
            <v>ID295/75R22.5-16PR(146/143L)[RLINE-T1]REDCLIFF无内</v>
          </cell>
          <cell r="D401">
            <v>2700</v>
          </cell>
          <cell r="E401" t="str">
            <v>张PC</v>
          </cell>
          <cell r="F401">
            <v>2700</v>
          </cell>
        </row>
        <row r="402">
          <cell r="C402" t="str">
            <v>ID295/75R22.5-16PR(146/143M)[RLINE-TⅡ]REDCLIFF无内</v>
          </cell>
          <cell r="D402">
            <v>3000</v>
          </cell>
          <cell r="E402" t="str">
            <v>张PC</v>
          </cell>
          <cell r="F402">
            <v>3000</v>
          </cell>
        </row>
        <row r="403">
          <cell r="C403" t="str">
            <v>ID295/80R22.5-18PR(152/149M)[RF35]RODOFORT无内</v>
          </cell>
          <cell r="D403">
            <v>7980</v>
          </cell>
          <cell r="E403" t="str">
            <v>张PC</v>
          </cell>
          <cell r="F403">
            <v>7980</v>
          </cell>
        </row>
        <row r="404">
          <cell r="C404" t="str">
            <v>ID295/80R22.5-18PR(152/149M)[RF45]RODOFORT无内</v>
          </cell>
          <cell r="D404">
            <v>6350</v>
          </cell>
          <cell r="E404" t="str">
            <v>张PC</v>
          </cell>
          <cell r="F404">
            <v>6350</v>
          </cell>
        </row>
        <row r="405">
          <cell r="C405" t="str">
            <v>ID295/80R22.5-18PR(154/149M)[RF15]RODOFORT无内</v>
          </cell>
          <cell r="D405">
            <v>5950</v>
          </cell>
          <cell r="E405" t="str">
            <v>张PC</v>
          </cell>
          <cell r="F405">
            <v>5950</v>
          </cell>
        </row>
        <row r="406">
          <cell r="C406" t="str">
            <v>ID(570-4201)ATV 25×10-12/6[WL6A] SEDONA TL COYOTE(USA)</v>
          </cell>
          <cell r="D406">
            <v>3000</v>
          </cell>
          <cell r="E406" t="str">
            <v>张PC</v>
          </cell>
          <cell r="F406" t="str">
            <v>_</v>
          </cell>
        </row>
        <row r="407">
          <cell r="C407" t="str">
            <v>ID295/80R22.5-18PR(152/149L)[AZ126T]STRADA R无内</v>
          </cell>
          <cell r="D407">
            <v>2740</v>
          </cell>
          <cell r="E407" t="str">
            <v>张PC</v>
          </cell>
          <cell r="F407">
            <v>2740</v>
          </cell>
        </row>
        <row r="408">
          <cell r="C408" t="str">
            <v>ID295/80R22.5-18PR(152/149M)[AD733]STRADA R无内</v>
          </cell>
          <cell r="D408">
            <v>2750</v>
          </cell>
          <cell r="E408" t="str">
            <v>张PC</v>
          </cell>
          <cell r="F408">
            <v>2750</v>
          </cell>
        </row>
        <row r="409">
          <cell r="C409" t="str">
            <v>ID295/80R22.5-18PR(152/149M)[AT161]STRADA R无内</v>
          </cell>
          <cell r="D409">
            <v>2910</v>
          </cell>
          <cell r="E409" t="str">
            <v>张PC</v>
          </cell>
          <cell r="F409">
            <v>2910</v>
          </cell>
        </row>
        <row r="410">
          <cell r="C410" t="str">
            <v>ID295/80R22.5-18PR(152/149M)[TUCSON A]STRYKER无内</v>
          </cell>
          <cell r="D410">
            <v>20581</v>
          </cell>
          <cell r="E410" t="str">
            <v>张PC</v>
          </cell>
          <cell r="F410">
            <v>20581</v>
          </cell>
        </row>
        <row r="411">
          <cell r="C411" t="str">
            <v>ID295/80R22.5-18PR(152/149M)[TUCSON D]STRYKER无内</v>
          </cell>
          <cell r="D411">
            <v>13945</v>
          </cell>
          <cell r="E411" t="str">
            <v>张PC</v>
          </cell>
          <cell r="F411">
            <v>13945</v>
          </cell>
        </row>
        <row r="412">
          <cell r="C412" t="str">
            <v>IDST175/80R13-6PR[Tow pro st]91/87M SUPERMAX无内</v>
          </cell>
          <cell r="D412">
            <v>3000</v>
          </cell>
          <cell r="E412" t="str">
            <v>张PC</v>
          </cell>
          <cell r="F412">
            <v>3000</v>
          </cell>
        </row>
        <row r="413">
          <cell r="C413" t="str">
            <v>IDST205/75R14-8PR[Tow pro st]105/101M SUPERMAX无内</v>
          </cell>
          <cell r="D413">
            <v>4650</v>
          </cell>
          <cell r="E413" t="str">
            <v>张PC</v>
          </cell>
          <cell r="F413">
            <v>4650</v>
          </cell>
        </row>
        <row r="414">
          <cell r="C414" t="str">
            <v>IDST205/75R15-10PR[Tow pro st]111/106M SUPERMAX无内</v>
          </cell>
          <cell r="D414">
            <v>4800</v>
          </cell>
          <cell r="E414" t="str">
            <v>张PC</v>
          </cell>
          <cell r="F414">
            <v>4800</v>
          </cell>
        </row>
        <row r="415">
          <cell r="C415" t="str">
            <v>IDST225/75R15-10PR[Tow pro st]117/112M SUPERMAX无内</v>
          </cell>
          <cell r="D415">
            <v>6000</v>
          </cell>
          <cell r="E415" t="str">
            <v>张PC</v>
          </cell>
          <cell r="F415">
            <v>6000</v>
          </cell>
        </row>
        <row r="416">
          <cell r="C416" t="str">
            <v>IDST235/80R16-10PR[Tow pro st]124/120M SUPERMAX无内</v>
          </cell>
          <cell r="D416">
            <v>2485</v>
          </cell>
          <cell r="E416" t="str">
            <v>张PC</v>
          </cell>
          <cell r="F416">
            <v>2485</v>
          </cell>
        </row>
        <row r="417">
          <cell r="C417" t="str">
            <v>IDST235/85R16-12PR[Tow pro st]128/124M SUPERMAX无内</v>
          </cell>
          <cell r="D417">
            <v>2800</v>
          </cell>
          <cell r="E417" t="str">
            <v>张PC</v>
          </cell>
          <cell r="F417">
            <v>2800</v>
          </cell>
        </row>
        <row r="418">
          <cell r="C418" t="str">
            <v>ID275/70R22.5-16PR(148/145L)[HF1 Plus]SUPERMAX无内</v>
          </cell>
          <cell r="D418">
            <v>4200</v>
          </cell>
          <cell r="E418" t="str">
            <v>张PC</v>
          </cell>
          <cell r="F418">
            <v>3100</v>
          </cell>
        </row>
        <row r="419">
          <cell r="C419" t="str">
            <v>ID11R22.5-16PR(146/143L)[HCC1 Plus]SUPERMAX无内</v>
          </cell>
          <cell r="D419">
            <v>5407</v>
          </cell>
          <cell r="E419" t="str">
            <v>张PC</v>
          </cell>
          <cell r="F419">
            <v>5407</v>
          </cell>
        </row>
        <row r="420">
          <cell r="C420" t="str">
            <v>ID11R22.5-16PR(146/143L)[HD2 Plus]SUPERMAX无内</v>
          </cell>
          <cell r="D420">
            <v>4680</v>
          </cell>
          <cell r="E420" t="str">
            <v>张PC</v>
          </cell>
          <cell r="F420">
            <v>4680</v>
          </cell>
        </row>
        <row r="421">
          <cell r="C421" t="str">
            <v>ID11R22.5-16PR(148/145L)[HD1 Plus]SUPERMAX无内</v>
          </cell>
          <cell r="D421">
            <v>6354</v>
          </cell>
          <cell r="E421" t="str">
            <v>张PC</v>
          </cell>
          <cell r="F421">
            <v>6354</v>
          </cell>
        </row>
        <row r="422">
          <cell r="C422" t="str">
            <v>ID11R22.5-16PR(148/145L)[HF1 Plus]SUPERMAX无内</v>
          </cell>
          <cell r="D422">
            <v>3631</v>
          </cell>
          <cell r="E422" t="str">
            <v>张PC</v>
          </cell>
          <cell r="F422">
            <v>3631</v>
          </cell>
        </row>
        <row r="423">
          <cell r="C423" t="str">
            <v>ID11R24.5-16PR(149/146L)[HCC1 Plus]SUPERMAX无内</v>
          </cell>
          <cell r="D423">
            <v>1400</v>
          </cell>
          <cell r="E423" t="str">
            <v>张PC</v>
          </cell>
          <cell r="F423">
            <v>1400</v>
          </cell>
        </row>
        <row r="424">
          <cell r="C424" t="str">
            <v>ID11R24.5-16PR(149/146L)[HD1 Plus]SUPERMAX无内</v>
          </cell>
          <cell r="D424">
            <v>1169</v>
          </cell>
          <cell r="E424" t="str">
            <v>张PC</v>
          </cell>
          <cell r="F424">
            <v>1169</v>
          </cell>
        </row>
        <row r="425">
          <cell r="C425" t="str">
            <v>ID11R24.5-16PR(149/146L)[HD2 Plus]SUPERMAX无内</v>
          </cell>
          <cell r="D425">
            <v>3913</v>
          </cell>
          <cell r="E425" t="str">
            <v>张PC</v>
          </cell>
          <cell r="F425">
            <v>3913</v>
          </cell>
        </row>
        <row r="426">
          <cell r="C426" t="str">
            <v>ID11R24.5-16PR(149/146L)[HF1 Plus]SUPERMAX无内</v>
          </cell>
          <cell r="D426">
            <v>3889</v>
          </cell>
          <cell r="E426" t="str">
            <v>张PC</v>
          </cell>
          <cell r="F426">
            <v>3889</v>
          </cell>
        </row>
        <row r="427">
          <cell r="C427" t="str">
            <v>ID215/75R17.5-16PR(135/133J)[HF1 Plus]SUPERMAX无内</v>
          </cell>
          <cell r="D427">
            <v>4423</v>
          </cell>
          <cell r="E427" t="str">
            <v>张PC</v>
          </cell>
          <cell r="F427">
            <v>4423</v>
          </cell>
        </row>
        <row r="428">
          <cell r="C428" t="str">
            <v>ID225/70R19.5-14PR(128/126N)[HD3 Plus]SUPERMAX无内</v>
          </cell>
          <cell r="D428">
            <v>8295</v>
          </cell>
          <cell r="E428" t="str">
            <v>张PC</v>
          </cell>
          <cell r="F428">
            <v>8295</v>
          </cell>
        </row>
        <row r="429">
          <cell r="C429" t="str">
            <v>ID225/70R19.5-14PR(128/126N)[HF1 Plus]SUPERMAX无内</v>
          </cell>
          <cell r="D429">
            <v>4403</v>
          </cell>
          <cell r="E429" t="str">
            <v>张PC</v>
          </cell>
          <cell r="F429">
            <v>4403</v>
          </cell>
        </row>
        <row r="430">
          <cell r="C430" t="str">
            <v>ID235/75R17.5-16PR(143/141J)[HF1 Plus]SUPERMAX无内</v>
          </cell>
          <cell r="D430">
            <v>5003</v>
          </cell>
          <cell r="E430" t="str">
            <v>张PC</v>
          </cell>
          <cell r="F430">
            <v>5003</v>
          </cell>
        </row>
        <row r="431">
          <cell r="C431" t="str">
            <v>ID245/70R19.5-16PR(136/134M)[HD3 Plus]SUPERMAX无内</v>
          </cell>
          <cell r="D431">
            <v>4069</v>
          </cell>
          <cell r="E431" t="str">
            <v>张PC</v>
          </cell>
          <cell r="F431">
            <v>4069</v>
          </cell>
        </row>
        <row r="432">
          <cell r="C432" t="str">
            <v>ID245/70R19.5-16PR(136/134M)[HF1 Plus]SUPERMAX无内</v>
          </cell>
          <cell r="D432">
            <v>6769</v>
          </cell>
          <cell r="E432" t="str">
            <v>张PC</v>
          </cell>
          <cell r="F432">
            <v>6769</v>
          </cell>
        </row>
        <row r="433">
          <cell r="C433" t="str">
            <v>ID255/70R22.5-16PR(140/137M)[HF1 Plus]SUPERMAX无内</v>
          </cell>
          <cell r="D433">
            <v>2936</v>
          </cell>
          <cell r="E433" t="str">
            <v>张PC</v>
          </cell>
          <cell r="F433">
            <v>2936</v>
          </cell>
        </row>
        <row r="434">
          <cell r="C434" t="str">
            <v>ID285/75R24.5-14PR(144/141L)[HD1 Plus]SUPERMAX无内</v>
          </cell>
          <cell r="D434">
            <v>2068</v>
          </cell>
          <cell r="E434" t="str">
            <v>张PC</v>
          </cell>
          <cell r="F434">
            <v>2068</v>
          </cell>
        </row>
        <row r="435">
          <cell r="C435" t="str">
            <v>ID285/75R24.5-14PR(144/141L)[HF1 Plus]SUPERMAX无内</v>
          </cell>
          <cell r="D435">
            <v>1986</v>
          </cell>
          <cell r="E435" t="str">
            <v>张PC</v>
          </cell>
          <cell r="F435">
            <v>1986</v>
          </cell>
        </row>
        <row r="436">
          <cell r="C436" t="str">
            <v>ID295/75R22.5-14PR(144/141L)[HD1 Plus]SUPERMAX无内</v>
          </cell>
          <cell r="D436">
            <v>4709</v>
          </cell>
          <cell r="E436" t="str">
            <v>张PC</v>
          </cell>
          <cell r="F436">
            <v>4709</v>
          </cell>
        </row>
        <row r="437">
          <cell r="C437" t="str">
            <v>ID295/75R22.5-14PR(144/141L)[HF1 Plus]SUPERMAX无内</v>
          </cell>
          <cell r="D437">
            <v>6360</v>
          </cell>
          <cell r="E437" t="str">
            <v>张PC</v>
          </cell>
          <cell r="F437">
            <v>6360</v>
          </cell>
        </row>
        <row r="438">
          <cell r="C438" t="str">
            <v>ID295/75R22.5-16PR(146/143L)[HF1 Plus]SUPERMAX无内</v>
          </cell>
          <cell r="D438">
            <v>3910</v>
          </cell>
          <cell r="E438" t="str">
            <v>张PC</v>
          </cell>
          <cell r="F438">
            <v>3910</v>
          </cell>
        </row>
        <row r="439">
          <cell r="C439" t="str">
            <v>ID315/80R22.5-20PR(157/154K)[HA3 Plus]SUPERMAX无内</v>
          </cell>
          <cell r="D439">
            <v>2369</v>
          </cell>
          <cell r="E439" t="str">
            <v>张PC</v>
          </cell>
          <cell r="F439">
            <v>2369</v>
          </cell>
        </row>
        <row r="440">
          <cell r="C440" t="str">
            <v>ID445/50R22.5-20PR(161L)[HD4 Plus]SUPERMAX无内</v>
          </cell>
          <cell r="D440">
            <v>2600</v>
          </cell>
          <cell r="E440" t="str">
            <v>张PC</v>
          </cell>
          <cell r="F440">
            <v>2600</v>
          </cell>
        </row>
        <row r="441">
          <cell r="C441" t="str">
            <v>ID445/50R22.5-20PR(161L)[HT2 Plus]SUPERMAX无内</v>
          </cell>
          <cell r="D441">
            <v>2555</v>
          </cell>
          <cell r="E441" t="str">
            <v>张PC</v>
          </cell>
          <cell r="F441">
            <v>2555</v>
          </cell>
        </row>
        <row r="442">
          <cell r="C442" t="str">
            <v>ID11R22.5-14PR(144/142M)[HT1 Plus]SUPERMAX无内</v>
          </cell>
          <cell r="D442">
            <v>5000</v>
          </cell>
          <cell r="E442" t="str">
            <v>张PC</v>
          </cell>
          <cell r="F442">
            <v>5000</v>
          </cell>
        </row>
        <row r="443">
          <cell r="C443" t="str">
            <v>ID11R22.5-16PR(146/143L)[HCC1 PlusX]SUPERMAX ECO无内</v>
          </cell>
          <cell r="D443">
            <v>6600</v>
          </cell>
          <cell r="E443" t="str">
            <v>张PC</v>
          </cell>
          <cell r="F443">
            <v>6600</v>
          </cell>
        </row>
        <row r="444">
          <cell r="C444" t="str">
            <v>ID11R22.5-16PR(146/143L)[HD1 PlusX]SUPERMAX ECO无内</v>
          </cell>
          <cell r="D444">
            <v>4200</v>
          </cell>
          <cell r="E444" t="str">
            <v>张PC</v>
          </cell>
          <cell r="F444">
            <v>4200</v>
          </cell>
        </row>
        <row r="445">
          <cell r="C445" t="str">
            <v>ID11R22.5-16PR(146/143L)[HD2 PlusX]SUPERMAX ECO无内</v>
          </cell>
          <cell r="D445">
            <v>4200</v>
          </cell>
          <cell r="E445" t="str">
            <v>张PC</v>
          </cell>
          <cell r="F445">
            <v>4200</v>
          </cell>
        </row>
        <row r="446">
          <cell r="C446" t="str">
            <v>ID11R22.5-16PR(146/143M)[HF1 PlusX]SUPERMAX ECO无内</v>
          </cell>
          <cell r="D446">
            <v>3317</v>
          </cell>
          <cell r="E446" t="str">
            <v>张PC</v>
          </cell>
          <cell r="F446">
            <v>3317</v>
          </cell>
        </row>
        <row r="447">
          <cell r="C447" t="str">
            <v>ID11R22.5-16PR(146/143M)[HT1 PlusX]SUPERMAX ECO无内</v>
          </cell>
          <cell r="D447">
            <v>952</v>
          </cell>
          <cell r="E447" t="str">
            <v>张PC</v>
          </cell>
          <cell r="F447">
            <v>952</v>
          </cell>
        </row>
        <row r="448">
          <cell r="C448" t="str">
            <v>ID11R24.5-16PR(149/146L)[HCC1 PlusX]SUPERMAX ECO无内</v>
          </cell>
          <cell r="D448">
            <v>1200</v>
          </cell>
          <cell r="E448" t="str">
            <v>张PC</v>
          </cell>
          <cell r="F448">
            <v>1200</v>
          </cell>
        </row>
        <row r="449">
          <cell r="C449" t="str">
            <v>ID11R24.5-16PR(149/146L)[HD1 PlusX]SUPERMAX ECO无内</v>
          </cell>
          <cell r="D449">
            <v>4200</v>
          </cell>
          <cell r="E449" t="str">
            <v>张PC</v>
          </cell>
          <cell r="F449">
            <v>4200</v>
          </cell>
        </row>
        <row r="450">
          <cell r="C450" t="str">
            <v>ID11R24.5-16PR(149/146L)[HD2 PlusX]SUPERMAX ECO无内</v>
          </cell>
          <cell r="D450">
            <v>4200</v>
          </cell>
          <cell r="E450" t="str">
            <v>张PC</v>
          </cell>
          <cell r="F450">
            <v>4200</v>
          </cell>
        </row>
        <row r="451">
          <cell r="C451" t="str">
            <v>ID11R24.5-16PR(149/146L)[HF1 PlusX]SUPERMAX ECO无内</v>
          </cell>
          <cell r="D451">
            <v>4200</v>
          </cell>
          <cell r="E451" t="str">
            <v>张PC</v>
          </cell>
          <cell r="F451">
            <v>4200</v>
          </cell>
        </row>
        <row r="452">
          <cell r="C452" t="str">
            <v>ID255/70R22.5-16PR(140/137M)[HF1 Plus]SUPERMAX无内</v>
          </cell>
          <cell r="D452">
            <v>5715</v>
          </cell>
          <cell r="E452" t="str">
            <v>张PC</v>
          </cell>
          <cell r="F452">
            <v>5715</v>
          </cell>
        </row>
        <row r="453">
          <cell r="C453" t="str">
            <v>ID295/75R22.5-14PR(144/141L)[HT1 Plus]SUPERMAX无内</v>
          </cell>
          <cell r="D453">
            <v>8370</v>
          </cell>
          <cell r="E453" t="str">
            <v>张PC</v>
          </cell>
          <cell r="F453">
            <v>8370</v>
          </cell>
        </row>
        <row r="454">
          <cell r="C454" t="str">
            <v>ID295/75R22.5-16PR(146/143L)[HD1 Plus]SUPERMAX无内</v>
          </cell>
          <cell r="D454">
            <v>3598</v>
          </cell>
          <cell r="E454" t="str">
            <v>张PC</v>
          </cell>
          <cell r="F454">
            <v>3598</v>
          </cell>
        </row>
        <row r="455">
          <cell r="C455" t="str">
            <v>ID295/75R22.5-16PR(146/143L)[HD1 PlusX]SUPERMAX ECO无内</v>
          </cell>
          <cell r="D455">
            <v>7200</v>
          </cell>
          <cell r="E455" t="str">
            <v>张PC</v>
          </cell>
          <cell r="F455">
            <v>7200</v>
          </cell>
        </row>
        <row r="456">
          <cell r="C456" t="str">
            <v>ID295/75R22.5-16PR(146/143L)[HD2 PlusX]SUPERMAX ECO无内</v>
          </cell>
          <cell r="D456">
            <v>4200</v>
          </cell>
          <cell r="E456" t="str">
            <v>张PC</v>
          </cell>
          <cell r="F456">
            <v>4200</v>
          </cell>
        </row>
        <row r="457">
          <cell r="C457" t="str">
            <v>ID295/75R22.5-16PR(146/143L)[HF1 PlusX]SUPERMAX ECO无内</v>
          </cell>
          <cell r="D457">
            <v>7060</v>
          </cell>
          <cell r="E457" t="str">
            <v>张PC</v>
          </cell>
          <cell r="F457">
            <v>7060</v>
          </cell>
        </row>
        <row r="458">
          <cell r="C458" t="str">
            <v>ID295/75R22.5-16PR(146/143M)[HT1 PlusX]SUPERMAX ECO无内</v>
          </cell>
          <cell r="D458">
            <v>858</v>
          </cell>
          <cell r="E458" t="str">
            <v>张PC</v>
          </cell>
          <cell r="F458">
            <v>858</v>
          </cell>
        </row>
        <row r="459">
          <cell r="C459" t="str">
            <v>ID315/80R22.5-20PR(157/154K)[HCC1 PlusX]SUPERMAX ECO无内</v>
          </cell>
          <cell r="D459">
            <v>1200</v>
          </cell>
          <cell r="E459" t="str">
            <v>张PC</v>
          </cell>
          <cell r="F459">
            <v>1200</v>
          </cell>
        </row>
        <row r="460">
          <cell r="C460" t="str">
            <v>ID385/65R22.5-20PR(160K)[HA4 Plus]SUPERMAX无内</v>
          </cell>
          <cell r="D460">
            <v>5000</v>
          </cell>
          <cell r="E460" t="str">
            <v>张PC</v>
          </cell>
          <cell r="F460">
            <v>5000</v>
          </cell>
        </row>
        <row r="461">
          <cell r="C461" t="str">
            <v>ID425/65R22.5-20PR(165K)[HA4 Plus]SUPERMAX无内</v>
          </cell>
          <cell r="D461">
            <v>5000</v>
          </cell>
          <cell r="E461" t="str">
            <v>张PC</v>
          </cell>
          <cell r="F461">
            <v>5000</v>
          </cell>
        </row>
        <row r="462">
          <cell r="C462" t="str">
            <v>ID23.5-25-20PR[T318]天力</v>
          </cell>
          <cell r="D462">
            <v>6000</v>
          </cell>
          <cell r="E462" t="str">
            <v>张PC</v>
          </cell>
          <cell r="F462">
            <v>6000</v>
          </cell>
        </row>
        <row r="463">
          <cell r="C463" t="str">
            <v>ID10.00R20-18PR(149/146J)[TZ202]TIANLI</v>
          </cell>
          <cell r="D463">
            <v>7155</v>
          </cell>
          <cell r="E463" t="str">
            <v>张PC</v>
          </cell>
          <cell r="F463">
            <v>7155</v>
          </cell>
        </row>
        <row r="464">
          <cell r="C464" t="str">
            <v>ID10.00R20-18PR(149/146J)[TZ303]TIANLI</v>
          </cell>
          <cell r="D464">
            <v>5000</v>
          </cell>
          <cell r="E464" t="str">
            <v>张PC</v>
          </cell>
          <cell r="F464">
            <v>5000</v>
          </cell>
        </row>
        <row r="465">
          <cell r="C465" t="str">
            <v>ID11.00R20-18PR(152/149F)[TZ101]TIANLI</v>
          </cell>
          <cell r="D465">
            <v>2000</v>
          </cell>
          <cell r="E465" t="str">
            <v>张PC</v>
          </cell>
          <cell r="F465">
            <v>2000</v>
          </cell>
        </row>
        <row r="466">
          <cell r="C466" t="str">
            <v>ID11.00R20-18PR(152/149K)[TZ202]TIANLI</v>
          </cell>
          <cell r="D466">
            <v>2625</v>
          </cell>
          <cell r="E466" t="str">
            <v>张PC</v>
          </cell>
          <cell r="F466">
            <v>2625</v>
          </cell>
        </row>
        <row r="467">
          <cell r="C467" t="str">
            <v>ID12.00R20-18PR(154/151F)[TZ101]TIANLI</v>
          </cell>
          <cell r="D467">
            <v>4300</v>
          </cell>
          <cell r="E467" t="str">
            <v>张PC</v>
          </cell>
          <cell r="F467">
            <v>4300</v>
          </cell>
        </row>
        <row r="468">
          <cell r="C468" t="str">
            <v>ID12.00R20-18PR(154/151F)[TZ304]TIANLI</v>
          </cell>
          <cell r="D468">
            <v>3950</v>
          </cell>
          <cell r="E468" t="str">
            <v>张PC</v>
          </cell>
          <cell r="F468">
            <v>3950</v>
          </cell>
        </row>
        <row r="469">
          <cell r="C469" t="str">
            <v>ID12.00R20-20PR(156/153F)[TZ101]天力</v>
          </cell>
          <cell r="D469">
            <v>11000</v>
          </cell>
          <cell r="E469" t="str">
            <v>张PC</v>
          </cell>
          <cell r="F469">
            <v>4500</v>
          </cell>
        </row>
        <row r="470">
          <cell r="C470" t="str">
            <v>ID12.00R24-20PR(160/157F)[TZ101]TIANLI</v>
          </cell>
          <cell r="D470">
            <v>7169</v>
          </cell>
          <cell r="E470" t="str">
            <v>张PC</v>
          </cell>
          <cell r="F470">
            <v>7169</v>
          </cell>
        </row>
        <row r="471">
          <cell r="C471" t="str">
            <v>ID12.00R24-20PR(160/157F)[TZ304]天力</v>
          </cell>
          <cell r="D471">
            <v>3000</v>
          </cell>
          <cell r="E471" t="str">
            <v>张PC</v>
          </cell>
          <cell r="F471">
            <v>3000</v>
          </cell>
        </row>
        <row r="472">
          <cell r="C472" t="str">
            <v>ID7.50R16-14PR(122/118L)[TZ202]TIANLI</v>
          </cell>
          <cell r="D472">
            <v>1820</v>
          </cell>
          <cell r="E472" t="str">
            <v>张PC</v>
          </cell>
          <cell r="F472">
            <v>1820</v>
          </cell>
        </row>
        <row r="473">
          <cell r="C473" t="str">
            <v>ID7.50R16-14PR(122/118L)[TZ303]TIANLI</v>
          </cell>
          <cell r="D473">
            <v>4070</v>
          </cell>
          <cell r="E473" t="str">
            <v>张PC</v>
          </cell>
          <cell r="F473">
            <v>4070</v>
          </cell>
        </row>
        <row r="474">
          <cell r="C474" t="str">
            <v>ID12.00R24-20PR(160/157F)[TZ101 PRO]天力</v>
          </cell>
          <cell r="D474">
            <v>3908</v>
          </cell>
          <cell r="E474" t="str">
            <v>张PC</v>
          </cell>
          <cell r="F474">
            <v>3908</v>
          </cell>
        </row>
        <row r="475">
          <cell r="C475" t="str">
            <v>ID295/80R22.5-18PR(152/149M)[AS678]TKV无内</v>
          </cell>
          <cell r="D475">
            <v>3000</v>
          </cell>
          <cell r="E475" t="str">
            <v>张PC</v>
          </cell>
          <cell r="F475">
            <v>3000</v>
          </cell>
        </row>
        <row r="476">
          <cell r="C476" t="str">
            <v>ID10.00-20-16PR[CR952]146/142G TRAZANO(全诺)</v>
          </cell>
          <cell r="D476">
            <v>5082</v>
          </cell>
          <cell r="E476" t="str">
            <v>张PC</v>
          </cell>
          <cell r="F476">
            <v>5082</v>
          </cell>
        </row>
        <row r="477">
          <cell r="C477" t="str">
            <v>ID10.00-20-16PR[R9038]146/142G TRAZANO(全诺)</v>
          </cell>
          <cell r="D477">
            <v>4040</v>
          </cell>
          <cell r="E477" t="str">
            <v>张PC</v>
          </cell>
          <cell r="F477">
            <v>4040</v>
          </cell>
        </row>
        <row r="478">
          <cell r="C478" t="str">
            <v>ID10.00-20-18PR[CL956]150/145G TRAZANO(全诺)</v>
          </cell>
          <cell r="D478">
            <v>3500</v>
          </cell>
          <cell r="E478" t="str">
            <v>张PC</v>
          </cell>
          <cell r="F478">
            <v>3500</v>
          </cell>
        </row>
        <row r="479">
          <cell r="C479" t="str">
            <v>ID10.00-20-18PR[CR952]150/145G TRAZANO(全诺)</v>
          </cell>
          <cell r="D479">
            <v>6546</v>
          </cell>
          <cell r="E479" t="str">
            <v>张PC</v>
          </cell>
          <cell r="F479">
            <v>6546</v>
          </cell>
        </row>
        <row r="480">
          <cell r="C480" t="str">
            <v>ID10.00-20-18PR[M9097]150/145G TRAZANO(全诺)</v>
          </cell>
          <cell r="D480">
            <v>5000</v>
          </cell>
          <cell r="E480" t="str">
            <v>张PC</v>
          </cell>
          <cell r="F480">
            <v>5000</v>
          </cell>
        </row>
        <row r="481">
          <cell r="C481" t="str">
            <v>ID10.00-20-18PR[R9037]150/145G TRAZANO(全诺)</v>
          </cell>
          <cell r="D481">
            <v>4200</v>
          </cell>
          <cell r="E481" t="str">
            <v>张PC</v>
          </cell>
          <cell r="F481">
            <v>4000</v>
          </cell>
        </row>
        <row r="482">
          <cell r="C482" t="str">
            <v>ID10.00-20-18PR[R9038]150/145G  TRAZANO</v>
          </cell>
          <cell r="D482">
            <v>6000</v>
          </cell>
          <cell r="E482" t="str">
            <v>张PC</v>
          </cell>
          <cell r="F482">
            <v>6000</v>
          </cell>
        </row>
        <row r="483">
          <cell r="C483" t="str">
            <v>ID10.00-20-18PR[R9038]150/145G TRAZANO(全诺)</v>
          </cell>
          <cell r="D483">
            <v>3000</v>
          </cell>
          <cell r="E483" t="str">
            <v>张PC</v>
          </cell>
          <cell r="F483">
            <v>3000</v>
          </cell>
        </row>
        <row r="484">
          <cell r="C484" t="str">
            <v>ID11.00-20-18PR[CR952]153/148G TRAZANO(全诺)</v>
          </cell>
          <cell r="D484">
            <v>5460</v>
          </cell>
          <cell r="E484" t="str">
            <v>张PC</v>
          </cell>
          <cell r="F484">
            <v>5460</v>
          </cell>
        </row>
        <row r="485">
          <cell r="C485" t="str">
            <v>ID7.50-15-12PR[R8037]119/115J TRAZANO(全诺)</v>
          </cell>
          <cell r="D485">
            <v>6000</v>
          </cell>
          <cell r="E485" t="str">
            <v>张PC</v>
          </cell>
          <cell r="F485">
            <v>5900</v>
          </cell>
        </row>
        <row r="486">
          <cell r="C486" t="str">
            <v>ID7.50-16-14PR[L8056]122/118G TRAZANO(全诺)</v>
          </cell>
          <cell r="D486">
            <v>5200</v>
          </cell>
          <cell r="E486" t="str">
            <v>张PC</v>
          </cell>
          <cell r="F486">
            <v>5200</v>
          </cell>
        </row>
        <row r="487">
          <cell r="C487" t="str">
            <v>ID7.50-16-14PR[M8086]122/118G TRAZANO(全诺)</v>
          </cell>
          <cell r="D487">
            <v>5000</v>
          </cell>
          <cell r="E487" t="str">
            <v>张PC</v>
          </cell>
          <cell r="F487">
            <v>5000</v>
          </cell>
        </row>
        <row r="488">
          <cell r="C488" t="str">
            <v>ID7.50-16-14PR[M8087]122/118G TRAZANO(全诺)</v>
          </cell>
          <cell r="D488">
            <v>8982</v>
          </cell>
          <cell r="E488" t="str">
            <v>张PC</v>
          </cell>
          <cell r="F488">
            <v>8982</v>
          </cell>
        </row>
        <row r="489">
          <cell r="C489" t="str">
            <v>ID7.50-16-14PR[R8037]122/118J TRAZANO(全诺)</v>
          </cell>
          <cell r="D489">
            <v>6463</v>
          </cell>
          <cell r="E489" t="str">
            <v>张PC</v>
          </cell>
          <cell r="F489">
            <v>6463</v>
          </cell>
        </row>
        <row r="490">
          <cell r="C490" t="str">
            <v>ID275/80R22.5-16PR(149/146L)[AD153]TRAZANO(全诺)无内</v>
          </cell>
          <cell r="D490">
            <v>4200</v>
          </cell>
          <cell r="E490" t="str">
            <v>张PC</v>
          </cell>
          <cell r="F490">
            <v>3400</v>
          </cell>
        </row>
        <row r="491">
          <cell r="C491" t="str">
            <v>ID275/80R22.5-16PR(149/146L)[EZ573]TRAZANO(全诺)无内</v>
          </cell>
          <cell r="D491">
            <v>1300</v>
          </cell>
          <cell r="E491" t="str">
            <v>张PC</v>
          </cell>
          <cell r="F491">
            <v>1300</v>
          </cell>
        </row>
        <row r="492">
          <cell r="C492" t="str">
            <v>ID275/80R22.5-16PR(149/146M)[AD528]TRAZANO(全诺)无内</v>
          </cell>
          <cell r="D492">
            <v>3000</v>
          </cell>
          <cell r="E492" t="str">
            <v>张PC</v>
          </cell>
          <cell r="F492">
            <v>3000</v>
          </cell>
        </row>
        <row r="493">
          <cell r="C493" t="str">
            <v>ID275/80R22.5-16PR(149/146M)[CR976A]TRAZANO(全诺)无内</v>
          </cell>
          <cell r="D493">
            <v>12770</v>
          </cell>
          <cell r="E493" t="str">
            <v>张PC</v>
          </cell>
          <cell r="F493">
            <v>6650</v>
          </cell>
        </row>
        <row r="494">
          <cell r="C494" t="str">
            <v>ID295/80R22.5-18PR(152/149K)[MD777]TRAZANO(全诺)无内</v>
          </cell>
          <cell r="D494">
            <v>3550</v>
          </cell>
          <cell r="E494" t="str">
            <v>张PC</v>
          </cell>
          <cell r="F494">
            <v>3550</v>
          </cell>
        </row>
        <row r="495">
          <cell r="C495" t="str">
            <v>ID295/80R22.5-18PR(152/149L)[AD153]TRAZANO(全诺)无内</v>
          </cell>
          <cell r="D495">
            <v>7800</v>
          </cell>
          <cell r="E495" t="str">
            <v>张PC</v>
          </cell>
          <cell r="F495">
            <v>7250</v>
          </cell>
        </row>
        <row r="496">
          <cell r="C496" t="str">
            <v>ID295/80R22.5-18PR(152/149L)[CR926D]TRAZANO(全诺)无内</v>
          </cell>
          <cell r="D496">
            <v>11700</v>
          </cell>
          <cell r="E496" t="str">
            <v>张PC</v>
          </cell>
          <cell r="F496">
            <v>10660</v>
          </cell>
        </row>
        <row r="497">
          <cell r="C497" t="str">
            <v>ID295/80R22.5-18PR(152/149L)[EZ573]TRAZANO(全诺)无内</v>
          </cell>
          <cell r="D497">
            <v>5180</v>
          </cell>
          <cell r="E497" t="str">
            <v>张PC</v>
          </cell>
          <cell r="F497">
            <v>5180</v>
          </cell>
        </row>
        <row r="498">
          <cell r="C498" t="str">
            <v>ID295/80R22.5-18PR(152/149M)[AD733]TRAZANO(全诺)无内</v>
          </cell>
          <cell r="D498">
            <v>15130</v>
          </cell>
          <cell r="E498" t="str">
            <v>张PC</v>
          </cell>
          <cell r="F498">
            <v>14300</v>
          </cell>
        </row>
        <row r="499">
          <cell r="C499" t="str">
            <v>ID295/80R22.5-18PR(152/149M)[AD818]TRAZANO(全诺)无内</v>
          </cell>
          <cell r="D499">
            <v>2500</v>
          </cell>
          <cell r="E499" t="str">
            <v>张PC</v>
          </cell>
          <cell r="F499">
            <v>2500</v>
          </cell>
        </row>
        <row r="500">
          <cell r="C500" t="str">
            <v>ID295/80R22.5-18PR(152/149M)[AS898]TRAZANO(全诺)无内</v>
          </cell>
          <cell r="D500">
            <v>2475</v>
          </cell>
          <cell r="E500" t="str">
            <v>张PC</v>
          </cell>
          <cell r="F500">
            <v>2475</v>
          </cell>
        </row>
        <row r="501">
          <cell r="C501" t="str">
            <v>ID295/80R22.5-18PR(152/149M)[CM335]TRAZANO(全诺)无内</v>
          </cell>
          <cell r="D501">
            <v>2750</v>
          </cell>
          <cell r="E501" t="str">
            <v>张PC</v>
          </cell>
          <cell r="F501">
            <v>2750</v>
          </cell>
        </row>
        <row r="502">
          <cell r="C502" t="str">
            <v>ID295/80R22.5-18PR(152/149M)[CR976A]TRAZANO(全诺)无内</v>
          </cell>
          <cell r="D502">
            <v>2200</v>
          </cell>
          <cell r="E502" t="str">
            <v>张PC</v>
          </cell>
          <cell r="F502">
            <v>2200</v>
          </cell>
        </row>
        <row r="503">
          <cell r="C503" t="str">
            <v>ID11.00R20-18PR(152/149K)[AS678]TRAZANO(全诺)</v>
          </cell>
          <cell r="D503">
            <v>7240</v>
          </cell>
          <cell r="E503" t="str">
            <v>张PC</v>
          </cell>
          <cell r="F503">
            <v>7240</v>
          </cell>
        </row>
        <row r="504">
          <cell r="C504" t="str">
            <v>ID11.00R20-18PR(152/149K)[CR926+]TRAZANO(全诺)</v>
          </cell>
          <cell r="D504">
            <v>6950</v>
          </cell>
          <cell r="E504" t="str">
            <v>张PC</v>
          </cell>
          <cell r="F504">
            <v>4950</v>
          </cell>
        </row>
        <row r="505">
          <cell r="C505" t="str">
            <v>ID11R22.5-14PR(144/142M)[CR915]TRAZANO(全诺)无内</v>
          </cell>
          <cell r="D505">
            <v>4728</v>
          </cell>
          <cell r="E505" t="str">
            <v>张PC</v>
          </cell>
          <cell r="F505">
            <v>4728</v>
          </cell>
        </row>
        <row r="506">
          <cell r="C506" t="str">
            <v>ID11R22.5-16PR(148/145L)[AS868]TRAZANO(全诺)无内</v>
          </cell>
          <cell r="D506">
            <v>7245</v>
          </cell>
          <cell r="E506" t="str">
            <v>张PC</v>
          </cell>
          <cell r="F506">
            <v>7245</v>
          </cell>
        </row>
        <row r="507">
          <cell r="C507" t="str">
            <v>ID295/75R22.5-14PR(144/141L)[AD716]TRAZANO(全诺)无内</v>
          </cell>
          <cell r="D507">
            <v>5000</v>
          </cell>
          <cell r="E507" t="str">
            <v>张PC</v>
          </cell>
          <cell r="F507">
            <v>5000</v>
          </cell>
        </row>
        <row r="508">
          <cell r="C508" t="str">
            <v>ID295/75R22.5-14PR(144/141M)[CR915]TRAZANO(全诺)无内</v>
          </cell>
          <cell r="D508">
            <v>6000</v>
          </cell>
          <cell r="E508" t="str">
            <v>张PC</v>
          </cell>
          <cell r="F508">
            <v>6000</v>
          </cell>
        </row>
        <row r="509">
          <cell r="C509" t="str">
            <v>ID325/95R24-22PR(162/160K)[AZ272]TRAZANO(全诺)无内</v>
          </cell>
          <cell r="D509">
            <v>3000</v>
          </cell>
          <cell r="E509" t="str">
            <v>张PC</v>
          </cell>
          <cell r="F509">
            <v>3000</v>
          </cell>
        </row>
        <row r="510">
          <cell r="C510" t="str">
            <v>ID325/95R24-22PR(162/160K)[AZ691]TRAZANO(全诺)无内</v>
          </cell>
          <cell r="D510">
            <v>4500</v>
          </cell>
          <cell r="E510" t="str">
            <v>张PC</v>
          </cell>
          <cell r="F510">
            <v>4000</v>
          </cell>
        </row>
        <row r="511">
          <cell r="C511" t="str">
            <v>ID325/95R24-22PR(162/160K)[AZ828]TRAZANO(全诺)无内</v>
          </cell>
          <cell r="D511">
            <v>4300</v>
          </cell>
          <cell r="E511" t="str">
            <v>张PC</v>
          </cell>
          <cell r="F511">
            <v>4000</v>
          </cell>
        </row>
        <row r="512">
          <cell r="C512" t="str">
            <v>ID325/95R24-22PR(162/160K)[CM912A]TRAZANO(全诺)无内</v>
          </cell>
          <cell r="D512">
            <v>1800</v>
          </cell>
          <cell r="E512" t="str">
            <v>张PC</v>
          </cell>
          <cell r="F512">
            <v>1800</v>
          </cell>
        </row>
        <row r="513">
          <cell r="C513" t="str">
            <v>ID325/95R24-22PR(162/160K)[CM913A]TRAZANO(全诺)无内</v>
          </cell>
          <cell r="D513">
            <v>2660</v>
          </cell>
          <cell r="E513" t="str">
            <v>张PC</v>
          </cell>
          <cell r="F513">
            <v>2400</v>
          </cell>
        </row>
        <row r="514">
          <cell r="C514" t="str">
            <v>ID325/95R24-22PR(162/160K)[EZ509]TRAZANO(全诺)无内</v>
          </cell>
          <cell r="D514">
            <v>6000</v>
          </cell>
          <cell r="E514" t="str">
            <v>张PC</v>
          </cell>
          <cell r="F514">
            <v>6000</v>
          </cell>
        </row>
        <row r="515">
          <cell r="C515" t="str">
            <v>ID325/95R24-22PR(162/160K)[MD752]TRAZANO(全诺)无内</v>
          </cell>
          <cell r="D515">
            <v>2800</v>
          </cell>
          <cell r="E515" t="str">
            <v>张PC</v>
          </cell>
          <cell r="F515">
            <v>2800</v>
          </cell>
        </row>
        <row r="516">
          <cell r="C516" t="str">
            <v>ID445/50R22.5-20PR(161L)[AT566]TRAZANO(全诺)无内</v>
          </cell>
          <cell r="D516">
            <v>9000</v>
          </cell>
          <cell r="E516" t="str">
            <v>张PC</v>
          </cell>
          <cell r="F516">
            <v>9000</v>
          </cell>
        </row>
        <row r="517">
          <cell r="C517" t="str">
            <v>ID10.00R20-18PR(149/146F)[CB972]TRAZANO(全诺)</v>
          </cell>
          <cell r="D517">
            <v>2880</v>
          </cell>
          <cell r="E517" t="str">
            <v>张PC</v>
          </cell>
          <cell r="F517">
            <v>2880</v>
          </cell>
        </row>
        <row r="518">
          <cell r="C518" t="str">
            <v>ID10.00R20-18PR(149/146J)[AZ676]TRAZANO(全诺)</v>
          </cell>
          <cell r="D518">
            <v>5491</v>
          </cell>
          <cell r="E518" t="str">
            <v>张PC</v>
          </cell>
          <cell r="F518">
            <v>5491</v>
          </cell>
        </row>
        <row r="519">
          <cell r="C519" t="str">
            <v>ID10.00R20-18PR(149/146J)[AZ686]TRAZANO(全诺)</v>
          </cell>
          <cell r="D519">
            <v>4000</v>
          </cell>
          <cell r="E519" t="str">
            <v>张PC</v>
          </cell>
          <cell r="F519">
            <v>4000</v>
          </cell>
        </row>
        <row r="520">
          <cell r="C520" t="str">
            <v>ID10.00R20-18PR(149/146J)[AZ697]TRAZANO(全诺)无内</v>
          </cell>
          <cell r="D520">
            <v>4500</v>
          </cell>
          <cell r="E520" t="str">
            <v>张PC</v>
          </cell>
          <cell r="F520">
            <v>4500</v>
          </cell>
        </row>
        <row r="521">
          <cell r="C521" t="str">
            <v>ID10.00R20-18PR(149/146J)[CB981]TRAZANO(全诺)</v>
          </cell>
          <cell r="D521">
            <v>5000</v>
          </cell>
          <cell r="E521" t="str">
            <v>张PC</v>
          </cell>
          <cell r="F521">
            <v>4000</v>
          </cell>
        </row>
        <row r="522">
          <cell r="C522" t="str">
            <v>ID10.00R20-18PR(149/146J)[CR926]TRAZANO(全诺)</v>
          </cell>
          <cell r="D522">
            <v>10130</v>
          </cell>
          <cell r="E522" t="str">
            <v>张PC</v>
          </cell>
          <cell r="F522">
            <v>10130</v>
          </cell>
        </row>
        <row r="523">
          <cell r="C523" t="str">
            <v>ID10.00R20-18PR(149/146J)[MD758]TRAZANO(全诺)</v>
          </cell>
          <cell r="D523">
            <v>6166</v>
          </cell>
          <cell r="E523" t="str">
            <v>张PC</v>
          </cell>
          <cell r="F523">
            <v>6166</v>
          </cell>
        </row>
        <row r="524">
          <cell r="C524" t="str">
            <v>ID11.00R20-18PR(152/149F)[CB905A]TRAZANO(全诺)</v>
          </cell>
          <cell r="D524">
            <v>5500</v>
          </cell>
          <cell r="E524" t="str">
            <v>张PC</v>
          </cell>
          <cell r="F524">
            <v>5500</v>
          </cell>
        </row>
        <row r="525">
          <cell r="C525" t="str">
            <v>ID11.00R20-18PR(152/149F)[CB972]TRAZANO(全诺)</v>
          </cell>
          <cell r="D525">
            <v>5110</v>
          </cell>
          <cell r="E525" t="str">
            <v>张PC</v>
          </cell>
          <cell r="F525">
            <v>5110</v>
          </cell>
        </row>
        <row r="526">
          <cell r="C526" t="str">
            <v>ID11.00R20-18PR(152/149K)[AS678]TRAZANO(全诺)</v>
          </cell>
          <cell r="D526">
            <v>4000</v>
          </cell>
          <cell r="E526" t="str">
            <v>张PC</v>
          </cell>
          <cell r="F526">
            <v>4000</v>
          </cell>
        </row>
        <row r="527">
          <cell r="C527" t="str">
            <v>ID11.00R20-18PR(152/149K)[AZ676]TRAZANO(全诺)</v>
          </cell>
          <cell r="D527">
            <v>2662</v>
          </cell>
          <cell r="E527" t="str">
            <v>张PC</v>
          </cell>
          <cell r="F527">
            <v>2662</v>
          </cell>
        </row>
        <row r="528">
          <cell r="C528" t="str">
            <v>ID11.00R20-18PR(152/149K)[CR926+]TRAZANO(全诺)</v>
          </cell>
          <cell r="D528">
            <v>4985</v>
          </cell>
          <cell r="E528" t="str">
            <v>张PC</v>
          </cell>
          <cell r="F528">
            <v>4985</v>
          </cell>
        </row>
        <row r="529">
          <cell r="C529" t="str">
            <v>ID11R22.5-16PR(148/145J)[CR906Ⅱ]TRAZANO(全诺)无内</v>
          </cell>
          <cell r="D529">
            <v>5000</v>
          </cell>
          <cell r="E529" t="str">
            <v>张PC</v>
          </cell>
          <cell r="F529">
            <v>5000</v>
          </cell>
        </row>
        <row r="530">
          <cell r="C530" t="str">
            <v>ID11R22.5-16PR(148/145L)[AS868]TRAZANO(全诺)无内</v>
          </cell>
          <cell r="D530">
            <v>4322</v>
          </cell>
          <cell r="E530" t="str">
            <v>张PC</v>
          </cell>
          <cell r="F530">
            <v>4322</v>
          </cell>
        </row>
        <row r="531">
          <cell r="C531" t="str">
            <v>ID12.00R20-18PR(154/151F)[CB972]TRAZANO(全诺)</v>
          </cell>
          <cell r="D531">
            <v>4990</v>
          </cell>
          <cell r="E531" t="str">
            <v>张PC</v>
          </cell>
          <cell r="F531">
            <v>4990</v>
          </cell>
        </row>
        <row r="532">
          <cell r="C532" t="str">
            <v>ID12.00R20-20PR(156/153F)[CB972]TRAZANO(全诺)</v>
          </cell>
          <cell r="D532">
            <v>5200</v>
          </cell>
          <cell r="E532" t="str">
            <v>张PC</v>
          </cell>
          <cell r="F532">
            <v>5200</v>
          </cell>
        </row>
        <row r="533">
          <cell r="C533" t="str">
            <v>ID295/80R22.5-18PR(152/149M)[AS868Pro]TRAZANO(全诺)无内</v>
          </cell>
          <cell r="D533">
            <v>9000</v>
          </cell>
          <cell r="E533" t="str">
            <v>张PC</v>
          </cell>
          <cell r="F533">
            <v>9000</v>
          </cell>
        </row>
        <row r="534">
          <cell r="C534" t="str">
            <v>ID315/80R22.5-20PR(157/154K)[CR926B]TRAZANO(全诺)无内</v>
          </cell>
          <cell r="D534">
            <v>3000</v>
          </cell>
          <cell r="E534" t="str">
            <v>张PC</v>
          </cell>
          <cell r="F534">
            <v>2800</v>
          </cell>
        </row>
        <row r="535">
          <cell r="C535" t="str">
            <v>ID325/95R24-22PR(162/160K)[AZ691]TRAZANO(全诺)无内</v>
          </cell>
          <cell r="D535">
            <v>4000</v>
          </cell>
          <cell r="E535" t="str">
            <v>张PC</v>
          </cell>
          <cell r="F535">
            <v>4000</v>
          </cell>
        </row>
        <row r="536">
          <cell r="C536" t="str">
            <v>ID325/95R24-22PR(162/160K)[AZ828]TRAZANO(全诺)无内</v>
          </cell>
          <cell r="D536">
            <v>3910</v>
          </cell>
          <cell r="E536" t="str">
            <v>张PC</v>
          </cell>
          <cell r="F536">
            <v>3910</v>
          </cell>
        </row>
        <row r="537">
          <cell r="C537" t="str">
            <v>ID325/95R24-22PR(162/160K)[MD752]TRAZANO(全诺)无内</v>
          </cell>
          <cell r="D537">
            <v>3070</v>
          </cell>
          <cell r="E537" t="str">
            <v>张PC</v>
          </cell>
          <cell r="F537">
            <v>3070</v>
          </cell>
        </row>
        <row r="538">
          <cell r="C538" t="str">
            <v>ID7.50R16-14PR(122/118F)[CB972]TRAZANO(全诺)</v>
          </cell>
          <cell r="D538">
            <v>10824</v>
          </cell>
          <cell r="E538" t="str">
            <v>张PC</v>
          </cell>
          <cell r="F538">
            <v>10824</v>
          </cell>
        </row>
        <row r="539">
          <cell r="C539" t="str">
            <v>ID7.50R16-14PR(122/118L)[AZ676]TRAZANO(全诺)</v>
          </cell>
          <cell r="D539">
            <v>18000</v>
          </cell>
          <cell r="E539" t="str">
            <v>张PC</v>
          </cell>
          <cell r="F539">
            <v>18000</v>
          </cell>
        </row>
        <row r="540">
          <cell r="C540" t="str">
            <v>ID7.50R16-14PR(122/118L)[AZ697]TRAZANO(全诺)</v>
          </cell>
          <cell r="D540">
            <v>4000</v>
          </cell>
          <cell r="E540" t="str">
            <v>张PC</v>
          </cell>
          <cell r="F540">
            <v>4000</v>
          </cell>
        </row>
        <row r="541">
          <cell r="C541" t="str">
            <v>ID7.50R16-14PR(122/118L)[CB981]TRAZANO(全诺)</v>
          </cell>
          <cell r="D541">
            <v>3800</v>
          </cell>
          <cell r="E541" t="str">
            <v>张PC</v>
          </cell>
          <cell r="F541">
            <v>3800</v>
          </cell>
        </row>
        <row r="542">
          <cell r="C542" t="str">
            <v>ID7.50R16-14PR(122/118L)[CR926]TRAZANO(全诺)</v>
          </cell>
          <cell r="D542">
            <v>9875</v>
          </cell>
          <cell r="E542" t="str">
            <v>张PC</v>
          </cell>
          <cell r="F542">
            <v>9875</v>
          </cell>
        </row>
        <row r="543">
          <cell r="C543" t="str">
            <v>ID8.25R16-14PR(128/126L)[CR926]TRAZANO(全诺)</v>
          </cell>
          <cell r="D543">
            <v>2990</v>
          </cell>
          <cell r="E543" t="str">
            <v>张PC</v>
          </cell>
          <cell r="F543">
            <v>2990</v>
          </cell>
        </row>
        <row r="544">
          <cell r="C544" t="str">
            <v>ID4.80-12-6PR[TE898]80L TRANSEAGLE无内</v>
          </cell>
          <cell r="D544">
            <v>5110</v>
          </cell>
          <cell r="E544" t="str">
            <v>张PC</v>
          </cell>
          <cell r="F544">
            <v>5110</v>
          </cell>
        </row>
        <row r="545">
          <cell r="C545" t="str">
            <v>IDST175/80D13-6PR[TE898]91/87L TRANSEAGLE无内</v>
          </cell>
          <cell r="D545">
            <v>10550</v>
          </cell>
          <cell r="E545" t="str">
            <v>张PC</v>
          </cell>
          <cell r="F545">
            <v>10550</v>
          </cell>
        </row>
        <row r="546">
          <cell r="C546" t="str">
            <v>IDST205/75D14-6PR[TE898]100/96L TRANSEAGLE无内</v>
          </cell>
          <cell r="D546">
            <v>10370</v>
          </cell>
          <cell r="E546" t="str">
            <v>张PC</v>
          </cell>
          <cell r="F546">
            <v>10370</v>
          </cell>
        </row>
        <row r="547">
          <cell r="C547" t="str">
            <v>IDST205/75D15-6PR[TE898]101/97L TRANSEAGLE无内</v>
          </cell>
          <cell r="D547">
            <v>5000</v>
          </cell>
          <cell r="E547" t="str">
            <v>张PC</v>
          </cell>
          <cell r="F547">
            <v>5000</v>
          </cell>
        </row>
        <row r="548">
          <cell r="C548" t="str">
            <v>IDST225/75D15-8PR[TE898]113/108L TRANSEAGLE无内</v>
          </cell>
          <cell r="D548">
            <v>5000</v>
          </cell>
          <cell r="E548" t="str">
            <v>张PC</v>
          </cell>
          <cell r="F548">
            <v>5000</v>
          </cell>
        </row>
        <row r="549">
          <cell r="C549" t="str">
            <v>ID11R22.5-16PR(148/145L)[ECO-MILE CSD]TRAVELSTAR无内</v>
          </cell>
          <cell r="D549">
            <v>5000</v>
          </cell>
          <cell r="E549" t="str">
            <v>张PC</v>
          </cell>
          <cell r="F549">
            <v>5000</v>
          </cell>
        </row>
        <row r="550">
          <cell r="C550" t="str">
            <v>ID225/70R19.5-14PR(128/126M)[ECO-MILE RDW]TRAVELSTAR无内</v>
          </cell>
          <cell r="D550">
            <v>5000</v>
          </cell>
          <cell r="E550" t="str">
            <v>张PC</v>
          </cell>
          <cell r="F550">
            <v>5000</v>
          </cell>
        </row>
        <row r="551">
          <cell r="C551" t="str">
            <v>ID225/70R19.5-14PR(128/126N)[ECO-MILE AP]TRAVELSTAR无内</v>
          </cell>
          <cell r="D551">
            <v>5000</v>
          </cell>
          <cell r="E551" t="str">
            <v>张PC</v>
          </cell>
          <cell r="F551">
            <v>5000</v>
          </cell>
        </row>
        <row r="552">
          <cell r="C552" t="str">
            <v>ID225/70R19.5-14PR(128/126N)[ECO-MILE HTD]TRAVELSTAR无内</v>
          </cell>
          <cell r="D552">
            <v>5000</v>
          </cell>
          <cell r="E552" t="str">
            <v>张PC</v>
          </cell>
          <cell r="F552">
            <v>5000</v>
          </cell>
        </row>
        <row r="553">
          <cell r="C553" t="str">
            <v>ID245/70R19.5-16PR(136/134M)[ECO-MILE AP]TRAVELSTAR无内</v>
          </cell>
          <cell r="D553">
            <v>5000</v>
          </cell>
          <cell r="E553" t="str">
            <v>张PC</v>
          </cell>
          <cell r="F553">
            <v>5000</v>
          </cell>
        </row>
        <row r="554">
          <cell r="C554" t="str">
            <v>ID245/70R19.5-16PR(136/134M)[ECO-MILE HTD]TRAVELSTAR无内</v>
          </cell>
          <cell r="D554">
            <v>5000</v>
          </cell>
          <cell r="E554" t="str">
            <v>张PC</v>
          </cell>
          <cell r="F554">
            <v>5000</v>
          </cell>
        </row>
        <row r="555">
          <cell r="C555" t="str">
            <v>ID255/70R22.5-16PR(140/137M)[ECO-MILE AP]TRAVELSTAR无内</v>
          </cell>
          <cell r="D555">
            <v>5000</v>
          </cell>
          <cell r="E555" t="str">
            <v>张PC</v>
          </cell>
          <cell r="F555">
            <v>5000</v>
          </cell>
        </row>
        <row r="556">
          <cell r="C556" t="str">
            <v>ID295/75R22.5-16PR(146/143L)[ECO-MILE CSD]TRAVELSTAR无内</v>
          </cell>
          <cell r="D556">
            <v>5000</v>
          </cell>
          <cell r="E556" t="str">
            <v>张PC</v>
          </cell>
          <cell r="F556">
            <v>5000</v>
          </cell>
        </row>
        <row r="557">
          <cell r="C557" t="str">
            <v>ID10.00R20-18PR(149/146F)[MT100]UNITED</v>
          </cell>
          <cell r="D557">
            <v>7000</v>
          </cell>
          <cell r="E557" t="str">
            <v>张PC</v>
          </cell>
          <cell r="F557">
            <v>6700</v>
          </cell>
        </row>
        <row r="558">
          <cell r="C558" t="str">
            <v>ID10.00R20-18PR(149/146J)[MT200]UNITED</v>
          </cell>
          <cell r="D558">
            <v>3000</v>
          </cell>
          <cell r="E558" t="str">
            <v>张PC</v>
          </cell>
          <cell r="F558">
            <v>3000</v>
          </cell>
        </row>
        <row r="559">
          <cell r="C559" t="str">
            <v>ID11.00R20-18PR(152/149F)[MT100]UNITED</v>
          </cell>
          <cell r="D559">
            <v>6750</v>
          </cell>
          <cell r="E559" t="str">
            <v>张PC</v>
          </cell>
          <cell r="F559">
            <v>6750</v>
          </cell>
        </row>
        <row r="560">
          <cell r="C560" t="str">
            <v>ID11.00R20-18PR(152/149K)[MT200]UNITED</v>
          </cell>
          <cell r="D560">
            <v>3000</v>
          </cell>
          <cell r="E560" t="str">
            <v>张PC</v>
          </cell>
          <cell r="F560">
            <v>3000</v>
          </cell>
        </row>
        <row r="561">
          <cell r="C561" t="str">
            <v>ID12.00R20-18PR(154/151F)[MT100]UNITED</v>
          </cell>
          <cell r="D561">
            <v>7000</v>
          </cell>
          <cell r="E561" t="str">
            <v>张PC</v>
          </cell>
          <cell r="F561">
            <v>6800</v>
          </cell>
        </row>
        <row r="562">
          <cell r="C562" t="str">
            <v>ID7.50R16-14PR(122/118L)[MT200]UNITED</v>
          </cell>
          <cell r="D562">
            <v>3400</v>
          </cell>
          <cell r="E562" t="str">
            <v>张PC</v>
          </cell>
          <cell r="F562">
            <v>3400</v>
          </cell>
        </row>
        <row r="563">
          <cell r="C563" t="str">
            <v>ID12.00R24-20PR(160/157F)[MT100 MAX]UNITED</v>
          </cell>
          <cell r="D563">
            <v>3030</v>
          </cell>
          <cell r="E563" t="str">
            <v>张PC</v>
          </cell>
          <cell r="F563">
            <v>3000</v>
          </cell>
        </row>
        <row r="564">
          <cell r="C564" t="str">
            <v>ID215/75R17.5-16PR(135/133J)[AP-7318]VANTAGE无内</v>
          </cell>
          <cell r="D564">
            <v>4972</v>
          </cell>
          <cell r="E564" t="str">
            <v>张PC</v>
          </cell>
          <cell r="F564">
            <v>4900</v>
          </cell>
        </row>
        <row r="565">
          <cell r="C565" t="str">
            <v>ID225/70R19.5-14PR(128/126N)[AP-7318]VANTAGE无内</v>
          </cell>
          <cell r="D565">
            <v>5260</v>
          </cell>
          <cell r="E565" t="str">
            <v>张PC</v>
          </cell>
          <cell r="F565">
            <v>4850</v>
          </cell>
        </row>
        <row r="566">
          <cell r="C566" t="str">
            <v>ID225/70R19.5-14PR(128/126N)[DR-7318]VANTAGE无内</v>
          </cell>
          <cell r="D566">
            <v>4789</v>
          </cell>
          <cell r="E566" t="str">
            <v>张PC</v>
          </cell>
          <cell r="F566">
            <v>3550</v>
          </cell>
        </row>
        <row r="567">
          <cell r="C567" t="str">
            <v>ID235/75R17.5-18PR(143/141L)[AP-7318]VANTAGE无内</v>
          </cell>
          <cell r="D567">
            <v>5537</v>
          </cell>
          <cell r="E567" t="str">
            <v>张PC</v>
          </cell>
          <cell r="F567">
            <v>5300</v>
          </cell>
        </row>
        <row r="568">
          <cell r="C568" t="str">
            <v>ID245/70R17.5-18PR(143/141J)[AP-7318]VANTAGE无内</v>
          </cell>
          <cell r="D568">
            <v>5688</v>
          </cell>
          <cell r="E568" t="str">
            <v>张PC</v>
          </cell>
          <cell r="F568">
            <v>5400</v>
          </cell>
        </row>
        <row r="569">
          <cell r="C569" t="str">
            <v>ID245/70R19.5-16PR(136/134M)[AP-7318]VANTAGE无内</v>
          </cell>
          <cell r="D569">
            <v>4975</v>
          </cell>
          <cell r="E569" t="str">
            <v>张PC</v>
          </cell>
          <cell r="F569">
            <v>4900</v>
          </cell>
        </row>
        <row r="570">
          <cell r="C570" t="str">
            <v>ID245/70R19.5-16PR(136/134M)[DR-7318]VANTAGE无内</v>
          </cell>
          <cell r="D570">
            <v>5820</v>
          </cell>
          <cell r="E570" t="str">
            <v>张PC</v>
          </cell>
          <cell r="F570">
            <v>3500</v>
          </cell>
        </row>
        <row r="571">
          <cell r="C571" t="str">
            <v>IDST175/80R13-6PR[ST-100A]91/87M 西湖无内</v>
          </cell>
          <cell r="D571">
            <v>8000</v>
          </cell>
          <cell r="E571" t="str">
            <v>张PC</v>
          </cell>
          <cell r="F571">
            <v>7900</v>
          </cell>
        </row>
        <row r="572">
          <cell r="C572" t="str">
            <v>IDST205/75R14-8PR[ST-100A]105/101M 西湖无内</v>
          </cell>
          <cell r="D572">
            <v>6000</v>
          </cell>
          <cell r="E572" t="str">
            <v>张PC</v>
          </cell>
          <cell r="F572">
            <v>6000</v>
          </cell>
        </row>
        <row r="573">
          <cell r="C573" t="str">
            <v>IDST205/75R15-8PR[ST-100A]107/102M 西湖无内</v>
          </cell>
          <cell r="D573">
            <v>3000</v>
          </cell>
          <cell r="E573" t="str">
            <v>张PC</v>
          </cell>
          <cell r="F573">
            <v>3000</v>
          </cell>
        </row>
        <row r="574">
          <cell r="C574" t="str">
            <v>IDST215/75R14-8PR[ST-100A]108/103M 西湖无内</v>
          </cell>
          <cell r="D574">
            <v>3000</v>
          </cell>
          <cell r="E574" t="str">
            <v>张PC</v>
          </cell>
          <cell r="F574">
            <v>3000</v>
          </cell>
        </row>
        <row r="575">
          <cell r="C575" t="str">
            <v>IDST225/75R15-10PR[ST-100A]117/112M 西湖无内</v>
          </cell>
          <cell r="D575">
            <v>6000</v>
          </cell>
          <cell r="E575" t="str">
            <v>张PC</v>
          </cell>
          <cell r="F575">
            <v>6000</v>
          </cell>
        </row>
        <row r="576">
          <cell r="C576" t="str">
            <v>IDST235/80R16-10PR[ST-100A]124/120N 西湖无内</v>
          </cell>
          <cell r="D576">
            <v>3000</v>
          </cell>
          <cell r="E576" t="str">
            <v>张PC</v>
          </cell>
          <cell r="F576">
            <v>3000</v>
          </cell>
        </row>
        <row r="577">
          <cell r="C577" t="str">
            <v>IDST235/85R16-12PR[ST-100A]128/124M 西湖无内</v>
          </cell>
          <cell r="D577">
            <v>3000</v>
          </cell>
          <cell r="E577" t="str">
            <v>张PC</v>
          </cell>
          <cell r="F577">
            <v>3000</v>
          </cell>
        </row>
        <row r="578">
          <cell r="C578" t="str">
            <v>ID10.00-20-14PR[CR918]威狮</v>
          </cell>
          <cell r="D578">
            <v>9106</v>
          </cell>
          <cell r="E578" t="str">
            <v>张PC</v>
          </cell>
          <cell r="F578">
            <v>6700</v>
          </cell>
        </row>
        <row r="579">
          <cell r="C579" t="str">
            <v>ID10.00-20-16PR[CR952]146/142G 威狮</v>
          </cell>
          <cell r="D579">
            <v>8000</v>
          </cell>
          <cell r="E579" t="str">
            <v>张PC</v>
          </cell>
          <cell r="F579">
            <v>8000</v>
          </cell>
        </row>
        <row r="580">
          <cell r="C580" t="str">
            <v>ID10.00-20-16PR[M9097]146/142G 威狮</v>
          </cell>
          <cell r="D580">
            <v>3590</v>
          </cell>
          <cell r="E580" t="str">
            <v>张PC</v>
          </cell>
          <cell r="F580">
            <v>3590</v>
          </cell>
        </row>
        <row r="581">
          <cell r="C581" t="str">
            <v>ID10.00-20-16PR[R9037]146/142G 威狮</v>
          </cell>
          <cell r="D581">
            <v>6090</v>
          </cell>
          <cell r="E581" t="str">
            <v>张PC</v>
          </cell>
          <cell r="F581">
            <v>6090</v>
          </cell>
        </row>
        <row r="582">
          <cell r="C582" t="str">
            <v>ID10.00-20-18PR[CL956]150/145G 威狮</v>
          </cell>
          <cell r="D582">
            <v>5500</v>
          </cell>
          <cell r="E582" t="str">
            <v>张PC</v>
          </cell>
          <cell r="F582">
            <v>5500</v>
          </cell>
        </row>
        <row r="583">
          <cell r="C583" t="str">
            <v>ID10.00-20-18PR[CR952]150/145G 威狮</v>
          </cell>
          <cell r="D583">
            <v>5020</v>
          </cell>
          <cell r="E583" t="str">
            <v>张PC</v>
          </cell>
          <cell r="F583">
            <v>5020</v>
          </cell>
        </row>
        <row r="584">
          <cell r="C584" t="str">
            <v>ID10.00-20-18PR[M9097]150/145G 威狮</v>
          </cell>
          <cell r="D584">
            <v>4725</v>
          </cell>
          <cell r="E584" t="str">
            <v>张PC</v>
          </cell>
          <cell r="F584">
            <v>4725</v>
          </cell>
        </row>
        <row r="585">
          <cell r="C585" t="str">
            <v>ID10.00-20-18PR[R9037]150/145G 威狮</v>
          </cell>
          <cell r="D585">
            <v>6298</v>
          </cell>
          <cell r="E585" t="str">
            <v>张PC</v>
          </cell>
          <cell r="F585">
            <v>6298</v>
          </cell>
        </row>
        <row r="586">
          <cell r="C586" t="str">
            <v>ID10.00-20-18PR[R9038]150/145G 威狮</v>
          </cell>
          <cell r="D586">
            <v>6000</v>
          </cell>
          <cell r="E586" t="str">
            <v>张PC</v>
          </cell>
          <cell r="F586">
            <v>6000</v>
          </cell>
        </row>
        <row r="587">
          <cell r="C587" t="str">
            <v>ID11.00-20-18PR[CL969]153/148G 威狮</v>
          </cell>
          <cell r="D587">
            <v>5770</v>
          </cell>
          <cell r="E587" t="str">
            <v>张PC</v>
          </cell>
          <cell r="F587">
            <v>5770</v>
          </cell>
        </row>
        <row r="588">
          <cell r="C588" t="str">
            <v>ID11.00-20-18PR[CR952]153/148G 威狮</v>
          </cell>
          <cell r="D588">
            <v>7650</v>
          </cell>
          <cell r="E588" t="str">
            <v>张PC</v>
          </cell>
          <cell r="F588">
            <v>7650</v>
          </cell>
        </row>
        <row r="589">
          <cell r="C589" t="str">
            <v>ID7.50-15-12PR[R8037]119/115J 威狮</v>
          </cell>
          <cell r="D589">
            <v>2930</v>
          </cell>
          <cell r="E589" t="str">
            <v>张PC</v>
          </cell>
          <cell r="F589">
            <v>2930</v>
          </cell>
        </row>
        <row r="590">
          <cell r="C590" t="str">
            <v>ID7.50-16-14PR[M8087]122/118G 威狮</v>
          </cell>
          <cell r="D590">
            <v>6859</v>
          </cell>
          <cell r="E590" t="str">
            <v>张PC</v>
          </cell>
          <cell r="F590">
            <v>6859</v>
          </cell>
        </row>
        <row r="591">
          <cell r="C591" t="str">
            <v>ID7.50-16-14PR[R8037]122/118J 威狮</v>
          </cell>
          <cell r="D591">
            <v>16512</v>
          </cell>
          <cell r="E591" t="str">
            <v>张PC</v>
          </cell>
          <cell r="F591">
            <v>13800</v>
          </cell>
        </row>
        <row r="592">
          <cell r="C592" t="str">
            <v>ID7.50-16LT-14PR[CL891]122/118B 威狮</v>
          </cell>
          <cell r="D592">
            <v>7400</v>
          </cell>
          <cell r="E592" t="str">
            <v>张PC</v>
          </cell>
          <cell r="F592">
            <v>7400</v>
          </cell>
        </row>
        <row r="593">
          <cell r="C593" t="str">
            <v>ID7.50-16LT-14PR[MR881]122/118K 威狮</v>
          </cell>
          <cell r="D593">
            <v>8444</v>
          </cell>
          <cell r="E593" t="str">
            <v>张PC</v>
          </cell>
          <cell r="F593">
            <v>2870</v>
          </cell>
        </row>
        <row r="594">
          <cell r="C594" t="str">
            <v>ID7.50-16LT-14PR[MX882]122/118K 威狮</v>
          </cell>
          <cell r="D594">
            <v>5000</v>
          </cell>
          <cell r="E594" t="str">
            <v>张PC</v>
          </cell>
          <cell r="F594">
            <v>5000</v>
          </cell>
        </row>
        <row r="595">
          <cell r="C595" t="str">
            <v>IDST175/80R13-6PR[ST100]91/87M 西湖无内</v>
          </cell>
          <cell r="D595">
            <v>5000</v>
          </cell>
          <cell r="E595" t="str">
            <v>张PC</v>
          </cell>
          <cell r="F595">
            <v>5000</v>
          </cell>
        </row>
        <row r="596">
          <cell r="C596" t="str">
            <v>IDST205/75R14-8PR[ST-100]105/101M 西湖无内</v>
          </cell>
          <cell r="D596">
            <v>8000</v>
          </cell>
          <cell r="E596" t="str">
            <v>张PC</v>
          </cell>
          <cell r="F596">
            <v>8000</v>
          </cell>
        </row>
        <row r="597">
          <cell r="C597" t="str">
            <v>IDST205/75R15-10PR[ST-100A]111/106M 西湖无内</v>
          </cell>
          <cell r="D597">
            <v>3000</v>
          </cell>
          <cell r="E597" t="str">
            <v>张PC</v>
          </cell>
          <cell r="F597">
            <v>3000</v>
          </cell>
        </row>
        <row r="598">
          <cell r="C598" t="str">
            <v>IDST205/75R15-8PR[ST100]107/102M 西湖无内</v>
          </cell>
          <cell r="D598">
            <v>2851</v>
          </cell>
          <cell r="E598" t="str">
            <v>张PC</v>
          </cell>
          <cell r="F598">
            <v>2851</v>
          </cell>
        </row>
        <row r="599">
          <cell r="C599" t="str">
            <v>IDST205/75R15-8PR[STZC]107/102L 威狮无内</v>
          </cell>
          <cell r="D599">
            <v>10000</v>
          </cell>
          <cell r="E599" t="str">
            <v>张PC</v>
          </cell>
          <cell r="F599">
            <v>10000</v>
          </cell>
        </row>
        <row r="600">
          <cell r="C600" t="str">
            <v>IDST225/75R15-10PR[ST100]117/112M 西湖无内</v>
          </cell>
          <cell r="D600">
            <v>2936</v>
          </cell>
          <cell r="E600" t="str">
            <v>张PC</v>
          </cell>
          <cell r="F600">
            <v>2936</v>
          </cell>
        </row>
        <row r="601">
          <cell r="C601" t="str">
            <v>IDST225/75R15-10PR[STZC]117/112L 威狮无内</v>
          </cell>
          <cell r="D601">
            <v>5000</v>
          </cell>
          <cell r="E601" t="str">
            <v>张PC</v>
          </cell>
          <cell r="F601">
            <v>5000</v>
          </cell>
        </row>
        <row r="602">
          <cell r="C602" t="str">
            <v>IDST235/80R16-10PR[ST100]124/120M 西湖无内</v>
          </cell>
          <cell r="D602">
            <v>3000</v>
          </cell>
          <cell r="E602" t="str">
            <v>张PC</v>
          </cell>
          <cell r="F602">
            <v>3000</v>
          </cell>
        </row>
        <row r="603">
          <cell r="C603" t="str">
            <v>IDST235/80R16-10PR[STZC]124/120L 威狮无内</v>
          </cell>
          <cell r="D603">
            <v>5000</v>
          </cell>
          <cell r="E603" t="str">
            <v>张PC</v>
          </cell>
          <cell r="F603">
            <v>5000</v>
          </cell>
        </row>
        <row r="604">
          <cell r="C604" t="str">
            <v>IDST235/80R16-12PR[ST-100A]126/122M 西湖无内</v>
          </cell>
          <cell r="D604">
            <v>5000</v>
          </cell>
          <cell r="E604" t="str">
            <v>张PC</v>
          </cell>
          <cell r="F604">
            <v>5000</v>
          </cell>
        </row>
        <row r="605">
          <cell r="C605" t="str">
            <v>ID12.00R20-20PR(156/153F)[CB972]威狮</v>
          </cell>
          <cell r="D605">
            <v>220</v>
          </cell>
          <cell r="E605" t="str">
            <v>张PC</v>
          </cell>
          <cell r="F605" t="str">
            <v>_</v>
          </cell>
        </row>
        <row r="606">
          <cell r="C606" t="str">
            <v>ID12.00R24-20PR(160/157F)[CB972E]威狮</v>
          </cell>
          <cell r="D606">
            <v>74</v>
          </cell>
          <cell r="E606" t="str">
            <v>张PC</v>
          </cell>
          <cell r="F606" t="str">
            <v>_</v>
          </cell>
        </row>
        <row r="607">
          <cell r="C607" t="str">
            <v>ID295/80R22.5-18PR(152/149M)[AS858Pro]威狮无内</v>
          </cell>
          <cell r="D607">
            <v>24</v>
          </cell>
          <cell r="E607" t="str">
            <v>张PC</v>
          </cell>
          <cell r="F607" t="str">
            <v>_</v>
          </cell>
        </row>
        <row r="608">
          <cell r="C608" t="str">
            <v>IDST205/75R15-10PR[ASSURE ST]111/106N XCELLENT无内</v>
          </cell>
          <cell r="D608">
            <v>2420</v>
          </cell>
          <cell r="E608" t="str">
            <v>张PC</v>
          </cell>
          <cell r="F608">
            <v>2420</v>
          </cell>
        </row>
        <row r="609">
          <cell r="C609" t="str">
            <v>IDST225/75R15-10PR[ASSURE ST]117/112N XCELLENT无内</v>
          </cell>
          <cell r="D609">
            <v>2420</v>
          </cell>
          <cell r="E609" t="str">
            <v>张PC</v>
          </cell>
          <cell r="F609">
            <v>2420</v>
          </cell>
        </row>
        <row r="610">
          <cell r="C610" t="str">
            <v>ID10.00-20-16PR[R9038]146/142G 雅度</v>
          </cell>
          <cell r="D610">
            <v>4000</v>
          </cell>
          <cell r="E610" t="str">
            <v>张PC</v>
          </cell>
          <cell r="F610">
            <v>4000</v>
          </cell>
        </row>
        <row r="611">
          <cell r="C611" t="str">
            <v>ID10.00-20-18PR[CR952]150/145G 雅度</v>
          </cell>
          <cell r="D611">
            <v>6363</v>
          </cell>
          <cell r="E611" t="str">
            <v>张PC</v>
          </cell>
          <cell r="F611">
            <v>6363</v>
          </cell>
        </row>
        <row r="612">
          <cell r="C612" t="str">
            <v>ID10.00-20-18PR[R9037]150/145G 雅度</v>
          </cell>
          <cell r="D612">
            <v>3700</v>
          </cell>
          <cell r="E612" t="str">
            <v>张PC</v>
          </cell>
          <cell r="F612">
            <v>3700</v>
          </cell>
        </row>
        <row r="613">
          <cell r="C613" t="str">
            <v>ID11.00-20-18PR[CR952]153/148G 雅度</v>
          </cell>
          <cell r="D613">
            <v>9772</v>
          </cell>
          <cell r="E613" t="str">
            <v>张PC</v>
          </cell>
          <cell r="F613">
            <v>9772</v>
          </cell>
        </row>
        <row r="614">
          <cell r="C614" t="str">
            <v>ID7.50-16-14PR[M8087]122/118G 雅度</v>
          </cell>
          <cell r="D614">
            <v>5800</v>
          </cell>
          <cell r="E614" t="str">
            <v>张PC</v>
          </cell>
          <cell r="F614">
            <v>5800</v>
          </cell>
        </row>
        <row r="615">
          <cell r="C615" t="str">
            <v>ID7.50-16-14PR[R8037]122/118J 雅度</v>
          </cell>
          <cell r="D615">
            <v>6775</v>
          </cell>
          <cell r="E615" t="str">
            <v>张PC</v>
          </cell>
          <cell r="F615">
            <v>6775</v>
          </cell>
        </row>
        <row r="616">
          <cell r="C616" t="str">
            <v>ID7.50-16-14PR[R8038]122/118J 雅度</v>
          </cell>
          <cell r="D616">
            <v>4000</v>
          </cell>
          <cell r="E616" t="str">
            <v>张PC</v>
          </cell>
          <cell r="F616">
            <v>4000</v>
          </cell>
        </row>
        <row r="617">
          <cell r="C617" t="str">
            <v>ID275/80R22.5-16PR(149/146M)[AD528]雅度无内</v>
          </cell>
          <cell r="D617">
            <v>8000</v>
          </cell>
          <cell r="E617" t="str">
            <v>张PC</v>
          </cell>
          <cell r="F617">
            <v>8000</v>
          </cell>
        </row>
        <row r="618">
          <cell r="C618" t="str">
            <v>ID275/80R22.5-16PR(149/146M)[CR976A]雅度无内</v>
          </cell>
          <cell r="D618">
            <v>7000</v>
          </cell>
          <cell r="E618" t="str">
            <v>张PC</v>
          </cell>
          <cell r="F618">
            <v>7000</v>
          </cell>
        </row>
        <row r="619">
          <cell r="C619" t="str">
            <v>ID295/80R22.5-18PR(152/149M)[AS898]雅度无内</v>
          </cell>
          <cell r="D619">
            <v>5185</v>
          </cell>
          <cell r="E619" t="str">
            <v>张PC</v>
          </cell>
          <cell r="F619">
            <v>5185</v>
          </cell>
        </row>
        <row r="620">
          <cell r="C620" t="str">
            <v>ID295/80R22.5-18PR(152/149M)[AT196]雅度无内</v>
          </cell>
          <cell r="D620">
            <v>12950</v>
          </cell>
          <cell r="E620" t="str">
            <v>张PC</v>
          </cell>
          <cell r="F620">
            <v>12950</v>
          </cell>
        </row>
        <row r="621">
          <cell r="C621" t="str">
            <v>ID11.00R20-18PR(152/149F)[EZ330A]雅度</v>
          </cell>
          <cell r="D621">
            <v>1847</v>
          </cell>
          <cell r="E621" t="str">
            <v>张PC</v>
          </cell>
          <cell r="F621">
            <v>1847</v>
          </cell>
        </row>
        <row r="622">
          <cell r="C622" t="str">
            <v>ID11.00R20-18PR(152/149K)[AS578]雅度</v>
          </cell>
          <cell r="D622">
            <v>6780</v>
          </cell>
          <cell r="E622" t="str">
            <v>张PC</v>
          </cell>
          <cell r="F622">
            <v>6780</v>
          </cell>
        </row>
        <row r="623">
          <cell r="C623" t="str">
            <v>ID11.00R20-18PR(152/149K)[AZ850]雅度</v>
          </cell>
          <cell r="D623">
            <v>3950</v>
          </cell>
          <cell r="E623" t="str">
            <v>张PC</v>
          </cell>
          <cell r="F623">
            <v>3950</v>
          </cell>
        </row>
        <row r="624">
          <cell r="C624" t="str">
            <v>ID11R22.5-16PR(148/145L)[AS858]雅度无内</v>
          </cell>
          <cell r="D624">
            <v>3500</v>
          </cell>
          <cell r="E624" t="str">
            <v>张PC</v>
          </cell>
          <cell r="F624">
            <v>3500</v>
          </cell>
        </row>
        <row r="625">
          <cell r="C625" t="str">
            <v>ID12.00R20-18PR(154/151F)[CB972]雅度</v>
          </cell>
          <cell r="D625">
            <v>12320</v>
          </cell>
          <cell r="E625" t="str">
            <v>张PC</v>
          </cell>
          <cell r="F625">
            <v>12320</v>
          </cell>
        </row>
        <row r="626">
          <cell r="C626" t="str">
            <v>ID315/80R22.5-20PR(157/154K)[CM913A]雅度无内</v>
          </cell>
          <cell r="D626">
            <v>8400</v>
          </cell>
          <cell r="E626" t="str">
            <v>张PC</v>
          </cell>
          <cell r="F626">
            <v>8400</v>
          </cell>
        </row>
        <row r="627">
          <cell r="C627" t="str">
            <v>ID315/80R22.5-20PR(157/154K)[CR926B]雅度无内</v>
          </cell>
          <cell r="D627">
            <v>2000</v>
          </cell>
          <cell r="E627" t="str">
            <v>张PC</v>
          </cell>
          <cell r="F627">
            <v>2000</v>
          </cell>
        </row>
        <row r="628">
          <cell r="C628" t="str">
            <v>ID325/95R24-22PR(162/160K)[AZ828]雅度无内</v>
          </cell>
          <cell r="D628">
            <v>14070</v>
          </cell>
          <cell r="E628" t="str">
            <v>张PC</v>
          </cell>
          <cell r="F628">
            <v>14070</v>
          </cell>
        </row>
        <row r="629">
          <cell r="C629" t="str">
            <v>ID325/95R24-22PR(162/160K)[CM913A]雅度无内</v>
          </cell>
          <cell r="D629">
            <v>2500</v>
          </cell>
          <cell r="E629" t="str">
            <v>张PC</v>
          </cell>
          <cell r="F629">
            <v>2500</v>
          </cell>
        </row>
        <row r="630">
          <cell r="C630" t="str">
            <v>ID325/95R24-22PR(162/160K)[EZ865]雅度无内</v>
          </cell>
          <cell r="D630">
            <v>2730</v>
          </cell>
          <cell r="E630" t="str">
            <v>张PC</v>
          </cell>
          <cell r="F630">
            <v>2730</v>
          </cell>
        </row>
        <row r="631">
          <cell r="C631" t="str">
            <v>ID325/95R24-22PR(162/160K)[MD752]雅度无内</v>
          </cell>
          <cell r="D631">
            <v>5620</v>
          </cell>
          <cell r="E631" t="str">
            <v>张PC</v>
          </cell>
          <cell r="F631">
            <v>5620</v>
          </cell>
        </row>
        <row r="632">
          <cell r="C632" t="str">
            <v>ID10.00R20-18PR(149/146F)[CB332]雅度</v>
          </cell>
          <cell r="D632">
            <v>5240</v>
          </cell>
          <cell r="E632" t="str">
            <v>张PC</v>
          </cell>
          <cell r="F632">
            <v>5240</v>
          </cell>
        </row>
        <row r="633">
          <cell r="C633" t="str">
            <v>ID10.00R20-18PR(149/146F)[CB972]雅度</v>
          </cell>
          <cell r="D633">
            <v>3875</v>
          </cell>
          <cell r="E633" t="str">
            <v>张PC</v>
          </cell>
          <cell r="F633">
            <v>3875</v>
          </cell>
        </row>
        <row r="634">
          <cell r="C634" t="str">
            <v>ID10.00R20-18PR(149/146F)[EZ330]雅度</v>
          </cell>
          <cell r="D634">
            <v>4620</v>
          </cell>
          <cell r="E634" t="str">
            <v>张PC</v>
          </cell>
          <cell r="F634">
            <v>4620</v>
          </cell>
        </row>
        <row r="635">
          <cell r="C635" t="str">
            <v>ID10.00R20-18PR(149/146J)[AZ686]雅度</v>
          </cell>
          <cell r="D635">
            <v>5012</v>
          </cell>
          <cell r="E635" t="str">
            <v>张PC</v>
          </cell>
          <cell r="F635">
            <v>5012</v>
          </cell>
        </row>
        <row r="636">
          <cell r="C636" t="str">
            <v>ID10.00R20-18PR(149/146J)[AZ697]雅度</v>
          </cell>
          <cell r="D636">
            <v>5730</v>
          </cell>
          <cell r="E636" t="str">
            <v>张PC</v>
          </cell>
          <cell r="F636">
            <v>5730</v>
          </cell>
        </row>
        <row r="637">
          <cell r="C637" t="str">
            <v>ID10.00R20-18PR(149/146J)[AZ850]雅度</v>
          </cell>
          <cell r="D637">
            <v>2000</v>
          </cell>
          <cell r="E637" t="str">
            <v>张PC</v>
          </cell>
          <cell r="F637">
            <v>2000</v>
          </cell>
        </row>
        <row r="638">
          <cell r="C638" t="str">
            <v>ID10.00R20-18PR(149/146J)[CM988]雅度</v>
          </cell>
          <cell r="D638">
            <v>4220</v>
          </cell>
          <cell r="E638" t="str">
            <v>张PC</v>
          </cell>
          <cell r="F638">
            <v>4220</v>
          </cell>
        </row>
        <row r="639">
          <cell r="C639" t="str">
            <v>ID10.00R20-18PR(149/146J)[CR926]雅度</v>
          </cell>
          <cell r="D639">
            <v>12220</v>
          </cell>
          <cell r="E639" t="str">
            <v>张PC</v>
          </cell>
          <cell r="F639">
            <v>12100</v>
          </cell>
        </row>
        <row r="640">
          <cell r="C640" t="str">
            <v>ID10.00R20-18PR(149/146J)[EZ369]雅度</v>
          </cell>
          <cell r="D640">
            <v>9000</v>
          </cell>
          <cell r="E640" t="str">
            <v>张PC</v>
          </cell>
          <cell r="F640">
            <v>9000</v>
          </cell>
        </row>
        <row r="641">
          <cell r="C641" t="str">
            <v>ID11.00R20-18PR(152/149F)[CB332A]雅度</v>
          </cell>
          <cell r="D641">
            <v>4000</v>
          </cell>
          <cell r="E641" t="str">
            <v>张PC</v>
          </cell>
          <cell r="F641">
            <v>4000</v>
          </cell>
        </row>
        <row r="642">
          <cell r="C642" t="str">
            <v>ID11.00R20-18PR(152/149F)[CB905A]雅度</v>
          </cell>
          <cell r="D642">
            <v>5240</v>
          </cell>
          <cell r="E642" t="str">
            <v>张PC</v>
          </cell>
          <cell r="F642">
            <v>5240</v>
          </cell>
        </row>
        <row r="643">
          <cell r="C643" t="str">
            <v>ID11.00R20-18PR(152/149F)[CB972]雅度</v>
          </cell>
          <cell r="D643">
            <v>7274</v>
          </cell>
          <cell r="E643" t="str">
            <v>张PC</v>
          </cell>
          <cell r="F643">
            <v>7274</v>
          </cell>
        </row>
        <row r="644">
          <cell r="C644" t="str">
            <v>ID11.00R20-18PR(152/149F)[EZ336]雅度</v>
          </cell>
          <cell r="D644">
            <v>5528</v>
          </cell>
          <cell r="E644" t="str">
            <v>张PC</v>
          </cell>
          <cell r="F644">
            <v>5528</v>
          </cell>
        </row>
        <row r="645">
          <cell r="C645" t="str">
            <v>ID11.00R20-18PR(152/149K)[AS578]雅度</v>
          </cell>
          <cell r="D645">
            <v>6370</v>
          </cell>
          <cell r="E645" t="str">
            <v>张PC</v>
          </cell>
          <cell r="F645">
            <v>6370</v>
          </cell>
        </row>
        <row r="646">
          <cell r="C646" t="str">
            <v>ID11.00R20-18PR(152/149K)[AS678]雅度</v>
          </cell>
          <cell r="D646">
            <v>2600</v>
          </cell>
          <cell r="E646" t="str">
            <v>张PC</v>
          </cell>
          <cell r="F646">
            <v>2600</v>
          </cell>
        </row>
        <row r="647">
          <cell r="C647" t="str">
            <v>ID11.00R20-18PR(152/149K)[AZ850]雅度</v>
          </cell>
          <cell r="D647">
            <v>5790</v>
          </cell>
          <cell r="E647" t="str">
            <v>张PC</v>
          </cell>
          <cell r="F647">
            <v>5790</v>
          </cell>
        </row>
        <row r="648">
          <cell r="C648" t="str">
            <v>ID11.00R20-18PR(152/149K)[CR926+]雅度</v>
          </cell>
          <cell r="D648">
            <v>3464</v>
          </cell>
          <cell r="E648" t="str">
            <v>张PC</v>
          </cell>
          <cell r="F648">
            <v>3464</v>
          </cell>
        </row>
        <row r="649">
          <cell r="C649" t="str">
            <v>ID11.00R20-20PR(154/151D)[AZ850]雅度 东南亚</v>
          </cell>
          <cell r="D649">
            <v>4532</v>
          </cell>
          <cell r="E649" t="str">
            <v>张PC</v>
          </cell>
          <cell r="F649">
            <v>4532</v>
          </cell>
        </row>
        <row r="650">
          <cell r="C650" t="str">
            <v>ID11.00R20-20PR(154/151D)[CB905A]雅度 东南亚</v>
          </cell>
          <cell r="D650">
            <v>2700</v>
          </cell>
          <cell r="E650" t="str">
            <v>张PC</v>
          </cell>
          <cell r="F650">
            <v>2700</v>
          </cell>
        </row>
        <row r="651">
          <cell r="C651" t="str">
            <v>ID11R22.5-16PR(148/145L)[AS858]雅度无内</v>
          </cell>
          <cell r="D651">
            <v>4831</v>
          </cell>
          <cell r="E651" t="str">
            <v>张PC</v>
          </cell>
          <cell r="F651">
            <v>4831</v>
          </cell>
        </row>
        <row r="652">
          <cell r="C652" t="str">
            <v>ID11R22.5-16PR(148/145L)[AZ850]雅度无内</v>
          </cell>
          <cell r="D652">
            <v>2870</v>
          </cell>
          <cell r="E652" t="str">
            <v>张PC</v>
          </cell>
          <cell r="F652">
            <v>2870</v>
          </cell>
        </row>
        <row r="653">
          <cell r="C653" t="str">
            <v>ID11R22.5-18PR(149/146L)[AS858]雅度无内</v>
          </cell>
          <cell r="D653">
            <v>7206</v>
          </cell>
          <cell r="E653" t="str">
            <v>张PC</v>
          </cell>
          <cell r="F653">
            <v>7206</v>
          </cell>
        </row>
        <row r="654">
          <cell r="C654" t="str">
            <v>ID11R22.5-18PR(149/146L)[AZ850]雅度无内</v>
          </cell>
          <cell r="D654">
            <v>7430</v>
          </cell>
          <cell r="E654" t="str">
            <v>张PC</v>
          </cell>
          <cell r="F654">
            <v>7000</v>
          </cell>
        </row>
        <row r="655">
          <cell r="C655" t="str">
            <v>ID12.00R20-18PR(154/151F)[CB332]雅度</v>
          </cell>
          <cell r="D655">
            <v>4000</v>
          </cell>
          <cell r="E655" t="str">
            <v>张PC</v>
          </cell>
          <cell r="F655">
            <v>4000</v>
          </cell>
        </row>
        <row r="656">
          <cell r="C656" t="str">
            <v>ID12.00R20-18PR(154/151F)[CB919]雅度</v>
          </cell>
          <cell r="D656">
            <v>5000</v>
          </cell>
          <cell r="E656" t="str">
            <v>张PC</v>
          </cell>
          <cell r="F656">
            <v>5000</v>
          </cell>
        </row>
        <row r="657">
          <cell r="C657" t="str">
            <v>ID12.00R20-18PR(154/151F)[CB972]雅度</v>
          </cell>
          <cell r="D657">
            <v>8790</v>
          </cell>
          <cell r="E657" t="str">
            <v>张PC</v>
          </cell>
          <cell r="F657">
            <v>8790</v>
          </cell>
        </row>
        <row r="658">
          <cell r="C658" t="str">
            <v>ID12.00R20-18PR(154/151F)[EZ310]雅度</v>
          </cell>
          <cell r="D658">
            <v>3100</v>
          </cell>
          <cell r="E658" t="str">
            <v>张PC</v>
          </cell>
          <cell r="F658">
            <v>3100</v>
          </cell>
        </row>
        <row r="659">
          <cell r="C659" t="str">
            <v>ID12.00R20-18PR(154/151F)[EZ336]雅度</v>
          </cell>
          <cell r="D659">
            <v>9500</v>
          </cell>
          <cell r="E659" t="str">
            <v>张PC</v>
          </cell>
          <cell r="F659">
            <v>9500</v>
          </cell>
        </row>
        <row r="660">
          <cell r="C660" t="str">
            <v>ID12.00R20-18PR(154/151F)[EZ345]雅度</v>
          </cell>
          <cell r="D660">
            <v>6000</v>
          </cell>
          <cell r="E660" t="str">
            <v>张PC</v>
          </cell>
          <cell r="F660">
            <v>6000</v>
          </cell>
        </row>
        <row r="661">
          <cell r="C661" t="str">
            <v>ID12.00R20-20PR(156/153F)[CB972]YARTU</v>
          </cell>
          <cell r="D661">
            <v>5000</v>
          </cell>
          <cell r="E661" t="str">
            <v>张PC</v>
          </cell>
          <cell r="F661">
            <v>5000</v>
          </cell>
        </row>
        <row r="662">
          <cell r="C662" t="str">
            <v>ID12.00R20-20PR(156/153F)[EZ345] YARTU</v>
          </cell>
          <cell r="D662">
            <v>8450</v>
          </cell>
          <cell r="E662" t="str">
            <v>张PC</v>
          </cell>
          <cell r="F662">
            <v>8450</v>
          </cell>
        </row>
        <row r="663">
          <cell r="C663" t="str">
            <v>ID12.00R20-22PR(158/155C)[CB919]雅度</v>
          </cell>
          <cell r="D663">
            <v>3720</v>
          </cell>
          <cell r="E663" t="str">
            <v>张PC</v>
          </cell>
          <cell r="F663">
            <v>3720</v>
          </cell>
        </row>
        <row r="664">
          <cell r="C664" t="str">
            <v>ID12.00R20-22PR(158/155F)[CB919]雅度</v>
          </cell>
          <cell r="D664">
            <v>3831</v>
          </cell>
          <cell r="E664" t="str">
            <v>张PC</v>
          </cell>
          <cell r="F664">
            <v>3831</v>
          </cell>
        </row>
        <row r="665">
          <cell r="C665" t="str">
            <v>ID12.00R20-22PR(158/155F)[CB972]雅度 东南亚</v>
          </cell>
          <cell r="D665">
            <v>6000</v>
          </cell>
          <cell r="E665" t="str">
            <v>张PC</v>
          </cell>
          <cell r="F665">
            <v>6000</v>
          </cell>
        </row>
        <row r="666">
          <cell r="C666" t="str">
            <v>ID12.00R20-22PR(158/155F)[EZ310 pro]雅度</v>
          </cell>
          <cell r="D666">
            <v>10584</v>
          </cell>
          <cell r="E666" t="str">
            <v>张PC</v>
          </cell>
          <cell r="F666">
            <v>10584</v>
          </cell>
        </row>
        <row r="667">
          <cell r="C667" t="str">
            <v>ID12.00R20-22PR(158/155J)[AZ850]雅度 东南亚</v>
          </cell>
          <cell r="D667">
            <v>2188</v>
          </cell>
          <cell r="E667" t="str">
            <v>张PC</v>
          </cell>
          <cell r="F667">
            <v>2188</v>
          </cell>
        </row>
        <row r="668">
          <cell r="C668" t="str">
            <v>ID12.00R20-22PR(158/155J)[EZ867]雅度 东南亚</v>
          </cell>
          <cell r="D668">
            <v>2296</v>
          </cell>
          <cell r="E668" t="str">
            <v>张PC</v>
          </cell>
          <cell r="F668">
            <v>2296</v>
          </cell>
        </row>
        <row r="669">
          <cell r="C669" t="str">
            <v>ID12.00R24-20PR(160/157C)[CB919]雅度</v>
          </cell>
          <cell r="D669">
            <v>417</v>
          </cell>
          <cell r="E669" t="str">
            <v>张PC</v>
          </cell>
          <cell r="F669">
            <v>417</v>
          </cell>
        </row>
        <row r="670">
          <cell r="C670" t="str">
            <v>ID12.00R24-20PR(160/157F)[CB919]雅度</v>
          </cell>
          <cell r="D670">
            <v>11398</v>
          </cell>
          <cell r="E670" t="str">
            <v>张PC</v>
          </cell>
          <cell r="F670">
            <v>12200</v>
          </cell>
        </row>
        <row r="671">
          <cell r="C671" t="str">
            <v>ID12.00R24-20PR(160/157F)[CB972E]雅度</v>
          </cell>
          <cell r="D671">
            <v>7100</v>
          </cell>
          <cell r="E671" t="str">
            <v>张PC</v>
          </cell>
          <cell r="F671">
            <v>7100</v>
          </cell>
        </row>
        <row r="672">
          <cell r="C672" t="str">
            <v>ID12.00R24-20PR(160/157F)[EZ336]雅度</v>
          </cell>
          <cell r="D672">
            <v>7120</v>
          </cell>
          <cell r="E672" t="str">
            <v>张PC</v>
          </cell>
          <cell r="F672">
            <v>7120</v>
          </cell>
        </row>
        <row r="673">
          <cell r="C673" t="str">
            <v>ID12R22.5-18PR(152/149F)[EZ867]雅度无内</v>
          </cell>
          <cell r="D673">
            <v>6000</v>
          </cell>
          <cell r="E673" t="str">
            <v>张PC</v>
          </cell>
          <cell r="F673">
            <v>6000</v>
          </cell>
        </row>
        <row r="674">
          <cell r="C674" t="str">
            <v>ID12R22.5-18PR(152/149F)[EZ870]雅度无内</v>
          </cell>
          <cell r="D674">
            <v>5930</v>
          </cell>
          <cell r="E674" t="str">
            <v>张PC</v>
          </cell>
          <cell r="F674">
            <v>5930</v>
          </cell>
        </row>
        <row r="675">
          <cell r="C675" t="str">
            <v>ID12R22.5-18PR(152/149K)[EZ867]雅度无内</v>
          </cell>
          <cell r="D675">
            <v>3000</v>
          </cell>
          <cell r="E675" t="str">
            <v>张PC</v>
          </cell>
          <cell r="F675">
            <v>3000</v>
          </cell>
        </row>
        <row r="676">
          <cell r="C676" t="str">
            <v>ID12R22.5-18PR(154/151F)[EZ870]雅度无内</v>
          </cell>
          <cell r="D676">
            <v>7520</v>
          </cell>
          <cell r="E676" t="str">
            <v>张PC</v>
          </cell>
          <cell r="F676">
            <v>7520</v>
          </cell>
        </row>
        <row r="677">
          <cell r="C677" t="str">
            <v>ID12R22.5-18PR(154/151K)[EZ867]雅度无内</v>
          </cell>
          <cell r="D677">
            <v>8000</v>
          </cell>
          <cell r="E677" t="str">
            <v>张PC</v>
          </cell>
          <cell r="F677">
            <v>8000</v>
          </cell>
        </row>
        <row r="678">
          <cell r="C678" t="str">
            <v>ID12R22.5-20PR(154/151F)[EZ870]雅度无内</v>
          </cell>
          <cell r="D678">
            <v>2900</v>
          </cell>
          <cell r="E678" t="str">
            <v>张PC</v>
          </cell>
          <cell r="F678">
            <v>2900</v>
          </cell>
        </row>
        <row r="679">
          <cell r="C679" t="str">
            <v>ID12R22.5-20PR(154/151K)[EZ867]雅度无内</v>
          </cell>
          <cell r="D679">
            <v>2545</v>
          </cell>
          <cell r="E679" t="str">
            <v>张PC</v>
          </cell>
          <cell r="F679">
            <v>2545</v>
          </cell>
        </row>
        <row r="680">
          <cell r="C680" t="str">
            <v>ID12R22.5-20PR(154/151L)[AS898H]雅度无内</v>
          </cell>
          <cell r="D680">
            <v>4437</v>
          </cell>
          <cell r="E680" t="str">
            <v>张PC</v>
          </cell>
          <cell r="F680">
            <v>4437</v>
          </cell>
        </row>
        <row r="681">
          <cell r="C681" t="str">
            <v>ID12R22.5-20PR(154/151L)[AZ850M]雅度无内</v>
          </cell>
          <cell r="D681">
            <v>4500</v>
          </cell>
          <cell r="E681" t="str">
            <v>张PC</v>
          </cell>
          <cell r="F681">
            <v>4500</v>
          </cell>
        </row>
        <row r="682">
          <cell r="C682" t="str">
            <v>ID215/75R17.5-16PR(135/133J)[CM986]雅度无内</v>
          </cell>
          <cell r="D682">
            <v>9400</v>
          </cell>
          <cell r="E682" t="str">
            <v>张PC</v>
          </cell>
          <cell r="F682">
            <v>9400</v>
          </cell>
        </row>
        <row r="683">
          <cell r="C683" t="str">
            <v>ID295/80R22.5-18PR(152/149M)[AS858Pro]雅度无内</v>
          </cell>
          <cell r="D683">
            <v>4240</v>
          </cell>
          <cell r="E683" t="str">
            <v>张PC</v>
          </cell>
          <cell r="F683">
            <v>4240</v>
          </cell>
        </row>
        <row r="684">
          <cell r="C684" t="str">
            <v>ID315/80R22.5-20PR(157/154K)[CM958]雅度无内</v>
          </cell>
          <cell r="D684">
            <v>11173</v>
          </cell>
          <cell r="E684" t="str">
            <v>张PC</v>
          </cell>
          <cell r="F684">
            <v>11050</v>
          </cell>
        </row>
        <row r="685">
          <cell r="C685" t="str">
            <v>ID315/80R22.5-20PR(157/154K)[CR926B]雅度无内</v>
          </cell>
          <cell r="D685">
            <v>3000</v>
          </cell>
          <cell r="E685" t="str">
            <v>张PC</v>
          </cell>
          <cell r="F685">
            <v>3000</v>
          </cell>
        </row>
        <row r="686">
          <cell r="C686" t="str">
            <v>ID325/95R24-22PR(162/160F)[CB972]雅度无内</v>
          </cell>
          <cell r="D686">
            <v>3980</v>
          </cell>
          <cell r="E686" t="str">
            <v>张PC</v>
          </cell>
          <cell r="F686">
            <v>3980</v>
          </cell>
        </row>
        <row r="687">
          <cell r="C687" t="str">
            <v>ID325/95R24-22PR(162/160F)[CB972E] YARTU TL</v>
          </cell>
          <cell r="D687">
            <v>5600</v>
          </cell>
          <cell r="E687" t="str">
            <v>张PC</v>
          </cell>
          <cell r="F687">
            <v>5600</v>
          </cell>
        </row>
        <row r="688">
          <cell r="C688" t="str">
            <v>ID7.50R16-14PR(122/118F)[CB972]雅度</v>
          </cell>
          <cell r="D688">
            <v>3000</v>
          </cell>
          <cell r="E688" t="str">
            <v>张PC</v>
          </cell>
          <cell r="F688">
            <v>3000</v>
          </cell>
        </row>
        <row r="689">
          <cell r="C689" t="str">
            <v>ID7.50R16-14PR(122/118L)[AZ697]雅度</v>
          </cell>
          <cell r="D689">
            <v>9000</v>
          </cell>
          <cell r="E689" t="str">
            <v>张PC</v>
          </cell>
          <cell r="F689">
            <v>9000</v>
          </cell>
        </row>
        <row r="690">
          <cell r="C690" t="str">
            <v>ID7.50R16-14PR(122/118L)[CR926]雅度</v>
          </cell>
          <cell r="D690">
            <v>17227</v>
          </cell>
          <cell r="E690" t="str">
            <v>张PC</v>
          </cell>
          <cell r="F690">
            <v>17100</v>
          </cell>
        </row>
        <row r="691">
          <cell r="C691" t="str">
            <v>ID8.25R16-14PR(128/126L)[CR926]雅度</v>
          </cell>
          <cell r="D691">
            <v>7500</v>
          </cell>
          <cell r="E691" t="str">
            <v>张PC</v>
          </cell>
          <cell r="F691">
            <v>7500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"/>
  <sheetViews>
    <sheetView tabSelected="1" topLeftCell="B1" workbookViewId="0">
      <selection activeCell="B10" sqref="B10"/>
    </sheetView>
  </sheetViews>
  <sheetFormatPr defaultColWidth="9" defaultRowHeight="16.8"/>
  <cols>
    <col min="2" max="2" width="68.4921875" customWidth="1"/>
    <col min="3" max="3" width="64.3203125" customWidth="1"/>
    <col min="4" max="4" width="62.890625" customWidth="1"/>
    <col min="6" max="6" width="14.0625" customWidth="1"/>
    <col min="7" max="7" width="16.3984375" customWidth="1"/>
    <col min="8" max="8" width="17.8359375" customWidth="1"/>
  </cols>
  <sheetData>
    <row r="1" ht="51" spans="1:17">
      <c r="A1" s="443" t="s">
        <v>0</v>
      </c>
      <c r="B1" s="443" t="s">
        <v>1</v>
      </c>
      <c r="C1" s="444" t="s">
        <v>2</v>
      </c>
      <c r="D1" s="445" t="s">
        <v>3</v>
      </c>
      <c r="E1" s="445" t="s">
        <v>4</v>
      </c>
      <c r="F1" s="445" t="s">
        <v>5</v>
      </c>
      <c r="G1" s="444" t="s">
        <v>6</v>
      </c>
      <c r="H1" s="452" t="s">
        <v>7</v>
      </c>
      <c r="I1" s="444" t="s">
        <v>8</v>
      </c>
      <c r="J1" s="444" t="s">
        <v>9</v>
      </c>
      <c r="K1" s="458" t="s">
        <v>10</v>
      </c>
      <c r="L1" s="459" t="s">
        <v>11</v>
      </c>
      <c r="M1" s="459" t="s">
        <v>12</v>
      </c>
      <c r="N1" s="459" t="s">
        <v>13</v>
      </c>
      <c r="O1" s="459" t="s">
        <v>14</v>
      </c>
      <c r="P1" s="459" t="s">
        <v>15</v>
      </c>
      <c r="Q1" s="459" t="s">
        <v>16</v>
      </c>
    </row>
    <row r="2" ht="17" spans="1:13">
      <c r="A2" t="s">
        <v>17</v>
      </c>
      <c r="B2" s="447" t="s">
        <v>18</v>
      </c>
      <c r="C2" s="447" t="s">
        <v>18</v>
      </c>
      <c r="D2" s="342" t="s">
        <v>19</v>
      </c>
      <c r="G2" s="446" t="s">
        <v>20</v>
      </c>
      <c r="H2" t="s">
        <v>21</v>
      </c>
      <c r="I2" t="s">
        <v>22</v>
      </c>
      <c r="J2" t="s">
        <v>23</v>
      </c>
      <c r="M2" s="347">
        <v>3000</v>
      </c>
    </row>
    <row r="3" ht="17" spans="1:13">
      <c r="A3" t="s">
        <v>17</v>
      </c>
      <c r="B3" s="447" t="s">
        <v>24</v>
      </c>
      <c r="C3" s="447" t="s">
        <v>24</v>
      </c>
      <c r="D3" s="342" t="s">
        <v>25</v>
      </c>
      <c r="G3" s="446" t="s">
        <v>26</v>
      </c>
      <c r="H3" t="s">
        <v>27</v>
      </c>
      <c r="I3" t="s">
        <v>22</v>
      </c>
      <c r="J3" t="s">
        <v>23</v>
      </c>
      <c r="M3" s="347">
        <v>3000</v>
      </c>
    </row>
    <row r="4" ht="17" spans="1:13">
      <c r="A4" t="s">
        <v>17</v>
      </c>
      <c r="B4" s="447" t="s">
        <v>28</v>
      </c>
      <c r="C4" s="447" t="s">
        <v>28</v>
      </c>
      <c r="D4" s="342" t="s">
        <v>29</v>
      </c>
      <c r="G4" s="446" t="s">
        <v>30</v>
      </c>
      <c r="H4" t="s">
        <v>27</v>
      </c>
      <c r="I4" t="s">
        <v>22</v>
      </c>
      <c r="J4" t="s">
        <v>23</v>
      </c>
      <c r="M4" s="347">
        <v>3000</v>
      </c>
    </row>
    <row r="5" ht="17" spans="1:13">
      <c r="A5" t="s">
        <v>17</v>
      </c>
      <c r="B5" s="447" t="s">
        <v>31</v>
      </c>
      <c r="C5" s="447" t="s">
        <v>32</v>
      </c>
      <c r="D5" s="342" t="s">
        <v>33</v>
      </c>
      <c r="G5" s="446" t="s">
        <v>34</v>
      </c>
      <c r="H5" t="s">
        <v>35</v>
      </c>
      <c r="I5" t="s">
        <v>22</v>
      </c>
      <c r="J5" t="s">
        <v>36</v>
      </c>
      <c r="M5" s="347">
        <v>5000</v>
      </c>
    </row>
    <row r="6" ht="17" spans="1:13">
      <c r="A6" t="s">
        <v>17</v>
      </c>
      <c r="B6" s="447" t="s">
        <v>37</v>
      </c>
      <c r="C6" s="447" t="s">
        <v>38</v>
      </c>
      <c r="D6" s="342" t="s">
        <v>39</v>
      </c>
      <c r="G6" s="446" t="s">
        <v>40</v>
      </c>
      <c r="H6" t="s">
        <v>41</v>
      </c>
      <c r="I6" t="s">
        <v>22</v>
      </c>
      <c r="J6" t="s">
        <v>42</v>
      </c>
      <c r="M6" s="347">
        <v>3000</v>
      </c>
    </row>
    <row r="7" ht="17" spans="1:13">
      <c r="A7" t="s">
        <v>17</v>
      </c>
      <c r="B7" s="447" t="s">
        <v>43</v>
      </c>
      <c r="C7" s="447" t="s">
        <v>44</v>
      </c>
      <c r="D7" s="342" t="s">
        <v>45</v>
      </c>
      <c r="G7" s="446" t="s">
        <v>46</v>
      </c>
      <c r="H7" t="s">
        <v>35</v>
      </c>
      <c r="I7" t="s">
        <v>22</v>
      </c>
      <c r="J7" t="s">
        <v>36</v>
      </c>
      <c r="M7" s="347">
        <v>5000</v>
      </c>
    </row>
    <row r="8" ht="17" spans="1:13">
      <c r="A8" t="s">
        <v>17</v>
      </c>
      <c r="B8" s="447" t="s">
        <v>47</v>
      </c>
      <c r="C8" s="447" t="s">
        <v>48</v>
      </c>
      <c r="D8" s="342" t="s">
        <v>49</v>
      </c>
      <c r="G8" s="446" t="s">
        <v>50</v>
      </c>
      <c r="H8" t="s">
        <v>41</v>
      </c>
      <c r="I8" t="s">
        <v>22</v>
      </c>
      <c r="J8" t="s">
        <v>36</v>
      </c>
      <c r="M8" s="347">
        <v>3000</v>
      </c>
    </row>
    <row r="9" ht="17" spans="1:13">
      <c r="A9" t="s">
        <v>17</v>
      </c>
      <c r="B9" s="447" t="s">
        <v>51</v>
      </c>
      <c r="C9" s="447" t="s">
        <v>51</v>
      </c>
      <c r="D9" s="342" t="s">
        <v>52</v>
      </c>
      <c r="G9" s="446" t="s">
        <v>53</v>
      </c>
      <c r="H9" t="s">
        <v>21</v>
      </c>
      <c r="I9" t="s">
        <v>22</v>
      </c>
      <c r="J9" t="s">
        <v>54</v>
      </c>
      <c r="M9" s="347">
        <v>3000</v>
      </c>
    </row>
    <row r="10" ht="17" spans="1:13">
      <c r="A10" t="s">
        <v>17</v>
      </c>
      <c r="B10" s="447" t="s">
        <v>55</v>
      </c>
      <c r="C10" s="447" t="s">
        <v>56</v>
      </c>
      <c r="D10" s="342" t="s">
        <v>57</v>
      </c>
      <c r="G10" s="446" t="s">
        <v>58</v>
      </c>
      <c r="H10" t="s">
        <v>59</v>
      </c>
      <c r="I10" t="s">
        <v>22</v>
      </c>
      <c r="J10" t="s">
        <v>54</v>
      </c>
      <c r="M10" s="347">
        <v>3000</v>
      </c>
    </row>
    <row r="11" ht="17" spans="1:1">
      <c r="A11" t="s">
        <v>60</v>
      </c>
    </row>
    <row r="12" ht="17" spans="1:13">
      <c r="A12" s="334" t="s">
        <v>17</v>
      </c>
      <c r="B12" s="447" t="s">
        <v>61</v>
      </c>
      <c r="C12" s="447" t="s">
        <v>62</v>
      </c>
      <c r="D12" s="341" t="s">
        <v>63</v>
      </c>
      <c r="F12" s="461" t="s">
        <v>64</v>
      </c>
      <c r="G12" s="447" t="s">
        <v>65</v>
      </c>
      <c r="H12" t="s">
        <v>35</v>
      </c>
      <c r="I12" t="s">
        <v>22</v>
      </c>
      <c r="J12" t="s">
        <v>54</v>
      </c>
      <c r="K12" t="s">
        <v>66</v>
      </c>
      <c r="L12" t="s">
        <v>66</v>
      </c>
      <c r="M12" s="347">
        <v>3000</v>
      </c>
    </row>
    <row r="13" ht="17" spans="1:13">
      <c r="A13" s="334" t="s">
        <v>17</v>
      </c>
      <c r="B13" s="447" t="s">
        <v>67</v>
      </c>
      <c r="C13" s="447" t="s">
        <v>68</v>
      </c>
      <c r="D13" s="341" t="s">
        <v>69</v>
      </c>
      <c r="F13" s="462" t="s">
        <v>70</v>
      </c>
      <c r="G13" s="447" t="s">
        <v>71</v>
      </c>
      <c r="H13" t="s">
        <v>72</v>
      </c>
      <c r="I13" t="s">
        <v>22</v>
      </c>
      <c r="J13" t="s">
        <v>54</v>
      </c>
      <c r="K13" t="s">
        <v>66</v>
      </c>
      <c r="L13" t="s">
        <v>66</v>
      </c>
      <c r="M13" s="347">
        <v>3000</v>
      </c>
    </row>
    <row r="14" ht="17" spans="1:13">
      <c r="A14" s="334" t="s">
        <v>17</v>
      </c>
      <c r="B14" s="447" t="s">
        <v>73</v>
      </c>
      <c r="C14" s="447" t="s">
        <v>74</v>
      </c>
      <c r="D14" s="341" t="s">
        <v>75</v>
      </c>
      <c r="F14" s="462" t="s">
        <v>76</v>
      </c>
      <c r="G14" s="447" t="s">
        <v>77</v>
      </c>
      <c r="H14" t="s">
        <v>59</v>
      </c>
      <c r="I14" t="s">
        <v>22</v>
      </c>
      <c r="J14" t="s">
        <v>54</v>
      </c>
      <c r="K14" t="s">
        <v>66</v>
      </c>
      <c r="L14" t="s">
        <v>66</v>
      </c>
      <c r="M14" s="347">
        <v>3000</v>
      </c>
    </row>
    <row r="15" ht="17" customHeight="1" spans="1:13">
      <c r="A15" s="334" t="s">
        <v>17</v>
      </c>
      <c r="B15" s="447" t="s">
        <v>78</v>
      </c>
      <c r="C15" s="447" t="s">
        <v>79</v>
      </c>
      <c r="D15" s="341" t="s">
        <v>80</v>
      </c>
      <c r="F15" s="461" t="s">
        <v>81</v>
      </c>
      <c r="G15" t="s">
        <v>82</v>
      </c>
      <c r="H15" t="s">
        <v>59</v>
      </c>
      <c r="I15" t="s">
        <v>22</v>
      </c>
      <c r="J15" t="s">
        <v>54</v>
      </c>
      <c r="K15" t="s">
        <v>66</v>
      </c>
      <c r="L15" t="s">
        <v>66</v>
      </c>
      <c r="M15" s="347">
        <v>3000</v>
      </c>
    </row>
  </sheetData>
  <conditionalFormatting sqref="D1">
    <cfRule type="duplicateValues" dxfId="0" priority="16"/>
  </conditionalFormatting>
  <conditionalFormatting sqref="M3">
    <cfRule type="cellIs" dxfId="1" priority="11" operator="lessThan">
      <formula>$O$3</formula>
    </cfRule>
  </conditionalFormatting>
  <conditionalFormatting sqref="M7">
    <cfRule type="cellIs" dxfId="1" priority="10" operator="lessThan">
      <formula>$O$3</formula>
    </cfRule>
  </conditionalFormatting>
  <conditionalFormatting sqref="M8">
    <cfRule type="cellIs" dxfId="1" priority="8" operator="lessThan">
      <formula>$O$3</formula>
    </cfRule>
  </conditionalFormatting>
  <conditionalFormatting sqref="M9">
    <cfRule type="cellIs" dxfId="1" priority="9" operator="lessThan">
      <formula>$O$3</formula>
    </cfRule>
  </conditionalFormatting>
  <conditionalFormatting sqref="D10">
    <cfRule type="duplicateValues" dxfId="2" priority="15"/>
  </conditionalFormatting>
  <conditionalFormatting sqref="M10">
    <cfRule type="cellIs" dxfId="1" priority="7" operator="lessThan">
      <formula>$O$3</formula>
    </cfRule>
  </conditionalFormatting>
  <conditionalFormatting sqref="M12">
    <cfRule type="cellIs" dxfId="1" priority="3" operator="lessThan">
      <formula>$O$3</formula>
    </cfRule>
  </conditionalFormatting>
  <conditionalFormatting sqref="M13">
    <cfRule type="cellIs" dxfId="1" priority="1" operator="lessThan">
      <formula>$O$3</formula>
    </cfRule>
  </conditionalFormatting>
  <conditionalFormatting sqref="M14">
    <cfRule type="cellIs" dxfId="1" priority="2" operator="lessThan">
      <formula>$O$3</formula>
    </cfRule>
  </conditionalFormatting>
  <conditionalFormatting sqref="M15">
    <cfRule type="cellIs" dxfId="1" priority="4" operator="lessThan">
      <formula>$O$3</formula>
    </cfRule>
  </conditionalFormatting>
  <conditionalFormatting sqref="D2:D3 D4 D5 D6 D7 D8 D9 D10">
    <cfRule type="duplicateValues" dxfId="2" priority="14"/>
  </conditionalFormatting>
  <conditionalFormatting sqref="D2:D3 D4 D5 D6 D7 D8 D9">
    <cfRule type="duplicateValues" dxfId="2" priority="13"/>
  </conditionalFormatting>
  <conditionalFormatting sqref="M2 M4:M6">
    <cfRule type="cellIs" dxfId="1" priority="12" operator="lessThan">
      <formula>$O$3</formula>
    </cfRule>
  </conditionalFormatting>
  <conditionalFormatting sqref="D12:D14 D15">
    <cfRule type="duplicateValues" dxfId="2" priority="6"/>
    <cfRule type="duplicateValues" dxfId="2" priority="5"/>
  </conditionalFormatting>
  <dataValidations count="1">
    <dataValidation type="list" allowBlank="1" showInputMessage="1" showErrorMessage="1" sqref="I1">
      <formula1>"TT,TL"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9"/>
  <sheetViews>
    <sheetView zoomScale="88" zoomScaleNormal="88" topLeftCell="C1" workbookViewId="0">
      <selection activeCell="D41" sqref="D41"/>
    </sheetView>
  </sheetViews>
  <sheetFormatPr defaultColWidth="9" defaultRowHeight="16.8"/>
  <cols>
    <col min="2" max="2" width="65.7578125" customWidth="1"/>
    <col min="3" max="3" width="63.53125" customWidth="1"/>
    <col min="4" max="4" width="49.9921875" customWidth="1"/>
    <col min="6" max="6" width="15.4921875" customWidth="1"/>
    <col min="7" max="7" width="17.1875" customWidth="1"/>
    <col min="8" max="8" width="16.921875" customWidth="1"/>
    <col min="17" max="17" width="11.4609375" customWidth="1"/>
  </cols>
  <sheetData>
    <row r="1" ht="51" spans="1:17">
      <c r="A1" s="443" t="s">
        <v>0</v>
      </c>
      <c r="B1" s="443" t="s">
        <v>1</v>
      </c>
      <c r="C1" s="444" t="s">
        <v>2</v>
      </c>
      <c r="D1" s="445" t="s">
        <v>3</v>
      </c>
      <c r="E1" s="445" t="s">
        <v>4</v>
      </c>
      <c r="F1" s="445" t="s">
        <v>5</v>
      </c>
      <c r="G1" s="444" t="s">
        <v>6</v>
      </c>
      <c r="H1" s="452" t="s">
        <v>7</v>
      </c>
      <c r="I1" s="444" t="s">
        <v>8</v>
      </c>
      <c r="J1" s="444" t="s">
        <v>9</v>
      </c>
      <c r="K1" s="458" t="s">
        <v>10</v>
      </c>
      <c r="L1" s="459" t="s">
        <v>11</v>
      </c>
      <c r="M1" s="459" t="s">
        <v>12</v>
      </c>
      <c r="N1" s="459" t="s">
        <v>13</v>
      </c>
      <c r="O1" s="459" t="s">
        <v>14</v>
      </c>
      <c r="P1" s="459" t="s">
        <v>15</v>
      </c>
      <c r="Q1" s="459" t="s">
        <v>16</v>
      </c>
    </row>
    <row r="2" ht="17" spans="1:13">
      <c r="A2" t="s">
        <v>83</v>
      </c>
      <c r="B2" s="446" t="s">
        <v>84</v>
      </c>
      <c r="C2" s="446" t="s">
        <v>85</v>
      </c>
      <c r="D2" s="342" t="s">
        <v>86</v>
      </c>
      <c r="E2" s="453" t="s">
        <v>87</v>
      </c>
      <c r="G2" s="446" t="s">
        <v>88</v>
      </c>
      <c r="H2" t="s">
        <v>89</v>
      </c>
      <c r="I2" t="s">
        <v>90</v>
      </c>
      <c r="J2" t="s">
        <v>91</v>
      </c>
      <c r="M2" s="347">
        <v>3000</v>
      </c>
    </row>
    <row r="3" ht="17" spans="1:13">
      <c r="A3" t="s">
        <v>92</v>
      </c>
      <c r="B3" s="446" t="s">
        <v>93</v>
      </c>
      <c r="C3" s="446" t="s">
        <v>94</v>
      </c>
      <c r="D3" s="342" t="s">
        <v>95</v>
      </c>
      <c r="G3" s="446" t="s">
        <v>96</v>
      </c>
      <c r="H3" t="s">
        <v>59</v>
      </c>
      <c r="I3" t="s">
        <v>90</v>
      </c>
      <c r="J3" t="s">
        <v>91</v>
      </c>
      <c r="M3" s="347">
        <v>3000</v>
      </c>
    </row>
    <row r="4" ht="17" spans="1:13">
      <c r="A4" t="s">
        <v>97</v>
      </c>
      <c r="B4" s="446" t="s">
        <v>98</v>
      </c>
      <c r="C4" s="446" t="s">
        <v>99</v>
      </c>
      <c r="D4" s="342" t="s">
        <v>100</v>
      </c>
      <c r="E4" s="453" t="s">
        <v>87</v>
      </c>
      <c r="G4" s="446" t="s">
        <v>101</v>
      </c>
      <c r="H4" t="s">
        <v>102</v>
      </c>
      <c r="I4" t="s">
        <v>90</v>
      </c>
      <c r="J4" t="s">
        <v>91</v>
      </c>
      <c r="M4" s="347">
        <v>3000</v>
      </c>
    </row>
    <row r="5" ht="17" spans="1:13">
      <c r="A5" t="s">
        <v>83</v>
      </c>
      <c r="B5" s="446" t="s">
        <v>103</v>
      </c>
      <c r="C5" s="446" t="s">
        <v>104</v>
      </c>
      <c r="D5" s="342" t="s">
        <v>105</v>
      </c>
      <c r="E5" s="453" t="s">
        <v>87</v>
      </c>
      <c r="G5" s="446" t="s">
        <v>106</v>
      </c>
      <c r="H5" t="s">
        <v>102</v>
      </c>
      <c r="I5" t="s">
        <v>90</v>
      </c>
      <c r="J5" t="s">
        <v>91</v>
      </c>
      <c r="M5" s="347">
        <v>3000</v>
      </c>
    </row>
    <row r="6" ht="17" spans="1:13">
      <c r="A6" t="s">
        <v>83</v>
      </c>
      <c r="B6" s="446" t="s">
        <v>107</v>
      </c>
      <c r="C6" s="446" t="s">
        <v>108</v>
      </c>
      <c r="D6" s="342" t="s">
        <v>109</v>
      </c>
      <c r="E6" s="453" t="s">
        <v>87</v>
      </c>
      <c r="G6" s="446" t="s">
        <v>110</v>
      </c>
      <c r="H6" t="s">
        <v>111</v>
      </c>
      <c r="I6" t="s">
        <v>90</v>
      </c>
      <c r="J6" t="s">
        <v>91</v>
      </c>
      <c r="M6" s="347">
        <v>3000</v>
      </c>
    </row>
    <row r="7" ht="17" spans="1:13">
      <c r="A7" t="s">
        <v>83</v>
      </c>
      <c r="B7" s="446" t="s">
        <v>112</v>
      </c>
      <c r="C7" s="446" t="s">
        <v>113</v>
      </c>
      <c r="D7" s="342" t="s">
        <v>114</v>
      </c>
      <c r="E7" s="453" t="s">
        <v>87</v>
      </c>
      <c r="G7" s="446" t="s">
        <v>115</v>
      </c>
      <c r="H7" t="s">
        <v>111</v>
      </c>
      <c r="I7" t="s">
        <v>90</v>
      </c>
      <c r="J7" t="s">
        <v>54</v>
      </c>
      <c r="M7" s="347">
        <v>5000</v>
      </c>
    </row>
    <row r="8" ht="17" spans="1:13">
      <c r="A8" t="s">
        <v>83</v>
      </c>
      <c r="B8" s="446" t="s">
        <v>116</v>
      </c>
      <c r="C8" s="446" t="s">
        <v>117</v>
      </c>
      <c r="D8" s="342" t="s">
        <v>118</v>
      </c>
      <c r="E8" s="453" t="s">
        <v>87</v>
      </c>
      <c r="G8" s="446" t="s">
        <v>119</v>
      </c>
      <c r="H8" t="s">
        <v>102</v>
      </c>
      <c r="I8" t="s">
        <v>90</v>
      </c>
      <c r="J8" t="s">
        <v>54</v>
      </c>
      <c r="M8" s="347">
        <v>8000</v>
      </c>
    </row>
    <row r="9" ht="17" spans="1:13">
      <c r="A9" t="s">
        <v>83</v>
      </c>
      <c r="B9" s="446" t="s">
        <v>120</v>
      </c>
      <c r="C9" s="446" t="s">
        <v>121</v>
      </c>
      <c r="D9" s="342" t="s">
        <v>122</v>
      </c>
      <c r="E9" s="453" t="s">
        <v>87</v>
      </c>
      <c r="G9" s="446" t="s">
        <v>123</v>
      </c>
      <c r="H9" t="s">
        <v>102</v>
      </c>
      <c r="I9" t="s">
        <v>90</v>
      </c>
      <c r="J9" t="s">
        <v>91</v>
      </c>
      <c r="M9" s="347">
        <v>3000</v>
      </c>
    </row>
    <row r="10" ht="17" spans="1:13">
      <c r="A10" t="s">
        <v>83</v>
      </c>
      <c r="B10" s="446" t="s">
        <v>124</v>
      </c>
      <c r="C10" s="446" t="s">
        <v>125</v>
      </c>
      <c r="D10" s="342" t="s">
        <v>126</v>
      </c>
      <c r="E10" s="453" t="s">
        <v>87</v>
      </c>
      <c r="G10" s="446" t="s">
        <v>127</v>
      </c>
      <c r="H10" t="s">
        <v>128</v>
      </c>
      <c r="I10" t="s">
        <v>90</v>
      </c>
      <c r="J10" t="s">
        <v>91</v>
      </c>
      <c r="M10" s="347">
        <v>3000</v>
      </c>
    </row>
    <row r="11" ht="17" spans="1:13">
      <c r="A11" t="s">
        <v>92</v>
      </c>
      <c r="B11" s="446" t="s">
        <v>129</v>
      </c>
      <c r="C11" s="446" t="s">
        <v>130</v>
      </c>
      <c r="D11" s="342" t="s">
        <v>131</v>
      </c>
      <c r="E11" s="453" t="s">
        <v>87</v>
      </c>
      <c r="G11" s="446" t="s">
        <v>132</v>
      </c>
      <c r="H11" t="s">
        <v>128</v>
      </c>
      <c r="I11" t="s">
        <v>90</v>
      </c>
      <c r="J11" t="s">
        <v>54</v>
      </c>
      <c r="M11" s="347">
        <v>3000</v>
      </c>
    </row>
    <row r="12" ht="17" spans="1:13">
      <c r="A12" t="s">
        <v>83</v>
      </c>
      <c r="B12" s="446" t="s">
        <v>133</v>
      </c>
      <c r="C12" s="446" t="s">
        <v>134</v>
      </c>
      <c r="D12" s="342" t="s">
        <v>135</v>
      </c>
      <c r="E12" s="453" t="s">
        <v>87</v>
      </c>
      <c r="G12" s="446" t="s">
        <v>136</v>
      </c>
      <c r="H12" t="s">
        <v>102</v>
      </c>
      <c r="I12" t="s">
        <v>90</v>
      </c>
      <c r="J12" t="s">
        <v>54</v>
      </c>
      <c r="M12" s="347">
        <v>3000</v>
      </c>
    </row>
    <row r="13" ht="17" spans="1:13">
      <c r="A13" t="s">
        <v>83</v>
      </c>
      <c r="B13" s="446" t="s">
        <v>137</v>
      </c>
      <c r="C13" s="446" t="s">
        <v>138</v>
      </c>
      <c r="D13" s="342" t="s">
        <v>139</v>
      </c>
      <c r="E13" s="453" t="s">
        <v>87</v>
      </c>
      <c r="G13" s="446" t="s">
        <v>140</v>
      </c>
      <c r="H13" t="s">
        <v>102</v>
      </c>
      <c r="I13" t="s">
        <v>90</v>
      </c>
      <c r="J13" t="s">
        <v>54</v>
      </c>
      <c r="M13" s="347">
        <v>3000</v>
      </c>
    </row>
    <row r="14" ht="17" spans="1:13">
      <c r="A14" t="s">
        <v>83</v>
      </c>
      <c r="B14" s="446" t="s">
        <v>141</v>
      </c>
      <c r="C14" s="446" t="s">
        <v>142</v>
      </c>
      <c r="D14" s="342" t="s">
        <v>143</v>
      </c>
      <c r="E14" s="453" t="s">
        <v>87</v>
      </c>
      <c r="G14" s="446" t="s">
        <v>144</v>
      </c>
      <c r="H14" t="s">
        <v>89</v>
      </c>
      <c r="I14" t="s">
        <v>90</v>
      </c>
      <c r="J14" t="s">
        <v>91</v>
      </c>
      <c r="M14" s="347">
        <v>3000</v>
      </c>
    </row>
    <row r="15" ht="17" spans="1:13">
      <c r="A15" t="s">
        <v>83</v>
      </c>
      <c r="B15" s="446" t="s">
        <v>145</v>
      </c>
      <c r="C15" s="446" t="s">
        <v>146</v>
      </c>
      <c r="D15" s="342" t="s">
        <v>147</v>
      </c>
      <c r="E15" s="453" t="s">
        <v>87</v>
      </c>
      <c r="G15" s="446" t="s">
        <v>148</v>
      </c>
      <c r="H15" t="s">
        <v>89</v>
      </c>
      <c r="I15" t="s">
        <v>90</v>
      </c>
      <c r="J15" t="s">
        <v>91</v>
      </c>
      <c r="M15" s="347">
        <v>3000</v>
      </c>
    </row>
    <row r="16" ht="17" spans="1:13">
      <c r="A16" t="s">
        <v>83</v>
      </c>
      <c r="B16" s="446" t="s">
        <v>149</v>
      </c>
      <c r="C16" s="446" t="s">
        <v>149</v>
      </c>
      <c r="D16" s="342" t="s">
        <v>150</v>
      </c>
      <c r="G16" s="446" t="s">
        <v>151</v>
      </c>
      <c r="H16" t="s">
        <v>152</v>
      </c>
      <c r="I16" t="s">
        <v>90</v>
      </c>
      <c r="J16" t="s">
        <v>23</v>
      </c>
      <c r="M16" s="347">
        <v>10000</v>
      </c>
    </row>
    <row r="17" ht="17" spans="1:13">
      <c r="A17" t="s">
        <v>92</v>
      </c>
      <c r="B17" s="446" t="s">
        <v>153</v>
      </c>
      <c r="C17" s="446" t="s">
        <v>154</v>
      </c>
      <c r="D17" s="342" t="s">
        <v>155</v>
      </c>
      <c r="G17" s="446" t="s">
        <v>156</v>
      </c>
      <c r="H17" t="s">
        <v>59</v>
      </c>
      <c r="I17" t="s">
        <v>90</v>
      </c>
      <c r="J17" t="s">
        <v>36</v>
      </c>
      <c r="M17" s="347">
        <v>3000</v>
      </c>
    </row>
    <row r="18" ht="17" spans="1:13">
      <c r="A18" t="s">
        <v>92</v>
      </c>
      <c r="B18" s="446" t="s">
        <v>157</v>
      </c>
      <c r="C18" s="446" t="s">
        <v>158</v>
      </c>
      <c r="D18" s="342" t="s">
        <v>159</v>
      </c>
      <c r="G18" s="446" t="s">
        <v>160</v>
      </c>
      <c r="H18" t="s">
        <v>35</v>
      </c>
      <c r="I18" t="s">
        <v>22</v>
      </c>
      <c r="J18" t="s">
        <v>23</v>
      </c>
      <c r="M18" s="347">
        <v>3000</v>
      </c>
    </row>
    <row r="19" ht="17" spans="1:17">
      <c r="A19" t="s">
        <v>161</v>
      </c>
      <c r="B19" s="446" t="s">
        <v>162</v>
      </c>
      <c r="C19" s="446" t="s">
        <v>163</v>
      </c>
      <c r="D19" s="342" t="s">
        <v>164</v>
      </c>
      <c r="G19" s="446" t="s">
        <v>165</v>
      </c>
      <c r="H19" t="s">
        <v>59</v>
      </c>
      <c r="I19" t="s">
        <v>90</v>
      </c>
      <c r="J19" t="s">
        <v>54</v>
      </c>
      <c r="M19" s="347">
        <v>10000</v>
      </c>
      <c r="N19" t="s">
        <v>166</v>
      </c>
      <c r="O19" t="s">
        <v>167</v>
      </c>
      <c r="P19">
        <v>73</v>
      </c>
      <c r="Q19">
        <v>3</v>
      </c>
    </row>
    <row r="20" ht="17" spans="1:17">
      <c r="A20" t="s">
        <v>161</v>
      </c>
      <c r="B20" s="446" t="s">
        <v>168</v>
      </c>
      <c r="C20" s="446" t="s">
        <v>169</v>
      </c>
      <c r="D20" s="342" t="s">
        <v>170</v>
      </c>
      <c r="G20" s="446" t="s">
        <v>171</v>
      </c>
      <c r="H20" t="s">
        <v>59</v>
      </c>
      <c r="I20" t="s">
        <v>90</v>
      </c>
      <c r="J20" t="s">
        <v>54</v>
      </c>
      <c r="M20" s="347">
        <v>10000</v>
      </c>
      <c r="N20" t="s">
        <v>166</v>
      </c>
      <c r="O20" t="s">
        <v>167</v>
      </c>
      <c r="P20">
        <v>73</v>
      </c>
      <c r="Q20">
        <v>3</v>
      </c>
    </row>
    <row r="21" ht="17" spans="1:17">
      <c r="A21" t="s">
        <v>161</v>
      </c>
      <c r="B21" s="446" t="s">
        <v>172</v>
      </c>
      <c r="C21" s="446" t="s">
        <v>173</v>
      </c>
      <c r="D21" s="342" t="s">
        <v>174</v>
      </c>
      <c r="G21" s="446" t="s">
        <v>175</v>
      </c>
      <c r="H21" t="s">
        <v>59</v>
      </c>
      <c r="I21" t="s">
        <v>90</v>
      </c>
      <c r="J21" t="s">
        <v>54</v>
      </c>
      <c r="M21" s="347">
        <v>10000</v>
      </c>
      <c r="N21" t="s">
        <v>166</v>
      </c>
      <c r="O21" t="s">
        <v>167</v>
      </c>
      <c r="P21">
        <v>73</v>
      </c>
      <c r="Q21">
        <v>3</v>
      </c>
    </row>
    <row r="22" ht="17" spans="1:13">
      <c r="A22" t="s">
        <v>92</v>
      </c>
      <c r="B22" s="446" t="s">
        <v>176</v>
      </c>
      <c r="C22" s="446" t="s">
        <v>177</v>
      </c>
      <c r="D22" s="342" t="s">
        <v>178</v>
      </c>
      <c r="G22" s="446" t="s">
        <v>179</v>
      </c>
      <c r="H22" t="s">
        <v>59</v>
      </c>
      <c r="I22" t="s">
        <v>90</v>
      </c>
      <c r="J22" t="s">
        <v>180</v>
      </c>
      <c r="M22" s="347">
        <v>5000</v>
      </c>
    </row>
    <row r="23" ht="17" spans="1:13">
      <c r="A23" t="s">
        <v>92</v>
      </c>
      <c r="B23" s="446" t="s">
        <v>181</v>
      </c>
      <c r="C23" s="446" t="s">
        <v>182</v>
      </c>
      <c r="D23" s="342" t="s">
        <v>183</v>
      </c>
      <c r="G23" s="446" t="s">
        <v>184</v>
      </c>
      <c r="H23" t="s">
        <v>72</v>
      </c>
      <c r="I23" t="s">
        <v>90</v>
      </c>
      <c r="J23" t="s">
        <v>180</v>
      </c>
      <c r="M23" s="347">
        <v>5000</v>
      </c>
    </row>
    <row r="24" ht="17" spans="1:13">
      <c r="A24" t="s">
        <v>92</v>
      </c>
      <c r="B24" s="446" t="s">
        <v>185</v>
      </c>
      <c r="C24" s="446" t="s">
        <v>186</v>
      </c>
      <c r="D24" s="342" t="s">
        <v>187</v>
      </c>
      <c r="G24" s="446" t="s">
        <v>188</v>
      </c>
      <c r="H24" t="s">
        <v>59</v>
      </c>
      <c r="I24" t="s">
        <v>90</v>
      </c>
      <c r="J24" t="s">
        <v>189</v>
      </c>
      <c r="M24" s="347">
        <v>20000</v>
      </c>
    </row>
    <row r="25" ht="17" spans="1:1">
      <c r="A25" t="s">
        <v>60</v>
      </c>
    </row>
    <row r="26" ht="17" spans="1:13">
      <c r="A26" t="s">
        <v>92</v>
      </c>
      <c r="B26" s="447" t="s">
        <v>190</v>
      </c>
      <c r="C26" s="447" t="s">
        <v>191</v>
      </c>
      <c r="D26" s="341" t="s">
        <v>192</v>
      </c>
      <c r="E26" s="453" t="s">
        <v>87</v>
      </c>
      <c r="G26" s="447" t="s">
        <v>193</v>
      </c>
      <c r="H26" t="s">
        <v>128</v>
      </c>
      <c r="I26" t="s">
        <v>90</v>
      </c>
      <c r="J26" t="s">
        <v>91</v>
      </c>
      <c r="M26" s="347">
        <v>3000</v>
      </c>
    </row>
    <row r="27" ht="17" spans="1:18">
      <c r="A27" s="448" t="s">
        <v>161</v>
      </c>
      <c r="B27" s="441"/>
      <c r="C27" s="441"/>
      <c r="D27" s="449" t="s">
        <v>194</v>
      </c>
      <c r="E27" s="441"/>
      <c r="F27" s="441"/>
      <c r="G27" s="441"/>
      <c r="H27" s="441" t="s">
        <v>195</v>
      </c>
      <c r="I27" t="s">
        <v>90</v>
      </c>
      <c r="J27" t="s">
        <v>23</v>
      </c>
      <c r="K27" s="441"/>
      <c r="L27" s="441"/>
      <c r="M27" s="460">
        <v>5000</v>
      </c>
      <c r="N27" s="441"/>
      <c r="O27" s="441"/>
      <c r="P27" s="441"/>
      <c r="Q27" s="441"/>
      <c r="R27" s="441"/>
    </row>
    <row r="28" ht="17" spans="1:13">
      <c r="A28" s="334" t="s">
        <v>92</v>
      </c>
      <c r="B28" s="447" t="s">
        <v>196</v>
      </c>
      <c r="C28" s="447" t="s">
        <v>197</v>
      </c>
      <c r="D28" s="341" t="s">
        <v>198</v>
      </c>
      <c r="E28" s="453" t="s">
        <v>87</v>
      </c>
      <c r="G28" s="447" t="s">
        <v>199</v>
      </c>
      <c r="H28" t="s">
        <v>111</v>
      </c>
      <c r="I28" t="s">
        <v>90</v>
      </c>
      <c r="J28" t="s">
        <v>180</v>
      </c>
      <c r="M28" s="347">
        <v>3000</v>
      </c>
    </row>
    <row r="29" ht="17" spans="1:13">
      <c r="A29" s="334" t="s">
        <v>92</v>
      </c>
      <c r="B29" s="447" t="s">
        <v>200</v>
      </c>
      <c r="C29" s="447" t="s">
        <v>201</v>
      </c>
      <c r="D29" s="341" t="s">
        <v>202</v>
      </c>
      <c r="E29" s="453" t="s">
        <v>87</v>
      </c>
      <c r="G29" s="447" t="s">
        <v>203</v>
      </c>
      <c r="H29" t="s">
        <v>111</v>
      </c>
      <c r="I29" t="s">
        <v>90</v>
      </c>
      <c r="J29" t="s">
        <v>189</v>
      </c>
      <c r="M29" s="347">
        <v>3000</v>
      </c>
    </row>
    <row r="30" ht="17" spans="1:18">
      <c r="A30" s="448" t="s">
        <v>161</v>
      </c>
      <c r="B30" s="450" t="s">
        <v>204</v>
      </c>
      <c r="C30" s="450" t="s">
        <v>205</v>
      </c>
      <c r="D30" s="449" t="s">
        <v>206</v>
      </c>
      <c r="E30" s="455" t="s">
        <v>207</v>
      </c>
      <c r="F30" s="456" t="s">
        <v>208</v>
      </c>
      <c r="G30" s="450" t="s">
        <v>209</v>
      </c>
      <c r="H30" s="442" t="s">
        <v>41</v>
      </c>
      <c r="I30" t="s">
        <v>90</v>
      </c>
      <c r="J30" s="442"/>
      <c r="K30" s="442"/>
      <c r="L30" s="442"/>
      <c r="M30" s="448">
        <v>6000</v>
      </c>
      <c r="N30" s="442"/>
      <c r="O30" s="442"/>
      <c r="P30" s="442"/>
      <c r="Q30" s="442"/>
      <c r="R30" s="442"/>
    </row>
    <row r="31" ht="17" spans="1:17">
      <c r="A31" s="347" t="s">
        <v>161</v>
      </c>
      <c r="B31" s="447" t="s">
        <v>210</v>
      </c>
      <c r="C31" s="447" t="s">
        <v>211</v>
      </c>
      <c r="D31" s="341" t="s">
        <v>212</v>
      </c>
      <c r="F31" s="457" t="s">
        <v>213</v>
      </c>
      <c r="G31" s="447" t="s">
        <v>214</v>
      </c>
      <c r="H31" t="s">
        <v>59</v>
      </c>
      <c r="I31" t="s">
        <v>90</v>
      </c>
      <c r="M31" s="347">
        <v>6000</v>
      </c>
      <c r="N31" t="s">
        <v>166</v>
      </c>
      <c r="O31" t="s">
        <v>167</v>
      </c>
      <c r="P31">
        <v>73</v>
      </c>
      <c r="Q31">
        <v>3</v>
      </c>
    </row>
    <row r="32" ht="17" spans="1:18">
      <c r="A32" s="448" t="s">
        <v>161</v>
      </c>
      <c r="B32" s="450" t="s">
        <v>215</v>
      </c>
      <c r="C32" s="450" t="s">
        <v>216</v>
      </c>
      <c r="D32" s="449" t="s">
        <v>217</v>
      </c>
      <c r="E32" s="442" t="s">
        <v>207</v>
      </c>
      <c r="F32" s="456" t="s">
        <v>218</v>
      </c>
      <c r="G32" s="450" t="s">
        <v>219</v>
      </c>
      <c r="H32" s="442" t="s">
        <v>41</v>
      </c>
      <c r="I32" t="s">
        <v>90</v>
      </c>
      <c r="J32" s="442"/>
      <c r="K32" s="442"/>
      <c r="L32" s="442"/>
      <c r="M32" s="448">
        <v>10000</v>
      </c>
      <c r="N32" s="442"/>
      <c r="O32" s="442"/>
      <c r="P32" s="442"/>
      <c r="Q32" s="442"/>
      <c r="R32" s="442"/>
    </row>
    <row r="33" ht="17" spans="1:17">
      <c r="A33" s="347" t="s">
        <v>161</v>
      </c>
      <c r="B33" s="447" t="s">
        <v>220</v>
      </c>
      <c r="C33" s="447" t="s">
        <v>221</v>
      </c>
      <c r="D33" s="341" t="s">
        <v>222</v>
      </c>
      <c r="F33" s="457" t="s">
        <v>223</v>
      </c>
      <c r="G33" s="447" t="s">
        <v>224</v>
      </c>
      <c r="H33" t="s">
        <v>59</v>
      </c>
      <c r="I33" t="s">
        <v>90</v>
      </c>
      <c r="M33" s="347">
        <v>10000</v>
      </c>
      <c r="N33" t="s">
        <v>166</v>
      </c>
      <c r="O33" t="s">
        <v>167</v>
      </c>
      <c r="P33">
        <v>73</v>
      </c>
      <c r="Q33">
        <v>3</v>
      </c>
    </row>
    <row r="34" ht="17" spans="1:18">
      <c r="A34" s="448" t="s">
        <v>161</v>
      </c>
      <c r="B34" s="450" t="s">
        <v>225</v>
      </c>
      <c r="C34" s="450" t="s">
        <v>226</v>
      </c>
      <c r="D34" s="449" t="s">
        <v>227</v>
      </c>
      <c r="E34" s="442" t="s">
        <v>207</v>
      </c>
      <c r="F34" s="456" t="s">
        <v>228</v>
      </c>
      <c r="G34" s="450" t="s">
        <v>229</v>
      </c>
      <c r="H34" s="442" t="s">
        <v>41</v>
      </c>
      <c r="I34" t="s">
        <v>90</v>
      </c>
      <c r="J34"/>
      <c r="K34" s="442"/>
      <c r="L34" s="442"/>
      <c r="M34" s="448">
        <v>6000</v>
      </c>
      <c r="N34" s="442"/>
      <c r="O34" s="442"/>
      <c r="P34" s="442"/>
      <c r="Q34" s="442"/>
      <c r="R34" s="442"/>
    </row>
    <row r="35" ht="17" spans="1:18">
      <c r="A35" s="448" t="s">
        <v>161</v>
      </c>
      <c r="B35" s="450" t="s">
        <v>230</v>
      </c>
      <c r="C35" s="450" t="s">
        <v>231</v>
      </c>
      <c r="D35" s="449" t="s">
        <v>232</v>
      </c>
      <c r="E35" s="442" t="s">
        <v>207</v>
      </c>
      <c r="F35" s="456" t="s">
        <v>233</v>
      </c>
      <c r="G35" s="450" t="s">
        <v>234</v>
      </c>
      <c r="H35" s="442" t="s">
        <v>41</v>
      </c>
      <c r="I35" t="s">
        <v>90</v>
      </c>
      <c r="J35"/>
      <c r="K35" s="442"/>
      <c r="L35" s="442"/>
      <c r="M35" s="448">
        <v>6000</v>
      </c>
      <c r="N35" s="442"/>
      <c r="O35" s="442"/>
      <c r="P35" s="442"/>
      <c r="Q35" s="442"/>
      <c r="R35" s="442"/>
    </row>
    <row r="36" ht="17" spans="1:17">
      <c r="A36" s="347" t="s">
        <v>161</v>
      </c>
      <c r="B36" s="447" t="s">
        <v>235</v>
      </c>
      <c r="C36" s="447" t="s">
        <v>236</v>
      </c>
      <c r="D36" s="341" t="s">
        <v>237</v>
      </c>
      <c r="F36" s="457" t="s">
        <v>238</v>
      </c>
      <c r="G36" s="447" t="s">
        <v>239</v>
      </c>
      <c r="H36" t="s">
        <v>59</v>
      </c>
      <c r="I36" t="s">
        <v>90</v>
      </c>
      <c r="M36" s="347">
        <v>6000</v>
      </c>
      <c r="N36" t="s">
        <v>166</v>
      </c>
      <c r="O36" t="s">
        <v>167</v>
      </c>
      <c r="P36">
        <v>73</v>
      </c>
      <c r="Q36">
        <v>3</v>
      </c>
    </row>
    <row r="37" ht="17" spans="1:18">
      <c r="A37" s="448" t="s">
        <v>161</v>
      </c>
      <c r="B37" s="450" t="s">
        <v>240</v>
      </c>
      <c r="C37" s="450" t="s">
        <v>241</v>
      </c>
      <c r="D37" s="449" t="s">
        <v>242</v>
      </c>
      <c r="E37" s="442" t="s">
        <v>207</v>
      </c>
      <c r="F37" s="456" t="s">
        <v>243</v>
      </c>
      <c r="G37" s="450" t="s">
        <v>244</v>
      </c>
      <c r="H37" s="442" t="s">
        <v>41</v>
      </c>
      <c r="I37" t="s">
        <v>90</v>
      </c>
      <c r="J37"/>
      <c r="K37" s="442"/>
      <c r="L37" s="442"/>
      <c r="M37" s="448">
        <v>6000</v>
      </c>
      <c r="N37" s="442"/>
      <c r="O37" s="442"/>
      <c r="P37" s="442"/>
      <c r="Q37" s="442"/>
      <c r="R37" s="442"/>
    </row>
    <row r="38" ht="17" spans="1:17">
      <c r="A38" s="347" t="s">
        <v>161</v>
      </c>
      <c r="B38" s="447" t="s">
        <v>245</v>
      </c>
      <c r="C38" s="447" t="s">
        <v>246</v>
      </c>
      <c r="D38" s="341" t="s">
        <v>247</v>
      </c>
      <c r="F38" s="457" t="s">
        <v>248</v>
      </c>
      <c r="G38" s="447" t="s">
        <v>249</v>
      </c>
      <c r="H38" t="s">
        <v>59</v>
      </c>
      <c r="I38" t="s">
        <v>90</v>
      </c>
      <c r="M38" s="347">
        <v>6000</v>
      </c>
      <c r="N38" t="s">
        <v>166</v>
      </c>
      <c r="O38" t="s">
        <v>167</v>
      </c>
      <c r="P38">
        <v>73</v>
      </c>
      <c r="Q38">
        <v>3</v>
      </c>
    </row>
    <row r="39" ht="17" spans="1:18">
      <c r="A39" s="448" t="s">
        <v>161</v>
      </c>
      <c r="B39" s="450" t="s">
        <v>250</v>
      </c>
      <c r="C39" s="450" t="s">
        <v>251</v>
      </c>
      <c r="D39" s="449" t="s">
        <v>252</v>
      </c>
      <c r="E39" s="442" t="s">
        <v>207</v>
      </c>
      <c r="F39" s="456" t="s">
        <v>253</v>
      </c>
      <c r="G39" s="450" t="s">
        <v>254</v>
      </c>
      <c r="H39" s="442" t="s">
        <v>41</v>
      </c>
      <c r="I39" t="s">
        <v>90</v>
      </c>
      <c r="J39"/>
      <c r="K39" s="442"/>
      <c r="L39" s="442"/>
      <c r="M39" s="448">
        <v>10000</v>
      </c>
      <c r="N39" s="442"/>
      <c r="O39" s="442"/>
      <c r="P39" s="442"/>
      <c r="Q39" s="442"/>
      <c r="R39" s="442"/>
    </row>
    <row r="40" ht="17" spans="1:18">
      <c r="A40" s="448" t="s">
        <v>161</v>
      </c>
      <c r="B40" s="450" t="s">
        <v>255</v>
      </c>
      <c r="C40" s="450" t="s">
        <v>256</v>
      </c>
      <c r="D40" s="449" t="s">
        <v>257</v>
      </c>
      <c r="E40" s="442" t="s">
        <v>207</v>
      </c>
      <c r="F40" s="456" t="s">
        <v>258</v>
      </c>
      <c r="G40" s="450" t="s">
        <v>259</v>
      </c>
      <c r="H40" s="442" t="s">
        <v>41</v>
      </c>
      <c r="I40" t="s">
        <v>90</v>
      </c>
      <c r="J40"/>
      <c r="K40" s="442"/>
      <c r="L40" s="442"/>
      <c r="M40" s="448">
        <v>10000</v>
      </c>
      <c r="N40" s="442"/>
      <c r="O40" s="442"/>
      <c r="P40" s="442"/>
      <c r="Q40" s="442"/>
      <c r="R40" s="442"/>
    </row>
    <row r="41" ht="17" spans="1:13">
      <c r="A41" s="347" t="s">
        <v>92</v>
      </c>
      <c r="B41" s="447" t="s">
        <v>260</v>
      </c>
      <c r="C41" s="447" t="s">
        <v>261</v>
      </c>
      <c r="D41" s="341" t="s">
        <v>262</v>
      </c>
      <c r="F41" s="457" t="s">
        <v>263</v>
      </c>
      <c r="G41" s="447" t="s">
        <v>264</v>
      </c>
      <c r="H41" t="s">
        <v>72</v>
      </c>
      <c r="I41" t="s">
        <v>90</v>
      </c>
      <c r="J41" t="s">
        <v>180</v>
      </c>
      <c r="M41" s="347">
        <v>6000</v>
      </c>
    </row>
    <row r="42" ht="17" spans="1:13">
      <c r="A42" s="347" t="s">
        <v>92</v>
      </c>
      <c r="B42" s="447" t="s">
        <v>265</v>
      </c>
      <c r="C42" s="447" t="s">
        <v>266</v>
      </c>
      <c r="D42" s="341" t="s">
        <v>267</v>
      </c>
      <c r="F42" s="457" t="s">
        <v>268</v>
      </c>
      <c r="G42" s="447" t="s">
        <v>269</v>
      </c>
      <c r="H42" t="s">
        <v>270</v>
      </c>
      <c r="I42" t="s">
        <v>90</v>
      </c>
      <c r="J42" t="s">
        <v>189</v>
      </c>
      <c r="M42" s="347">
        <v>3000</v>
      </c>
    </row>
    <row r="43" ht="17" spans="1:13">
      <c r="A43" s="347" t="s">
        <v>92</v>
      </c>
      <c r="B43" s="447" t="s">
        <v>271</v>
      </c>
      <c r="C43" s="447" t="s">
        <v>272</v>
      </c>
      <c r="D43" s="341" t="s">
        <v>273</v>
      </c>
      <c r="F43" s="457" t="s">
        <v>274</v>
      </c>
      <c r="G43" s="447" t="s">
        <v>275</v>
      </c>
      <c r="H43" t="s">
        <v>270</v>
      </c>
      <c r="I43" t="s">
        <v>90</v>
      </c>
      <c r="J43" t="s">
        <v>276</v>
      </c>
      <c r="M43" s="347">
        <v>5000</v>
      </c>
    </row>
    <row r="44" ht="17" spans="1:13">
      <c r="A44" s="347" t="s">
        <v>92</v>
      </c>
      <c r="B44" s="447" t="s">
        <v>277</v>
      </c>
      <c r="C44" s="447" t="s">
        <v>278</v>
      </c>
      <c r="D44" s="341" t="s">
        <v>279</v>
      </c>
      <c r="F44" s="457" t="s">
        <v>280</v>
      </c>
      <c r="G44" s="447" t="s">
        <v>281</v>
      </c>
      <c r="H44" t="s">
        <v>59</v>
      </c>
      <c r="I44" t="s">
        <v>90</v>
      </c>
      <c r="J44" t="s">
        <v>54</v>
      </c>
      <c r="M44" s="347">
        <v>5000</v>
      </c>
    </row>
    <row r="45" ht="17" spans="1:13">
      <c r="A45" s="347" t="s">
        <v>92</v>
      </c>
      <c r="B45" s="447" t="s">
        <v>282</v>
      </c>
      <c r="C45" s="447" t="s">
        <v>283</v>
      </c>
      <c r="D45" s="341" t="s">
        <v>284</v>
      </c>
      <c r="F45" s="457" t="s">
        <v>285</v>
      </c>
      <c r="G45" s="447" t="s">
        <v>286</v>
      </c>
      <c r="H45" t="s">
        <v>59</v>
      </c>
      <c r="I45" t="s">
        <v>90</v>
      </c>
      <c r="J45" t="s">
        <v>54</v>
      </c>
      <c r="M45" s="347">
        <v>5000</v>
      </c>
    </row>
    <row r="46" ht="18" customHeight="1" spans="1:13">
      <c r="A46" s="347" t="s">
        <v>92</v>
      </c>
      <c r="B46" s="447" t="s">
        <v>287</v>
      </c>
      <c r="C46" s="447" t="s">
        <v>288</v>
      </c>
      <c r="D46" s="341" t="s">
        <v>289</v>
      </c>
      <c r="E46" t="s">
        <v>290</v>
      </c>
      <c r="G46" s="447" t="s">
        <v>291</v>
      </c>
      <c r="H46" t="s">
        <v>111</v>
      </c>
      <c r="I46" t="s">
        <v>90</v>
      </c>
      <c r="J46" t="s">
        <v>180</v>
      </c>
      <c r="M46" s="347">
        <v>3000</v>
      </c>
    </row>
    <row r="47" ht="17" spans="1:13">
      <c r="A47" s="347" t="s">
        <v>92</v>
      </c>
      <c r="B47" s="447" t="s">
        <v>292</v>
      </c>
      <c r="C47" s="447" t="s">
        <v>293</v>
      </c>
      <c r="D47" s="341" t="s">
        <v>294</v>
      </c>
      <c r="E47" s="453" t="s">
        <v>87</v>
      </c>
      <c r="G47" s="447" t="s">
        <v>295</v>
      </c>
      <c r="H47" t="s">
        <v>111</v>
      </c>
      <c r="I47" t="s">
        <v>90</v>
      </c>
      <c r="J47" t="s">
        <v>276</v>
      </c>
      <c r="M47" s="347">
        <v>3000</v>
      </c>
    </row>
    <row r="48" ht="17" spans="1:13">
      <c r="A48" s="347" t="s">
        <v>92</v>
      </c>
      <c r="B48" s="447" t="s">
        <v>296</v>
      </c>
      <c r="C48" s="447" t="s">
        <v>297</v>
      </c>
      <c r="D48" s="341" t="s">
        <v>298</v>
      </c>
      <c r="E48" s="453" t="s">
        <v>87</v>
      </c>
      <c r="G48" s="447" t="s">
        <v>299</v>
      </c>
      <c r="H48" t="s">
        <v>111</v>
      </c>
      <c r="I48" t="s">
        <v>90</v>
      </c>
      <c r="J48" t="s">
        <v>276</v>
      </c>
      <c r="M48" s="347">
        <v>3000</v>
      </c>
    </row>
    <row r="49" ht="17" spans="1:13">
      <c r="A49" s="347" t="s">
        <v>92</v>
      </c>
      <c r="B49" s="447" t="s">
        <v>300</v>
      </c>
      <c r="C49" s="447" t="s">
        <v>301</v>
      </c>
      <c r="D49" s="341" t="s">
        <v>302</v>
      </c>
      <c r="E49" s="453" t="s">
        <v>87</v>
      </c>
      <c r="G49" s="447" t="s">
        <v>303</v>
      </c>
      <c r="H49" t="s">
        <v>111</v>
      </c>
      <c r="I49" t="s">
        <v>90</v>
      </c>
      <c r="J49" t="s">
        <v>276</v>
      </c>
      <c r="M49" s="347">
        <v>3000</v>
      </c>
    </row>
  </sheetData>
  <conditionalFormatting sqref="D1">
    <cfRule type="duplicateValues" dxfId="0" priority="40"/>
  </conditionalFormatting>
  <conditionalFormatting sqref="D2">
    <cfRule type="duplicateValues" dxfId="2" priority="38"/>
  </conditionalFormatting>
  <conditionalFormatting sqref="M2">
    <cfRule type="cellIs" dxfId="1" priority="27" operator="lessThan">
      <formula>$O$3</formula>
    </cfRule>
  </conditionalFormatting>
  <conditionalFormatting sqref="M3">
    <cfRule type="cellIs" dxfId="1" priority="19" operator="lessThan">
      <formula>$O$3</formula>
    </cfRule>
  </conditionalFormatting>
  <conditionalFormatting sqref="M4">
    <cfRule type="cellIs" dxfId="1" priority="25" operator="lessThan">
      <formula>$O$3</formula>
    </cfRule>
  </conditionalFormatting>
  <conditionalFormatting sqref="M5">
    <cfRule type="cellIs" dxfId="1" priority="23" operator="lessThan">
      <formula>$O$3</formula>
    </cfRule>
  </conditionalFormatting>
  <conditionalFormatting sqref="M6">
    <cfRule type="cellIs" dxfId="1" priority="28" operator="lessThan">
      <formula>$O$3</formula>
    </cfRule>
  </conditionalFormatting>
  <conditionalFormatting sqref="M7">
    <cfRule type="cellIs" dxfId="1" priority="18" operator="lessThan">
      <formula>$O$3</formula>
    </cfRule>
  </conditionalFormatting>
  <conditionalFormatting sqref="M8">
    <cfRule type="cellIs" dxfId="1" priority="33" operator="lessThan">
      <formula>$O$3</formula>
    </cfRule>
  </conditionalFormatting>
  <conditionalFormatting sqref="M9">
    <cfRule type="cellIs" dxfId="1" priority="32" operator="lessThan">
      <formula>$O$3</formula>
    </cfRule>
  </conditionalFormatting>
  <conditionalFormatting sqref="M10">
    <cfRule type="cellIs" dxfId="1" priority="31" operator="lessThan">
      <formula>$O$3</formula>
    </cfRule>
  </conditionalFormatting>
  <conditionalFormatting sqref="M11">
    <cfRule type="cellIs" dxfId="1" priority="24" operator="lessThan">
      <formula>$O$3</formula>
    </cfRule>
  </conditionalFormatting>
  <conditionalFormatting sqref="M12">
    <cfRule type="cellIs" dxfId="1" priority="20" operator="lessThan">
      <formula>$O$3</formula>
    </cfRule>
  </conditionalFormatting>
  <conditionalFormatting sqref="M13">
    <cfRule type="cellIs" dxfId="1" priority="21" operator="lessThan">
      <formula>$O$3</formula>
    </cfRule>
  </conditionalFormatting>
  <conditionalFormatting sqref="M14">
    <cfRule type="cellIs" dxfId="1" priority="22" operator="lessThan">
      <formula>$O$3</formula>
    </cfRule>
  </conditionalFormatting>
  <conditionalFormatting sqref="M15">
    <cfRule type="cellIs" dxfId="1" priority="26" operator="lessThan">
      <formula>$O$3</formula>
    </cfRule>
  </conditionalFormatting>
  <conditionalFormatting sqref="M16">
    <cfRule type="cellIs" dxfId="1" priority="29" operator="lessThan">
      <formula>$O$3</formula>
    </cfRule>
  </conditionalFormatting>
  <conditionalFormatting sqref="M17">
    <cfRule type="cellIs" dxfId="1" priority="30" operator="lessThan">
      <formula>$O$3</formula>
    </cfRule>
  </conditionalFormatting>
  <conditionalFormatting sqref="M18">
    <cfRule type="cellIs" dxfId="1" priority="15" operator="lessThan">
      <formula>$O$3</formula>
    </cfRule>
  </conditionalFormatting>
  <conditionalFormatting sqref="D24">
    <cfRule type="duplicateValues" dxfId="2" priority="37"/>
  </conditionalFormatting>
  <conditionalFormatting sqref="M26">
    <cfRule type="cellIs" dxfId="1" priority="5" operator="lessThan">
      <formula>$O$3</formula>
    </cfRule>
  </conditionalFormatting>
  <conditionalFormatting sqref="M27">
    <cfRule type="cellIs" dxfId="1" priority="6" operator="lessThan">
      <formula>$O$3</formula>
    </cfRule>
  </conditionalFormatting>
  <conditionalFormatting sqref="D41">
    <cfRule type="duplicateValues" dxfId="2" priority="11"/>
  </conditionalFormatting>
  <conditionalFormatting sqref="D42">
    <cfRule type="duplicateValues" dxfId="2" priority="12"/>
  </conditionalFormatting>
  <conditionalFormatting sqref="D36:D38">
    <cfRule type="duplicateValues" dxfId="2" priority="13"/>
  </conditionalFormatting>
  <conditionalFormatting sqref="D46:D49">
    <cfRule type="duplicateValues" dxfId="2" priority="8"/>
    <cfRule type="duplicateValues" dxfId="2" priority="7"/>
  </conditionalFormatting>
  <conditionalFormatting sqref="M19:M21">
    <cfRule type="cellIs" dxfId="1" priority="17" operator="lessThan">
      <formula>$O$3</formula>
    </cfRule>
  </conditionalFormatting>
  <conditionalFormatting sqref="M22:M24">
    <cfRule type="cellIs" dxfId="1" priority="16" operator="lessThan">
      <formula>$O$3</formula>
    </cfRule>
  </conditionalFormatting>
  <conditionalFormatting sqref="M36:M38">
    <cfRule type="cellIs" dxfId="1" priority="3" operator="lessThan">
      <formula>$O$3</formula>
    </cfRule>
  </conditionalFormatting>
  <conditionalFormatting sqref="M41:M45">
    <cfRule type="cellIs" dxfId="1" priority="2" operator="lessThan">
      <formula>$O$3</formula>
    </cfRule>
  </conditionalFormatting>
  <conditionalFormatting sqref="M46:M49">
    <cfRule type="cellIs" dxfId="1" priority="1" operator="lessThan">
      <formula>$O$3</formula>
    </cfRule>
  </conditionalFormatting>
  <conditionalFormatting sqref="D2 D3 D4 D5:D6 D7 D8 D9:D10 D11 D12:D13 D14 D15 D16 D17 D18 D19 D20 D21 D22 D23 D24">
    <cfRule type="duplicateValues" dxfId="2" priority="35"/>
  </conditionalFormatting>
  <conditionalFormatting sqref="D3 D4 D5:D6 D7 D8 D9:D10 D11 D12:D13 D14 D15 D16 D17 D18">
    <cfRule type="duplicateValues" dxfId="2" priority="34"/>
  </conditionalFormatting>
  <conditionalFormatting sqref="D19 D20 D21">
    <cfRule type="duplicateValues" dxfId="2" priority="39"/>
  </conditionalFormatting>
  <conditionalFormatting sqref="D22 D23">
    <cfRule type="duplicateValues" dxfId="2" priority="36"/>
  </conditionalFormatting>
  <conditionalFormatting sqref="D26 D27 D28:D29 D30:D34 D35:D39 D40 D41 D42 D43:D45">
    <cfRule type="duplicateValues" dxfId="2" priority="10"/>
  </conditionalFormatting>
  <conditionalFormatting sqref="D26 D27">
    <cfRule type="duplicateValues" dxfId="2" priority="9"/>
  </conditionalFormatting>
  <conditionalFormatting sqref="D28:D29 D30:D34 D39 D35 D40 D43:D45">
    <cfRule type="duplicateValues" dxfId="2" priority="14"/>
  </conditionalFormatting>
  <conditionalFormatting sqref="M28:M35 M39:M40">
    <cfRule type="cellIs" dxfId="1" priority="4" operator="lessThan">
      <formula>$O$3</formula>
    </cfRule>
  </conditionalFormatting>
  <dataValidations count="1">
    <dataValidation type="list" allowBlank="1" showInputMessage="1" showErrorMessage="1" sqref="I1">
      <formula1>"TT,TL"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3"/>
  <sheetViews>
    <sheetView zoomScale="82" zoomScaleNormal="82" topLeftCell="B1" workbookViewId="0">
      <pane ySplit="1" topLeftCell="A2" activePane="bottomLeft" state="frozen"/>
      <selection/>
      <selection pane="bottomLeft" activeCell="D61" sqref="D61"/>
    </sheetView>
  </sheetViews>
  <sheetFormatPr defaultColWidth="9" defaultRowHeight="16.8"/>
  <cols>
    <col min="2" max="2" width="75" customWidth="1"/>
    <col min="3" max="3" width="78.515625" customWidth="1"/>
    <col min="4" max="4" width="52.34375" customWidth="1"/>
    <col min="5" max="5" width="12.109375" customWidth="1"/>
    <col min="6" max="6" width="13.4140625" customWidth="1"/>
    <col min="7" max="7" width="16.6640625" customWidth="1"/>
    <col min="8" max="8" width="15.234375" customWidth="1"/>
  </cols>
  <sheetData>
    <row r="1" ht="51" spans="1:18">
      <c r="A1" s="443" t="s">
        <v>0</v>
      </c>
      <c r="B1" s="443" t="s">
        <v>1</v>
      </c>
      <c r="C1" s="444" t="s">
        <v>2</v>
      </c>
      <c r="D1" s="445" t="s">
        <v>3</v>
      </c>
      <c r="E1" s="445" t="s">
        <v>4</v>
      </c>
      <c r="F1" s="445" t="s">
        <v>5</v>
      </c>
      <c r="G1" s="444" t="s">
        <v>6</v>
      </c>
      <c r="H1" s="452" t="s">
        <v>7</v>
      </c>
      <c r="I1" s="444" t="s">
        <v>8</v>
      </c>
      <c r="J1" s="444" t="s">
        <v>304</v>
      </c>
      <c r="K1" s="444" t="s">
        <v>9</v>
      </c>
      <c r="L1" s="458" t="s">
        <v>10</v>
      </c>
      <c r="M1" s="459" t="s">
        <v>11</v>
      </c>
      <c r="N1" s="459" t="s">
        <v>12</v>
      </c>
      <c r="O1" s="459" t="s">
        <v>13</v>
      </c>
      <c r="P1" s="459" t="s">
        <v>14</v>
      </c>
      <c r="Q1" s="459" t="s">
        <v>15</v>
      </c>
      <c r="R1" s="459" t="s">
        <v>16</v>
      </c>
    </row>
    <row r="2" ht="17" spans="1:13">
      <c r="A2" t="s">
        <v>83</v>
      </c>
      <c r="B2" s="446" t="s">
        <v>84</v>
      </c>
      <c r="C2" s="446" t="s">
        <v>85</v>
      </c>
      <c r="D2" s="342" t="s">
        <v>86</v>
      </c>
      <c r="E2" s="453" t="s">
        <v>87</v>
      </c>
      <c r="G2" s="446" t="s">
        <v>88</v>
      </c>
      <c r="H2" t="s">
        <v>89</v>
      </c>
      <c r="I2" t="s">
        <v>90</v>
      </c>
      <c r="J2" t="s">
        <v>91</v>
      </c>
      <c r="M2" s="347">
        <v>3000</v>
      </c>
    </row>
    <row r="3" ht="18" customHeight="1" spans="1:13">
      <c r="A3" t="s">
        <v>92</v>
      </c>
      <c r="B3" s="446" t="s">
        <v>93</v>
      </c>
      <c r="C3" s="446" t="s">
        <v>94</v>
      </c>
      <c r="D3" s="342" t="s">
        <v>95</v>
      </c>
      <c r="G3" s="446" t="s">
        <v>96</v>
      </c>
      <c r="H3" t="s">
        <v>59</v>
      </c>
      <c r="I3" t="s">
        <v>90</v>
      </c>
      <c r="J3" t="s">
        <v>91</v>
      </c>
      <c r="M3" s="347">
        <v>3000</v>
      </c>
    </row>
    <row r="4" ht="17" spans="1:13">
      <c r="A4" t="s">
        <v>97</v>
      </c>
      <c r="B4" s="446" t="s">
        <v>98</v>
      </c>
      <c r="C4" s="446" t="s">
        <v>99</v>
      </c>
      <c r="D4" s="342" t="s">
        <v>100</v>
      </c>
      <c r="E4" s="453" t="s">
        <v>87</v>
      </c>
      <c r="G4" s="446" t="s">
        <v>101</v>
      </c>
      <c r="H4" t="s">
        <v>102</v>
      </c>
      <c r="I4" t="s">
        <v>90</v>
      </c>
      <c r="J4" t="s">
        <v>91</v>
      </c>
      <c r="M4" s="347">
        <v>3000</v>
      </c>
    </row>
    <row r="5" ht="17" spans="1:13">
      <c r="A5" t="s">
        <v>83</v>
      </c>
      <c r="B5" s="446" t="s">
        <v>103</v>
      </c>
      <c r="C5" s="446" t="s">
        <v>104</v>
      </c>
      <c r="D5" s="342" t="s">
        <v>105</v>
      </c>
      <c r="E5" s="453" t="s">
        <v>87</v>
      </c>
      <c r="G5" s="446" t="s">
        <v>106</v>
      </c>
      <c r="H5" t="s">
        <v>102</v>
      </c>
      <c r="I5" t="s">
        <v>90</v>
      </c>
      <c r="J5" t="s">
        <v>91</v>
      </c>
      <c r="M5" s="347">
        <v>3000</v>
      </c>
    </row>
    <row r="6" ht="17" spans="1:13">
      <c r="A6" t="s">
        <v>83</v>
      </c>
      <c r="B6" s="446" t="s">
        <v>107</v>
      </c>
      <c r="C6" s="446" t="s">
        <v>108</v>
      </c>
      <c r="D6" s="342" t="s">
        <v>109</v>
      </c>
      <c r="E6" s="453" t="s">
        <v>87</v>
      </c>
      <c r="G6" s="446" t="s">
        <v>110</v>
      </c>
      <c r="H6" t="s">
        <v>111</v>
      </c>
      <c r="I6" t="s">
        <v>90</v>
      </c>
      <c r="J6" t="s">
        <v>91</v>
      </c>
      <c r="M6" s="347">
        <v>3000</v>
      </c>
    </row>
    <row r="7" ht="17" spans="1:13">
      <c r="A7" t="s">
        <v>83</v>
      </c>
      <c r="B7" s="446" t="s">
        <v>112</v>
      </c>
      <c r="C7" s="446" t="s">
        <v>113</v>
      </c>
      <c r="D7" s="342" t="s">
        <v>114</v>
      </c>
      <c r="E7" s="453" t="s">
        <v>87</v>
      </c>
      <c r="G7" s="446" t="s">
        <v>115</v>
      </c>
      <c r="H7" t="s">
        <v>111</v>
      </c>
      <c r="I7" t="s">
        <v>90</v>
      </c>
      <c r="J7" t="s">
        <v>54</v>
      </c>
      <c r="M7" s="347">
        <v>5000</v>
      </c>
    </row>
    <row r="8" ht="17" spans="1:13">
      <c r="A8" t="s">
        <v>83</v>
      </c>
      <c r="B8" s="446" t="s">
        <v>116</v>
      </c>
      <c r="C8" s="446" t="s">
        <v>117</v>
      </c>
      <c r="D8" s="342" t="s">
        <v>118</v>
      </c>
      <c r="E8" s="453" t="s">
        <v>87</v>
      </c>
      <c r="G8" s="446" t="s">
        <v>119</v>
      </c>
      <c r="H8" t="s">
        <v>102</v>
      </c>
      <c r="I8" t="s">
        <v>90</v>
      </c>
      <c r="J8" t="s">
        <v>54</v>
      </c>
      <c r="M8" s="347">
        <v>8000</v>
      </c>
    </row>
    <row r="9" ht="17" spans="1:13">
      <c r="A9" t="s">
        <v>83</v>
      </c>
      <c r="B9" s="446" t="s">
        <v>120</v>
      </c>
      <c r="C9" s="446" t="s">
        <v>121</v>
      </c>
      <c r="D9" s="342" t="s">
        <v>122</v>
      </c>
      <c r="E9" s="453" t="s">
        <v>87</v>
      </c>
      <c r="G9" s="446" t="s">
        <v>123</v>
      </c>
      <c r="H9" t="s">
        <v>102</v>
      </c>
      <c r="I9" t="s">
        <v>90</v>
      </c>
      <c r="J9" t="s">
        <v>91</v>
      </c>
      <c r="M9" s="347">
        <v>3000</v>
      </c>
    </row>
    <row r="10" ht="18" customHeight="1" spans="1:13">
      <c r="A10" t="s">
        <v>83</v>
      </c>
      <c r="B10" s="446" t="s">
        <v>124</v>
      </c>
      <c r="C10" s="446" t="s">
        <v>125</v>
      </c>
      <c r="D10" s="342" t="s">
        <v>126</v>
      </c>
      <c r="E10" s="453" t="s">
        <v>87</v>
      </c>
      <c r="G10" s="446" t="s">
        <v>127</v>
      </c>
      <c r="H10" t="s">
        <v>128</v>
      </c>
      <c r="I10" t="s">
        <v>90</v>
      </c>
      <c r="J10" t="s">
        <v>91</v>
      </c>
      <c r="M10" s="347">
        <v>3000</v>
      </c>
    </row>
    <row r="11" ht="17" spans="1:13">
      <c r="A11" t="s">
        <v>92</v>
      </c>
      <c r="B11" s="446" t="s">
        <v>129</v>
      </c>
      <c r="C11" s="446" t="s">
        <v>130</v>
      </c>
      <c r="D11" s="342" t="s">
        <v>131</v>
      </c>
      <c r="E11" s="453" t="s">
        <v>87</v>
      </c>
      <c r="G11" s="446" t="s">
        <v>132</v>
      </c>
      <c r="H11" t="s">
        <v>128</v>
      </c>
      <c r="I11" t="s">
        <v>90</v>
      </c>
      <c r="J11" t="s">
        <v>54</v>
      </c>
      <c r="M11" s="347">
        <v>3000</v>
      </c>
    </row>
    <row r="12" ht="17" spans="1:13">
      <c r="A12" t="s">
        <v>83</v>
      </c>
      <c r="B12" s="446" t="s">
        <v>133</v>
      </c>
      <c r="C12" s="446" t="s">
        <v>134</v>
      </c>
      <c r="D12" s="342" t="s">
        <v>135</v>
      </c>
      <c r="E12" s="453" t="s">
        <v>87</v>
      </c>
      <c r="G12" s="446" t="s">
        <v>136</v>
      </c>
      <c r="H12" t="s">
        <v>102</v>
      </c>
      <c r="I12" t="s">
        <v>90</v>
      </c>
      <c r="J12" t="s">
        <v>54</v>
      </c>
      <c r="M12" s="347">
        <v>3000</v>
      </c>
    </row>
    <row r="13" ht="17" spans="1:13">
      <c r="A13" t="s">
        <v>83</v>
      </c>
      <c r="B13" s="446" t="s">
        <v>137</v>
      </c>
      <c r="C13" s="446" t="s">
        <v>138</v>
      </c>
      <c r="D13" s="342" t="s">
        <v>139</v>
      </c>
      <c r="E13" s="453" t="s">
        <v>87</v>
      </c>
      <c r="G13" s="446" t="s">
        <v>140</v>
      </c>
      <c r="H13" t="s">
        <v>102</v>
      </c>
      <c r="I13" t="s">
        <v>90</v>
      </c>
      <c r="J13" t="s">
        <v>54</v>
      </c>
      <c r="M13" s="347">
        <v>3000</v>
      </c>
    </row>
    <row r="14" ht="17" spans="1:13">
      <c r="A14" t="s">
        <v>83</v>
      </c>
      <c r="B14" s="446" t="s">
        <v>141</v>
      </c>
      <c r="C14" s="446" t="s">
        <v>142</v>
      </c>
      <c r="D14" s="342" t="s">
        <v>143</v>
      </c>
      <c r="E14" s="453" t="s">
        <v>87</v>
      </c>
      <c r="G14" s="446" t="s">
        <v>144</v>
      </c>
      <c r="H14" t="s">
        <v>89</v>
      </c>
      <c r="I14" t="s">
        <v>90</v>
      </c>
      <c r="J14" t="s">
        <v>91</v>
      </c>
      <c r="M14" s="347">
        <v>3000</v>
      </c>
    </row>
    <row r="15" ht="17" spans="1:13">
      <c r="A15" t="s">
        <v>83</v>
      </c>
      <c r="B15" s="446" t="s">
        <v>145</v>
      </c>
      <c r="C15" s="446" t="s">
        <v>146</v>
      </c>
      <c r="D15" s="342" t="s">
        <v>147</v>
      </c>
      <c r="E15" s="453" t="s">
        <v>87</v>
      </c>
      <c r="G15" s="446" t="s">
        <v>148</v>
      </c>
      <c r="H15" t="s">
        <v>89</v>
      </c>
      <c r="I15" t="s">
        <v>90</v>
      </c>
      <c r="J15" t="s">
        <v>91</v>
      </c>
      <c r="M15" s="347">
        <v>3000</v>
      </c>
    </row>
    <row r="16" ht="17" spans="1:13">
      <c r="A16" t="s">
        <v>83</v>
      </c>
      <c r="B16" s="446" t="s">
        <v>149</v>
      </c>
      <c r="C16" s="446" t="s">
        <v>149</v>
      </c>
      <c r="D16" s="342" t="s">
        <v>150</v>
      </c>
      <c r="G16" s="446" t="s">
        <v>151</v>
      </c>
      <c r="H16" t="s">
        <v>152</v>
      </c>
      <c r="I16" t="s">
        <v>90</v>
      </c>
      <c r="J16" t="s">
        <v>23</v>
      </c>
      <c r="M16" s="347">
        <v>10000</v>
      </c>
    </row>
    <row r="17" ht="17" spans="1:18">
      <c r="A17" t="s">
        <v>92</v>
      </c>
      <c r="B17" s="446" t="s">
        <v>153</v>
      </c>
      <c r="C17" s="446" t="s">
        <v>154</v>
      </c>
      <c r="D17" s="342" t="s">
        <v>155</v>
      </c>
      <c r="G17" s="446" t="s">
        <v>156</v>
      </c>
      <c r="H17" t="s">
        <v>59</v>
      </c>
      <c r="I17" t="s">
        <v>90</v>
      </c>
      <c r="J17" t="s">
        <v>36</v>
      </c>
      <c r="M17" s="347">
        <v>3000</v>
      </c>
      <c r="R17" s="453"/>
    </row>
    <row r="18" ht="17" spans="1:13">
      <c r="A18" t="s">
        <v>92</v>
      </c>
      <c r="B18" s="446" t="s">
        <v>157</v>
      </c>
      <c r="C18" s="446" t="s">
        <v>158</v>
      </c>
      <c r="D18" s="342" t="s">
        <v>159</v>
      </c>
      <c r="G18" s="446" t="s">
        <v>160</v>
      </c>
      <c r="H18" t="s">
        <v>35</v>
      </c>
      <c r="I18" t="s">
        <v>22</v>
      </c>
      <c r="J18" t="s">
        <v>23</v>
      </c>
      <c r="M18" s="347">
        <v>3000</v>
      </c>
    </row>
    <row r="19" ht="17" spans="1:13">
      <c r="A19" t="s">
        <v>17</v>
      </c>
      <c r="B19" s="446" t="s">
        <v>18</v>
      </c>
      <c r="C19" s="446" t="s">
        <v>18</v>
      </c>
      <c r="D19" s="342" t="s">
        <v>19</v>
      </c>
      <c r="G19" s="446" t="s">
        <v>20</v>
      </c>
      <c r="H19" t="s">
        <v>21</v>
      </c>
      <c r="I19" t="s">
        <v>22</v>
      </c>
      <c r="J19" t="s">
        <v>23</v>
      </c>
      <c r="M19" s="347">
        <v>3000</v>
      </c>
    </row>
    <row r="20" ht="17" spans="1:13">
      <c r="A20" t="s">
        <v>17</v>
      </c>
      <c r="B20" s="446" t="s">
        <v>24</v>
      </c>
      <c r="C20" s="446" t="s">
        <v>24</v>
      </c>
      <c r="D20" s="342" t="s">
        <v>25</v>
      </c>
      <c r="G20" s="446" t="s">
        <v>26</v>
      </c>
      <c r="H20" t="s">
        <v>27</v>
      </c>
      <c r="I20" t="s">
        <v>22</v>
      </c>
      <c r="J20" t="s">
        <v>23</v>
      </c>
      <c r="M20" s="347">
        <v>3000</v>
      </c>
    </row>
    <row r="21" ht="17" spans="1:13">
      <c r="A21" t="s">
        <v>17</v>
      </c>
      <c r="B21" s="446" t="s">
        <v>28</v>
      </c>
      <c r="C21" s="446" t="s">
        <v>28</v>
      </c>
      <c r="D21" s="342" t="s">
        <v>29</v>
      </c>
      <c r="G21" s="446" t="s">
        <v>30</v>
      </c>
      <c r="H21" t="s">
        <v>27</v>
      </c>
      <c r="I21" t="s">
        <v>22</v>
      </c>
      <c r="J21" t="s">
        <v>23</v>
      </c>
      <c r="M21" s="347">
        <v>3000</v>
      </c>
    </row>
    <row r="22" ht="17" spans="1:13">
      <c r="A22" t="s">
        <v>17</v>
      </c>
      <c r="B22" s="446" t="s">
        <v>31</v>
      </c>
      <c r="C22" s="446" t="s">
        <v>32</v>
      </c>
      <c r="D22" s="342" t="s">
        <v>33</v>
      </c>
      <c r="G22" s="446" t="s">
        <v>34</v>
      </c>
      <c r="H22" t="s">
        <v>35</v>
      </c>
      <c r="I22" t="s">
        <v>22</v>
      </c>
      <c r="J22" t="s">
        <v>36</v>
      </c>
      <c r="M22" s="347">
        <v>5000</v>
      </c>
    </row>
    <row r="23" ht="17" spans="1:13">
      <c r="A23" t="s">
        <v>17</v>
      </c>
      <c r="B23" s="446" t="s">
        <v>37</v>
      </c>
      <c r="C23" s="446" t="s">
        <v>38</v>
      </c>
      <c r="D23" s="342" t="s">
        <v>39</v>
      </c>
      <c r="G23" s="446" t="s">
        <v>40</v>
      </c>
      <c r="H23" t="s">
        <v>41</v>
      </c>
      <c r="I23" t="s">
        <v>22</v>
      </c>
      <c r="J23" t="s">
        <v>42</v>
      </c>
      <c r="M23" s="347">
        <v>3000</v>
      </c>
    </row>
    <row r="24" ht="17" spans="1:13">
      <c r="A24" t="s">
        <v>17</v>
      </c>
      <c r="B24" s="446" t="s">
        <v>43</v>
      </c>
      <c r="C24" s="446" t="s">
        <v>44</v>
      </c>
      <c r="D24" s="342" t="s">
        <v>45</v>
      </c>
      <c r="G24" s="446" t="s">
        <v>46</v>
      </c>
      <c r="H24" t="s">
        <v>35</v>
      </c>
      <c r="I24" t="s">
        <v>22</v>
      </c>
      <c r="J24" t="s">
        <v>36</v>
      </c>
      <c r="M24" s="347">
        <v>5000</v>
      </c>
    </row>
    <row r="25" ht="17" spans="1:13">
      <c r="A25" t="s">
        <v>17</v>
      </c>
      <c r="B25" s="446" t="s">
        <v>47</v>
      </c>
      <c r="C25" s="446" t="s">
        <v>48</v>
      </c>
      <c r="D25" s="342" t="s">
        <v>49</v>
      </c>
      <c r="G25" s="446" t="s">
        <v>50</v>
      </c>
      <c r="H25" t="s">
        <v>41</v>
      </c>
      <c r="I25" t="s">
        <v>22</v>
      </c>
      <c r="J25" t="s">
        <v>36</v>
      </c>
      <c r="M25" s="347">
        <v>3000</v>
      </c>
    </row>
    <row r="26" ht="17" spans="1:13">
      <c r="A26" t="s">
        <v>17</v>
      </c>
      <c r="B26" s="446" t="s">
        <v>51</v>
      </c>
      <c r="C26" s="446" t="s">
        <v>51</v>
      </c>
      <c r="D26" s="342" t="s">
        <v>52</v>
      </c>
      <c r="G26" s="446" t="s">
        <v>53</v>
      </c>
      <c r="H26" t="s">
        <v>21</v>
      </c>
      <c r="I26" t="s">
        <v>22</v>
      </c>
      <c r="J26" t="s">
        <v>54</v>
      </c>
      <c r="M26" s="347">
        <v>3000</v>
      </c>
    </row>
    <row r="27" ht="17" spans="1:13">
      <c r="A27" t="s">
        <v>17</v>
      </c>
      <c r="B27" s="446" t="s">
        <v>55</v>
      </c>
      <c r="C27" s="446" t="s">
        <v>56</v>
      </c>
      <c r="D27" s="342" t="s">
        <v>57</v>
      </c>
      <c r="G27" s="446" t="s">
        <v>58</v>
      </c>
      <c r="H27" t="s">
        <v>59</v>
      </c>
      <c r="I27" t="s">
        <v>22</v>
      </c>
      <c r="J27" t="s">
        <v>54</v>
      </c>
      <c r="M27" s="347">
        <v>3000</v>
      </c>
    </row>
    <row r="28" ht="17" spans="1:13">
      <c r="A28" t="s">
        <v>92</v>
      </c>
      <c r="B28" s="446" t="s">
        <v>305</v>
      </c>
      <c r="C28" s="446" t="s">
        <v>306</v>
      </c>
      <c r="D28" s="342" t="s">
        <v>164</v>
      </c>
      <c r="G28" s="446" t="s">
        <v>165</v>
      </c>
      <c r="H28" t="s">
        <v>59</v>
      </c>
      <c r="I28" t="s">
        <v>90</v>
      </c>
      <c r="J28" t="s">
        <v>54</v>
      </c>
      <c r="M28" s="347">
        <v>10000</v>
      </c>
    </row>
    <row r="29" ht="17" spans="1:13">
      <c r="A29" t="s">
        <v>92</v>
      </c>
      <c r="B29" s="446" t="s">
        <v>307</v>
      </c>
      <c r="C29" s="446" t="s">
        <v>308</v>
      </c>
      <c r="D29" s="342" t="s">
        <v>170</v>
      </c>
      <c r="G29" s="446" t="s">
        <v>171</v>
      </c>
      <c r="H29" t="s">
        <v>59</v>
      </c>
      <c r="I29" t="s">
        <v>90</v>
      </c>
      <c r="J29" t="s">
        <v>54</v>
      </c>
      <c r="M29" s="347">
        <v>10000</v>
      </c>
    </row>
    <row r="30" ht="17" spans="1:13">
      <c r="A30" t="s">
        <v>92</v>
      </c>
      <c r="B30" s="446" t="s">
        <v>309</v>
      </c>
      <c r="C30" s="446" t="s">
        <v>310</v>
      </c>
      <c r="D30" s="342" t="s">
        <v>174</v>
      </c>
      <c r="G30" s="446" t="s">
        <v>175</v>
      </c>
      <c r="H30" t="s">
        <v>59</v>
      </c>
      <c r="I30" t="s">
        <v>90</v>
      </c>
      <c r="J30" t="s">
        <v>54</v>
      </c>
      <c r="M30" s="347">
        <v>10000</v>
      </c>
    </row>
    <row r="31" ht="17" spans="1:13">
      <c r="A31" t="s">
        <v>92</v>
      </c>
      <c r="B31" s="446" t="s">
        <v>176</v>
      </c>
      <c r="C31" s="446" t="s">
        <v>177</v>
      </c>
      <c r="D31" s="342" t="s">
        <v>178</v>
      </c>
      <c r="G31" s="446" t="s">
        <v>179</v>
      </c>
      <c r="H31" t="s">
        <v>59</v>
      </c>
      <c r="I31" t="s">
        <v>90</v>
      </c>
      <c r="J31" t="s">
        <v>180</v>
      </c>
      <c r="M31" s="347">
        <v>5000</v>
      </c>
    </row>
    <row r="32" ht="17" spans="1:13">
      <c r="A32" t="s">
        <v>92</v>
      </c>
      <c r="B32" s="446" t="s">
        <v>181</v>
      </c>
      <c r="C32" s="446" t="s">
        <v>182</v>
      </c>
      <c r="D32" s="342" t="s">
        <v>183</v>
      </c>
      <c r="G32" s="446" t="s">
        <v>184</v>
      </c>
      <c r="H32" t="s">
        <v>72</v>
      </c>
      <c r="I32" t="s">
        <v>90</v>
      </c>
      <c r="J32" t="s">
        <v>180</v>
      </c>
      <c r="M32" s="347">
        <v>5000</v>
      </c>
    </row>
    <row r="33" ht="17" spans="1:13">
      <c r="A33" t="s">
        <v>92</v>
      </c>
      <c r="B33" s="446" t="s">
        <v>185</v>
      </c>
      <c r="C33" s="446" t="s">
        <v>186</v>
      </c>
      <c r="D33" s="342" t="s">
        <v>187</v>
      </c>
      <c r="G33" s="446" t="s">
        <v>188</v>
      </c>
      <c r="H33" t="s">
        <v>59</v>
      </c>
      <c r="I33" t="s">
        <v>90</v>
      </c>
      <c r="J33" t="s">
        <v>189</v>
      </c>
      <c r="M33" s="347">
        <v>20000</v>
      </c>
    </row>
    <row r="34" ht="17" spans="1:1">
      <c r="A34" t="s">
        <v>60</v>
      </c>
    </row>
    <row r="35" ht="17" spans="1:13">
      <c r="A35" t="s">
        <v>92</v>
      </c>
      <c r="B35" s="447" t="s">
        <v>190</v>
      </c>
      <c r="C35" s="447" t="s">
        <v>191</v>
      </c>
      <c r="D35" s="341" t="s">
        <v>192</v>
      </c>
      <c r="E35" s="453" t="s">
        <v>87</v>
      </c>
      <c r="G35" s="447" t="s">
        <v>193</v>
      </c>
      <c r="H35" t="s">
        <v>128</v>
      </c>
      <c r="I35" t="s">
        <v>90</v>
      </c>
      <c r="J35" t="s">
        <v>91</v>
      </c>
      <c r="M35" s="347">
        <v>3000</v>
      </c>
    </row>
    <row r="36" s="441" customFormat="1" ht="17" spans="1:13">
      <c r="A36" s="448" t="s">
        <v>161</v>
      </c>
      <c r="D36" s="449" t="s">
        <v>194</v>
      </c>
      <c r="H36" s="441" t="s">
        <v>195</v>
      </c>
      <c r="I36" t="s">
        <v>90</v>
      </c>
      <c r="J36" t="s">
        <v>23</v>
      </c>
      <c r="M36" s="460">
        <v>5000</v>
      </c>
    </row>
    <row r="37" ht="17" spans="1:13">
      <c r="A37" s="334" t="s">
        <v>17</v>
      </c>
      <c r="B37" s="447" t="s">
        <v>61</v>
      </c>
      <c r="C37" s="447" t="s">
        <v>62</v>
      </c>
      <c r="D37" s="341" t="s">
        <v>63</v>
      </c>
      <c r="F37" s="461" t="s">
        <v>64</v>
      </c>
      <c r="G37" s="447" t="s">
        <v>65</v>
      </c>
      <c r="H37" t="s">
        <v>35</v>
      </c>
      <c r="I37" t="s">
        <v>22</v>
      </c>
      <c r="J37" t="s">
        <v>54</v>
      </c>
      <c r="K37" t="s">
        <v>66</v>
      </c>
      <c r="L37" t="s">
        <v>66</v>
      </c>
      <c r="M37" s="347">
        <v>3000</v>
      </c>
    </row>
    <row r="38" ht="16" customHeight="1" spans="1:13">
      <c r="A38" s="334" t="s">
        <v>17</v>
      </c>
      <c r="B38" s="447" t="s">
        <v>67</v>
      </c>
      <c r="C38" s="447" t="s">
        <v>68</v>
      </c>
      <c r="D38" s="341" t="s">
        <v>69</v>
      </c>
      <c r="F38" s="462" t="s">
        <v>70</v>
      </c>
      <c r="G38" s="447" t="s">
        <v>71</v>
      </c>
      <c r="H38" t="s">
        <v>72</v>
      </c>
      <c r="I38" t="s">
        <v>22</v>
      </c>
      <c r="J38" t="s">
        <v>54</v>
      </c>
      <c r="K38" t="s">
        <v>66</v>
      </c>
      <c r="L38" t="s">
        <v>66</v>
      </c>
      <c r="M38" s="347">
        <v>3000</v>
      </c>
    </row>
    <row r="39" ht="18" customHeight="1" spans="1:13">
      <c r="A39" s="334" t="s">
        <v>17</v>
      </c>
      <c r="B39" s="447" t="s">
        <v>73</v>
      </c>
      <c r="C39" s="447" t="s">
        <v>74</v>
      </c>
      <c r="D39" s="341" t="s">
        <v>75</v>
      </c>
      <c r="F39" s="462" t="s">
        <v>76</v>
      </c>
      <c r="G39" s="447" t="s">
        <v>77</v>
      </c>
      <c r="H39" t="s">
        <v>59</v>
      </c>
      <c r="I39" t="s">
        <v>22</v>
      </c>
      <c r="J39" t="s">
        <v>54</v>
      </c>
      <c r="K39" t="s">
        <v>66</v>
      </c>
      <c r="L39" t="s">
        <v>66</v>
      </c>
      <c r="M39" s="347">
        <v>3000</v>
      </c>
    </row>
    <row r="40" ht="15" customHeight="1" spans="1:13">
      <c r="A40" s="334" t="s">
        <v>17</v>
      </c>
      <c r="B40" s="447" t="s">
        <v>78</v>
      </c>
      <c r="C40" s="447" t="s">
        <v>79</v>
      </c>
      <c r="D40" s="341" t="s">
        <v>80</v>
      </c>
      <c r="F40" s="461" t="s">
        <v>81</v>
      </c>
      <c r="G40" t="s">
        <v>82</v>
      </c>
      <c r="H40" t="s">
        <v>59</v>
      </c>
      <c r="I40" t="s">
        <v>22</v>
      </c>
      <c r="J40" t="s">
        <v>54</v>
      </c>
      <c r="K40" t="s">
        <v>66</v>
      </c>
      <c r="L40" t="s">
        <v>66</v>
      </c>
      <c r="M40" s="347">
        <v>3000</v>
      </c>
    </row>
    <row r="41" ht="17" spans="1:13">
      <c r="A41" s="334" t="s">
        <v>92</v>
      </c>
      <c r="B41" s="447" t="s">
        <v>196</v>
      </c>
      <c r="C41" s="447" t="s">
        <v>197</v>
      </c>
      <c r="D41" s="341" t="s">
        <v>198</v>
      </c>
      <c r="E41" s="453" t="s">
        <v>87</v>
      </c>
      <c r="G41" s="447" t="s">
        <v>199</v>
      </c>
      <c r="H41" t="s">
        <v>111</v>
      </c>
      <c r="I41" t="s">
        <v>90</v>
      </c>
      <c r="J41" t="s">
        <v>180</v>
      </c>
      <c r="M41" s="347">
        <v>3000</v>
      </c>
    </row>
    <row r="42" ht="17" spans="1:13">
      <c r="A42" s="334" t="s">
        <v>92</v>
      </c>
      <c r="B42" s="447" t="s">
        <v>200</v>
      </c>
      <c r="C42" s="447" t="s">
        <v>201</v>
      </c>
      <c r="D42" s="341" t="s">
        <v>202</v>
      </c>
      <c r="E42" s="453" t="s">
        <v>87</v>
      </c>
      <c r="G42" s="447" t="s">
        <v>203</v>
      </c>
      <c r="H42" t="s">
        <v>111</v>
      </c>
      <c r="I42" t="s">
        <v>90</v>
      </c>
      <c r="J42" t="s">
        <v>189</v>
      </c>
      <c r="M42" s="347">
        <v>3000</v>
      </c>
    </row>
    <row r="43" s="442" customFormat="1" ht="18" customHeight="1" spans="1:13">
      <c r="A43" s="448" t="s">
        <v>161</v>
      </c>
      <c r="B43" s="450" t="s">
        <v>204</v>
      </c>
      <c r="C43" s="450" t="s">
        <v>205</v>
      </c>
      <c r="D43" s="449" t="s">
        <v>206</v>
      </c>
      <c r="E43" s="455" t="s">
        <v>207</v>
      </c>
      <c r="F43" s="456" t="s">
        <v>208</v>
      </c>
      <c r="G43" s="450" t="s">
        <v>209</v>
      </c>
      <c r="H43" s="442" t="s">
        <v>41</v>
      </c>
      <c r="I43" t="s">
        <v>90</v>
      </c>
      <c r="M43" s="448">
        <v>6000</v>
      </c>
    </row>
    <row r="44" ht="17" spans="1:17">
      <c r="A44" s="347" t="s">
        <v>161</v>
      </c>
      <c r="B44" s="447" t="s">
        <v>210</v>
      </c>
      <c r="C44" s="447" t="s">
        <v>211</v>
      </c>
      <c r="D44" s="341" t="s">
        <v>212</v>
      </c>
      <c r="F44" s="457" t="s">
        <v>213</v>
      </c>
      <c r="G44" s="447" t="s">
        <v>214</v>
      </c>
      <c r="H44" t="s">
        <v>59</v>
      </c>
      <c r="I44" t="s">
        <v>90</v>
      </c>
      <c r="M44" s="347">
        <v>6000</v>
      </c>
      <c r="N44" t="s">
        <v>166</v>
      </c>
      <c r="O44" t="s">
        <v>167</v>
      </c>
      <c r="P44">
        <v>73</v>
      </c>
      <c r="Q44">
        <v>3</v>
      </c>
    </row>
    <row r="45" s="442" customFormat="1" ht="17" spans="1:13">
      <c r="A45" s="448" t="s">
        <v>161</v>
      </c>
      <c r="B45" s="450" t="s">
        <v>215</v>
      </c>
      <c r="C45" s="450" t="s">
        <v>216</v>
      </c>
      <c r="D45" s="449" t="s">
        <v>217</v>
      </c>
      <c r="E45" s="442" t="s">
        <v>207</v>
      </c>
      <c r="F45" s="456" t="s">
        <v>218</v>
      </c>
      <c r="G45" s="450" t="s">
        <v>219</v>
      </c>
      <c r="H45" s="442" t="s">
        <v>41</v>
      </c>
      <c r="I45" t="s">
        <v>90</v>
      </c>
      <c r="M45" s="448">
        <v>10000</v>
      </c>
    </row>
    <row r="46" ht="17" spans="1:17">
      <c r="A46" s="347" t="s">
        <v>161</v>
      </c>
      <c r="B46" s="447" t="s">
        <v>220</v>
      </c>
      <c r="C46" s="447" t="s">
        <v>221</v>
      </c>
      <c r="D46" s="341" t="s">
        <v>222</v>
      </c>
      <c r="F46" s="457" t="s">
        <v>223</v>
      </c>
      <c r="G46" s="447" t="s">
        <v>224</v>
      </c>
      <c r="H46" t="s">
        <v>59</v>
      </c>
      <c r="I46" t="s">
        <v>90</v>
      </c>
      <c r="M46" s="347">
        <v>10000</v>
      </c>
      <c r="N46" t="s">
        <v>166</v>
      </c>
      <c r="O46" t="s">
        <v>167</v>
      </c>
      <c r="P46">
        <v>73</v>
      </c>
      <c r="Q46">
        <v>3</v>
      </c>
    </row>
    <row r="47" s="442" customFormat="1" ht="17" spans="1:13">
      <c r="A47" s="448" t="s">
        <v>161</v>
      </c>
      <c r="B47" s="450" t="s">
        <v>225</v>
      </c>
      <c r="C47" s="450" t="s">
        <v>226</v>
      </c>
      <c r="D47" s="449" t="s">
        <v>227</v>
      </c>
      <c r="E47" s="442" t="s">
        <v>207</v>
      </c>
      <c r="F47" s="456" t="s">
        <v>228</v>
      </c>
      <c r="G47" s="450" t="s">
        <v>229</v>
      </c>
      <c r="H47" s="442" t="s">
        <v>41</v>
      </c>
      <c r="I47" t="s">
        <v>90</v>
      </c>
      <c r="J47"/>
      <c r="M47" s="448">
        <v>6000</v>
      </c>
    </row>
    <row r="48" s="442" customFormat="1" ht="17" spans="1:13">
      <c r="A48" s="448" t="s">
        <v>161</v>
      </c>
      <c r="B48" s="450" t="s">
        <v>230</v>
      </c>
      <c r="C48" s="450" t="s">
        <v>231</v>
      </c>
      <c r="D48" s="449" t="s">
        <v>232</v>
      </c>
      <c r="E48" s="442" t="s">
        <v>207</v>
      </c>
      <c r="F48" s="456" t="s">
        <v>233</v>
      </c>
      <c r="G48" s="450" t="s">
        <v>234</v>
      </c>
      <c r="H48" s="442" t="s">
        <v>41</v>
      </c>
      <c r="I48" t="s">
        <v>90</v>
      </c>
      <c r="J48"/>
      <c r="M48" s="448">
        <v>6000</v>
      </c>
    </row>
    <row r="49" ht="17" spans="1:17">
      <c r="A49" s="347" t="s">
        <v>161</v>
      </c>
      <c r="B49" s="447" t="s">
        <v>235</v>
      </c>
      <c r="C49" s="447" t="s">
        <v>236</v>
      </c>
      <c r="D49" s="341" t="s">
        <v>237</v>
      </c>
      <c r="F49" s="457" t="s">
        <v>238</v>
      </c>
      <c r="G49" s="447" t="s">
        <v>239</v>
      </c>
      <c r="H49" t="s">
        <v>59</v>
      </c>
      <c r="I49" t="s">
        <v>90</v>
      </c>
      <c r="J49"/>
      <c r="M49" s="347">
        <v>6000</v>
      </c>
      <c r="N49" t="s">
        <v>166</v>
      </c>
      <c r="O49" t="s">
        <v>167</v>
      </c>
      <c r="P49">
        <v>73</v>
      </c>
      <c r="Q49">
        <v>3</v>
      </c>
    </row>
    <row r="50" s="442" customFormat="1" ht="17" spans="1:13">
      <c r="A50" s="448" t="s">
        <v>161</v>
      </c>
      <c r="B50" s="450" t="s">
        <v>240</v>
      </c>
      <c r="C50" s="450" t="s">
        <v>241</v>
      </c>
      <c r="D50" s="449" t="s">
        <v>242</v>
      </c>
      <c r="E50" s="442" t="s">
        <v>207</v>
      </c>
      <c r="F50" s="456" t="s">
        <v>243</v>
      </c>
      <c r="G50" s="450" t="s">
        <v>244</v>
      </c>
      <c r="H50" s="442" t="s">
        <v>41</v>
      </c>
      <c r="I50" t="s">
        <v>90</v>
      </c>
      <c r="J50"/>
      <c r="M50" s="448">
        <v>6000</v>
      </c>
    </row>
    <row r="51" ht="17" spans="1:17">
      <c r="A51" s="347" t="s">
        <v>161</v>
      </c>
      <c r="B51" s="447" t="s">
        <v>245</v>
      </c>
      <c r="C51" s="447" t="s">
        <v>246</v>
      </c>
      <c r="D51" s="341" t="s">
        <v>247</v>
      </c>
      <c r="F51" s="457" t="s">
        <v>248</v>
      </c>
      <c r="G51" s="447" t="s">
        <v>249</v>
      </c>
      <c r="H51" t="s">
        <v>59</v>
      </c>
      <c r="I51" t="s">
        <v>90</v>
      </c>
      <c r="J51"/>
      <c r="M51" s="347">
        <v>6000</v>
      </c>
      <c r="N51" t="s">
        <v>166</v>
      </c>
      <c r="O51" t="s">
        <v>167</v>
      </c>
      <c r="P51">
        <v>73</v>
      </c>
      <c r="Q51">
        <v>3</v>
      </c>
    </row>
    <row r="52" s="442" customFormat="1" ht="17" spans="1:13">
      <c r="A52" s="448" t="s">
        <v>161</v>
      </c>
      <c r="B52" s="450" t="s">
        <v>250</v>
      </c>
      <c r="C52" s="450" t="s">
        <v>251</v>
      </c>
      <c r="D52" s="449" t="s">
        <v>252</v>
      </c>
      <c r="E52" s="442" t="s">
        <v>207</v>
      </c>
      <c r="F52" s="456" t="s">
        <v>253</v>
      </c>
      <c r="G52" s="450" t="s">
        <v>254</v>
      </c>
      <c r="H52" s="442" t="s">
        <v>41</v>
      </c>
      <c r="I52" t="s">
        <v>90</v>
      </c>
      <c r="J52"/>
      <c r="M52" s="448">
        <v>10000</v>
      </c>
    </row>
    <row r="53" s="442" customFormat="1" ht="17" spans="1:13">
      <c r="A53" s="448" t="s">
        <v>161</v>
      </c>
      <c r="B53" s="450" t="s">
        <v>255</v>
      </c>
      <c r="C53" s="450" t="s">
        <v>256</v>
      </c>
      <c r="D53" s="449" t="s">
        <v>257</v>
      </c>
      <c r="E53" s="442" t="s">
        <v>207</v>
      </c>
      <c r="F53" s="456" t="s">
        <v>258</v>
      </c>
      <c r="G53" s="450" t="s">
        <v>259</v>
      </c>
      <c r="H53" s="442" t="s">
        <v>41</v>
      </c>
      <c r="I53" t="s">
        <v>90</v>
      </c>
      <c r="J53"/>
      <c r="M53" s="448">
        <v>10000</v>
      </c>
    </row>
    <row r="54" ht="17" spans="1:13">
      <c r="A54" s="347" t="s">
        <v>92</v>
      </c>
      <c r="B54" s="447" t="s">
        <v>260</v>
      </c>
      <c r="C54" s="447" t="s">
        <v>261</v>
      </c>
      <c r="D54" s="341" t="s">
        <v>262</v>
      </c>
      <c r="F54" s="457" t="s">
        <v>263</v>
      </c>
      <c r="G54" s="447" t="s">
        <v>264</v>
      </c>
      <c r="H54" t="s">
        <v>72</v>
      </c>
      <c r="I54" t="s">
        <v>90</v>
      </c>
      <c r="J54" t="s">
        <v>180</v>
      </c>
      <c r="M54" s="347">
        <v>6000</v>
      </c>
    </row>
    <row r="55" ht="17" spans="1:13">
      <c r="A55" s="347" t="s">
        <v>92</v>
      </c>
      <c r="B55" s="447" t="s">
        <v>265</v>
      </c>
      <c r="C55" s="447" t="s">
        <v>266</v>
      </c>
      <c r="D55" s="341" t="s">
        <v>267</v>
      </c>
      <c r="F55" s="457" t="s">
        <v>268</v>
      </c>
      <c r="G55" s="447" t="s">
        <v>269</v>
      </c>
      <c r="H55" t="s">
        <v>270</v>
      </c>
      <c r="I55" t="s">
        <v>90</v>
      </c>
      <c r="J55" t="s">
        <v>189</v>
      </c>
      <c r="M55" s="347">
        <v>3000</v>
      </c>
    </row>
    <row r="56" ht="17" spans="1:13">
      <c r="A56" s="347" t="s">
        <v>92</v>
      </c>
      <c r="B56" s="447" t="s">
        <v>271</v>
      </c>
      <c r="C56" s="447" t="s">
        <v>272</v>
      </c>
      <c r="D56" s="341" t="s">
        <v>273</v>
      </c>
      <c r="F56" s="457" t="s">
        <v>274</v>
      </c>
      <c r="G56" s="447" t="s">
        <v>275</v>
      </c>
      <c r="H56" t="s">
        <v>270</v>
      </c>
      <c r="I56" t="s">
        <v>90</v>
      </c>
      <c r="J56" t="s">
        <v>276</v>
      </c>
      <c r="M56" s="347">
        <v>5000</v>
      </c>
    </row>
    <row r="57" ht="17" spans="1:13">
      <c r="A57" s="347" t="s">
        <v>92</v>
      </c>
      <c r="B57" s="447" t="s">
        <v>277</v>
      </c>
      <c r="C57" s="447" t="s">
        <v>278</v>
      </c>
      <c r="D57" s="341" t="s">
        <v>279</v>
      </c>
      <c r="F57" s="457" t="s">
        <v>280</v>
      </c>
      <c r="G57" s="447" t="s">
        <v>281</v>
      </c>
      <c r="H57" t="s">
        <v>59</v>
      </c>
      <c r="I57" t="s">
        <v>90</v>
      </c>
      <c r="J57" t="s">
        <v>54</v>
      </c>
      <c r="M57" s="347">
        <v>5000</v>
      </c>
    </row>
    <row r="58" ht="17" spans="1:13">
      <c r="A58" s="347" t="s">
        <v>92</v>
      </c>
      <c r="B58" s="447" t="s">
        <v>282</v>
      </c>
      <c r="C58" s="447" t="s">
        <v>283</v>
      </c>
      <c r="D58" s="341" t="s">
        <v>284</v>
      </c>
      <c r="F58" s="457" t="s">
        <v>285</v>
      </c>
      <c r="G58" s="447" t="s">
        <v>286</v>
      </c>
      <c r="H58" t="s">
        <v>59</v>
      </c>
      <c r="I58" t="s">
        <v>90</v>
      </c>
      <c r="J58" t="s">
        <v>54</v>
      </c>
      <c r="M58" s="347">
        <v>5000</v>
      </c>
    </row>
    <row r="59" ht="19" customHeight="1" spans="1:13">
      <c r="A59" s="347" t="s">
        <v>92</v>
      </c>
      <c r="B59" s="447" t="s">
        <v>287</v>
      </c>
      <c r="C59" s="447" t="s">
        <v>288</v>
      </c>
      <c r="D59" s="341" t="s">
        <v>289</v>
      </c>
      <c r="E59" t="s">
        <v>290</v>
      </c>
      <c r="G59" s="447" t="s">
        <v>291</v>
      </c>
      <c r="H59" t="s">
        <v>111</v>
      </c>
      <c r="I59" t="s">
        <v>90</v>
      </c>
      <c r="J59" t="s">
        <v>180</v>
      </c>
      <c r="M59" s="347">
        <v>3000</v>
      </c>
    </row>
    <row r="60" ht="17" spans="1:13">
      <c r="A60" s="347" t="s">
        <v>92</v>
      </c>
      <c r="B60" s="447" t="s">
        <v>292</v>
      </c>
      <c r="C60" s="447" t="s">
        <v>293</v>
      </c>
      <c r="D60" s="341" t="s">
        <v>294</v>
      </c>
      <c r="E60" s="453" t="s">
        <v>87</v>
      </c>
      <c r="G60" s="447" t="s">
        <v>295</v>
      </c>
      <c r="H60" t="s">
        <v>111</v>
      </c>
      <c r="I60" t="s">
        <v>90</v>
      </c>
      <c r="J60" t="s">
        <v>276</v>
      </c>
      <c r="M60" s="347">
        <v>3000</v>
      </c>
    </row>
    <row r="61" ht="17" spans="1:13">
      <c r="A61" s="347" t="s">
        <v>92</v>
      </c>
      <c r="B61" s="447" t="s">
        <v>296</v>
      </c>
      <c r="C61" s="447" t="s">
        <v>297</v>
      </c>
      <c r="D61" s="341" t="s">
        <v>298</v>
      </c>
      <c r="E61" s="453" t="s">
        <v>87</v>
      </c>
      <c r="G61" s="447" t="s">
        <v>299</v>
      </c>
      <c r="H61" t="s">
        <v>111</v>
      </c>
      <c r="I61" t="s">
        <v>90</v>
      </c>
      <c r="J61" t="s">
        <v>276</v>
      </c>
      <c r="M61" s="347">
        <v>3000</v>
      </c>
    </row>
    <row r="62" ht="17" spans="1:13">
      <c r="A62" s="347" t="s">
        <v>92</v>
      </c>
      <c r="B62" s="447" t="s">
        <v>300</v>
      </c>
      <c r="C62" s="447" t="s">
        <v>301</v>
      </c>
      <c r="D62" s="341" t="s">
        <v>302</v>
      </c>
      <c r="E62" s="453" t="s">
        <v>87</v>
      </c>
      <c r="G62" s="447" t="s">
        <v>303</v>
      </c>
      <c r="H62" t="s">
        <v>111</v>
      </c>
      <c r="I62" t="s">
        <v>90</v>
      </c>
      <c r="J62" t="s">
        <v>276</v>
      </c>
      <c r="M62" s="347">
        <v>3000</v>
      </c>
    </row>
    <row r="63" spans="3:3">
      <c r="C63" s="451"/>
    </row>
  </sheetData>
  <conditionalFormatting sqref="D1">
    <cfRule type="duplicateValues" dxfId="0" priority="48"/>
  </conditionalFormatting>
  <conditionalFormatting sqref="D2">
    <cfRule type="duplicateValues" dxfId="2" priority="46"/>
  </conditionalFormatting>
  <conditionalFormatting sqref="M2">
    <cfRule type="cellIs" dxfId="1" priority="35" operator="lessThan">
      <formula>$O$3</formula>
    </cfRule>
  </conditionalFormatting>
  <conditionalFormatting sqref="M3">
    <cfRule type="cellIs" dxfId="1" priority="27" operator="lessThan">
      <formula>$O$3</formula>
    </cfRule>
  </conditionalFormatting>
  <conditionalFormatting sqref="M4">
    <cfRule type="cellIs" dxfId="1" priority="33" operator="lessThan">
      <formula>$O$3</formula>
    </cfRule>
  </conditionalFormatting>
  <conditionalFormatting sqref="M5">
    <cfRule type="cellIs" dxfId="1" priority="31" operator="lessThan">
      <formula>$O$3</formula>
    </cfRule>
  </conditionalFormatting>
  <conditionalFormatting sqref="M6">
    <cfRule type="cellIs" dxfId="1" priority="36" operator="lessThan">
      <formula>$O$3</formula>
    </cfRule>
  </conditionalFormatting>
  <conditionalFormatting sqref="M7">
    <cfRule type="cellIs" dxfId="1" priority="26" operator="lessThan">
      <formula>$O$3</formula>
    </cfRule>
  </conditionalFormatting>
  <conditionalFormatting sqref="M8">
    <cfRule type="cellIs" dxfId="1" priority="41" operator="lessThan">
      <formula>$O$3</formula>
    </cfRule>
  </conditionalFormatting>
  <conditionalFormatting sqref="M9">
    <cfRule type="cellIs" dxfId="1" priority="40" operator="lessThan">
      <formula>$O$3</formula>
    </cfRule>
  </conditionalFormatting>
  <conditionalFormatting sqref="M10">
    <cfRule type="cellIs" dxfId="1" priority="39" operator="lessThan">
      <formula>$O$3</formula>
    </cfRule>
  </conditionalFormatting>
  <conditionalFormatting sqref="M11">
    <cfRule type="cellIs" dxfId="1" priority="32" operator="lessThan">
      <formula>$O$3</formula>
    </cfRule>
  </conditionalFormatting>
  <conditionalFormatting sqref="M12">
    <cfRule type="cellIs" dxfId="1" priority="28" operator="lessThan">
      <formula>$O$3</formula>
    </cfRule>
  </conditionalFormatting>
  <conditionalFormatting sqref="M13">
    <cfRule type="cellIs" dxfId="1" priority="29" operator="lessThan">
      <formula>$O$3</formula>
    </cfRule>
  </conditionalFormatting>
  <conditionalFormatting sqref="M14">
    <cfRule type="cellIs" dxfId="1" priority="30" operator="lessThan">
      <formula>$O$3</formula>
    </cfRule>
  </conditionalFormatting>
  <conditionalFormatting sqref="M15">
    <cfRule type="cellIs" dxfId="1" priority="34" operator="lessThan">
      <formula>$O$3</formula>
    </cfRule>
  </conditionalFormatting>
  <conditionalFormatting sqref="M16">
    <cfRule type="cellIs" dxfId="1" priority="37" operator="lessThan">
      <formula>$O$3</formula>
    </cfRule>
  </conditionalFormatting>
  <conditionalFormatting sqref="M17">
    <cfRule type="cellIs" dxfId="1" priority="38" operator="lessThan">
      <formula>$O$3</formula>
    </cfRule>
  </conditionalFormatting>
  <conditionalFormatting sqref="M20">
    <cfRule type="cellIs" dxfId="1" priority="22" operator="lessThan">
      <formula>$O$3</formula>
    </cfRule>
  </conditionalFormatting>
  <conditionalFormatting sqref="M24">
    <cfRule type="cellIs" dxfId="1" priority="21" operator="lessThan">
      <formula>$O$3</formula>
    </cfRule>
  </conditionalFormatting>
  <conditionalFormatting sqref="M25">
    <cfRule type="cellIs" dxfId="1" priority="19" operator="lessThan">
      <formula>$O$3</formula>
    </cfRule>
  </conditionalFormatting>
  <conditionalFormatting sqref="M26">
    <cfRule type="cellIs" dxfId="1" priority="20" operator="lessThan">
      <formula>$O$3</formula>
    </cfRule>
  </conditionalFormatting>
  <conditionalFormatting sqref="M27">
    <cfRule type="cellIs" dxfId="1" priority="18" operator="lessThan">
      <formula>$O$3</formula>
    </cfRule>
  </conditionalFormatting>
  <conditionalFormatting sqref="D33">
    <cfRule type="duplicateValues" dxfId="2" priority="45"/>
  </conditionalFormatting>
  <conditionalFormatting sqref="M35">
    <cfRule type="cellIs" dxfId="1" priority="5" operator="lessThan">
      <formula>$O$3</formula>
    </cfRule>
  </conditionalFormatting>
  <conditionalFormatting sqref="M37">
    <cfRule type="cellIs" dxfId="1" priority="8" operator="lessThan">
      <formula>$O$3</formula>
    </cfRule>
  </conditionalFormatting>
  <conditionalFormatting sqref="M38">
    <cfRule type="cellIs" dxfId="1" priority="6" operator="lessThan">
      <formula>$O$3</formula>
    </cfRule>
  </conditionalFormatting>
  <conditionalFormatting sqref="M39">
    <cfRule type="cellIs" dxfId="1" priority="7" operator="lessThan">
      <formula>$O$3</formula>
    </cfRule>
  </conditionalFormatting>
  <conditionalFormatting sqref="D54">
    <cfRule type="duplicateValues" dxfId="2" priority="14"/>
  </conditionalFormatting>
  <conditionalFormatting sqref="D55">
    <cfRule type="duplicateValues" dxfId="2" priority="15"/>
  </conditionalFormatting>
  <conditionalFormatting sqref="D49:D51">
    <cfRule type="duplicateValues" dxfId="2" priority="16"/>
  </conditionalFormatting>
  <conditionalFormatting sqref="D59:D62">
    <cfRule type="duplicateValues" dxfId="2" priority="11"/>
    <cfRule type="duplicateValues" dxfId="2" priority="10"/>
  </conditionalFormatting>
  <conditionalFormatting sqref="M28:M30">
    <cfRule type="cellIs" dxfId="1" priority="25" operator="lessThan">
      <formula>$O$3</formula>
    </cfRule>
  </conditionalFormatting>
  <conditionalFormatting sqref="M31:M33">
    <cfRule type="cellIs" dxfId="1" priority="24" operator="lessThan">
      <formula>$O$3</formula>
    </cfRule>
  </conditionalFormatting>
  <conditionalFormatting sqref="M49:M51">
    <cfRule type="cellIs" dxfId="1" priority="3" operator="lessThan">
      <formula>$O$3</formula>
    </cfRule>
  </conditionalFormatting>
  <conditionalFormatting sqref="M54:M58">
    <cfRule type="cellIs" dxfId="1" priority="2" operator="lessThan">
      <formula>$O$3</formula>
    </cfRule>
  </conditionalFormatting>
  <conditionalFormatting sqref="M59:M62">
    <cfRule type="cellIs" dxfId="1" priority="1" operator="lessThan">
      <formula>$O$3</formula>
    </cfRule>
  </conditionalFormatting>
  <conditionalFormatting sqref="D2 D3 D4 D5:D6 D7 D8 D9:D10 D11 D12:D13 D14 D15 D16 D17 D18:D20 D21 D22 D23 D24 D25 D26 D27 D28 D29 D30 D31 D32 D33">
    <cfRule type="duplicateValues" dxfId="2" priority="43"/>
  </conditionalFormatting>
  <conditionalFormatting sqref="D3 D4 D5:D6 D7 D8 D9:D10 D11 D12:D13 D14 D15 D16 D17 D18:D20 D21 D22 D23 D24 D25 D26">
    <cfRule type="duplicateValues" dxfId="2" priority="42"/>
  </conditionalFormatting>
  <conditionalFormatting sqref="M18:M19 M21:M23">
    <cfRule type="cellIs" dxfId="1" priority="23" operator="lessThan">
      <formula>$O$3</formula>
    </cfRule>
  </conditionalFormatting>
  <conditionalFormatting sqref="D27 D28 D29 D30">
    <cfRule type="duplicateValues" dxfId="2" priority="47"/>
  </conditionalFormatting>
  <conditionalFormatting sqref="D31 D32">
    <cfRule type="duplicateValues" dxfId="2" priority="44"/>
  </conditionalFormatting>
  <conditionalFormatting sqref="D35 D36 D37:D39 D40 D41:D42 D43:D47 D48:D52 D53 D54 D55 D56:D58">
    <cfRule type="duplicateValues" dxfId="2" priority="13"/>
  </conditionalFormatting>
  <conditionalFormatting sqref="D35 D36 D37:D39 D40">
    <cfRule type="duplicateValues" dxfId="2" priority="12"/>
  </conditionalFormatting>
  <conditionalFormatting sqref="M36 M40">
    <cfRule type="cellIs" dxfId="1" priority="9" operator="lessThan">
      <formula>$O$3</formula>
    </cfRule>
  </conditionalFormatting>
  <conditionalFormatting sqref="D41:D42 D43:D47 D52 D48 D53 D56:D58">
    <cfRule type="duplicateValues" dxfId="2" priority="17"/>
  </conditionalFormatting>
  <conditionalFormatting sqref="M41:M48 M52:M53">
    <cfRule type="cellIs" dxfId="1" priority="4" operator="lessThan">
      <formula>$O$3</formula>
    </cfRule>
  </conditionalFormatting>
  <dataValidations count="1">
    <dataValidation type="list" allowBlank="1" showInputMessage="1" showErrorMessage="1" sqref="I1">
      <formula1>"TT,TL"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>
    <pageSetUpPr fitToPage="1"/>
  </sheetPr>
  <dimension ref="A1:O433"/>
  <sheetViews>
    <sheetView zoomScaleSheetLayoutView="60" workbookViewId="0">
      <pane ySplit="1" topLeftCell="A2" activePane="bottomLeft" state="frozen"/>
      <selection/>
      <selection pane="bottomLeft" activeCell="L3" sqref="L3"/>
    </sheetView>
  </sheetViews>
  <sheetFormatPr defaultColWidth="8.1484375" defaultRowHeight="17.6"/>
  <cols>
    <col min="1" max="1" width="59.4140625" style="408" customWidth="1"/>
    <col min="2" max="2" width="8.1015625" style="409" customWidth="1"/>
    <col min="3" max="3" width="8.1015625" style="410" customWidth="1"/>
    <col min="4" max="4" width="8.203125" style="74" hidden="1" customWidth="1"/>
    <col min="5" max="5" width="8.1484375" style="69" hidden="1" customWidth="1"/>
    <col min="6" max="6" width="9.796875" style="69" hidden="1" customWidth="1"/>
    <col min="7" max="7" width="43.625" style="69" hidden="1" customWidth="1"/>
    <col min="8" max="8" width="8" style="74" hidden="1" customWidth="1"/>
    <col min="9" max="9" width="19.0078125" style="69" hidden="1" customWidth="1"/>
    <col min="10" max="10" width="8.1484375" style="411" hidden="1" customWidth="1"/>
    <col min="11" max="11" width="7.296875" style="74" hidden="1" customWidth="1"/>
    <col min="12" max="12" width="7.703125" style="74" customWidth="1"/>
    <col min="13" max="14" width="8.1484375" style="74"/>
    <col min="15" max="15" width="9.796875" style="74" customWidth="1"/>
    <col min="16" max="16384" width="8.1484375" style="69"/>
  </cols>
  <sheetData>
    <row r="1" spans="1:4">
      <c r="A1" s="412" t="s">
        <v>311</v>
      </c>
      <c r="B1" s="413"/>
      <c r="C1" s="414"/>
      <c r="D1" s="415"/>
    </row>
    <row r="2" spans="1:5">
      <c r="A2" s="416" t="s">
        <v>312</v>
      </c>
      <c r="B2" s="417"/>
      <c r="C2" s="418"/>
      <c r="E2" s="426"/>
    </row>
    <row r="3" spans="1:7">
      <c r="A3" s="419" t="s">
        <v>313</v>
      </c>
      <c r="B3" s="417">
        <v>450</v>
      </c>
      <c r="C3" s="420" t="s">
        <v>314</v>
      </c>
      <c r="D3" s="74" t="str">
        <f>MID(A3,FIND("-",A3)+1,2)</f>
        <v>20</v>
      </c>
      <c r="E3" s="426" t="s">
        <v>315</v>
      </c>
      <c r="F3" s="69" t="str">
        <f t="shared" ref="F3:F26" si="0">E3&amp;D3&amp;"寸"</f>
        <v>载重20寸</v>
      </c>
      <c r="G3" s="69" t="str">
        <f>VLOOKUP(A3,'7月排产计划'!G3:G517,1,0)</f>
        <v>ID10.00-20-14PR[CR918]威狮</v>
      </c>
    </row>
    <row r="4" spans="1:7">
      <c r="A4" s="419" t="s">
        <v>316</v>
      </c>
      <c r="B4" s="417">
        <v>280</v>
      </c>
      <c r="C4" s="420" t="s">
        <v>317</v>
      </c>
      <c r="D4" s="74" t="str">
        <f t="shared" ref="D4:D42" si="1">MID(A4,FIND("-",A4)+1,2)</f>
        <v>20</v>
      </c>
      <c r="E4" s="426" t="s">
        <v>315</v>
      </c>
      <c r="F4" s="69" t="str">
        <f t="shared" si="0"/>
        <v>载重20寸</v>
      </c>
      <c r="G4" s="69" t="str">
        <f>VLOOKUP(A4,'7月排产计划'!G4:G518,1,0)</f>
        <v>ID10.00-20-16PR[CR952]146/142G 威狮</v>
      </c>
    </row>
    <row r="5" spans="1:7">
      <c r="A5" s="419" t="s">
        <v>318</v>
      </c>
      <c r="B5" s="417">
        <v>2000</v>
      </c>
      <c r="C5" s="420" t="s">
        <v>317</v>
      </c>
      <c r="D5" s="74" t="str">
        <f t="shared" si="1"/>
        <v>20</v>
      </c>
      <c r="E5" s="426" t="s">
        <v>315</v>
      </c>
      <c r="F5" s="69" t="str">
        <f t="shared" si="0"/>
        <v>载重20寸</v>
      </c>
      <c r="G5" s="69" t="str">
        <f>VLOOKUP(A5,'7月排产计划'!G5:G519,1,0)</f>
        <v>ID10.00-20-16PR[R9037]146/142G 朝阳</v>
      </c>
    </row>
    <row r="6" spans="1:7">
      <c r="A6" s="419" t="s">
        <v>319</v>
      </c>
      <c r="B6" s="417">
        <v>2000</v>
      </c>
      <c r="C6" s="420" t="s">
        <v>317</v>
      </c>
      <c r="D6" s="74" t="str">
        <f t="shared" si="1"/>
        <v>20</v>
      </c>
      <c r="E6" s="426" t="s">
        <v>315</v>
      </c>
      <c r="F6" s="69" t="str">
        <f t="shared" si="0"/>
        <v>载重20寸</v>
      </c>
      <c r="G6" s="69" t="str">
        <f>VLOOKUP(A6,'7月排产计划'!G6:G520,1,0)</f>
        <v>ID10.00-20-16PR[R9037]146/142G 金冠</v>
      </c>
    </row>
    <row r="7" spans="1:7">
      <c r="A7" s="419" t="s">
        <v>320</v>
      </c>
      <c r="B7" s="417">
        <v>180</v>
      </c>
      <c r="C7" s="420" t="s">
        <v>317</v>
      </c>
      <c r="D7" s="74" t="str">
        <f t="shared" si="1"/>
        <v>20</v>
      </c>
      <c r="E7" s="426" t="s">
        <v>315</v>
      </c>
      <c r="F7" s="69" t="str">
        <f t="shared" si="0"/>
        <v>载重20寸</v>
      </c>
      <c r="G7" s="69" t="str">
        <f>VLOOKUP(A7,'7月排产计划'!G7:G521,1,0)</f>
        <v>ID10.00-20-18PR[AB111]150/145G ASCENDO</v>
      </c>
    </row>
    <row r="8" spans="1:7">
      <c r="A8" s="419" t="s">
        <v>321</v>
      </c>
      <c r="B8" s="417">
        <v>500</v>
      </c>
      <c r="C8" s="420" t="s">
        <v>317</v>
      </c>
      <c r="D8" s="74" t="str">
        <f t="shared" si="1"/>
        <v>20</v>
      </c>
      <c r="E8" s="426" t="s">
        <v>315</v>
      </c>
      <c r="F8" s="69" t="str">
        <f t="shared" si="0"/>
        <v>载重20寸</v>
      </c>
      <c r="G8" s="69" t="str">
        <f>VLOOKUP(A8,'7月排产计划'!G8:G522,1,0)</f>
        <v>ID10.00-20-18PR[AB316]150/145G ASCENDO</v>
      </c>
    </row>
    <row r="9" spans="1:7">
      <c r="A9" s="419" t="s">
        <v>322</v>
      </c>
      <c r="B9" s="417">
        <v>1000</v>
      </c>
      <c r="C9" s="420" t="s">
        <v>317</v>
      </c>
      <c r="D9" s="74" t="str">
        <f t="shared" si="1"/>
        <v>20</v>
      </c>
      <c r="E9" s="426" t="s">
        <v>315</v>
      </c>
      <c r="F9" s="69" t="str">
        <f t="shared" si="0"/>
        <v>载重20寸</v>
      </c>
      <c r="G9" s="69" t="str">
        <f>VLOOKUP(A9,'7月排产计划'!G9:G523,1,0)</f>
        <v>ID10.00-20-18PR[CL956]150/145G 金冠</v>
      </c>
    </row>
    <row r="10" spans="1:7">
      <c r="A10" s="419" t="s">
        <v>323</v>
      </c>
      <c r="B10" s="417">
        <v>2000</v>
      </c>
      <c r="C10" s="420" t="s">
        <v>317</v>
      </c>
      <c r="D10" s="74" t="str">
        <f t="shared" si="1"/>
        <v>20</v>
      </c>
      <c r="E10" s="426" t="s">
        <v>315</v>
      </c>
      <c r="F10" s="69" t="str">
        <f t="shared" si="0"/>
        <v>载重20寸</v>
      </c>
      <c r="G10" s="69" t="str">
        <f>VLOOKUP(A10,'7月排产计划'!G10:G524,1,0)</f>
        <v>ID10.00-20-18PR[CR952]150/145G TRAZANO(全诺)</v>
      </c>
    </row>
    <row r="11" spans="1:7">
      <c r="A11" s="419" t="s">
        <v>324</v>
      </c>
      <c r="B11" s="417">
        <v>2000</v>
      </c>
      <c r="C11" s="420" t="s">
        <v>317</v>
      </c>
      <c r="D11" s="74" t="str">
        <f t="shared" si="1"/>
        <v>20</v>
      </c>
      <c r="E11" s="426" t="s">
        <v>315</v>
      </c>
      <c r="F11" s="69" t="str">
        <f t="shared" si="0"/>
        <v>载重20寸</v>
      </c>
      <c r="G11" s="69" t="str">
        <f>VLOOKUP(A11,'7月排产计划'!G11:G525,1,0)</f>
        <v>ID10.00-20-18PR[CR952]150/145G 金冠</v>
      </c>
    </row>
    <row r="12" spans="1:7">
      <c r="A12" s="419" t="s">
        <v>325</v>
      </c>
      <c r="B12" s="417">
        <v>560</v>
      </c>
      <c r="C12" s="420" t="s">
        <v>317</v>
      </c>
      <c r="D12" s="74" t="str">
        <f t="shared" si="1"/>
        <v>20</v>
      </c>
      <c r="E12" s="426" t="s">
        <v>315</v>
      </c>
      <c r="F12" s="69" t="str">
        <f t="shared" si="0"/>
        <v>载重20寸</v>
      </c>
      <c r="G12" s="69" t="str">
        <f>VLOOKUP(A12,'7月排产计划'!G12:G526,1,0)</f>
        <v>ID10.00-20-18PR[CR952]150/145G 威狮</v>
      </c>
    </row>
    <row r="13" spans="1:7">
      <c r="A13" s="419" t="s">
        <v>326</v>
      </c>
      <c r="B13" s="417">
        <v>2000</v>
      </c>
      <c r="C13" s="420" t="s">
        <v>317</v>
      </c>
      <c r="D13" s="74" t="str">
        <f t="shared" si="1"/>
        <v>20</v>
      </c>
      <c r="E13" s="426" t="s">
        <v>315</v>
      </c>
      <c r="F13" s="69" t="str">
        <f t="shared" si="0"/>
        <v>载重20寸</v>
      </c>
      <c r="G13" s="69" t="str">
        <f>VLOOKUP(A13,'7月排产计划'!G13:G527,1,0)</f>
        <v>ID10.00-20-18PR[M9097]150/145G 朝阳</v>
      </c>
    </row>
    <row r="14" spans="1:7">
      <c r="A14" s="419" t="s">
        <v>327</v>
      </c>
      <c r="B14" s="417">
        <v>850</v>
      </c>
      <c r="C14" s="420" t="s">
        <v>317</v>
      </c>
      <c r="D14" s="74" t="str">
        <f t="shared" si="1"/>
        <v>20</v>
      </c>
      <c r="E14" s="426" t="s">
        <v>315</v>
      </c>
      <c r="F14" s="69" t="str">
        <f t="shared" si="0"/>
        <v>载重20寸</v>
      </c>
      <c r="G14" s="69" t="str">
        <f>VLOOKUP(A14,'7月排产计划'!G14:G528,1,0)</f>
        <v>ID10.00-20-18PR[M9097]150/145G 金冠</v>
      </c>
    </row>
    <row r="15" spans="1:7">
      <c r="A15" s="419" t="s">
        <v>328</v>
      </c>
      <c r="B15" s="417">
        <v>1400</v>
      </c>
      <c r="C15" s="420" t="s">
        <v>317</v>
      </c>
      <c r="D15" s="74" t="str">
        <f t="shared" si="1"/>
        <v>20</v>
      </c>
      <c r="E15" s="426" t="s">
        <v>315</v>
      </c>
      <c r="F15" s="69" t="str">
        <f t="shared" si="0"/>
        <v>载重20寸</v>
      </c>
      <c r="G15" s="69" t="str">
        <f>VLOOKUP(A15,'7月排产计划'!G15:G529,1,0)</f>
        <v>ID10.00-20-18PR[M9097]150/145G 威狮</v>
      </c>
    </row>
    <row r="16" spans="1:7">
      <c r="A16" s="419" t="s">
        <v>329</v>
      </c>
      <c r="B16" s="417">
        <v>150</v>
      </c>
      <c r="C16" s="420" t="s">
        <v>317</v>
      </c>
      <c r="D16" s="74" t="str">
        <f t="shared" si="1"/>
        <v>20</v>
      </c>
      <c r="E16" s="426" t="s">
        <v>315</v>
      </c>
      <c r="F16" s="69" t="str">
        <f t="shared" si="0"/>
        <v>载重20寸</v>
      </c>
      <c r="G16" s="69" t="str">
        <f>VLOOKUP(A16,'7月排产计划'!G16:G530,1,0)</f>
        <v>ID10.00-20-18PR[R9037]150/145G 朝阳</v>
      </c>
    </row>
    <row r="17" spans="1:7">
      <c r="A17" s="419" t="s">
        <v>330</v>
      </c>
      <c r="B17" s="417">
        <v>520</v>
      </c>
      <c r="C17" s="420" t="s">
        <v>317</v>
      </c>
      <c r="D17" s="74" t="str">
        <f t="shared" si="1"/>
        <v>20</v>
      </c>
      <c r="E17" s="426" t="s">
        <v>315</v>
      </c>
      <c r="F17" s="69" t="str">
        <f t="shared" si="0"/>
        <v>载重20寸</v>
      </c>
      <c r="G17" s="69" t="str">
        <f>VLOOKUP(A17,'7月排产计划'!G17:G531,1,0)</f>
        <v>ID10.00-20-18PR[R9037]150/145G 金冠</v>
      </c>
    </row>
    <row r="18" spans="1:7">
      <c r="A18" s="419" t="s">
        <v>331</v>
      </c>
      <c r="B18" s="417">
        <v>750</v>
      </c>
      <c r="C18" s="420" t="s">
        <v>317</v>
      </c>
      <c r="D18" s="74" t="str">
        <f t="shared" si="1"/>
        <v>20</v>
      </c>
      <c r="E18" s="426" t="s">
        <v>315</v>
      </c>
      <c r="F18" s="69" t="str">
        <f t="shared" si="0"/>
        <v>载重20寸</v>
      </c>
      <c r="G18" s="69" t="str">
        <f>VLOOKUP(A18,'7月排产计划'!G18:G532,1,0)</f>
        <v>ID10.00-20-18PR[R9037]150/145G 威狮</v>
      </c>
    </row>
    <row r="19" spans="1:7">
      <c r="A19" s="419" t="s">
        <v>332</v>
      </c>
      <c r="B19" s="417">
        <v>550</v>
      </c>
      <c r="C19" s="420" t="s">
        <v>317</v>
      </c>
      <c r="D19" s="74" t="str">
        <f t="shared" si="1"/>
        <v>20</v>
      </c>
      <c r="E19" s="426" t="s">
        <v>315</v>
      </c>
      <c r="F19" s="69" t="str">
        <f t="shared" si="0"/>
        <v>载重20寸</v>
      </c>
      <c r="G19" s="69" t="str">
        <f>VLOOKUP(A19,'7月排产计划'!G19:G533,1,0)</f>
        <v>ID10.00-20-18PR[R9038]150/145G GOODRIDE(好运)</v>
      </c>
    </row>
    <row r="20" spans="1:7">
      <c r="A20" s="419" t="s">
        <v>333</v>
      </c>
      <c r="B20" s="417">
        <v>100</v>
      </c>
      <c r="C20" s="420" t="s">
        <v>317</v>
      </c>
      <c r="D20" s="74" t="str">
        <f t="shared" si="1"/>
        <v>20</v>
      </c>
      <c r="E20" s="426" t="s">
        <v>315</v>
      </c>
      <c r="F20" s="69" t="str">
        <f t="shared" si="0"/>
        <v>载重20寸</v>
      </c>
      <c r="G20" s="69" t="str">
        <f>VLOOKUP(A20,'7月排产计划'!G20:G534,1,0)</f>
        <v>ID11.00-20-18PR[CL969]153/148G 朝阳</v>
      </c>
    </row>
    <row r="21" spans="1:7">
      <c r="A21" s="419" t="s">
        <v>334</v>
      </c>
      <c r="B21" s="417">
        <v>750</v>
      </c>
      <c r="C21" s="420" t="s">
        <v>317</v>
      </c>
      <c r="D21" s="74" t="str">
        <f t="shared" si="1"/>
        <v>20</v>
      </c>
      <c r="E21" s="426" t="s">
        <v>315</v>
      </c>
      <c r="F21" s="69" t="str">
        <f t="shared" si="0"/>
        <v>载重20寸</v>
      </c>
      <c r="G21" s="69" t="str">
        <f>VLOOKUP(A21,'7月排产计划'!G21:G535,1,0)</f>
        <v>ID11.00-20-18PR[CL969]153/148G 金冠</v>
      </c>
    </row>
    <row r="22" spans="1:7">
      <c r="A22" s="419" t="s">
        <v>335</v>
      </c>
      <c r="B22" s="417">
        <v>100</v>
      </c>
      <c r="C22" s="420" t="s">
        <v>317</v>
      </c>
      <c r="D22" s="74" t="str">
        <f t="shared" si="1"/>
        <v>20</v>
      </c>
      <c r="E22" s="426" t="s">
        <v>315</v>
      </c>
      <c r="F22" s="69" t="str">
        <f t="shared" si="0"/>
        <v>载重20寸</v>
      </c>
      <c r="G22" s="69" t="str">
        <f>VLOOKUP(A22,'7月排产计划'!G22:G536,1,0)</f>
        <v>ID11.00-20-18PR[CL969]153/148G 威狮</v>
      </c>
    </row>
    <row r="23" spans="1:7">
      <c r="A23" s="419" t="s">
        <v>336</v>
      </c>
      <c r="B23" s="417">
        <v>1000</v>
      </c>
      <c r="C23" s="420" t="s">
        <v>317</v>
      </c>
      <c r="D23" s="74" t="str">
        <f t="shared" si="1"/>
        <v>20</v>
      </c>
      <c r="E23" s="426" t="s">
        <v>315</v>
      </c>
      <c r="F23" s="69" t="str">
        <f t="shared" si="0"/>
        <v>载重20寸</v>
      </c>
      <c r="G23" s="69" t="str">
        <f>VLOOKUP(A23,'7月排产计划'!G23:G537,1,0)</f>
        <v>ID11.00-20-18PR[CR952]153/148G TRAZANO(全诺)</v>
      </c>
    </row>
    <row r="24" spans="1:8">
      <c r="A24" s="419" t="s">
        <v>337</v>
      </c>
      <c r="B24" s="417">
        <v>120</v>
      </c>
      <c r="C24" s="420" t="s">
        <v>317</v>
      </c>
      <c r="D24" s="74" t="str">
        <f t="shared" si="1"/>
        <v>20</v>
      </c>
      <c r="E24" s="426" t="s">
        <v>315</v>
      </c>
      <c r="F24" s="69" t="str">
        <f t="shared" si="0"/>
        <v>载重20寸</v>
      </c>
      <c r="G24" s="69" t="str">
        <f>VLOOKUP(A24,'7月排产计划'!G24:G538,1,0)</f>
        <v>ID11.00-20-18PR[CR952]153/148G 朝阳</v>
      </c>
      <c r="H24" s="426"/>
    </row>
    <row r="25" spans="1:7">
      <c r="A25" s="419" t="s">
        <v>338</v>
      </c>
      <c r="B25" s="417">
        <v>250</v>
      </c>
      <c r="C25" s="420" t="s">
        <v>317</v>
      </c>
      <c r="D25" s="74" t="str">
        <f t="shared" si="1"/>
        <v>20</v>
      </c>
      <c r="E25" s="426" t="s">
        <v>315</v>
      </c>
      <c r="F25" s="69" t="str">
        <f t="shared" si="0"/>
        <v>载重20寸</v>
      </c>
      <c r="G25" s="69" t="str">
        <f>VLOOKUP(A25,'7月排产计划'!G25:G539,1,0)</f>
        <v>ID11.00-20-18PR[CR952]153/148G 金冠</v>
      </c>
    </row>
    <row r="26" spans="1:7">
      <c r="A26" s="419" t="s">
        <v>339</v>
      </c>
      <c r="B26" s="421">
        <v>550</v>
      </c>
      <c r="C26" s="420" t="s">
        <v>317</v>
      </c>
      <c r="D26" s="74" t="str">
        <f t="shared" si="1"/>
        <v>20</v>
      </c>
      <c r="E26" s="426" t="s">
        <v>315</v>
      </c>
      <c r="F26" s="69" t="str">
        <f t="shared" si="0"/>
        <v>载重20寸</v>
      </c>
      <c r="G26" s="69" t="str">
        <f>VLOOKUP(A26,'7月排产计划'!G26:G540,1,0)</f>
        <v>ID11.00-20-18PR[CR952]153/148G 威狮</v>
      </c>
    </row>
    <row r="27" spans="1:7">
      <c r="A27" s="419" t="s">
        <v>340</v>
      </c>
      <c r="B27" s="417">
        <v>2000</v>
      </c>
      <c r="C27" s="420" t="s">
        <v>317</v>
      </c>
      <c r="D27" s="74" t="str">
        <f t="shared" si="1"/>
        <v>20</v>
      </c>
      <c r="E27" s="426" t="s">
        <v>315</v>
      </c>
      <c r="F27" s="69" t="str">
        <f t="shared" ref="F27:F62" si="2">E27&amp;D27&amp;"寸"</f>
        <v>载重20寸</v>
      </c>
      <c r="G27" s="69" t="str">
        <f>VLOOKUP(A27,'7月排产计划'!G27:G541,1,0)</f>
        <v>ID11.00-20-18PR[CR952]153/148G 雅度</v>
      </c>
    </row>
    <row r="28" spans="1:7">
      <c r="A28" s="419" t="s">
        <v>341</v>
      </c>
      <c r="B28" s="417">
        <v>600</v>
      </c>
      <c r="C28" s="420" t="s">
        <v>317</v>
      </c>
      <c r="D28" s="74" t="str">
        <f t="shared" si="1"/>
        <v>20</v>
      </c>
      <c r="E28" s="426" t="s">
        <v>315</v>
      </c>
      <c r="F28" s="69" t="str">
        <f t="shared" si="2"/>
        <v>载重20寸</v>
      </c>
      <c r="G28" s="69" t="str">
        <f>VLOOKUP(A28,'7月排产计划'!G28:G542,1,0)</f>
        <v>ID11.00-20-18PR[CR952PRO]153/148G 金冠</v>
      </c>
    </row>
    <row r="29" spans="1:8">
      <c r="A29" s="419" t="s">
        <v>342</v>
      </c>
      <c r="B29" s="417">
        <v>800</v>
      </c>
      <c r="C29" s="420" t="s">
        <v>317</v>
      </c>
      <c r="D29" s="74" t="str">
        <f t="shared" si="1"/>
        <v>15</v>
      </c>
      <c r="E29" s="426" t="s">
        <v>343</v>
      </c>
      <c r="F29" s="69" t="str">
        <f t="shared" si="2"/>
        <v>轻卡15寸</v>
      </c>
      <c r="G29" s="69" t="str">
        <f>VLOOKUP(A29,'7月排产计划'!G29:G543,1,0)</f>
        <v>ID7.50-15-12PR[R8037]119/115J 金冠</v>
      </c>
      <c r="H29" s="426"/>
    </row>
    <row r="30" spans="1:8">
      <c r="A30" s="419" t="s">
        <v>344</v>
      </c>
      <c r="B30" s="417">
        <v>850</v>
      </c>
      <c r="C30" s="420" t="s">
        <v>317</v>
      </c>
      <c r="D30" s="74" t="str">
        <f t="shared" si="1"/>
        <v>16</v>
      </c>
      <c r="E30" s="426" t="s">
        <v>343</v>
      </c>
      <c r="F30" s="69" t="str">
        <f t="shared" si="2"/>
        <v>轻卡16寸</v>
      </c>
      <c r="G30" s="69" t="str">
        <f>VLOOKUP(A30,'7月排产计划'!G30:G544,1,0)</f>
        <v>ID7.50-16-14PR[AB111]122/118J ASCENDO</v>
      </c>
      <c r="H30" s="426"/>
    </row>
    <row r="31" spans="1:8">
      <c r="A31" s="419" t="s">
        <v>345</v>
      </c>
      <c r="B31" s="417">
        <v>500</v>
      </c>
      <c r="C31" s="420" t="s">
        <v>317</v>
      </c>
      <c r="D31" s="74" t="str">
        <f t="shared" si="1"/>
        <v>16</v>
      </c>
      <c r="E31" s="426" t="s">
        <v>343</v>
      </c>
      <c r="F31" s="69" t="str">
        <f t="shared" si="2"/>
        <v>轻卡16寸</v>
      </c>
      <c r="G31" s="69" t="str">
        <f>VLOOKUP(A31,'7月排产计划'!G31:G545,1,0)</f>
        <v>ID7.50-16-14PR[L8056]122/118G 朝阳</v>
      </c>
      <c r="H31" s="426"/>
    </row>
    <row r="32" spans="1:8">
      <c r="A32" s="419" t="s">
        <v>346</v>
      </c>
      <c r="B32" s="417">
        <v>3000</v>
      </c>
      <c r="C32" s="420" t="s">
        <v>317</v>
      </c>
      <c r="D32" s="74" t="str">
        <f t="shared" si="1"/>
        <v>16</v>
      </c>
      <c r="E32" s="426" t="s">
        <v>343</v>
      </c>
      <c r="F32" s="69" t="str">
        <f t="shared" si="2"/>
        <v>轻卡16寸</v>
      </c>
      <c r="G32" s="69" t="str">
        <f>VLOOKUP(A32,'7月排产计划'!G32:G546,1,0)</f>
        <v>ID7.50-16-14PR[M8087]122/118G TRAZANO(全诺)</v>
      </c>
      <c r="H32" s="426"/>
    </row>
    <row r="33" spans="1:8">
      <c r="A33" s="419" t="s">
        <v>347</v>
      </c>
      <c r="B33" s="417">
        <v>3000</v>
      </c>
      <c r="C33" s="420" t="s">
        <v>317</v>
      </c>
      <c r="D33" s="74" t="str">
        <f t="shared" ref="D32:D42" si="3">MID(A33,FIND("-",A33)+1,2)</f>
        <v>16</v>
      </c>
      <c r="E33" s="426" t="s">
        <v>343</v>
      </c>
      <c r="F33" s="69" t="str">
        <f t="shared" si="2"/>
        <v>轻卡16寸</v>
      </c>
      <c r="G33" s="69" t="str">
        <f>VLOOKUP(A33,'7月排产计划'!G33:G547,1,0)</f>
        <v>ID7.50-16-14PR[M8087]122/118G 朝阳</v>
      </c>
      <c r="H33" s="426"/>
    </row>
    <row r="34" spans="1:8">
      <c r="A34" s="419" t="s">
        <v>348</v>
      </c>
      <c r="B34" s="417">
        <v>4000</v>
      </c>
      <c r="C34" s="420" t="s">
        <v>317</v>
      </c>
      <c r="D34" s="74" t="str">
        <f t="shared" si="3"/>
        <v>16</v>
      </c>
      <c r="E34" s="426" t="s">
        <v>343</v>
      </c>
      <c r="F34" s="69" t="str">
        <f t="shared" si="2"/>
        <v>轻卡16寸</v>
      </c>
      <c r="G34" s="69" t="str">
        <f>VLOOKUP(A34,'7月排产计划'!G34:G548,1,0)</f>
        <v>ID7.50-16-14PR[M8087]122/118G 金冠</v>
      </c>
      <c r="H34" s="426"/>
    </row>
    <row r="35" spans="1:8">
      <c r="A35" s="419" t="s">
        <v>349</v>
      </c>
      <c r="B35" s="417">
        <v>1300</v>
      </c>
      <c r="C35" s="420" t="s">
        <v>317</v>
      </c>
      <c r="D35" s="74" t="str">
        <f t="shared" si="3"/>
        <v>16</v>
      </c>
      <c r="E35" s="426" t="s">
        <v>343</v>
      </c>
      <c r="F35" s="69" t="str">
        <f t="shared" si="2"/>
        <v>轻卡16寸</v>
      </c>
      <c r="G35" s="69" t="str">
        <f>VLOOKUP(A35,'7月排产计划'!G35:G549,1,0)</f>
        <v>ID7.50-16-14PR[M8087]122/118G 威狮</v>
      </c>
      <c r="H35" s="426"/>
    </row>
    <row r="36" spans="1:8">
      <c r="A36" s="419" t="s">
        <v>350</v>
      </c>
      <c r="B36" s="417">
        <v>2000</v>
      </c>
      <c r="C36" s="420" t="s">
        <v>317</v>
      </c>
      <c r="D36" s="74" t="str">
        <f t="shared" si="3"/>
        <v>16</v>
      </c>
      <c r="E36" s="426" t="s">
        <v>343</v>
      </c>
      <c r="F36" s="69" t="str">
        <f t="shared" si="2"/>
        <v>轻卡16寸</v>
      </c>
      <c r="G36" s="69" t="str">
        <f>VLOOKUP(A36,'7月排产计划'!G36:G550,1,0)</f>
        <v>ID7.50-16-14PR[R8037]122/118J TRAZANO(全诺)</v>
      </c>
      <c r="H36" s="426"/>
    </row>
    <row r="37" spans="1:8">
      <c r="A37" s="419" t="s">
        <v>351</v>
      </c>
      <c r="B37" s="417">
        <v>8000</v>
      </c>
      <c r="C37" s="420" t="s">
        <v>317</v>
      </c>
      <c r="D37" s="74" t="str">
        <f t="shared" si="3"/>
        <v>16</v>
      </c>
      <c r="E37" s="426" t="s">
        <v>343</v>
      </c>
      <c r="F37" s="69" t="str">
        <f t="shared" si="2"/>
        <v>轻卡16寸</v>
      </c>
      <c r="G37" s="69" t="str">
        <f>VLOOKUP(A37,'7月排产计划'!G37:G551,1,0)</f>
        <v>ID7.50-16-14PR[R8037]122/118J 朝阳</v>
      </c>
      <c r="H37" s="426"/>
    </row>
    <row r="38" spans="1:8">
      <c r="A38" s="419" t="s">
        <v>352</v>
      </c>
      <c r="B38" s="417">
        <v>4500</v>
      </c>
      <c r="C38" s="420" t="s">
        <v>317</v>
      </c>
      <c r="D38" s="74" t="str">
        <f t="shared" si="3"/>
        <v>16</v>
      </c>
      <c r="E38" s="426" t="s">
        <v>343</v>
      </c>
      <c r="F38" s="69" t="str">
        <f t="shared" si="2"/>
        <v>轻卡16寸</v>
      </c>
      <c r="G38" s="69" t="str">
        <f>VLOOKUP(A38,'7月排产计划'!G38:G552,1,0)</f>
        <v>ID7.50-16-14PR[R8038]122/118J GOODRIDE(好运)</v>
      </c>
      <c r="H38" s="426"/>
    </row>
    <row r="39" spans="1:14">
      <c r="A39" s="419" t="s">
        <v>353</v>
      </c>
      <c r="B39" s="417">
        <v>5000</v>
      </c>
      <c r="C39" s="420" t="s">
        <v>317</v>
      </c>
      <c r="D39" s="74" t="str">
        <f t="shared" si="3"/>
        <v>16</v>
      </c>
      <c r="E39" s="426" t="s">
        <v>343</v>
      </c>
      <c r="F39" s="69" t="str">
        <f t="shared" si="2"/>
        <v>轻卡16寸</v>
      </c>
      <c r="G39" s="69" t="str">
        <f>VLOOKUP(A39,'7月排产计划'!G39:G553,1,0)</f>
        <v>ID7.50-16-14PR[R8038]122/118J 金冠</v>
      </c>
      <c r="H39" s="426"/>
      <c r="K39" s="427"/>
      <c r="L39" s="428"/>
      <c r="M39" s="428"/>
      <c r="N39" s="428"/>
    </row>
    <row r="40" spans="1:8">
      <c r="A40" s="419" t="s">
        <v>354</v>
      </c>
      <c r="B40" s="417">
        <v>3000</v>
      </c>
      <c r="C40" s="420" t="s">
        <v>317</v>
      </c>
      <c r="D40" s="74" t="str">
        <f t="shared" si="3"/>
        <v>16</v>
      </c>
      <c r="E40" s="426" t="s">
        <v>343</v>
      </c>
      <c r="F40" s="69" t="str">
        <f t="shared" si="2"/>
        <v>轻卡16寸</v>
      </c>
      <c r="G40" s="69" t="str">
        <f>VLOOKUP(A40,'7月排产计划'!G40:G554,1,0)</f>
        <v>ID7.50-16LT-14PR[CL891]122/118B 威狮</v>
      </c>
      <c r="H40" s="426"/>
    </row>
    <row r="41" spans="1:15">
      <c r="A41" s="419" t="s">
        <v>355</v>
      </c>
      <c r="B41" s="417">
        <v>1300</v>
      </c>
      <c r="C41" s="420" t="s">
        <v>317</v>
      </c>
      <c r="D41" s="74" t="str">
        <f t="shared" si="3"/>
        <v>16</v>
      </c>
      <c r="E41" s="426" t="s">
        <v>343</v>
      </c>
      <c r="F41" s="69" t="str">
        <f t="shared" si="2"/>
        <v>轻卡16寸</v>
      </c>
      <c r="G41" s="69" t="str">
        <f>VLOOKUP(A41,'7月排产计划'!G41:G555,1,0)</f>
        <v>ID7.50-16LT-14PR[MX882]122/118K 威狮</v>
      </c>
      <c r="H41" s="426"/>
      <c r="O41" s="432"/>
    </row>
    <row r="42" spans="1:15">
      <c r="A42" s="419" t="s">
        <v>356</v>
      </c>
      <c r="B42" s="417">
        <v>500</v>
      </c>
      <c r="C42" s="420" t="s">
        <v>314</v>
      </c>
      <c r="D42" s="74" t="str">
        <f>MID(A42,FIND("-",A42)-2,2)</f>
        <v>15</v>
      </c>
      <c r="E42" s="426" t="s">
        <v>357</v>
      </c>
      <c r="F42" s="69" t="str">
        <f t="shared" si="2"/>
        <v>ST15寸</v>
      </c>
      <c r="G42" s="69" t="str">
        <f>VLOOKUP(A42,'7月排产计划'!G42:G556,1,0)</f>
        <v>IDST205/75D15-6PR[TE898]101/97L TRANSEAGLE无内</v>
      </c>
      <c r="H42" s="426"/>
      <c r="O42" s="432"/>
    </row>
    <row r="43" spans="1:14">
      <c r="A43" s="419" t="s">
        <v>202</v>
      </c>
      <c r="B43" s="417">
        <v>140</v>
      </c>
      <c r="C43" s="420" t="s">
        <v>358</v>
      </c>
      <c r="D43" s="74" t="str">
        <f>MID(A43,FIND("-",A43)+1,4)</f>
        <v>16.1</v>
      </c>
      <c r="E43" s="426" t="s">
        <v>97</v>
      </c>
      <c r="F43" s="69" t="str">
        <f>E43&amp;D43&amp;"寸"</f>
        <v>ATD16.1寸</v>
      </c>
      <c r="G43" s="69" t="str">
        <f>VLOOKUP(A43,'7月排产计划'!G49:G563,1,0)</f>
        <v>ID14.5/75-16.1SL-10PR[STRONG GUARD F-3]121A8 HERCULES无内</v>
      </c>
      <c r="H43" s="426"/>
      <c r="K43" s="427"/>
      <c r="L43" s="428"/>
      <c r="M43" s="428"/>
      <c r="N43" s="428"/>
    </row>
    <row r="44" spans="1:15">
      <c r="A44" s="419" t="s">
        <v>359</v>
      </c>
      <c r="B44" s="417">
        <v>40</v>
      </c>
      <c r="C44" s="420" t="s">
        <v>360</v>
      </c>
      <c r="D44" s="74" t="str">
        <f>MID(A44,FIND("-",A44)+1,2)</f>
        <v>25</v>
      </c>
      <c r="E44" s="426" t="s">
        <v>361</v>
      </c>
      <c r="F44" s="69" t="str">
        <f>E44&amp;D44&amp;"寸"</f>
        <v>工程胎25寸</v>
      </c>
      <c r="G44" s="69" t="str">
        <f>VLOOKUP(A44,'7月排产计划'!G50:G564,1,0)</f>
        <v>ID23.5-25-20PR[T318]天力</v>
      </c>
      <c r="H44" s="426"/>
      <c r="O44" s="432"/>
    </row>
    <row r="45" spans="1:15">
      <c r="A45" s="419" t="s">
        <v>362</v>
      </c>
      <c r="B45" s="417">
        <v>240</v>
      </c>
      <c r="C45" s="420" t="s">
        <v>317</v>
      </c>
      <c r="D45" s="74" t="str">
        <f>MID(A45,FIND("-",A45)+1,2)</f>
        <v>25</v>
      </c>
      <c r="E45" s="426" t="s">
        <v>361</v>
      </c>
      <c r="F45" s="69" t="str">
        <f t="shared" ref="F45:F50" si="4">E45&amp;D45&amp;"寸"</f>
        <v>工程胎25寸</v>
      </c>
      <c r="G45" s="69" t="str">
        <f>VLOOKUP(A45,'7月排产计划'!G51:G565,1,0)</f>
        <v>ID23.5-25-24PR[CL728]威狮 东南亚</v>
      </c>
      <c r="H45" s="426"/>
      <c r="O45" s="432"/>
    </row>
    <row r="46" spans="1:15">
      <c r="A46" s="422" t="s">
        <v>289</v>
      </c>
      <c r="B46" s="423">
        <v>160</v>
      </c>
      <c r="C46" s="420" t="s">
        <v>358</v>
      </c>
      <c r="D46" s="74" t="str">
        <f t="shared" ref="D46:D50" si="5">MID(A46,FIND("-",A46)+1,2)</f>
        <v>12</v>
      </c>
      <c r="E46" s="426" t="s">
        <v>97</v>
      </c>
      <c r="F46" s="69" t="str">
        <f t="shared" si="4"/>
        <v>ATD12寸</v>
      </c>
      <c r="G46" s="69" t="str">
        <f>VLOOKUP(A46,'7月排产计划'!G52:G566,1,0)</f>
        <v>ID23×8.50-12-6PR[STRONG GUARD SS]101A2 HERCULES无内</v>
      </c>
      <c r="O46" s="432"/>
    </row>
    <row r="47" spans="1:15">
      <c r="A47" s="422" t="s">
        <v>294</v>
      </c>
      <c r="B47" s="423">
        <v>250</v>
      </c>
      <c r="C47" s="420" t="s">
        <v>358</v>
      </c>
      <c r="D47" s="74" t="str">
        <f t="shared" si="5"/>
        <v>12</v>
      </c>
      <c r="E47" s="426" t="s">
        <v>97</v>
      </c>
      <c r="F47" s="69" t="str">
        <f t="shared" si="4"/>
        <v>ATD12寸</v>
      </c>
      <c r="G47" s="69" t="str">
        <f>VLOOKUP(A47,'7月排产计划'!G53:G567,1,0)</f>
        <v>ID26×12-12-8PR[STRONG GUARD R1]119A2 HERCULES无内</v>
      </c>
      <c r="O47" s="432"/>
    </row>
    <row r="48" spans="1:15">
      <c r="A48" s="422" t="s">
        <v>298</v>
      </c>
      <c r="B48" s="423">
        <v>420</v>
      </c>
      <c r="C48" s="420" t="s">
        <v>358</v>
      </c>
      <c r="D48" s="74" t="str">
        <f t="shared" si="5"/>
        <v>15</v>
      </c>
      <c r="E48" s="426" t="s">
        <v>97</v>
      </c>
      <c r="F48" s="69" t="str">
        <f t="shared" si="4"/>
        <v>ATD15寸</v>
      </c>
      <c r="G48" s="69" t="str">
        <f>VLOOKUP(A48,'7月排产计划'!G54:G568,1,0)</f>
        <v>ID27×8.5-15-8PR[STRONG GUARD SS]HERCULES无内</v>
      </c>
      <c r="L48" s="429"/>
      <c r="O48" s="432"/>
    </row>
    <row r="49" spans="1:15">
      <c r="A49" s="422" t="s">
        <v>302</v>
      </c>
      <c r="B49" s="423">
        <v>100</v>
      </c>
      <c r="C49" s="420" t="s">
        <v>358</v>
      </c>
      <c r="D49" s="74" t="str">
        <f t="shared" si="5"/>
        <v>15</v>
      </c>
      <c r="E49" s="426" t="s">
        <v>97</v>
      </c>
      <c r="F49" s="69" t="str">
        <f t="shared" si="4"/>
        <v>ATD15寸</v>
      </c>
      <c r="G49" s="69" t="str">
        <f>VLOOKUP(A49,'7月排产计划'!G55:G569,1,0)</f>
        <v>ID29×12.5-15-8PR[STRONG GUARD R1]123A2 HERCULES无内</v>
      </c>
      <c r="O49" s="432"/>
    </row>
    <row r="50" spans="1:15">
      <c r="A50" s="422" t="s">
        <v>198</v>
      </c>
      <c r="B50" s="423">
        <v>180</v>
      </c>
      <c r="C50" s="420" t="s">
        <v>358</v>
      </c>
      <c r="D50" s="74" t="str">
        <f t="shared" si="5"/>
        <v>12</v>
      </c>
      <c r="E50" s="426" t="s">
        <v>97</v>
      </c>
      <c r="F50" s="69" t="str">
        <f t="shared" si="4"/>
        <v>ATD12寸</v>
      </c>
      <c r="G50" s="69" t="str">
        <f>VLOOKUP(A50,'7月排产计划'!G56:G570,1,0)</f>
        <v>ID5.70-12-6PR[STRONG GUARD SS]97A2 HERCULES无内</v>
      </c>
      <c r="J50" s="430"/>
      <c r="O50" s="432"/>
    </row>
    <row r="51" spans="1:15">
      <c r="A51" s="422"/>
      <c r="B51" s="423"/>
      <c r="C51" s="424"/>
      <c r="E51" s="426"/>
      <c r="G51" s="69" t="e">
        <f>VLOOKUP(A51,'7月排产计划'!G57:G571,1,0)</f>
        <v>#N/A</v>
      </c>
      <c r="O51" s="432"/>
    </row>
    <row r="52" spans="1:15">
      <c r="A52" s="422"/>
      <c r="B52" s="423">
        <f>SUM(B3:B51)</f>
        <v>61940</v>
      </c>
      <c r="C52" s="424"/>
      <c r="E52" s="426"/>
      <c r="G52" s="69" t="e">
        <f>VLOOKUP(A52,'7月排产计划'!G58:G572,1,0)</f>
        <v>#N/A</v>
      </c>
      <c r="O52" s="432"/>
    </row>
    <row r="53" spans="1:7">
      <c r="A53" s="422"/>
      <c r="B53" s="423"/>
      <c r="C53" s="424"/>
      <c r="E53" s="426"/>
      <c r="G53" s="69" t="e">
        <f>VLOOKUP(A53,'7月排产计划'!G59:G573,1,0)</f>
        <v>#N/A</v>
      </c>
    </row>
    <row r="54" spans="1:10">
      <c r="A54" s="422"/>
      <c r="B54" s="423"/>
      <c r="C54" s="424"/>
      <c r="E54" s="426"/>
      <c r="G54" s="69" t="e">
        <f>VLOOKUP(A54,'7月排产计划'!G60:G574,1,0)</f>
        <v>#N/A</v>
      </c>
      <c r="J54" s="431"/>
    </row>
    <row r="55" spans="1:10">
      <c r="A55" s="422"/>
      <c r="B55" s="423"/>
      <c r="C55" s="424"/>
      <c r="E55" s="426"/>
      <c r="G55" s="69" t="e">
        <f>VLOOKUP(A55,'7月排产计划'!G61:G575,1,0)</f>
        <v>#N/A</v>
      </c>
      <c r="J55" s="431"/>
    </row>
    <row r="56" spans="1:10">
      <c r="A56" s="419"/>
      <c r="B56" s="417"/>
      <c r="C56" s="424"/>
      <c r="E56" s="426"/>
      <c r="G56" s="69" t="e">
        <f>VLOOKUP(A56,'7月排产计划'!G62:G576,1,0)</f>
        <v>#N/A</v>
      </c>
      <c r="J56" s="74"/>
    </row>
    <row r="57" spans="1:11">
      <c r="A57" s="425" t="s">
        <v>363</v>
      </c>
      <c r="B57" s="417">
        <v>700</v>
      </c>
      <c r="C57" s="420" t="s">
        <v>317</v>
      </c>
      <c r="D57" s="74" t="str">
        <f>MID(A57,FIND("R",A57)+1,4)</f>
        <v>22.5</v>
      </c>
      <c r="E57" s="426" t="str">
        <f>_xlfn.XLOOKUP(A57,'7月排产计划'!G:G,'7月排产计划'!B:B)</f>
        <v>亚</v>
      </c>
      <c r="F57" s="69" t="str">
        <f t="shared" ref="F57:F71" si="6">E57&amp;D57&amp;"寸"</f>
        <v>亚22.5寸</v>
      </c>
      <c r="G57" s="69" t="e">
        <f>VLOOKUP(A57,'7月排产计划'!G63:G577,1,0)</f>
        <v>#N/A</v>
      </c>
      <c r="H57" s="74" t="e">
        <f>D57&amp;G57</f>
        <v>#N/A</v>
      </c>
      <c r="I57" s="69" t="e">
        <f>VLOOKUP(A57,[2]Sheet1!$C$3:$G$310,5,0)</f>
        <v>#N/A</v>
      </c>
      <c r="J57" s="74">
        <f>VLOOKUP(A57,[3]KCBB0101!$C$3:$F$691,4,0)</f>
        <v>8214</v>
      </c>
      <c r="K57" s="74" t="str">
        <f>VLOOKUP(A57,'7月排产计划'!G3:G517,1,0)</f>
        <v>ID11R22.5-14PR(144/142M)[AT552]ARISUN无内</v>
      </c>
    </row>
    <row r="58" spans="1:11">
      <c r="A58" s="425" t="s">
        <v>364</v>
      </c>
      <c r="B58" s="417">
        <v>300</v>
      </c>
      <c r="C58" s="420" t="s">
        <v>314</v>
      </c>
      <c r="D58" s="74" t="str">
        <f t="shared" ref="D58:D89" si="7">MID(A58,FIND("R",A58)+1,4)</f>
        <v>22.5</v>
      </c>
      <c r="E58" s="426" t="str">
        <f>_xlfn.XLOOKUP(A58,'7月排产计划'!G:G,'7月排产计划'!B:B)</f>
        <v>北美</v>
      </c>
      <c r="F58" s="69" t="str">
        <f t="shared" si="6"/>
        <v>北美22.5寸</v>
      </c>
      <c r="G58" s="69" t="e">
        <f>VLOOKUP(A58,'7月排产计划'!G64:G578,1,0)</f>
        <v>#N/A</v>
      </c>
      <c r="H58" s="74" t="e">
        <f t="shared" ref="H58:H89" si="8">D58&amp;G58</f>
        <v>#N/A</v>
      </c>
      <c r="I58" s="69" t="e">
        <f>VLOOKUP(A58,[2]Sheet1!$C$3:$G$310,5,0)</f>
        <v>#N/A</v>
      </c>
      <c r="J58" s="74">
        <f>VLOOKUP(A58,[3]KCBB0101!$C$3:$F$691,4,0)</f>
        <v>2573</v>
      </c>
      <c r="K58" s="74" t="str">
        <f>VLOOKUP(A58,'7月排产计划'!G4:G518,1,0)</f>
        <v>ID11R22.5-14PR(144/142M)[AT563]ARISUN无内</v>
      </c>
    </row>
    <row r="59" spans="1:11">
      <c r="A59" s="425" t="s">
        <v>365</v>
      </c>
      <c r="B59" s="417">
        <v>500</v>
      </c>
      <c r="C59" s="420" t="s">
        <v>314</v>
      </c>
      <c r="D59" s="74" t="str">
        <f t="shared" si="7"/>
        <v>22.5</v>
      </c>
      <c r="E59" s="426" t="str">
        <f>_xlfn.XLOOKUP(A59,'7月排产计划'!G:G,'7月排产计划'!B:B)</f>
        <v>北美</v>
      </c>
      <c r="F59" s="69" t="str">
        <f t="shared" si="6"/>
        <v>北美22.5寸</v>
      </c>
      <c r="G59" s="69" t="e">
        <f>VLOOKUP(A59,'7月排产计划'!G65:G579,1,0)</f>
        <v>#N/A</v>
      </c>
      <c r="H59" s="74" t="e">
        <f t="shared" si="8"/>
        <v>#N/A</v>
      </c>
      <c r="I59" s="69">
        <f>VLOOKUP(A59,[2]Sheet1!$C$3:$G$310,5,0)</f>
        <v>5700</v>
      </c>
      <c r="J59" s="74" t="e">
        <f>VLOOKUP(A59,[3]KCBB0101!$C$3:$F$691,4,0)</f>
        <v>#N/A</v>
      </c>
      <c r="K59" s="74" t="str">
        <f>VLOOKUP(A59,'7月排产计划'!G5:G519,1,0)</f>
        <v>ID11R22.5-14PR(144/142M)[CR915]威狮无内</v>
      </c>
    </row>
    <row r="60" spans="1:11">
      <c r="A60" s="425" t="s">
        <v>366</v>
      </c>
      <c r="B60" s="417">
        <v>580</v>
      </c>
      <c r="C60" s="420" t="s">
        <v>314</v>
      </c>
      <c r="D60" s="74" t="str">
        <f t="shared" si="7"/>
        <v>22.5</v>
      </c>
      <c r="E60" s="426" t="str">
        <f>_xlfn.XLOOKUP(A60,'7月排产计划'!G:G,'7月排产计划'!B:B)</f>
        <v>北美</v>
      </c>
      <c r="F60" s="69" t="str">
        <f t="shared" si="6"/>
        <v>北美22.5寸</v>
      </c>
      <c r="G60" s="69" t="e">
        <f>VLOOKUP(A60,'7月排产计划'!G66:G580,1,0)</f>
        <v>#N/A</v>
      </c>
      <c r="H60" s="74" t="e">
        <f t="shared" si="8"/>
        <v>#N/A</v>
      </c>
      <c r="I60" s="69" t="e">
        <f>VLOOKUP(A60,[2]Sheet1!$C$3:$G$310,5,0)</f>
        <v>#N/A</v>
      </c>
      <c r="J60" s="74">
        <f>VLOOKUP(A60,[3]KCBB0101!$C$3:$F$691,4,0)</f>
        <v>5000</v>
      </c>
      <c r="K60" s="74" t="str">
        <f>VLOOKUP(A60,'7月排产计划'!G6:G520,1,0)</f>
        <v>ID11R22.5-14PR(144/142M)[HT1 Plus]SUPERMAX无内</v>
      </c>
    </row>
    <row r="61" spans="1:11">
      <c r="A61" s="425" t="s">
        <v>367</v>
      </c>
      <c r="B61" s="417">
        <v>800</v>
      </c>
      <c r="C61" s="420" t="s">
        <v>314</v>
      </c>
      <c r="D61" s="74" t="str">
        <f t="shared" si="7"/>
        <v>22.5</v>
      </c>
      <c r="E61" s="426" t="str">
        <f>_xlfn.XLOOKUP(A61,'7月排产计划'!G:G,'7月排产计划'!B:B)</f>
        <v>北美</v>
      </c>
      <c r="F61" s="69" t="str">
        <f t="shared" si="6"/>
        <v>北美22.5寸</v>
      </c>
      <c r="G61" s="69" t="e">
        <f>VLOOKUP(A61,'7月排产计划'!G67:G581,1,0)</f>
        <v>#N/A</v>
      </c>
      <c r="H61" s="74" t="e">
        <f t="shared" si="8"/>
        <v>#N/A</v>
      </c>
      <c r="I61" s="69">
        <f>VLOOKUP(A61,[2]Sheet1!$C$3:$G$310,5,0)</f>
        <v>7500</v>
      </c>
      <c r="J61" s="74" t="e">
        <f>VLOOKUP(A61,[3]KCBB0101!$C$3:$F$691,4,0)</f>
        <v>#N/A</v>
      </c>
      <c r="K61" s="74" t="str">
        <f>VLOOKUP(A61,'7月排产计划'!G7:G521,1,0)</f>
        <v>ID11R22.5-14PR(144/142M)[I-48T]IRONMAN无内 SMARTWAY</v>
      </c>
    </row>
    <row r="62" spans="1:11">
      <c r="A62" s="425" t="s">
        <v>368</v>
      </c>
      <c r="B62" s="417">
        <v>620</v>
      </c>
      <c r="C62" s="420" t="s">
        <v>314</v>
      </c>
      <c r="D62" s="74" t="str">
        <f t="shared" si="7"/>
        <v>22.5</v>
      </c>
      <c r="E62" s="426" t="str">
        <f>_xlfn.XLOOKUP(A62,'7月排产计划'!G:G,'7月排产计划'!B:B)</f>
        <v>北美</v>
      </c>
      <c r="F62" s="69" t="str">
        <f t="shared" si="6"/>
        <v>北美22.5寸</v>
      </c>
      <c r="G62" s="69" t="e">
        <f>VLOOKUP(A62,'7月排产计划'!G68:G582,1,0)</f>
        <v>#N/A</v>
      </c>
      <c r="H62" s="74" t="e">
        <f t="shared" si="8"/>
        <v>#N/A</v>
      </c>
      <c r="I62" s="69" t="e">
        <f>VLOOKUP(A62,[2]Sheet1!$C$3:$G$310,5,0)</f>
        <v>#N/A</v>
      </c>
      <c r="J62" s="74">
        <f>VLOOKUP(A62,[3]KCBB0101!$C$3:$F$691,4,0)</f>
        <v>8000</v>
      </c>
      <c r="K62" s="74" t="str">
        <f>VLOOKUP(A62,'7月排产计划'!G8:G522,1,0)</f>
        <v>ID11R22.5-14PR(144/142M)[M-TRAC TR]MASTERTRACK无内</v>
      </c>
    </row>
    <row r="63" spans="1:11">
      <c r="A63" s="425" t="s">
        <v>369</v>
      </c>
      <c r="B63" s="417">
        <v>280</v>
      </c>
      <c r="C63" s="420" t="s">
        <v>314</v>
      </c>
      <c r="D63" s="74" t="str">
        <f t="shared" si="7"/>
        <v>22.5</v>
      </c>
      <c r="E63" s="426" t="str">
        <f>_xlfn.XLOOKUP(A63,'7月排产计划'!G:G,'7月排产计划'!B:B)</f>
        <v>北美</v>
      </c>
      <c r="F63" s="69" t="str">
        <f t="shared" si="6"/>
        <v>北美22.5寸</v>
      </c>
      <c r="G63" s="69" t="e">
        <f>VLOOKUP(A63,'7月排产计划'!G69:G583,1,0)</f>
        <v>#N/A</v>
      </c>
      <c r="H63" s="74" t="e">
        <f t="shared" si="8"/>
        <v>#N/A</v>
      </c>
      <c r="I63" s="69">
        <f>VLOOKUP(A63,[2]Sheet1!$C$3:$G$310,5,0)</f>
        <v>11500</v>
      </c>
      <c r="J63" s="74" t="e">
        <f>VLOOKUP(A63,[3]KCBB0101!$C$3:$F$691,4,0)</f>
        <v>#N/A</v>
      </c>
      <c r="K63" s="74" t="str">
        <f>VLOOKUP(A63,'7月排产计划'!G9:G523,1,0)</f>
        <v>ID11R22.5-14PR(144/142M)[Strong Guard H-TL]HERCULES无内</v>
      </c>
    </row>
    <row r="64" spans="1:11">
      <c r="A64" s="425" t="s">
        <v>370</v>
      </c>
      <c r="B64" s="417">
        <v>280</v>
      </c>
      <c r="C64" s="420" t="s">
        <v>314</v>
      </c>
      <c r="D64" s="74" t="str">
        <f t="shared" si="7"/>
        <v>22.5</v>
      </c>
      <c r="E64" s="426" t="str">
        <f>_xlfn.XLOOKUP(A64,'7月排产计划'!G:G,'7月排产计划'!B:B)</f>
        <v>北美</v>
      </c>
      <c r="F64" s="69" t="str">
        <f t="shared" si="6"/>
        <v>北美22.5寸</v>
      </c>
      <c r="G64" s="69" t="e">
        <f>VLOOKUP(A64,'7月排产计划'!G70:G584,1,0)</f>
        <v>#N/A</v>
      </c>
      <c r="H64" s="74" t="e">
        <f t="shared" si="8"/>
        <v>#N/A</v>
      </c>
      <c r="I64" s="69" t="e">
        <f>VLOOKUP(A64,[2]Sheet1!$C$3:$G$310,5,0)</f>
        <v>#N/A</v>
      </c>
      <c r="J64" s="74">
        <f>VLOOKUP(A64,[3]KCBB0101!$C$3:$F$691,4,0)</f>
        <v>3000</v>
      </c>
      <c r="K64" s="74" t="str">
        <f>VLOOKUP(A64,'7月排产计划'!G10:G524,1,0)</f>
        <v>ID11R22.5-16PR(146/143L)[DOMINATE D01]BLACKARROW无内</v>
      </c>
    </row>
    <row r="65" spans="1:11">
      <c r="A65" s="425" t="s">
        <v>371</v>
      </c>
      <c r="B65" s="417">
        <v>750</v>
      </c>
      <c r="C65" s="420" t="s">
        <v>314</v>
      </c>
      <c r="D65" s="74" t="str">
        <f t="shared" si="7"/>
        <v>22.5</v>
      </c>
      <c r="E65" s="426" t="str">
        <f>_xlfn.XLOOKUP(A65,'7月排产计划'!G:G,'7月排产计划'!B:B)</f>
        <v>北美</v>
      </c>
      <c r="F65" s="69" t="str">
        <f t="shared" si="6"/>
        <v>北美22.5寸</v>
      </c>
      <c r="G65" s="69" t="e">
        <f>VLOOKUP(A65,'7月排产计划'!G71:G585,1,0)</f>
        <v>#N/A</v>
      </c>
      <c r="H65" s="74" t="e">
        <f t="shared" si="8"/>
        <v>#N/A</v>
      </c>
      <c r="I65" s="69" t="e">
        <f>VLOOKUP(A65,[2]Sheet1!$C$3:$G$310,5,0)</f>
        <v>#N/A</v>
      </c>
      <c r="J65" s="74">
        <f>VLOOKUP(A65,[3]KCBB0101!$C$3:$F$691,4,0)</f>
        <v>4200</v>
      </c>
      <c r="K65" s="74" t="str">
        <f>VLOOKUP(A65,'7月排产计划'!G11:G525,1,0)</f>
        <v>ID11R22.5-16PR(146/143L)[HD1 PlusX]SUPERMAX ECO无内</v>
      </c>
    </row>
    <row r="66" spans="1:11">
      <c r="A66" s="425" t="s">
        <v>86</v>
      </c>
      <c r="B66" s="417">
        <v>1700</v>
      </c>
      <c r="C66" s="420" t="s">
        <v>314</v>
      </c>
      <c r="D66" s="74" t="str">
        <f t="shared" si="7"/>
        <v>22.5</v>
      </c>
      <c r="E66" s="426" t="str">
        <f>_xlfn.XLOOKUP(A66,'7月排产计划'!G:G,'7月排产计划'!B:B)</f>
        <v>北美</v>
      </c>
      <c r="F66" s="69" t="str">
        <f t="shared" si="6"/>
        <v>北美22.5寸</v>
      </c>
      <c r="G66" s="69" t="e">
        <f>VLOOKUP(A66,'7月排产计划'!G72:G586,1,0)</f>
        <v>#N/A</v>
      </c>
      <c r="H66" s="74" t="e">
        <f t="shared" si="8"/>
        <v>#N/A</v>
      </c>
      <c r="I66" s="69" t="e">
        <f>VLOOKUP(A66,[2]Sheet1!$C$3:$G$310,5,0)</f>
        <v>#N/A</v>
      </c>
      <c r="J66" s="74">
        <f>VLOOKUP(A66,[3]KCBB0101!$C$3:$F$691,4,0)</f>
        <v>3503</v>
      </c>
      <c r="K66" s="74" t="str">
        <f>VLOOKUP(A66,'7月排产计划'!G12:G526,1,0)</f>
        <v>ID11R22.5-16PR(146/143L)[KOBE DPM]ITARO无内</v>
      </c>
    </row>
    <row r="67" spans="1:11">
      <c r="A67" s="433" t="s">
        <v>372</v>
      </c>
      <c r="B67" s="417">
        <v>280</v>
      </c>
      <c r="C67" s="420" t="s">
        <v>314</v>
      </c>
      <c r="D67" s="74" t="str">
        <f t="shared" si="7"/>
        <v>22.5</v>
      </c>
      <c r="E67" s="426" t="str">
        <f>_xlfn.XLOOKUP(A67,'7月排产计划'!G:G,'7月排产计划'!B:B)</f>
        <v>北美</v>
      </c>
      <c r="F67" s="69" t="str">
        <f t="shared" si="6"/>
        <v>北美22.5寸</v>
      </c>
      <c r="G67" s="69" t="e">
        <f>VLOOKUP(A67,'7月排产计划'!G73:G587,1,0)</f>
        <v>#N/A</v>
      </c>
      <c r="H67" s="74" t="e">
        <f t="shared" si="8"/>
        <v>#N/A</v>
      </c>
      <c r="I67" s="69" t="e">
        <f>VLOOKUP(A67,[2]Sheet1!$C$3:$G$310,5,0)</f>
        <v>#N/A</v>
      </c>
      <c r="J67" s="74" t="e">
        <f>VLOOKUP(A67,[3]KCBB0101!$C$3:$F$691,4,0)</f>
        <v>#N/A</v>
      </c>
      <c r="K67" s="74" t="str">
        <f>VLOOKUP(A67,'7月排产计划'!G13:G527,1,0)</f>
        <v>ID11R22.5-16PR(146/143L)[M-TRAC CSD+]MASTERTRACK无内</v>
      </c>
    </row>
    <row r="68" spans="1:11">
      <c r="A68" s="433" t="s">
        <v>373</v>
      </c>
      <c r="B68" s="417">
        <v>280</v>
      </c>
      <c r="C68" s="420" t="s">
        <v>314</v>
      </c>
      <c r="D68" s="74" t="str">
        <f t="shared" si="7"/>
        <v>22.5</v>
      </c>
      <c r="E68" s="426" t="str">
        <f>_xlfn.XLOOKUP(A68,'7月排产计划'!G:G,'7月排产计划'!B:B)</f>
        <v>北美</v>
      </c>
      <c r="F68" s="69" t="str">
        <f t="shared" si="6"/>
        <v>北美22.5寸</v>
      </c>
      <c r="G68" s="69" t="e">
        <f>VLOOKUP(A68,'7月排产计划'!G74:G588,1,0)</f>
        <v>#N/A</v>
      </c>
      <c r="H68" s="74" t="e">
        <f t="shared" si="8"/>
        <v>#N/A</v>
      </c>
      <c r="I68" s="69" t="e">
        <f>VLOOKUP(A68,[2]Sheet1!$C$3:$G$310,5,0)</f>
        <v>#N/A</v>
      </c>
      <c r="J68" s="74" t="e">
        <f>VLOOKUP(A68,[3]KCBB0101!$C$3:$F$691,4,0)</f>
        <v>#N/A</v>
      </c>
      <c r="K68" s="74" t="str">
        <f>VLOOKUP(A68,'7月排产计划'!G14:G528,1,0)</f>
        <v>ID11R22.5-16PR(146/143L)[M-TRAC HS+]MASTERTRACK无内</v>
      </c>
    </row>
    <row r="69" spans="1:11">
      <c r="A69" s="425" t="s">
        <v>374</v>
      </c>
      <c r="B69" s="417">
        <v>600</v>
      </c>
      <c r="C69" s="420" t="s">
        <v>314</v>
      </c>
      <c r="D69" s="74" t="str">
        <f t="shared" si="7"/>
        <v>22.5</v>
      </c>
      <c r="E69" s="426" t="str">
        <f>_xlfn.XLOOKUP(A69,'7月排产计划'!G:G,'7月排产计划'!B:B)</f>
        <v>北美</v>
      </c>
      <c r="F69" s="69" t="str">
        <f t="shared" si="6"/>
        <v>北美22.5寸</v>
      </c>
      <c r="G69" s="69" t="e">
        <f>VLOOKUP(A69,'7月排产计划'!G75:G589,1,0)</f>
        <v>#N/A</v>
      </c>
      <c r="H69" s="74" t="e">
        <f t="shared" si="8"/>
        <v>#N/A</v>
      </c>
      <c r="I69" s="69" t="e">
        <f>VLOOKUP(A69,[2]Sheet1!$C$3:$G$310,5,0)</f>
        <v>#N/A</v>
      </c>
      <c r="J69" s="74">
        <f>VLOOKUP(A69,[3]KCBB0101!$C$3:$F$691,4,0)</f>
        <v>8000</v>
      </c>
      <c r="K69" s="74" t="str">
        <f>VLOOKUP(A69,'7月排产计划'!G15:G529,1,0)</f>
        <v>ID11R22.5-16PR(146/143L)[M-TRAC MS]MASTERTRACK无内</v>
      </c>
    </row>
    <row r="70" spans="1:11">
      <c r="A70" s="425" t="s">
        <v>375</v>
      </c>
      <c r="B70" s="417">
        <v>2000</v>
      </c>
      <c r="C70" s="420" t="s">
        <v>314</v>
      </c>
      <c r="D70" s="74" t="str">
        <f t="shared" si="7"/>
        <v>22.5</v>
      </c>
      <c r="E70" s="426" t="str">
        <f>_xlfn.XLOOKUP(A70,'7月排产计划'!G:G,'7月排产计划'!B:B)</f>
        <v>北美</v>
      </c>
      <c r="F70" s="69" t="str">
        <f t="shared" si="6"/>
        <v>北美22.5寸</v>
      </c>
      <c r="G70" s="69" t="e">
        <f>VLOOKUP(A70,'7月排产计划'!G76:G590,1,0)</f>
        <v>#N/A</v>
      </c>
      <c r="H70" s="74" t="e">
        <f t="shared" si="8"/>
        <v>#N/A</v>
      </c>
      <c r="I70" s="69" t="e">
        <f>VLOOKUP(A70,[2]Sheet1!$C$3:$G$310,5,0)</f>
        <v>#N/A</v>
      </c>
      <c r="J70" s="74">
        <f>VLOOKUP(A70,[3]KCBB0101!$C$3:$F$691,4,0)</f>
        <v>8000</v>
      </c>
      <c r="K70" s="74" t="str">
        <f>VLOOKUP(A70,'7月排产计划'!G16:G530,1,0)</f>
        <v>ID11R22.5-16PR(146/143L)[M-TRAC OSD]MASTERTRACK无内</v>
      </c>
    </row>
    <row r="71" spans="1:11">
      <c r="A71" s="433" t="s">
        <v>376</v>
      </c>
      <c r="B71" s="417">
        <v>280</v>
      </c>
      <c r="C71" s="420" t="s">
        <v>314</v>
      </c>
      <c r="D71" s="74" t="str">
        <f t="shared" si="7"/>
        <v>22.5</v>
      </c>
      <c r="E71" s="426" t="str">
        <f>_xlfn.XLOOKUP(A71,'7月排产计划'!G:G,'7月排产计划'!B:B)</f>
        <v>北美</v>
      </c>
      <c r="F71" s="69" t="str">
        <f t="shared" si="6"/>
        <v>北美22.5寸</v>
      </c>
      <c r="G71" s="69" t="e">
        <f>VLOOKUP(A71,'7月排产计划'!G77:G591,1,0)</f>
        <v>#N/A</v>
      </c>
      <c r="H71" s="74" t="e">
        <f t="shared" si="8"/>
        <v>#N/A</v>
      </c>
      <c r="I71" s="69" t="e">
        <f>VLOOKUP(A71,[2]Sheet1!$C$3:$G$310,5,0)</f>
        <v>#N/A</v>
      </c>
      <c r="J71" s="74" t="e">
        <f>VLOOKUP(A71,[3]KCBB0101!$C$3:$F$691,4,0)</f>
        <v>#N/A</v>
      </c>
      <c r="K71" s="74" t="str">
        <f>VLOOKUP(A71,'7月排产计划'!G17:G531,1,0)</f>
        <v>ID11R22.5-16PR(146/143L)[RLINE-S1]REDCLIFF无内</v>
      </c>
    </row>
    <row r="72" spans="1:11">
      <c r="A72" s="425" t="s">
        <v>377</v>
      </c>
      <c r="B72" s="417">
        <v>750</v>
      </c>
      <c r="C72" s="420" t="s">
        <v>314</v>
      </c>
      <c r="D72" s="74" t="str">
        <f t="shared" si="7"/>
        <v>22.5</v>
      </c>
      <c r="E72" s="426" t="str">
        <f>_xlfn.XLOOKUP(A72,'7月排产计划'!G:G,'7月排产计划'!B:B)</f>
        <v>北美</v>
      </c>
      <c r="F72" s="69" t="str">
        <f t="shared" ref="F56:F115" si="9">E72&amp;D72&amp;"寸"</f>
        <v>北美22.5寸</v>
      </c>
      <c r="G72" s="69" t="e">
        <f>VLOOKUP(A72,'7月排产计划'!G78:G592,1,0)</f>
        <v>#N/A</v>
      </c>
      <c r="H72" s="74" t="e">
        <f t="shared" si="8"/>
        <v>#N/A</v>
      </c>
      <c r="I72" s="69">
        <f>VLOOKUP(A72,[2]Sheet1!$C$3:$G$310,5,0)</f>
        <v>6000</v>
      </c>
      <c r="J72" s="74" t="e">
        <f>VLOOKUP(A72,[3]KCBB0101!$C$3:$F$691,4,0)</f>
        <v>#N/A</v>
      </c>
      <c r="K72" s="74" t="str">
        <f>VLOOKUP(A72,'7月排产计划'!G18:G532,1,0)</f>
        <v>ID11R22.5-16PR(146/143L)[Strong Guard H-RD]HERCULES无内</v>
      </c>
    </row>
    <row r="73" spans="1:11">
      <c r="A73" s="425" t="s">
        <v>378</v>
      </c>
      <c r="B73" s="417">
        <v>400</v>
      </c>
      <c r="C73" s="420" t="s">
        <v>314</v>
      </c>
      <c r="D73" s="74" t="str">
        <f t="shared" si="7"/>
        <v>22.5</v>
      </c>
      <c r="E73" s="426" t="str">
        <f>_xlfn.XLOOKUP(A73,'7月排产计划'!G:G,'7月排产计划'!B:B)</f>
        <v>北美</v>
      </c>
      <c r="F73" s="69" t="str">
        <f t="shared" si="9"/>
        <v>北美22.5寸</v>
      </c>
      <c r="G73" s="69" t="e">
        <f>VLOOKUP(A73,'7月排产计划'!G79:G593,1,0)</f>
        <v>#N/A</v>
      </c>
      <c r="H73" s="74" t="e">
        <f t="shared" si="8"/>
        <v>#N/A</v>
      </c>
      <c r="I73" s="69" t="e">
        <f>VLOOKUP(A73,[2]Sheet1!$C$3:$G$310,5,0)</f>
        <v>#N/A</v>
      </c>
      <c r="J73" s="74">
        <f>VLOOKUP(A73,[3]KCBB0101!$C$3:$F$691,4,0)</f>
        <v>3317</v>
      </c>
      <c r="K73" s="74" t="str">
        <f>VLOOKUP(A73,'7月排产计划'!G19:G533,1,0)</f>
        <v>ID11R22.5-16PR(146/143M)[HF1 PlusX]SUPERMAX ECO无内</v>
      </c>
    </row>
    <row r="74" spans="1:11">
      <c r="A74" s="425" t="s">
        <v>379</v>
      </c>
      <c r="B74" s="417">
        <v>750</v>
      </c>
      <c r="C74" s="420" t="s">
        <v>314</v>
      </c>
      <c r="D74" s="74" t="str">
        <f t="shared" si="7"/>
        <v>22.5</v>
      </c>
      <c r="E74" s="426" t="str">
        <f>_xlfn.XLOOKUP(A74,'7月排产计划'!G:G,'7月排产计划'!B:B)</f>
        <v>北美</v>
      </c>
      <c r="F74" s="69" t="str">
        <f t="shared" si="9"/>
        <v>北美22.5寸</v>
      </c>
      <c r="G74" s="69" t="e">
        <f>VLOOKUP(A74,'7月排产计划'!G80:G594,1,0)</f>
        <v>#N/A</v>
      </c>
      <c r="H74" s="74" t="e">
        <f t="shared" si="8"/>
        <v>#N/A</v>
      </c>
      <c r="I74" s="69" t="e">
        <f>VLOOKUP(A74,[2]Sheet1!$C$3:$G$310,5,0)</f>
        <v>#N/A</v>
      </c>
      <c r="J74" s="74">
        <f>VLOOKUP(A74,[3]KCBB0101!$C$3:$F$691,4,0)</f>
        <v>6321</v>
      </c>
      <c r="K74" s="74" t="str">
        <f>VLOOKUP(A74,'7月排产计划'!G20:G534,1,0)</f>
        <v>ID11R22.5-16PR(146/143M)[KOBE APM]ITARO无内</v>
      </c>
    </row>
    <row r="75" spans="1:11">
      <c r="A75" s="425" t="s">
        <v>380</v>
      </c>
      <c r="B75" s="417">
        <v>1100</v>
      </c>
      <c r="C75" s="420" t="s">
        <v>314</v>
      </c>
      <c r="D75" s="74" t="str">
        <f t="shared" si="7"/>
        <v>22.5</v>
      </c>
      <c r="E75" s="426" t="str">
        <f>_xlfn.XLOOKUP(A75,'7月排产计划'!G:G,'7月排产计划'!B:B)</f>
        <v>北美</v>
      </c>
      <c r="F75" s="69" t="str">
        <f t="shared" si="9"/>
        <v>北美22.5寸</v>
      </c>
      <c r="G75" s="69" t="e">
        <f>VLOOKUP(A75,'7月排产计划'!G81:G595,1,0)</f>
        <v>#N/A</v>
      </c>
      <c r="H75" s="74" t="e">
        <f t="shared" si="8"/>
        <v>#N/A</v>
      </c>
      <c r="I75" s="69">
        <f>VLOOKUP(A75,[2]Sheet1!$C$3:$G$310,5,0)</f>
        <v>9000</v>
      </c>
      <c r="J75" s="74" t="e">
        <f>VLOOKUP(A75,[3]KCBB0101!$C$3:$F$691,4,0)</f>
        <v>#N/A</v>
      </c>
      <c r="K75" s="74" t="str">
        <f>VLOOKUP(A75,'7月排产计划'!G21:G535,1,0)</f>
        <v>ID11R22.5-16PR(148/145K)[Strong Guard H-MD]HERCULES无内</v>
      </c>
    </row>
    <row r="76" spans="1:11">
      <c r="A76" s="434" t="s">
        <v>381</v>
      </c>
      <c r="B76" s="417">
        <v>280</v>
      </c>
      <c r="C76" s="420" t="s">
        <v>314</v>
      </c>
      <c r="D76" s="74" t="str">
        <f t="shared" si="7"/>
        <v>22.5</v>
      </c>
      <c r="E76" s="426" t="str">
        <f>_xlfn.XLOOKUP(A76,'7月排产计划'!G:G,'7月排产计划'!B:B)</f>
        <v>北美</v>
      </c>
      <c r="F76" s="69" t="str">
        <f t="shared" si="9"/>
        <v>北美22.5寸</v>
      </c>
      <c r="G76" s="69" t="e">
        <f>VLOOKUP(A76,'7月排产计划'!G82:G596,1,0)</f>
        <v>#N/A</v>
      </c>
      <c r="H76" s="74" t="e">
        <f t="shared" si="8"/>
        <v>#N/A</v>
      </c>
      <c r="I76" s="69" t="e">
        <f>VLOOKUP(A76,[2]Sheet1!$C$3:$G$310,5,0)</f>
        <v>#N/A</v>
      </c>
      <c r="J76" s="74">
        <f>VLOOKUP(A76,[3]KCBB0101!$C$3:$F$691,4,0)</f>
        <v>4000</v>
      </c>
      <c r="K76" s="74" t="str">
        <f>VLOOKUP(A76,'7月排产计划'!G22:G536,1,0)</f>
        <v>ID11R22.5-16PR(148/145L)[AD716]GOODRIDE(好运)无内</v>
      </c>
    </row>
    <row r="77" spans="1:11">
      <c r="A77" s="425" t="s">
        <v>382</v>
      </c>
      <c r="B77" s="417">
        <v>480</v>
      </c>
      <c r="C77" s="420" t="s">
        <v>317</v>
      </c>
      <c r="D77" s="74" t="str">
        <f t="shared" si="7"/>
        <v>22.5</v>
      </c>
      <c r="E77" s="426" t="str">
        <f>_xlfn.XLOOKUP(A77,'7月排产计划'!G:G,'7月排产计划'!B:B)</f>
        <v>亚</v>
      </c>
      <c r="F77" s="69" t="str">
        <f t="shared" si="9"/>
        <v>亚22.5寸</v>
      </c>
      <c r="G77" s="69" t="e">
        <f>VLOOKUP(A77,'7月排产计划'!G83:G597,1,0)</f>
        <v>#N/A</v>
      </c>
      <c r="H77" s="74" t="e">
        <f t="shared" si="8"/>
        <v>#N/A</v>
      </c>
      <c r="I77" s="69" t="e">
        <f>VLOOKUP(A77,[2]Sheet1!$C$3:$G$310,5,0)</f>
        <v>#N/A</v>
      </c>
      <c r="J77" s="74">
        <f>VLOOKUP(A77,[3]KCBB0101!$C$3:$F$691,4,0)</f>
        <v>6660</v>
      </c>
      <c r="K77" s="74" t="str">
        <f>VLOOKUP(A77,'7月排产计划'!G23:G537,1,0)</f>
        <v>ID11R22.5-16PR(148/145L)[AS858]GOODRIDE(好运)无内</v>
      </c>
    </row>
    <row r="78" spans="1:11">
      <c r="A78" s="425" t="s">
        <v>383</v>
      </c>
      <c r="B78" s="417">
        <v>2600</v>
      </c>
      <c r="C78" s="420" t="s">
        <v>317</v>
      </c>
      <c r="D78" s="74" t="str">
        <f t="shared" si="7"/>
        <v>22.5</v>
      </c>
      <c r="E78" s="426" t="str">
        <f>_xlfn.XLOOKUP(A78,'7月排产计划'!G:G,'7月排产计划'!B:B)</f>
        <v>亚</v>
      </c>
      <c r="F78" s="69" t="str">
        <f t="shared" si="9"/>
        <v>亚22.5寸</v>
      </c>
      <c r="G78" s="69" t="e">
        <f>VLOOKUP(A78,'7月排产计划'!G84:G598,1,0)</f>
        <v>#N/A</v>
      </c>
      <c r="H78" s="74" t="e">
        <f t="shared" si="8"/>
        <v>#N/A</v>
      </c>
      <c r="I78" s="69" t="e">
        <f>VLOOKUP(A78,[2]Sheet1!$C$3:$G$310,5,0)</f>
        <v>#N/A</v>
      </c>
      <c r="J78" s="74">
        <f>VLOOKUP(A78,[3]KCBB0101!$C$3:$F$691,4,0)</f>
        <v>6581</v>
      </c>
      <c r="K78" s="74" t="str">
        <f>VLOOKUP(A78,'7月排产计划'!G24:G538,1,0)</f>
        <v>ID11R22.5-16PR(148/145L)[AS868]金冠无内</v>
      </c>
    </row>
    <row r="79" spans="1:11">
      <c r="A79" s="435" t="s">
        <v>95</v>
      </c>
      <c r="B79" s="417">
        <v>400</v>
      </c>
      <c r="C79" s="420" t="s">
        <v>314</v>
      </c>
      <c r="D79" s="74" t="str">
        <f t="shared" si="7"/>
        <v>22.5</v>
      </c>
      <c r="E79" s="426" t="str">
        <f>_xlfn.XLOOKUP(A79,'7月排产计划'!G:G,'7月排产计划'!B:B)</f>
        <v>北美</v>
      </c>
      <c r="F79" s="69" t="str">
        <f t="shared" si="9"/>
        <v>北美22.5寸</v>
      </c>
      <c r="G79" s="69" t="e">
        <f>VLOOKUP(A79,'7月排产计划'!G85:G599,1,0)</f>
        <v>#N/A</v>
      </c>
      <c r="H79" s="74" t="e">
        <f t="shared" si="8"/>
        <v>#N/A</v>
      </c>
      <c r="I79" s="69">
        <f>VLOOKUP(A79,[2]Sheet1!$C$3:$G$310,5,0)</f>
        <v>1740</v>
      </c>
      <c r="J79" s="74" t="e">
        <f>VLOOKUP(A79,[3]KCBB0101!$C$3:$F$691,4,0)</f>
        <v>#N/A</v>
      </c>
      <c r="K79" s="74" t="str">
        <f>VLOOKUP(A79,'7月排产计划'!G25:G539,1,0)</f>
        <v>ID11R22.5-16PR(148/145L)[AZ599]威狮无内</v>
      </c>
    </row>
    <row r="80" spans="1:11">
      <c r="A80" s="425" t="s">
        <v>384</v>
      </c>
      <c r="B80" s="417">
        <v>400</v>
      </c>
      <c r="C80" s="420" t="s">
        <v>314</v>
      </c>
      <c r="D80" s="74" t="str">
        <f t="shared" si="7"/>
        <v>22.5</v>
      </c>
      <c r="E80" s="426" t="str">
        <f>_xlfn.XLOOKUP(A80,'7月排产计划'!G:G,'7月排产计划'!B:B)</f>
        <v>北美</v>
      </c>
      <c r="F80" s="69" t="str">
        <f t="shared" si="9"/>
        <v>北美22.5寸</v>
      </c>
      <c r="G80" s="69" t="e">
        <f>VLOOKUP(A80,'7月排产计划'!G86:G600,1,0)</f>
        <v>#N/A</v>
      </c>
      <c r="H80" s="74" t="e">
        <f t="shared" si="8"/>
        <v>#N/A</v>
      </c>
      <c r="I80" s="69" t="e">
        <f>VLOOKUP(A80,[2]Sheet1!$C$3:$G$310,5,0)</f>
        <v>#N/A</v>
      </c>
      <c r="J80" s="74">
        <f>VLOOKUP(A80,[3]KCBB0101!$C$3:$F$691,4,0)</f>
        <v>5000</v>
      </c>
      <c r="K80" s="74" t="str">
        <f>VLOOKUP(A80,'7月排产计划'!G26:G540,1,0)</f>
        <v>ID11R22.5-16PR(148/145L)[ECO-MILE CSD]TRAVELSTAR无内</v>
      </c>
    </row>
    <row r="81" spans="1:11">
      <c r="A81" s="425" t="s">
        <v>385</v>
      </c>
      <c r="B81" s="417">
        <v>300</v>
      </c>
      <c r="C81" s="420" t="s">
        <v>314</v>
      </c>
      <c r="D81" s="74" t="str">
        <f t="shared" si="7"/>
        <v>22.5</v>
      </c>
      <c r="E81" s="426" t="str">
        <f>_xlfn.XLOOKUP(A81,'7月排产计划'!G:G,'7月排产计划'!B:B)</f>
        <v>北美</v>
      </c>
      <c r="F81" s="69" t="str">
        <f t="shared" si="9"/>
        <v>北美22.5寸</v>
      </c>
      <c r="G81" s="69" t="e">
        <f>VLOOKUP(A81,'7月排产计划'!G87:G601,1,0)</f>
        <v>#N/A</v>
      </c>
      <c r="H81" s="74" t="e">
        <f t="shared" si="8"/>
        <v>#N/A</v>
      </c>
      <c r="I81" s="69" t="e">
        <f>VLOOKUP(A81,[2]Sheet1!$C$3:$G$310,5,0)</f>
        <v>#N/A</v>
      </c>
      <c r="J81" s="74">
        <f>VLOOKUP(A81,[3]KCBB0101!$C$3:$F$691,4,0)</f>
        <v>6354</v>
      </c>
      <c r="K81" s="74" t="str">
        <f>VLOOKUP(A81,'7月排产计划'!G27:G541,1,0)</f>
        <v>ID11R22.5-16PR(148/145L)[HD1 Plus]SUPERMAX无内</v>
      </c>
    </row>
    <row r="82" spans="1:11">
      <c r="A82" s="425" t="s">
        <v>386</v>
      </c>
      <c r="B82" s="417">
        <v>500</v>
      </c>
      <c r="C82" s="420" t="s">
        <v>314</v>
      </c>
      <c r="D82" s="74" t="str">
        <f t="shared" si="7"/>
        <v>22.5</v>
      </c>
      <c r="E82" s="426" t="str">
        <f>_xlfn.XLOOKUP(A82,'7月排产计划'!G:G,'7月排产计划'!B:B)</f>
        <v>北美</v>
      </c>
      <c r="F82" s="69" t="str">
        <f t="shared" si="9"/>
        <v>北美22.5寸</v>
      </c>
      <c r="G82" s="69" t="e">
        <f>VLOOKUP(A82,'7月排产计划'!G88:G602,1,0)</f>
        <v>#N/A</v>
      </c>
      <c r="H82" s="74" t="e">
        <f t="shared" si="8"/>
        <v>#N/A</v>
      </c>
      <c r="I82" s="69" t="e">
        <f>VLOOKUP(A82,[2]Sheet1!$C$3:$G$310,5,0)</f>
        <v>#N/A</v>
      </c>
      <c r="J82" s="74">
        <f>VLOOKUP(A82,[3]KCBB0101!$C$3:$F$691,4,0)</f>
        <v>3631</v>
      </c>
      <c r="K82" s="74" t="str">
        <f>VLOOKUP(A82,'7月排产计划'!G28:G542,1,0)</f>
        <v>ID11R22.5-16PR(148/145L)[HF1 Plus]SUPERMAX无内</v>
      </c>
    </row>
    <row r="83" spans="1:11">
      <c r="A83" s="435" t="s">
        <v>100</v>
      </c>
      <c r="B83" s="417">
        <v>1900</v>
      </c>
      <c r="C83" s="420" t="s">
        <v>314</v>
      </c>
      <c r="D83" s="74" t="str">
        <f t="shared" si="7"/>
        <v>22.5</v>
      </c>
      <c r="E83" s="426" t="str">
        <f>_xlfn.XLOOKUP(A83,'7月排产计划'!G:G,'7月排产计划'!B:B)</f>
        <v>北美</v>
      </c>
      <c r="F83" s="69" t="str">
        <f t="shared" si="9"/>
        <v>北美22.5寸</v>
      </c>
      <c r="G83" s="69" t="e">
        <f>VLOOKUP(A83,'7月排产计划'!G89:G603,1,0)</f>
        <v>#N/A</v>
      </c>
      <c r="H83" s="74" t="e">
        <f t="shared" si="8"/>
        <v>#N/A</v>
      </c>
      <c r="I83" s="69">
        <f>VLOOKUP(A83,[2]Sheet1!$C$3:$G$310,5,0)</f>
        <v>2800</v>
      </c>
      <c r="J83" s="74" t="e">
        <f>VLOOKUP(A83,[3]KCBB0101!$C$3:$F$691,4,0)</f>
        <v>#N/A</v>
      </c>
      <c r="K83" s="74" t="str">
        <f>VLOOKUP(A83,'7月排产计划'!G29:G543,1,0)</f>
        <v>ID11R22.5-16PR(148/145L)[I-28D]IRONMAN无内 SMARTWAY</v>
      </c>
    </row>
    <row r="84" spans="1:11">
      <c r="A84" s="425" t="s">
        <v>387</v>
      </c>
      <c r="B84" s="417">
        <v>1000</v>
      </c>
      <c r="C84" s="420" t="s">
        <v>314</v>
      </c>
      <c r="D84" s="74" t="str">
        <f t="shared" si="7"/>
        <v>22.5</v>
      </c>
      <c r="E84" s="426" t="str">
        <f>_xlfn.XLOOKUP(A84,'7月排产计划'!G:G,'7月排产计划'!B:B)</f>
        <v>北美</v>
      </c>
      <c r="F84" s="69" t="str">
        <f t="shared" si="9"/>
        <v>北美22.5寸</v>
      </c>
      <c r="G84" s="69" t="e">
        <f>VLOOKUP(A84,'7月排产计划'!G90:G604,1,0)</f>
        <v>#N/A</v>
      </c>
      <c r="H84" s="74" t="e">
        <f t="shared" si="8"/>
        <v>#N/A</v>
      </c>
      <c r="I84" s="69">
        <f>VLOOKUP(A84,[2]Sheet1!$C$3:$G$310,5,0)</f>
        <v>13900</v>
      </c>
      <c r="J84" s="74" t="e">
        <f>VLOOKUP(A84,[3]KCBB0101!$C$3:$F$691,4,0)</f>
        <v>#N/A</v>
      </c>
      <c r="K84" s="74" t="str">
        <f>VLOOKUP(A84,'7月排产计划'!G30:G544,1,0)</f>
        <v>ID11R22.5-16PR(148/145L)[I-31M]IRONMAN无内</v>
      </c>
    </row>
    <row r="85" spans="1:11">
      <c r="A85" s="425" t="s">
        <v>388</v>
      </c>
      <c r="B85" s="417">
        <v>1500</v>
      </c>
      <c r="C85" s="420" t="s">
        <v>314</v>
      </c>
      <c r="D85" s="74" t="str">
        <f t="shared" si="7"/>
        <v>22.5</v>
      </c>
      <c r="E85" s="426" t="str">
        <f>_xlfn.XLOOKUP(A85,'7月排产计划'!G:G,'7月排产计划'!B:B)</f>
        <v>北美</v>
      </c>
      <c r="F85" s="69" t="str">
        <f t="shared" si="9"/>
        <v>北美22.5寸</v>
      </c>
      <c r="G85" s="69" t="e">
        <f>VLOOKUP(A85,'7月排产计划'!G91:G605,1,0)</f>
        <v>#N/A</v>
      </c>
      <c r="H85" s="74" t="e">
        <f t="shared" si="8"/>
        <v>#N/A</v>
      </c>
      <c r="I85" s="69">
        <f>VLOOKUP(A85,[2]Sheet1!$C$3:$G$310,5,0)</f>
        <v>8500</v>
      </c>
      <c r="J85" s="74" t="e">
        <f>VLOOKUP(A85,[3]KCBB0101!$C$3:$F$691,4,0)</f>
        <v>#N/A</v>
      </c>
      <c r="K85" s="74" t="str">
        <f>VLOOKUP(A85,'7月排产计划'!G31:G545,1,0)</f>
        <v>ID11R22.5-16PR(148/145L)[I-37D]IRONMAN无内</v>
      </c>
    </row>
    <row r="86" spans="1:11">
      <c r="A86" s="425" t="s">
        <v>389</v>
      </c>
      <c r="B86" s="417">
        <v>450</v>
      </c>
      <c r="C86" s="420" t="s">
        <v>314</v>
      </c>
      <c r="D86" s="74" t="str">
        <f t="shared" si="7"/>
        <v>22.5</v>
      </c>
      <c r="E86" s="426" t="str">
        <f>_xlfn.XLOOKUP(A86,'7月排产计划'!G:G,'7月排产计划'!B:B)</f>
        <v>北美</v>
      </c>
      <c r="F86" s="69" t="str">
        <f t="shared" si="9"/>
        <v>北美22.5寸</v>
      </c>
      <c r="G86" s="69" t="e">
        <f>VLOOKUP(A86,'7月排产计划'!G92:G606,1,0)</f>
        <v>#N/A</v>
      </c>
      <c r="H86" s="74" t="e">
        <f t="shared" si="8"/>
        <v>#N/A</v>
      </c>
      <c r="I86" s="69">
        <f>VLOOKUP(A86,[2]Sheet1!$C$3:$G$310,5,0)</f>
        <v>12462</v>
      </c>
      <c r="J86" s="74" t="e">
        <f>VLOOKUP(A86,[3]KCBB0101!$C$3:$F$691,4,0)</f>
        <v>#N/A</v>
      </c>
      <c r="K86" s="74" t="str">
        <f>VLOOKUP(A86,'7月排产计划'!G32:G546,1,0)</f>
        <v>ID11R22.5-16PR(148/145L)[I-52A]IRONMAN无内 SMARTWAY</v>
      </c>
    </row>
    <row r="87" spans="1:11">
      <c r="A87" s="425" t="s">
        <v>390</v>
      </c>
      <c r="B87" s="417">
        <v>2000</v>
      </c>
      <c r="C87" s="420" t="s">
        <v>314</v>
      </c>
      <c r="D87" s="74" t="str">
        <f t="shared" si="7"/>
        <v>22.5</v>
      </c>
      <c r="E87" s="426" t="str">
        <f>_xlfn.XLOOKUP(A87,'7月排产计划'!G:G,'7月排产计划'!B:B)</f>
        <v>北美</v>
      </c>
      <c r="F87" s="69" t="str">
        <f t="shared" si="9"/>
        <v>北美22.5寸</v>
      </c>
      <c r="G87" s="69" t="e">
        <f>VLOOKUP(A87,'7月排产计划'!G93:G607,1,0)</f>
        <v>#N/A</v>
      </c>
      <c r="H87" s="74" t="e">
        <f t="shared" si="8"/>
        <v>#N/A</v>
      </c>
      <c r="I87" s="69" t="e">
        <f>VLOOKUP(A87,[2]Sheet1!$C$3:$G$310,5,0)</f>
        <v>#N/A</v>
      </c>
      <c r="J87" s="74">
        <f>VLOOKUP(A87,[3]KCBB0101!$C$3:$F$691,4,0)</f>
        <v>12240</v>
      </c>
      <c r="K87" s="74" t="str">
        <f>VLOOKUP(A87,'7月排产计划'!G33:G547,1,0)</f>
        <v>ID11R22.5-16PR(148/145L)[M-TRAC AP]MASTERTRACK无内</v>
      </c>
    </row>
    <row r="88" spans="1:11">
      <c r="A88" s="425" t="s">
        <v>391</v>
      </c>
      <c r="B88" s="417">
        <v>1200</v>
      </c>
      <c r="C88" s="420" t="s">
        <v>314</v>
      </c>
      <c r="D88" s="74" t="str">
        <f t="shared" si="7"/>
        <v>22.5</v>
      </c>
      <c r="E88" s="426" t="str">
        <f>_xlfn.XLOOKUP(A88,'7月排产计划'!G:G,'7月排产计划'!B:B)</f>
        <v>北美</v>
      </c>
      <c r="F88" s="69" t="str">
        <f t="shared" si="9"/>
        <v>北美22.5寸</v>
      </c>
      <c r="G88" s="69" t="e">
        <f>VLOOKUP(A88,'7月排产计划'!G94:G608,1,0)</f>
        <v>#N/A</v>
      </c>
      <c r="H88" s="74" t="e">
        <f t="shared" si="8"/>
        <v>#N/A</v>
      </c>
      <c r="I88" s="69" t="e">
        <f>VLOOKUP(A88,[2]Sheet1!$C$3:$G$310,5,0)</f>
        <v>#N/A</v>
      </c>
      <c r="J88" s="74">
        <f>VLOOKUP(A88,[3]KCBB0101!$C$3:$F$691,4,0)</f>
        <v>11167</v>
      </c>
      <c r="K88" s="74" t="str">
        <f>VLOOKUP(A88,'7月排产计划'!G34:G548,1,0)</f>
        <v>ID11R22.5-16PR(148/145L)[M-TRAC CSD]MASTERTRACK无内</v>
      </c>
    </row>
    <row r="89" spans="1:11">
      <c r="A89" s="435" t="s">
        <v>392</v>
      </c>
      <c r="B89" s="417">
        <v>300</v>
      </c>
      <c r="C89" s="420" t="s">
        <v>314</v>
      </c>
      <c r="D89" s="74" t="str">
        <f t="shared" si="7"/>
        <v>22.5</v>
      </c>
      <c r="E89" s="426" t="str">
        <f>_xlfn.XLOOKUP(A89,'7月排产计划'!G:G,'7月排产计划'!B:B)</f>
        <v>北美</v>
      </c>
      <c r="F89" s="69" t="str">
        <f t="shared" si="9"/>
        <v>北美22.5寸</v>
      </c>
      <c r="G89" s="69" t="e">
        <f>VLOOKUP(A89,'7月排产计划'!G95:G609,1,0)</f>
        <v>#N/A</v>
      </c>
      <c r="H89" s="74" t="e">
        <f t="shared" si="8"/>
        <v>#N/A</v>
      </c>
      <c r="I89" s="69">
        <f>VLOOKUP(A89,[2]Sheet1!$C$3:$G$310,5,0)</f>
        <v>1000</v>
      </c>
      <c r="J89" s="74" t="e">
        <f>VLOOKUP(A89,[3]KCBB0101!$C$3:$F$691,4,0)</f>
        <v>#N/A</v>
      </c>
      <c r="K89" s="74" t="str">
        <f>VLOOKUP(A89,'7月排产计划'!G35:G549,1,0)</f>
        <v>ID11R22.5-16PR(148/145L)[ZM41]威狮无内</v>
      </c>
    </row>
    <row r="90" spans="1:11">
      <c r="A90" s="425" t="s">
        <v>393</v>
      </c>
      <c r="B90" s="417">
        <v>2500</v>
      </c>
      <c r="C90" s="420" t="s">
        <v>314</v>
      </c>
      <c r="D90" s="74" t="str">
        <f t="shared" ref="D90:D123" si="10">MID(A90,FIND("R",A90)+1,4)</f>
        <v>22.5</v>
      </c>
      <c r="E90" s="426" t="str">
        <f>_xlfn.XLOOKUP(A90,'7月排产计划'!G:G,'7月排产计划'!B:B)</f>
        <v>北美</v>
      </c>
      <c r="F90" s="69" t="str">
        <f t="shared" si="9"/>
        <v>北美22.5寸</v>
      </c>
      <c r="G90" s="69" t="e">
        <f>VLOOKUP(A90,'7月排产计划'!G96:G610,1,0)</f>
        <v>#N/A</v>
      </c>
      <c r="H90" s="74" t="e">
        <f t="shared" ref="H90:H129" si="11">D90&amp;G90</f>
        <v>#N/A</v>
      </c>
      <c r="I90" s="69">
        <f>VLOOKUP(A90,[2]Sheet1!$C$3:$G$310,5,0)</f>
        <v>10500</v>
      </c>
      <c r="J90" s="74" t="e">
        <f>VLOOKUP(A90,[3]KCBB0101!$C$3:$F$691,4,0)</f>
        <v>#N/A</v>
      </c>
      <c r="K90" s="74" t="str">
        <f>VLOOKUP(A90,'7月排产计划'!G36:G550,1,0)</f>
        <v>ID11R22.5-16PR(148/145M)[I-19A]IRONMAN无内 SMARTWAY</v>
      </c>
    </row>
    <row r="91" spans="1:11">
      <c r="A91" s="425" t="s">
        <v>394</v>
      </c>
      <c r="B91" s="417">
        <v>150</v>
      </c>
      <c r="C91" s="420" t="s">
        <v>314</v>
      </c>
      <c r="D91" s="74" t="str">
        <f t="shared" si="10"/>
        <v>22.5</v>
      </c>
      <c r="E91" s="426" t="str">
        <f>_xlfn.XLOOKUP(A91,'7月排产计划'!G:G,'7月排产计划'!B:B)</f>
        <v>北美</v>
      </c>
      <c r="F91" s="69" t="str">
        <f t="shared" si="9"/>
        <v>北美22.5寸</v>
      </c>
      <c r="G91" s="69" t="e">
        <f>VLOOKUP(A91,'7月排产计划'!G97:G611,1,0)</f>
        <v>#N/A</v>
      </c>
      <c r="H91" s="74" t="e">
        <f t="shared" si="11"/>
        <v>#N/A</v>
      </c>
      <c r="I91" s="69">
        <f>VLOOKUP(A91,[2]Sheet1!$C$3:$G$310,5,0)</f>
        <v>10500</v>
      </c>
      <c r="J91" s="74" t="e">
        <f>VLOOKUP(A91,[3]KCBB0101!$C$3:$F$691,4,0)</f>
        <v>#N/A</v>
      </c>
      <c r="K91" s="74" t="str">
        <f>VLOOKUP(A91,'7月排产计划'!G37:G551,1,0)</f>
        <v>ID11R22.5-16PR(148/145M)[I-61S]IRONMAN无内 SMARTWAY</v>
      </c>
    </row>
    <row r="92" spans="1:11">
      <c r="A92" s="425" t="s">
        <v>395</v>
      </c>
      <c r="B92" s="417">
        <v>200</v>
      </c>
      <c r="C92" s="420" t="s">
        <v>314</v>
      </c>
      <c r="D92" s="74" t="str">
        <f t="shared" si="10"/>
        <v>22.5</v>
      </c>
      <c r="E92" s="426" t="str">
        <f>_xlfn.XLOOKUP(A92,'7月排产计划'!G:G,'7月排产计划'!B:B)</f>
        <v>北美</v>
      </c>
      <c r="F92" s="69" t="str">
        <f t="shared" si="9"/>
        <v>北美22.5寸</v>
      </c>
      <c r="G92" s="69" t="e">
        <f>VLOOKUP(A92,'7月排产计划'!G98:G612,1,0)</f>
        <v>#N/A</v>
      </c>
      <c r="H92" s="74" t="e">
        <f t="shared" si="11"/>
        <v>#N/A</v>
      </c>
      <c r="I92" s="69" t="e">
        <f>VLOOKUP(A92,[2]Sheet1!$C$3:$G$310,5,0)</f>
        <v>#N/A</v>
      </c>
      <c r="J92" s="74">
        <f>VLOOKUP(A92,[3]KCBB0101!$C$3:$F$691,4,0)</f>
        <v>8000</v>
      </c>
      <c r="K92" s="74" t="str">
        <f>VLOOKUP(A92,'7月排产计划'!G38:G552,1,0)</f>
        <v>ID11R22.5-16PR(148/145M)[M-TRAC MST]MASTERTRACK无内</v>
      </c>
    </row>
    <row r="93" spans="1:11">
      <c r="A93" s="425" t="s">
        <v>396</v>
      </c>
      <c r="B93" s="417">
        <v>780</v>
      </c>
      <c r="C93" s="420" t="s">
        <v>317</v>
      </c>
      <c r="D93" s="74" t="str">
        <f t="shared" si="10"/>
        <v>22.5</v>
      </c>
      <c r="E93" s="426" t="str">
        <f>_xlfn.XLOOKUP(A93,'7月排产计划'!G:G,'7月排产计划'!B:B)</f>
        <v>亚</v>
      </c>
      <c r="F93" s="69" t="str">
        <f t="shared" si="9"/>
        <v>亚22.5寸</v>
      </c>
      <c r="G93" s="69" t="e">
        <f>VLOOKUP(A93,'7月排产计划'!G99:G613,1,0)</f>
        <v>#N/A</v>
      </c>
      <c r="H93" s="74" t="e">
        <f t="shared" si="11"/>
        <v>#N/A</v>
      </c>
      <c r="I93" s="69" t="e">
        <f>VLOOKUP(A93,[2]Sheet1!$C$3:$G$310,5,0)</f>
        <v>#N/A</v>
      </c>
      <c r="J93" s="74">
        <f>VLOOKUP(A93,[3]KCBB0101!$C$3:$F$691,4,0)</f>
        <v>7206</v>
      </c>
      <c r="K93" s="74" t="str">
        <f>VLOOKUP(A93,'7月排产计划'!G39:G553,1,0)</f>
        <v>ID11R22.5-18PR(149/146L)[AS858]雅度无内</v>
      </c>
    </row>
    <row r="94" spans="1:11">
      <c r="A94" s="425" t="s">
        <v>397</v>
      </c>
      <c r="B94" s="417">
        <v>600</v>
      </c>
      <c r="C94" s="420" t="s">
        <v>317</v>
      </c>
      <c r="D94" s="74" t="str">
        <f t="shared" si="10"/>
        <v>22.5</v>
      </c>
      <c r="E94" s="426" t="str">
        <f>_xlfn.XLOOKUP(A94,'7月排产计划'!G:G,'7月排产计划'!B:B)</f>
        <v>亚</v>
      </c>
      <c r="F94" s="69" t="str">
        <f t="shared" si="9"/>
        <v>亚22.5寸</v>
      </c>
      <c r="G94" s="69" t="e">
        <f>VLOOKUP(A94,'7月排产计划'!G100:G614,1,0)</f>
        <v>#N/A</v>
      </c>
      <c r="H94" s="74" t="e">
        <f t="shared" si="11"/>
        <v>#N/A</v>
      </c>
      <c r="I94" s="69" t="e">
        <f>VLOOKUP(A94,[2]Sheet1!$C$3:$G$310,5,0)</f>
        <v>#N/A</v>
      </c>
      <c r="J94" s="74">
        <f>VLOOKUP(A94,[3]KCBB0101!$C$3:$F$691,4,0)</f>
        <v>7000</v>
      </c>
      <c r="K94" s="74" t="str">
        <f>VLOOKUP(A94,'7月排产计划'!G40:G554,1,0)</f>
        <v>ID11R22.5-18PR(149/146L)[AZ850]雅度无内</v>
      </c>
    </row>
    <row r="95" spans="1:11">
      <c r="A95" s="433" t="s">
        <v>398</v>
      </c>
      <c r="B95" s="417">
        <v>100</v>
      </c>
      <c r="C95" s="420" t="s">
        <v>317</v>
      </c>
      <c r="D95" s="74" t="str">
        <f t="shared" si="10"/>
        <v>22.5</v>
      </c>
      <c r="E95" s="426" t="str">
        <f>_xlfn.XLOOKUP(A95,'7月排产计划'!G:G,'7月排产计划'!B:B)</f>
        <v>亚</v>
      </c>
      <c r="F95" s="69" t="str">
        <f t="shared" si="9"/>
        <v>亚22.5寸</v>
      </c>
      <c r="G95" s="69" t="e">
        <f>VLOOKUP(A95,'7月排产计划'!G101:G615,1,0)</f>
        <v>#N/A</v>
      </c>
      <c r="H95" s="74" t="e">
        <f t="shared" si="11"/>
        <v>#N/A</v>
      </c>
      <c r="I95" s="69" t="e">
        <f>VLOOKUP(A95,[2]Sheet1!$C$3:$G$310,5,0)</f>
        <v>#N/A</v>
      </c>
      <c r="J95" s="74" t="e">
        <f>VLOOKUP(A95,[3]KCBB0101!$C$3:$F$691,4,0)</f>
        <v>#N/A</v>
      </c>
      <c r="K95" s="74" t="str">
        <f>VLOOKUP(A95,'7月排产计划'!G41:G555,1,0)</f>
        <v>ID11R22.5-18PR(149/146L)[YTB-50]雅度无内</v>
      </c>
    </row>
    <row r="96" spans="1:11">
      <c r="A96" s="425" t="s">
        <v>399</v>
      </c>
      <c r="B96" s="417">
        <v>1000</v>
      </c>
      <c r="C96" s="420" t="s">
        <v>317</v>
      </c>
      <c r="D96" s="74" t="str">
        <f t="shared" si="10"/>
        <v>22.5</v>
      </c>
      <c r="E96" s="426" t="str">
        <f>_xlfn.XLOOKUP(A96,'7月排产计划'!G:G,'7月排产计划'!B:B)</f>
        <v>亚</v>
      </c>
      <c r="F96" s="69" t="str">
        <f t="shared" si="9"/>
        <v>亚22.5寸</v>
      </c>
      <c r="G96" s="69" t="e">
        <f>VLOOKUP(A96,'7月排产计划'!G102:G616,1,0)</f>
        <v>#N/A</v>
      </c>
      <c r="H96" s="74" t="e">
        <f t="shared" si="11"/>
        <v>#N/A</v>
      </c>
      <c r="I96" s="69">
        <f>VLOOKUP(A96,[2]Sheet1!$C$3:$G$310,5,0)</f>
        <v>4100</v>
      </c>
      <c r="J96" s="74" t="e">
        <f>VLOOKUP(A96,[3]KCBB0101!$C$3:$F$691,4,0)</f>
        <v>#N/A</v>
      </c>
      <c r="K96" s="74" t="str">
        <f>VLOOKUP(A96,'7月排产计划'!G42:G556,1,0)</f>
        <v>ID11R22.5-16PR(146/143L)[VD998]VITOUR无内</v>
      </c>
    </row>
    <row r="97" spans="1:11">
      <c r="A97" s="425" t="s">
        <v>400</v>
      </c>
      <c r="B97" s="417">
        <v>1500</v>
      </c>
      <c r="C97" s="420" t="s">
        <v>317</v>
      </c>
      <c r="D97" s="74" t="str">
        <f t="shared" si="10"/>
        <v>22.5</v>
      </c>
      <c r="E97" s="426" t="str">
        <f>_xlfn.XLOOKUP(A97,'7月排产计划'!G:G,'7月排产计划'!B:B)</f>
        <v>亚</v>
      </c>
      <c r="F97" s="69" t="str">
        <f t="shared" si="9"/>
        <v>亚22.5寸</v>
      </c>
      <c r="G97" s="69" t="e">
        <f>VLOOKUP(A97,'7月排产计划'!G103:G617,1,0)</f>
        <v>#N/A</v>
      </c>
      <c r="H97" s="74" t="e">
        <f t="shared" si="11"/>
        <v>#N/A</v>
      </c>
      <c r="I97" s="69">
        <f>VLOOKUP(A97,[2]Sheet1!$C$3:$G$310,5,0)</f>
        <v>5700</v>
      </c>
      <c r="J97" s="74" t="e">
        <f>VLOOKUP(A97,[3]KCBB0101!$C$3:$F$691,4,0)</f>
        <v>#N/A</v>
      </c>
      <c r="K97" s="74" t="str">
        <f>VLOOKUP(A97,'7月排产计划'!G43:G557,1,0)</f>
        <v>ID11R22.5-16PR(146/143M)[VA996]VITOUR无内</v>
      </c>
    </row>
    <row r="98" spans="1:11">
      <c r="A98" s="425" t="s">
        <v>401</v>
      </c>
      <c r="B98" s="417">
        <v>300</v>
      </c>
      <c r="C98" s="420" t="s">
        <v>317</v>
      </c>
      <c r="D98" s="74" t="str">
        <f t="shared" si="10"/>
        <v>22.5</v>
      </c>
      <c r="E98" s="426" t="str">
        <f>_xlfn.XLOOKUP(A98,'7月排产计划'!G:G,'7月排产计划'!B:B)</f>
        <v>亚</v>
      </c>
      <c r="F98" s="69" t="str">
        <f t="shared" si="9"/>
        <v>亚22.5寸</v>
      </c>
      <c r="G98" s="69" t="e">
        <f>VLOOKUP(A98,'7月排产计划'!G104:G618,1,0)</f>
        <v>#N/A</v>
      </c>
      <c r="H98" s="74" t="e">
        <f t="shared" si="11"/>
        <v>#N/A</v>
      </c>
      <c r="I98" s="69">
        <f>VLOOKUP(A98,[2]Sheet1!$C$3:$G$310,5,0)</f>
        <v>4000</v>
      </c>
      <c r="J98" s="74" t="e">
        <f>VLOOKUP(A98,[3]KCBB0101!$C$3:$F$691,4,0)</f>
        <v>#N/A</v>
      </c>
      <c r="K98" s="74" t="str">
        <f>VLOOKUP(A98,'7月排产计划'!G44:G558,1,0)</f>
        <v>ID11R22.5-16PR(146/143L)[VA991]VITOUR无内</v>
      </c>
    </row>
    <row r="99" spans="1:11">
      <c r="A99" s="425" t="s">
        <v>402</v>
      </c>
      <c r="B99" s="417">
        <v>500</v>
      </c>
      <c r="C99" s="420" t="s">
        <v>317</v>
      </c>
      <c r="D99" s="74" t="str">
        <f t="shared" si="10"/>
        <v>22.5</v>
      </c>
      <c r="E99" s="426" t="str">
        <f>_xlfn.XLOOKUP(A99,'7月排产计划'!G:G,'7月排产计划'!B:B)</f>
        <v>亚</v>
      </c>
      <c r="F99" s="69" t="str">
        <f t="shared" si="9"/>
        <v>亚22.5寸</v>
      </c>
      <c r="G99" s="69" t="e">
        <f>VLOOKUP(A99,'7月排产计划'!G105:G619,1,0)</f>
        <v>#N/A</v>
      </c>
      <c r="H99" s="74" t="e">
        <f t="shared" si="11"/>
        <v>#N/A</v>
      </c>
      <c r="I99" s="69">
        <f>VLOOKUP(A99,[2]Sheet1!$C$3:$G$310,5,0)</f>
        <v>4800</v>
      </c>
      <c r="J99" s="74" t="e">
        <f>VLOOKUP(A99,[3]KCBB0101!$C$3:$F$691,4,0)</f>
        <v>#N/A</v>
      </c>
      <c r="K99" s="74" t="str">
        <f>VLOOKUP(A99,'7月排产计划'!G45:G559,1,0)</f>
        <v>ID11R22.5-16PR(146/143L)[VD908]VITOUR无内</v>
      </c>
    </row>
    <row r="100" spans="1:11">
      <c r="A100" s="425" t="s">
        <v>403</v>
      </c>
      <c r="B100" s="417">
        <v>800</v>
      </c>
      <c r="C100" s="420" t="s">
        <v>317</v>
      </c>
      <c r="D100" s="74" t="str">
        <f t="shared" si="10"/>
        <v>22.5</v>
      </c>
      <c r="E100" s="426" t="str">
        <f>_xlfn.XLOOKUP(A100,'7月排产计划'!G:G,'7月排产计划'!B:B)</f>
        <v>亚</v>
      </c>
      <c r="F100" s="69" t="str">
        <f t="shared" si="9"/>
        <v>亚22.5寸</v>
      </c>
      <c r="G100" s="69" t="e">
        <f>VLOOKUP(A100,'7月排产计划'!G106:G620,1,0)</f>
        <v>#N/A</v>
      </c>
      <c r="H100" s="74" t="e">
        <f t="shared" si="11"/>
        <v>#N/A</v>
      </c>
      <c r="I100" s="69">
        <f>VLOOKUP(A100,[2]Sheet1!$C$3:$G$310,5,0)</f>
        <v>4300</v>
      </c>
      <c r="J100" s="74" t="e">
        <f>VLOOKUP(A100,[3]KCBB0101!$C$3:$F$691,4,0)</f>
        <v>#N/A</v>
      </c>
      <c r="K100" s="74" t="str">
        <f>VLOOKUP(A100,'7月排产计划'!G46:G560,1,0)</f>
        <v>ID11R22.5-16PR(146/143L)[VXD932]VITOUR无内</v>
      </c>
    </row>
    <row r="101" spans="1:11">
      <c r="A101" s="425" t="s">
        <v>404</v>
      </c>
      <c r="B101" s="417">
        <v>680</v>
      </c>
      <c r="C101" s="420" t="s">
        <v>314</v>
      </c>
      <c r="D101" s="74" t="str">
        <f t="shared" si="10"/>
        <v>24.5</v>
      </c>
      <c r="E101" s="426" t="str">
        <f>_xlfn.XLOOKUP(A101,'7月排产计划'!G:G,'7月排产计划'!B:B)</f>
        <v>北美</v>
      </c>
      <c r="F101" s="69" t="str">
        <f t="shared" si="9"/>
        <v>北美24.5寸</v>
      </c>
      <c r="G101" s="69" t="e">
        <f>VLOOKUP(A101,'7月排产计划'!G107:G621,1,0)</f>
        <v>#N/A</v>
      </c>
      <c r="H101" s="74" t="e">
        <f t="shared" si="11"/>
        <v>#N/A</v>
      </c>
      <c r="I101" s="69">
        <f>VLOOKUP(A101,[2]Sheet1!$C$3:$G$310,5,0)</f>
        <v>9600</v>
      </c>
      <c r="J101" s="74" t="e">
        <f>VLOOKUP(A101,[3]KCBB0101!$C$3:$F$691,4,0)</f>
        <v>#N/A</v>
      </c>
      <c r="K101" s="74" t="str">
        <f>VLOOKUP(A101,'7月排产计划'!G47:G561,1,0)</f>
        <v>ID11R24.5-14PR(146/143M)[I-48T]IRONMAN无内 SMARTWAY</v>
      </c>
    </row>
    <row r="102" spans="1:11">
      <c r="A102" s="425" t="s">
        <v>405</v>
      </c>
      <c r="B102" s="417">
        <v>200</v>
      </c>
      <c r="C102" s="420" t="s">
        <v>314</v>
      </c>
      <c r="D102" s="74" t="str">
        <f t="shared" si="10"/>
        <v>24.5</v>
      </c>
      <c r="E102" s="426" t="str">
        <f>_xlfn.XLOOKUP(A102,'7月排产计划'!G:G,'7月排产计划'!B:B)</f>
        <v>北美</v>
      </c>
      <c r="F102" s="69" t="str">
        <f t="shared" si="9"/>
        <v>北美24.5寸</v>
      </c>
      <c r="G102" s="69" t="e">
        <f>VLOOKUP(A102,'7月排产计划'!G108:G622,1,0)</f>
        <v>#N/A</v>
      </c>
      <c r="H102" s="74" t="e">
        <f t="shared" si="11"/>
        <v>#N/A</v>
      </c>
      <c r="I102" s="69">
        <f>VLOOKUP(A102,[2]Sheet1!$C$3:$G$310,5,0)</f>
        <v>7900</v>
      </c>
      <c r="J102" s="74" t="e">
        <f>VLOOKUP(A102,[3]KCBB0101!$C$3:$F$691,4,0)</f>
        <v>#N/A</v>
      </c>
      <c r="K102" s="74" t="str">
        <f>VLOOKUP(A102,'7月排产计划'!G48:G562,1,0)</f>
        <v>ID11R24.5-14PR(146/143M)[Strong Guard H-TL]HERCULES无内</v>
      </c>
    </row>
    <row r="103" spans="1:11">
      <c r="A103" s="425" t="s">
        <v>406</v>
      </c>
      <c r="B103" s="417">
        <v>350</v>
      </c>
      <c r="C103" s="420" t="s">
        <v>314</v>
      </c>
      <c r="D103" s="74" t="str">
        <f t="shared" si="10"/>
        <v>24.5</v>
      </c>
      <c r="E103" s="426" t="str">
        <f>_xlfn.XLOOKUP(A103,'7月排产计划'!G:G,'7月排产计划'!B:B)</f>
        <v>北美</v>
      </c>
      <c r="F103" s="69" t="str">
        <f t="shared" si="9"/>
        <v>北美24.5寸</v>
      </c>
      <c r="G103" s="69" t="e">
        <f>VLOOKUP(A103,'7月排产计划'!G109:G623,1,0)</f>
        <v>#N/A</v>
      </c>
      <c r="H103" s="74" t="e">
        <f t="shared" si="11"/>
        <v>#N/A</v>
      </c>
      <c r="I103" s="69">
        <f>VLOOKUP(A103,[2]Sheet1!$C$3:$G$310,5,0)</f>
        <v>8400</v>
      </c>
      <c r="J103" s="74" t="e">
        <f>VLOOKUP(A103,[3]KCBB0101!$C$3:$F$691,4,0)</f>
        <v>#N/A</v>
      </c>
      <c r="K103" s="74" t="str">
        <f>VLOOKUP(A103,'7月排产计划'!G49:G563,1,0)</f>
        <v>ID11R24.5-16PR(149/146K)[Strong Guard H-MD]HERCULES无内</v>
      </c>
    </row>
    <row r="104" spans="1:11">
      <c r="A104" s="425" t="s">
        <v>407</v>
      </c>
      <c r="B104" s="417">
        <v>250</v>
      </c>
      <c r="C104" s="420" t="s">
        <v>314</v>
      </c>
      <c r="D104" s="74" t="str">
        <f t="shared" si="10"/>
        <v>24.5</v>
      </c>
      <c r="E104" s="426" t="str">
        <f>_xlfn.XLOOKUP(A104,'7月排产计划'!G:G,'7月排产计划'!B:B)</f>
        <v>北美</v>
      </c>
      <c r="F104" s="69" t="str">
        <f t="shared" si="9"/>
        <v>北美24.5寸</v>
      </c>
      <c r="G104" s="69" t="e">
        <f>VLOOKUP(A104,'7月排产计划'!G110:G624,1,0)</f>
        <v>#N/A</v>
      </c>
      <c r="H104" s="74" t="e">
        <f t="shared" si="11"/>
        <v>#N/A</v>
      </c>
      <c r="I104" s="69" t="e">
        <f>VLOOKUP(A104,[2]Sheet1!$C$3:$G$310,5,0)</f>
        <v>#N/A</v>
      </c>
      <c r="J104" s="74">
        <f>VLOOKUP(A104,[3]KCBB0101!$C$3:$F$691,4,0)</f>
        <v>3000</v>
      </c>
      <c r="K104" s="74" t="str">
        <f>VLOOKUP(A104,'7月排产计划'!G50:G564,1,0)</f>
        <v>ID11R24.5-16PR(149/146L)[DOMINATE D01]BLACKARROW无内</v>
      </c>
    </row>
    <row r="105" spans="1:11">
      <c r="A105" s="425" t="s">
        <v>408</v>
      </c>
      <c r="B105" s="417">
        <v>700</v>
      </c>
      <c r="C105" s="420" t="s">
        <v>314</v>
      </c>
      <c r="D105" s="74" t="str">
        <f t="shared" si="10"/>
        <v>24.5</v>
      </c>
      <c r="E105" s="426" t="str">
        <f>_xlfn.XLOOKUP(A105,'7月排产计划'!G:G,'7月排产计划'!B:B)</f>
        <v>北美</v>
      </c>
      <c r="F105" s="69" t="str">
        <f t="shared" si="9"/>
        <v>北美24.5寸</v>
      </c>
      <c r="G105" s="69" t="e">
        <f>VLOOKUP(A105,'7月排产计划'!G111:G625,1,0)</f>
        <v>#N/A</v>
      </c>
      <c r="H105" s="74" t="e">
        <f t="shared" si="11"/>
        <v>#N/A</v>
      </c>
      <c r="I105" s="69" t="e">
        <f>VLOOKUP(A105,[2]Sheet1!$C$3:$G$310,5,0)</f>
        <v>#N/A</v>
      </c>
      <c r="J105" s="74">
        <f>VLOOKUP(A105,[3]KCBB0101!$C$3:$F$691,4,0)</f>
        <v>3889</v>
      </c>
      <c r="K105" s="74" t="str">
        <f>VLOOKUP(A105,'7月排产计划'!G51:G565,1,0)</f>
        <v>ID11R24.5-16PR(149/146L)[HF1 Plus]SUPERMAX无内</v>
      </c>
    </row>
    <row r="106" spans="1:11">
      <c r="A106" s="425" t="s">
        <v>409</v>
      </c>
      <c r="B106" s="417">
        <v>300</v>
      </c>
      <c r="C106" s="420" t="s">
        <v>314</v>
      </c>
      <c r="D106" s="74" t="str">
        <f t="shared" si="10"/>
        <v>24.5</v>
      </c>
      <c r="E106" s="426" t="str">
        <f>_xlfn.XLOOKUP(A106,'7月排产计划'!G:G,'7月排产计划'!B:B)</f>
        <v>北美</v>
      </c>
      <c r="F106" s="69" t="str">
        <f t="shared" si="9"/>
        <v>北美24.5寸</v>
      </c>
      <c r="G106" s="69" t="e">
        <f>VLOOKUP(A106,'7月排产计划'!G112:G626,1,0)</f>
        <v>#N/A</v>
      </c>
      <c r="H106" s="74" t="e">
        <f t="shared" si="11"/>
        <v>#N/A</v>
      </c>
      <c r="I106" s="69" t="e">
        <f>VLOOKUP(A106,[2]Sheet1!$C$3:$G$310,5,0)</f>
        <v>#N/A</v>
      </c>
      <c r="J106" s="74">
        <f>VLOOKUP(A106,[3]KCBB0101!$C$3:$F$691,4,0)</f>
        <v>4200</v>
      </c>
      <c r="K106" s="74" t="str">
        <f>VLOOKUP(A106,'7月排产计划'!G52:G566,1,0)</f>
        <v>ID11R24.5-16PR(149/146L)[HF1 PlusX]SUPERMAX ECO无内</v>
      </c>
    </row>
    <row r="107" spans="1:11">
      <c r="A107" s="425" t="s">
        <v>410</v>
      </c>
      <c r="B107" s="417">
        <v>280</v>
      </c>
      <c r="C107" s="420" t="s">
        <v>314</v>
      </c>
      <c r="D107" s="74" t="str">
        <f t="shared" si="10"/>
        <v>24.5</v>
      </c>
      <c r="E107" s="426" t="str">
        <f>_xlfn.XLOOKUP(A107,'7月排产计划'!G:G,'7月排产计划'!B:B)</f>
        <v>北美</v>
      </c>
      <c r="F107" s="69" t="str">
        <f t="shared" si="9"/>
        <v>北美24.5寸</v>
      </c>
      <c r="G107" s="69" t="e">
        <f>VLOOKUP(A107,'7月排产计划'!G113:G627,1,0)</f>
        <v>#N/A</v>
      </c>
      <c r="H107" s="74" t="e">
        <f t="shared" si="11"/>
        <v>#N/A</v>
      </c>
      <c r="I107" s="69">
        <f>VLOOKUP(A107,[2]Sheet1!$C$3:$G$310,5,0)</f>
        <v>13000</v>
      </c>
      <c r="J107" s="74" t="e">
        <f>VLOOKUP(A107,[3]KCBB0101!$C$3:$F$691,4,0)</f>
        <v>#N/A</v>
      </c>
      <c r="K107" s="74" t="str">
        <f>VLOOKUP(A107,'7月排产计划'!G53:G567,1,0)</f>
        <v>ID11R24.5-16PR(149/146L)[I-37D]IRONMAN无内</v>
      </c>
    </row>
    <row r="108" spans="1:11">
      <c r="A108" s="425" t="s">
        <v>411</v>
      </c>
      <c r="B108" s="417">
        <v>1900</v>
      </c>
      <c r="C108" s="420" t="s">
        <v>314</v>
      </c>
      <c r="D108" s="74" t="str">
        <f t="shared" si="10"/>
        <v>24.5</v>
      </c>
      <c r="E108" s="426" t="str">
        <f>_xlfn.XLOOKUP(A108,'7月排产计划'!G:G,'7月排产计划'!B:B)</f>
        <v>北美</v>
      </c>
      <c r="F108" s="69" t="str">
        <f t="shared" si="9"/>
        <v>北美24.5寸</v>
      </c>
      <c r="G108" s="69" t="e">
        <f>VLOOKUP(A108,'7月排产计划'!G114:G628,1,0)</f>
        <v>#N/A</v>
      </c>
      <c r="H108" s="74" t="e">
        <f t="shared" si="11"/>
        <v>#N/A</v>
      </c>
      <c r="I108" s="69" t="e">
        <f>VLOOKUP(A108,[2]Sheet1!$C$3:$G$310,5,0)</f>
        <v>#N/A</v>
      </c>
      <c r="J108" s="74">
        <f>VLOOKUP(A108,[3]KCBB0101!$C$3:$F$691,4,0)</f>
        <v>4308</v>
      </c>
      <c r="K108" s="74" t="str">
        <f>VLOOKUP(A108,'7月排产计划'!G54:G568,1,0)</f>
        <v>ID11R24.5-16PR(149/146L)[KOBE DPM]ITARO无内</v>
      </c>
    </row>
    <row r="109" spans="1:11">
      <c r="A109" s="425" t="s">
        <v>412</v>
      </c>
      <c r="B109" s="417">
        <v>2300</v>
      </c>
      <c r="C109" s="420" t="s">
        <v>314</v>
      </c>
      <c r="D109" s="74" t="str">
        <f t="shared" si="10"/>
        <v>24.5</v>
      </c>
      <c r="E109" s="426" t="str">
        <f>_xlfn.XLOOKUP(A109,'7月排产计划'!G:G,'7月排产计划'!B:B)</f>
        <v>北美</v>
      </c>
      <c r="F109" s="69" t="str">
        <f t="shared" si="9"/>
        <v>北美24.5寸</v>
      </c>
      <c r="G109" s="69" t="e">
        <f>VLOOKUP(A109,'7月排产计划'!G115:G629,1,0)</f>
        <v>#N/A</v>
      </c>
      <c r="H109" s="74" t="e">
        <f t="shared" si="11"/>
        <v>#N/A</v>
      </c>
      <c r="I109" s="69" t="e">
        <f>VLOOKUP(A109,[2]Sheet1!$C$3:$G$310,5,0)</f>
        <v>#N/A</v>
      </c>
      <c r="J109" s="74">
        <f>VLOOKUP(A109,[3]KCBB0101!$C$3:$F$691,4,0)</f>
        <v>11000</v>
      </c>
      <c r="K109" s="74" t="str">
        <f>VLOOKUP(A109,'7月排产计划'!G55:G569,1,0)</f>
        <v>ID11R24.5-16PR(149/146L)[M-TRAC AP]MASTERTRACK无内</v>
      </c>
    </row>
    <row r="110" spans="1:11">
      <c r="A110" s="436" t="s">
        <v>413</v>
      </c>
      <c r="B110" s="417">
        <v>2200</v>
      </c>
      <c r="C110" s="420" t="s">
        <v>314</v>
      </c>
      <c r="D110" s="74" t="str">
        <f t="shared" si="10"/>
        <v>24.5</v>
      </c>
      <c r="E110" s="426" t="str">
        <f>_xlfn.XLOOKUP(A110,'7月排产计划'!G:G,'7月排产计划'!B:B)</f>
        <v>北美</v>
      </c>
      <c r="F110" s="69" t="str">
        <f t="shared" si="9"/>
        <v>北美24.5寸</v>
      </c>
      <c r="G110" s="69" t="e">
        <f>VLOOKUP(A110,'7月排产计划'!G116:G630,1,0)</f>
        <v>#N/A</v>
      </c>
      <c r="H110" s="74" t="e">
        <f t="shared" si="11"/>
        <v>#N/A</v>
      </c>
      <c r="I110" s="69" t="e">
        <f>VLOOKUP(A110,[2]Sheet1!$C$3:$G$310,5,0)</f>
        <v>#N/A</v>
      </c>
      <c r="J110" s="74">
        <f>VLOOKUP(A110,[3]KCBB0101!$C$3:$F$691,4,0)</f>
        <v>8000</v>
      </c>
      <c r="K110" s="74" t="str">
        <f>VLOOKUP(A110,'7月排产计划'!G56:G570,1,0)</f>
        <v>ID11R24.5-16PR(149/146L)[M-TRAC CSD]MASTERTRACK无内</v>
      </c>
    </row>
    <row r="111" spans="1:11">
      <c r="A111" s="436" t="s">
        <v>414</v>
      </c>
      <c r="B111" s="417">
        <v>350</v>
      </c>
      <c r="C111" s="420" t="s">
        <v>314</v>
      </c>
      <c r="D111" s="74" t="str">
        <f t="shared" si="10"/>
        <v>24.5</v>
      </c>
      <c r="E111" s="426" t="str">
        <f>_xlfn.XLOOKUP(A111,'7月排产计划'!G:G,'7月排产计划'!B:B)</f>
        <v>北美</v>
      </c>
      <c r="F111" s="69" t="str">
        <f t="shared" si="9"/>
        <v>北美24.5寸</v>
      </c>
      <c r="G111" s="69" t="e">
        <f>VLOOKUP(A111,'7月排产计划'!G117:G631,1,0)</f>
        <v>#N/A</v>
      </c>
      <c r="H111" s="74" t="e">
        <f t="shared" si="11"/>
        <v>#N/A</v>
      </c>
      <c r="I111" s="69" t="e">
        <f>VLOOKUP(A111,[2]Sheet1!$C$3:$G$310,5,0)</f>
        <v>#N/A</v>
      </c>
      <c r="J111" s="74">
        <f>VLOOKUP(A111,[3]KCBB0101!$C$3:$F$691,4,0)</f>
        <v>8000</v>
      </c>
      <c r="K111" s="74" t="str">
        <f>VLOOKUP(A111,'7月排产计划'!G57:G571,1,0)</f>
        <v>ID11R24.5-16PR(149/146L)[M-TRAC MS]MASTERTRACK无内</v>
      </c>
    </row>
    <row r="112" spans="1:11">
      <c r="A112" s="436" t="s">
        <v>415</v>
      </c>
      <c r="B112" s="417">
        <v>150</v>
      </c>
      <c r="C112" s="420" t="s">
        <v>314</v>
      </c>
      <c r="D112" s="74" t="str">
        <f t="shared" si="10"/>
        <v>24.5</v>
      </c>
      <c r="E112" s="426" t="str">
        <f>_xlfn.XLOOKUP(A112,'7月排产计划'!G:G,'7月排产计划'!B:B)</f>
        <v>北美</v>
      </c>
      <c r="F112" s="69" t="str">
        <f t="shared" si="9"/>
        <v>北美24.5寸</v>
      </c>
      <c r="G112" s="69" t="e">
        <f>VLOOKUP(A112,'7月排产计划'!G118:G632,1,0)</f>
        <v>#N/A</v>
      </c>
      <c r="H112" s="74" t="e">
        <f t="shared" si="11"/>
        <v>#N/A</v>
      </c>
      <c r="I112" s="69" t="e">
        <f>VLOOKUP(A112,[2]Sheet1!$C$3:$G$310,5,0)</f>
        <v>#N/A</v>
      </c>
      <c r="J112" s="74">
        <f>VLOOKUP(A112,[3]KCBB0101!$C$3:$F$691,4,0)</f>
        <v>8000</v>
      </c>
      <c r="K112" s="74" t="str">
        <f>VLOOKUP(A112,'7月排产计划'!G58:G572,1,0)</f>
        <v>ID11R24.5-16PR(149/146L)[M-TRAC MST]MASTERTRACK无内</v>
      </c>
    </row>
    <row r="113" spans="1:11">
      <c r="A113" s="436" t="s">
        <v>416</v>
      </c>
      <c r="B113" s="417">
        <v>1200</v>
      </c>
      <c r="C113" s="420" t="s">
        <v>314</v>
      </c>
      <c r="D113" s="74" t="str">
        <f t="shared" si="10"/>
        <v>24.5</v>
      </c>
      <c r="E113" s="426" t="str">
        <f>_xlfn.XLOOKUP(A113,'7月排产计划'!G:G,'7月排产计划'!B:B)</f>
        <v>北美</v>
      </c>
      <c r="F113" s="69" t="str">
        <f t="shared" si="9"/>
        <v>北美24.5寸</v>
      </c>
      <c r="G113" s="69" t="e">
        <f>VLOOKUP(A113,'7月排产计划'!G119:G633,1,0)</f>
        <v>#N/A</v>
      </c>
      <c r="H113" s="74" t="e">
        <f t="shared" si="11"/>
        <v>#N/A</v>
      </c>
      <c r="I113" s="69" t="e">
        <f>VLOOKUP(A113,[2]Sheet1!$C$3:$G$310,5,0)</f>
        <v>#N/A</v>
      </c>
      <c r="J113" s="74">
        <f>VLOOKUP(A113,[3]KCBB0101!$C$3:$F$691,4,0)</f>
        <v>11000</v>
      </c>
      <c r="K113" s="74" t="str">
        <f>VLOOKUP(A113,'7月排产计划'!G59:G573,1,0)</f>
        <v>ID11R24.5-16PR(149/146L)[M-TRAC OSD]MASTERTRACK无内</v>
      </c>
    </row>
    <row r="114" spans="1:11">
      <c r="A114" s="425" t="s">
        <v>417</v>
      </c>
      <c r="B114" s="417">
        <v>680</v>
      </c>
      <c r="C114" s="420" t="s">
        <v>314</v>
      </c>
      <c r="D114" s="74" t="str">
        <f t="shared" si="10"/>
        <v>24.5</v>
      </c>
      <c r="E114" s="426" t="str">
        <f>_xlfn.XLOOKUP(A114,'7月排产计划'!G:G,'7月排产计划'!B:B)</f>
        <v>北美</v>
      </c>
      <c r="F114" s="69" t="str">
        <f t="shared" si="9"/>
        <v>北美24.5寸</v>
      </c>
      <c r="G114" s="69" t="e">
        <f>VLOOKUP(A114,'7月排产计划'!G120:G634,1,0)</f>
        <v>#N/A</v>
      </c>
      <c r="H114" s="74" t="e">
        <f t="shared" si="11"/>
        <v>#N/A</v>
      </c>
      <c r="I114" s="69">
        <f>VLOOKUP(A114,[2]Sheet1!$C$3:$G$310,5,0)</f>
        <v>17100</v>
      </c>
      <c r="J114" s="74" t="e">
        <f>VLOOKUP(A114,[3]KCBB0101!$C$3:$F$691,4,0)</f>
        <v>#N/A</v>
      </c>
      <c r="K114" s="74" t="str">
        <f>VLOOKUP(A114,'7月排产计划'!G60:G574,1,0)</f>
        <v>ID11R24.5-16PR(149/146M)[I-19A]IRONMAN无内 SMARTWAY</v>
      </c>
    </row>
    <row r="115" spans="1:11">
      <c r="A115" s="425" t="s">
        <v>418</v>
      </c>
      <c r="B115" s="417">
        <v>500</v>
      </c>
      <c r="C115" s="420" t="s">
        <v>317</v>
      </c>
      <c r="D115" s="74" t="str">
        <f t="shared" si="10"/>
        <v>24.5</v>
      </c>
      <c r="E115" s="426" t="str">
        <f>_xlfn.XLOOKUP(A115,'7月排产计划'!G:G,'7月排产计划'!B:B)</f>
        <v>亚</v>
      </c>
      <c r="F115" s="69" t="str">
        <f t="shared" si="9"/>
        <v>亚24.5寸</v>
      </c>
      <c r="G115" s="69" t="e">
        <f>VLOOKUP(A115,'7月排产计划'!G121:G635,1,0)</f>
        <v>#N/A</v>
      </c>
      <c r="H115" s="74" t="e">
        <f t="shared" si="11"/>
        <v>#N/A</v>
      </c>
      <c r="I115" s="69">
        <f>VLOOKUP(A115,[2]Sheet1!$C$3:$G$310,5,0)</f>
        <v>5000</v>
      </c>
      <c r="J115" s="74" t="e">
        <f>VLOOKUP(A115,[3]KCBB0101!$C$3:$F$691,4,0)</f>
        <v>#N/A</v>
      </c>
      <c r="K115" s="74" t="str">
        <f>VLOOKUP(A115,'7月排产计划'!G61:G575,1,0)</f>
        <v>ID11R24.5-16PR(149/146L)[VD998]VITOUR无内</v>
      </c>
    </row>
    <row r="116" spans="1:11">
      <c r="A116" s="425" t="s">
        <v>419</v>
      </c>
      <c r="B116" s="417">
        <v>800</v>
      </c>
      <c r="C116" s="420" t="s">
        <v>317</v>
      </c>
      <c r="D116" s="74" t="str">
        <f t="shared" si="10"/>
        <v>24.5</v>
      </c>
      <c r="E116" s="426" t="str">
        <f>_xlfn.XLOOKUP(A116,'7月排产计划'!G:G,'7月排产计划'!B:B)</f>
        <v>亚</v>
      </c>
      <c r="F116" s="69" t="str">
        <f t="shared" ref="F116:F179" si="12">E116&amp;D116&amp;"寸"</f>
        <v>亚24.5寸</v>
      </c>
      <c r="G116" s="69" t="e">
        <f>VLOOKUP(A116,'7月排产计划'!G122:G636,1,0)</f>
        <v>#N/A</v>
      </c>
      <c r="H116" s="74" t="e">
        <f t="shared" si="11"/>
        <v>#N/A</v>
      </c>
      <c r="I116" s="69">
        <f>VLOOKUP(A116,[2]Sheet1!$C$3:$G$310,5,0)</f>
        <v>6500</v>
      </c>
      <c r="J116" s="74" t="e">
        <f>VLOOKUP(A116,[3]KCBB0101!$C$3:$F$691,4,0)</f>
        <v>#N/A</v>
      </c>
      <c r="K116" s="74" t="str">
        <f>VLOOKUP(A116,'7月排产计划'!G62:G576,1,0)</f>
        <v>ID11R24.5-16PR(149/146M)[VA996]VITOUR无内</v>
      </c>
    </row>
    <row r="117" spans="1:11">
      <c r="A117" s="425" t="s">
        <v>420</v>
      </c>
      <c r="B117" s="417">
        <v>300</v>
      </c>
      <c r="C117" s="420" t="s">
        <v>317</v>
      </c>
      <c r="D117" s="74" t="str">
        <f t="shared" si="10"/>
        <v>24.5</v>
      </c>
      <c r="E117" s="426" t="str">
        <f>_xlfn.XLOOKUP(A117,'7月排产计划'!G:G,'7月排产计划'!B:B)</f>
        <v>亚</v>
      </c>
      <c r="F117" s="69" t="str">
        <f t="shared" si="12"/>
        <v>亚24.5寸</v>
      </c>
      <c r="G117" s="69" t="e">
        <f>VLOOKUP(A117,'7月排产计划'!G123:G637,1,0)</f>
        <v>#N/A</v>
      </c>
      <c r="H117" s="74" t="e">
        <f t="shared" si="11"/>
        <v>#N/A</v>
      </c>
      <c r="I117" s="69">
        <f>VLOOKUP(A117,[2]Sheet1!$C$3:$G$310,5,0)</f>
        <v>3200</v>
      </c>
      <c r="J117" s="74" t="e">
        <f>VLOOKUP(A117,[3]KCBB0101!$C$3:$F$691,4,0)</f>
        <v>#N/A</v>
      </c>
      <c r="K117" s="74" t="str">
        <f>VLOOKUP(A117,'7月排产计划'!G63:G577,1,0)</f>
        <v>ID11R24.5-16PR(149/146L)[VA991]VITOUR无内</v>
      </c>
    </row>
    <row r="118" spans="1:8">
      <c r="A118" s="425" t="s">
        <v>421</v>
      </c>
      <c r="B118" s="417">
        <v>450</v>
      </c>
      <c r="C118" s="420" t="s">
        <v>317</v>
      </c>
      <c r="D118" s="74" t="str">
        <f t="shared" si="10"/>
        <v>22.5</v>
      </c>
      <c r="E118" s="426" t="str">
        <f>_xlfn.XLOOKUP(A118,'7月排产计划'!G:G,'7月排产计划'!B:B)</f>
        <v>亚</v>
      </c>
      <c r="F118" s="69" t="str">
        <f t="shared" si="12"/>
        <v>亚22.5寸</v>
      </c>
      <c r="G118" s="69" t="str">
        <f>VLOOKUP(A118,'7月排产计划'!G124:G638,1,0)</f>
        <v>ID12R22.5-18PR(152/149F)[EZ870]雅度无内</v>
      </c>
      <c r="H118" s="74" t="str">
        <f t="shared" si="11"/>
        <v>22.5ID12R22.5-18PR(152/149F)[EZ870]雅度无内</v>
      </c>
    </row>
    <row r="119" spans="1:8">
      <c r="A119" s="425" t="s">
        <v>422</v>
      </c>
      <c r="B119" s="417">
        <v>200</v>
      </c>
      <c r="C119" s="420" t="s">
        <v>317</v>
      </c>
      <c r="D119" s="74" t="str">
        <f t="shared" si="10"/>
        <v>22.5</v>
      </c>
      <c r="E119" s="426" t="str">
        <f>_xlfn.XLOOKUP(A119,'7月排产计划'!G:G,'7月排产计划'!B:B)</f>
        <v>亚</v>
      </c>
      <c r="F119" s="69" t="str">
        <f t="shared" si="12"/>
        <v>亚22.5寸</v>
      </c>
      <c r="G119" s="69" t="str">
        <f>VLOOKUP(A119,'7月排产计划'!G125:G639,1,0)</f>
        <v>ID12R22.5-18PR(152/149K)[EZ867]雅度无内</v>
      </c>
      <c r="H119" s="74" t="str">
        <f t="shared" si="11"/>
        <v>22.5ID12R22.5-18PR(152/149K)[EZ867]雅度无内</v>
      </c>
    </row>
    <row r="120" spans="1:8">
      <c r="A120" s="425" t="s">
        <v>423</v>
      </c>
      <c r="B120" s="417">
        <v>280</v>
      </c>
      <c r="C120" s="420" t="s">
        <v>314</v>
      </c>
      <c r="D120" s="74" t="str">
        <f t="shared" si="10"/>
        <v>22.5</v>
      </c>
      <c r="E120" s="426" t="str">
        <f>_xlfn.XLOOKUP(A120,'7月排产计划'!G:G,'7月排产计划'!B:B)</f>
        <v>北美</v>
      </c>
      <c r="F120" s="69" t="str">
        <f t="shared" si="12"/>
        <v>北美22.5寸</v>
      </c>
      <c r="G120" s="69" t="str">
        <f>VLOOKUP(A120,'7月排产计划'!G126:G640,1,0)</f>
        <v>ID12R22.5-18PR(152/149L)[I-181]IRONMAN无内</v>
      </c>
      <c r="H120" s="74" t="str">
        <f t="shared" si="11"/>
        <v>22.5ID12R22.5-18PR(152/149L)[I-181]IRONMAN无内</v>
      </c>
    </row>
    <row r="121" spans="1:8">
      <c r="A121" s="425" t="s">
        <v>424</v>
      </c>
      <c r="B121" s="417">
        <v>300</v>
      </c>
      <c r="C121" s="420" t="s">
        <v>317</v>
      </c>
      <c r="D121" s="74" t="str">
        <f t="shared" si="10"/>
        <v>22.5</v>
      </c>
      <c r="E121" s="426" t="str">
        <f>_xlfn.XLOOKUP(A121,'7月排产计划'!G:G,'7月排产计划'!B:B)</f>
        <v>亚</v>
      </c>
      <c r="F121" s="69" t="str">
        <f t="shared" si="12"/>
        <v>亚22.5寸</v>
      </c>
      <c r="G121" s="69" t="str">
        <f>VLOOKUP(A121,'7月排产计划'!G127:G641,1,0)</f>
        <v>ID12R22.5-20PR(154/151K)[EZ867]雅度无内</v>
      </c>
      <c r="H121" s="74" t="str">
        <f t="shared" si="11"/>
        <v>22.5ID12R22.5-20PR(154/151K)[EZ867]雅度无内</v>
      </c>
    </row>
    <row r="122" spans="1:8">
      <c r="A122" s="425" t="s">
        <v>425</v>
      </c>
      <c r="B122" s="417">
        <v>760</v>
      </c>
      <c r="C122" s="420" t="s">
        <v>317</v>
      </c>
      <c r="D122" s="74" t="str">
        <f t="shared" si="10"/>
        <v>22.5</v>
      </c>
      <c r="E122" s="426" t="str">
        <f>_xlfn.XLOOKUP(A122,'7月排产计划'!G:G,'7月排产计划'!B:B)</f>
        <v>亚</v>
      </c>
      <c r="F122" s="69" t="str">
        <f t="shared" si="12"/>
        <v>亚22.5寸</v>
      </c>
      <c r="G122" s="69" t="str">
        <f>VLOOKUP(A122,'7月排产计划'!G128:G642,1,0)</f>
        <v>ID12R22.5-20PR(154/151L)[AS898H]雅度无内</v>
      </c>
      <c r="H122" s="74" t="str">
        <f t="shared" si="11"/>
        <v>22.5ID12R22.5-20PR(154/151L)[AS898H]雅度无内</v>
      </c>
    </row>
    <row r="123" spans="1:11">
      <c r="A123" s="425" t="s">
        <v>426</v>
      </c>
      <c r="B123" s="417">
        <v>280</v>
      </c>
      <c r="C123" s="420" t="s">
        <v>314</v>
      </c>
      <c r="D123" s="74" t="str">
        <f t="shared" si="10"/>
        <v>17.5</v>
      </c>
      <c r="E123" s="426" t="str">
        <f>_xlfn.XLOOKUP(A123,'7月排产计划'!G:G,'7月排产计划'!B:B)</f>
        <v>北美</v>
      </c>
      <c r="F123" s="69" t="str">
        <f t="shared" si="12"/>
        <v>北美17.5寸</v>
      </c>
      <c r="G123" s="69" t="e">
        <f>VLOOKUP(A123,'7月排产计划'!G129:G643,1,0)</f>
        <v>#N/A</v>
      </c>
      <c r="H123" s="74" t="e">
        <f t="shared" si="11"/>
        <v>#N/A</v>
      </c>
      <c r="I123" s="69" t="e">
        <f>VLOOKUP(A123,[2]Sheet1!$C$3:$G$310,5,0)</f>
        <v>#N/A</v>
      </c>
      <c r="J123" s="74">
        <f>VLOOKUP(A123,[3]KCBB0101!$C$3:$F$691,4,0)</f>
        <v>4900</v>
      </c>
      <c r="K123" s="74" t="str">
        <f>VLOOKUP(A123,'7月排产计划'!G69:G583,1,0)</f>
        <v>ID215/75R17.5-16PR(135/133J)[AP-7318]VANTAGE无内</v>
      </c>
    </row>
    <row r="124" spans="1:11">
      <c r="A124" s="425" t="s">
        <v>105</v>
      </c>
      <c r="B124" s="417">
        <v>3500</v>
      </c>
      <c r="C124" s="420" t="s">
        <v>314</v>
      </c>
      <c r="D124" s="74" t="str">
        <f t="shared" ref="D124:D138" si="13">MID(A124,FIND("R",A124)+1,4)</f>
        <v>17.5</v>
      </c>
      <c r="E124" s="426" t="str">
        <f>_xlfn.XLOOKUP(A124,'7月排产计划'!G:G,'7月排产计划'!B:B)</f>
        <v>北美</v>
      </c>
      <c r="F124" s="69" t="str">
        <f t="shared" si="12"/>
        <v>北美17.5寸</v>
      </c>
      <c r="G124" s="69" t="e">
        <f>VLOOKUP(A124,'7月排产计划'!G130:G644,1,0)</f>
        <v>#N/A</v>
      </c>
      <c r="H124" s="74" t="e">
        <f t="shared" si="11"/>
        <v>#N/A</v>
      </c>
      <c r="I124" s="69">
        <f>VLOOKUP(A124,[2]Sheet1!$C$3:$G$310,5,0)</f>
        <v>8200</v>
      </c>
      <c r="J124" s="74" t="e">
        <f>VLOOKUP(A124,[3]KCBB0101!$C$3:$F$691,4,0)</f>
        <v>#N/A</v>
      </c>
      <c r="K124" s="74" t="str">
        <f>VLOOKUP(A124,'7月排产计划'!G70:G584,1,0)</f>
        <v>ID215/75R17.5-16PR(135/133L)[I-19A]IRONMAN无内</v>
      </c>
    </row>
    <row r="125" spans="1:11">
      <c r="A125" s="435" t="s">
        <v>109</v>
      </c>
      <c r="B125" s="417">
        <v>1600</v>
      </c>
      <c r="C125" s="420" t="s">
        <v>314</v>
      </c>
      <c r="D125" s="74" t="str">
        <f t="shared" si="13"/>
        <v>17.5</v>
      </c>
      <c r="E125" s="426" t="str">
        <f>_xlfn.XLOOKUP(A125,'7月排产计划'!G:G,'7月排产计划'!B:B)</f>
        <v>北美</v>
      </c>
      <c r="F125" s="69" t="str">
        <f t="shared" si="12"/>
        <v>北美17.5寸</v>
      </c>
      <c r="G125" s="69" t="e">
        <f>VLOOKUP(A125,'7月排产计划'!G131:G645,1,0)</f>
        <v>#N/A</v>
      </c>
      <c r="H125" s="74" t="e">
        <f t="shared" si="11"/>
        <v>#N/A</v>
      </c>
      <c r="I125" s="69">
        <f>VLOOKUP(A125,[2]Sheet1!$C$3:$G$310,5,0)</f>
        <v>0</v>
      </c>
      <c r="J125" s="74" t="e">
        <f>VLOOKUP(A125,[3]KCBB0101!$C$3:$F$691,4,0)</f>
        <v>#N/A</v>
      </c>
      <c r="K125" s="74" t="str">
        <f>VLOOKUP(A125,'7月排产计划'!G71:G585,1,0)</f>
        <v>ID215/75R17.5-16PR(135/133L)[Strong Guard H-RA]HERCULES无内</v>
      </c>
    </row>
    <row r="126" spans="1:11">
      <c r="A126" s="435" t="s">
        <v>427</v>
      </c>
      <c r="B126" s="417">
        <v>400</v>
      </c>
      <c r="C126" s="420" t="s">
        <v>314</v>
      </c>
      <c r="D126" s="74" t="str">
        <f t="shared" si="13"/>
        <v>17.5</v>
      </c>
      <c r="E126" s="426" t="str">
        <f>_xlfn.XLOOKUP(A126,'7月排产计划'!G:G,'7月排产计划'!B:B)</f>
        <v>北美</v>
      </c>
      <c r="F126" s="69" t="str">
        <f t="shared" si="12"/>
        <v>北美17.5寸</v>
      </c>
      <c r="G126" s="69" t="e">
        <f>VLOOKUP(A126,'7月排产计划'!G132:G646,1,0)</f>
        <v>#N/A</v>
      </c>
      <c r="H126" s="74" t="e">
        <f t="shared" si="11"/>
        <v>#N/A</v>
      </c>
      <c r="I126" s="69" t="e">
        <f>VLOOKUP(A126,[2]Sheet1!$C$3:$G$310,5,0)</f>
        <v>#N/A</v>
      </c>
      <c r="J126" s="74" t="e">
        <f>VLOOKUP(A126,[3]KCBB0101!$C$3:$F$691,4,0)</f>
        <v>#N/A</v>
      </c>
      <c r="K126" s="74" t="str">
        <f>VLOOKUP(A126,'7月排产计划'!G72:G586,1,0)</f>
        <v>ID215/75R17.5-18PR(135/133L)[AZ599]威狮无内</v>
      </c>
    </row>
    <row r="127" spans="1:11">
      <c r="A127" s="425" t="s">
        <v>428</v>
      </c>
      <c r="B127" s="417">
        <v>1800</v>
      </c>
      <c r="C127" s="420" t="s">
        <v>314</v>
      </c>
      <c r="D127" s="74" t="str">
        <f t="shared" si="13"/>
        <v>17.5</v>
      </c>
      <c r="E127" s="426" t="str">
        <f>_xlfn.XLOOKUP(A127,'7月排产计划'!G:G,'7月排产计划'!B:B)</f>
        <v>北美</v>
      </c>
      <c r="F127" s="69" t="str">
        <f t="shared" si="12"/>
        <v>北美17.5寸</v>
      </c>
      <c r="G127" s="69" t="e">
        <f>VLOOKUP(A127,'7月排产计划'!G133:G647,1,0)</f>
        <v>#N/A</v>
      </c>
      <c r="H127" s="74" t="e">
        <f t="shared" si="11"/>
        <v>#N/A</v>
      </c>
      <c r="I127" s="69" t="e">
        <f>VLOOKUP(A127,[2]Sheet1!$C$3:$G$310,5,0)</f>
        <v>#N/A</v>
      </c>
      <c r="J127" s="74">
        <f>VLOOKUP(A127,[3]KCBB0101!$C$3:$F$691,4,0)</f>
        <v>10752</v>
      </c>
      <c r="K127" s="74" t="str">
        <f>VLOOKUP(A127,'7月排产计划'!G73:G587,1,0)</f>
        <v>ID215/75R17.5-18PR(135/133L)[M-TRAC AP]MASTERTRACK无内</v>
      </c>
    </row>
    <row r="128" spans="1:11">
      <c r="A128" s="425" t="s">
        <v>429</v>
      </c>
      <c r="B128" s="417">
        <v>220</v>
      </c>
      <c r="C128" s="420" t="s">
        <v>314</v>
      </c>
      <c r="D128" s="74" t="str">
        <f t="shared" si="13"/>
        <v>19.5</v>
      </c>
      <c r="E128" s="426" t="str">
        <f>_xlfn.XLOOKUP(A128,'7月排产计划'!G:G,'7月排产计划'!B:B)</f>
        <v>北美</v>
      </c>
      <c r="F128" s="69" t="str">
        <f t="shared" si="12"/>
        <v>北美19.5寸</v>
      </c>
      <c r="G128" s="69" t="e">
        <f>VLOOKUP(A128,'7月排产计划'!G134:G648,1,0)</f>
        <v>#N/A</v>
      </c>
      <c r="H128" s="74" t="e">
        <f t="shared" si="11"/>
        <v>#N/A</v>
      </c>
      <c r="I128" s="69">
        <f>VLOOKUP(A128,[2]Sheet1!$C$3:$G$310,5,0)</f>
        <v>11000</v>
      </c>
      <c r="J128" s="74" t="e">
        <f>VLOOKUP(A128,[3]KCBB0101!$C$3:$F$691,4,0)</f>
        <v>#N/A</v>
      </c>
      <c r="K128" s="74" t="str">
        <f>VLOOKUP(A128,'7月排产计划'!G74:G588,1,0)</f>
        <v>ID225/70R19.5-14PR(128/126L)[CM983]威狮无内</v>
      </c>
    </row>
    <row r="129" spans="1:11">
      <c r="A129" s="433" t="s">
        <v>430</v>
      </c>
      <c r="B129" s="417">
        <v>2900</v>
      </c>
      <c r="C129" s="420" t="s">
        <v>314</v>
      </c>
      <c r="D129" s="74" t="str">
        <f t="shared" si="13"/>
        <v>19.5</v>
      </c>
      <c r="E129" s="426" t="str">
        <f>_xlfn.XLOOKUP(A129,'7月排产计划'!G:G,'7月排产计划'!B:B)</f>
        <v>北美</v>
      </c>
      <c r="F129" s="69" t="str">
        <f t="shared" si="12"/>
        <v>北美19.5寸</v>
      </c>
      <c r="G129" s="69" t="e">
        <f>VLOOKUP(A129,'7月排产计划'!G135:G649,1,0)</f>
        <v>#N/A</v>
      </c>
      <c r="H129" s="74" t="e">
        <f t="shared" si="11"/>
        <v>#N/A</v>
      </c>
      <c r="I129" s="69">
        <f>VLOOKUP(A129,[2]Sheet1!$C$3:$G$310,5,0)</f>
        <v>11300</v>
      </c>
      <c r="J129" s="74" t="e">
        <f>VLOOKUP(A129,[3]KCBB0101!$C$3:$F$691,4,0)</f>
        <v>#N/A</v>
      </c>
      <c r="K129" s="74" t="str">
        <f>VLOOKUP(A129,'7月排产计划'!G75:G589,1,0)</f>
        <v>ID225/70R19.5-14PR(128/126L)[I-208]IRONMAN无内</v>
      </c>
    </row>
    <row r="130" spans="1:11">
      <c r="A130" s="435" t="s">
        <v>114</v>
      </c>
      <c r="B130" s="417">
        <v>3200</v>
      </c>
      <c r="C130" s="420" t="s">
        <v>314</v>
      </c>
      <c r="D130" s="74" t="str">
        <f t="shared" si="13"/>
        <v>19.5</v>
      </c>
      <c r="E130" s="426" t="str">
        <f>_xlfn.XLOOKUP(A130,'7月排产计划'!G:G,'7月排产计划'!B:B)</f>
        <v>北美</v>
      </c>
      <c r="F130" s="69" t="str">
        <f t="shared" si="12"/>
        <v>北美19.5寸</v>
      </c>
      <c r="G130" s="69" t="e">
        <f>VLOOKUP(A130,'7月排产计划'!G136:G650,1,0)</f>
        <v>#N/A</v>
      </c>
      <c r="H130" s="74" t="e">
        <f t="shared" ref="H130:H193" si="14">D130&amp;G130</f>
        <v>#N/A</v>
      </c>
      <c r="I130" s="69">
        <f>VLOOKUP(A130,[2]Sheet1!$C$3:$G$310,5,0)</f>
        <v>2200</v>
      </c>
      <c r="J130" s="74" t="e">
        <f>VLOOKUP(A130,[3]KCBB0101!$C$3:$F$691,4,0)</f>
        <v>#N/A</v>
      </c>
      <c r="K130" s="74" t="str">
        <f>VLOOKUP(A130,'7月排产计划'!G76:G590,1,0)</f>
        <v>ID225/70R19.5-14PR(128/126L)[Strong Guard H-RA]HERCULES无内</v>
      </c>
    </row>
    <row r="131" spans="1:11">
      <c r="A131" s="436" t="s">
        <v>431</v>
      </c>
      <c r="B131" s="417">
        <v>280</v>
      </c>
      <c r="C131" s="420" t="s">
        <v>314</v>
      </c>
      <c r="D131" s="74" t="str">
        <f t="shared" si="13"/>
        <v>19.5</v>
      </c>
      <c r="E131" s="426" t="str">
        <f>_xlfn.XLOOKUP(A131,'7月排产计划'!G:G,'7月排产计划'!B:B)</f>
        <v>北美</v>
      </c>
      <c r="F131" s="69" t="str">
        <f t="shared" si="12"/>
        <v>北美19.5寸</v>
      </c>
      <c r="G131" s="69" t="e">
        <f>VLOOKUP(A131,'7月排产计划'!G137:G651,1,0)</f>
        <v>#N/A</v>
      </c>
      <c r="H131" s="74" t="e">
        <f t="shared" si="14"/>
        <v>#N/A</v>
      </c>
      <c r="I131" s="69" t="e">
        <f>VLOOKUP(A131,[2]Sheet1!$C$3:$G$310,5,0)</f>
        <v>#N/A</v>
      </c>
      <c r="J131" s="74">
        <f>VLOOKUP(A131,[3]KCBB0101!$C$3:$F$691,4,0)</f>
        <v>5000</v>
      </c>
      <c r="K131" s="74" t="str">
        <f>VLOOKUP(A131,'7月排产计划'!G77:G591,1,0)</f>
        <v>ID225/70R19.5-14PR(128/126M)[ECO-MILE RDW]TRAVELSTAR无内</v>
      </c>
    </row>
    <row r="132" spans="1:11">
      <c r="A132" s="433" t="s">
        <v>432</v>
      </c>
      <c r="B132" s="417">
        <v>400</v>
      </c>
      <c r="C132" s="420" t="s">
        <v>314</v>
      </c>
      <c r="D132" s="74" t="str">
        <f t="shared" si="13"/>
        <v>19.5</v>
      </c>
      <c r="E132" s="426" t="str">
        <f>_xlfn.XLOOKUP(A132,'7月排产计划'!G:G,'7月排产计划'!B:B)</f>
        <v>北美</v>
      </c>
      <c r="F132" s="69" t="str">
        <f t="shared" si="12"/>
        <v>北美19.5寸</v>
      </c>
      <c r="G132" s="69" t="e">
        <f>VLOOKUP(A132,'7月排产计划'!G138:G652,1,0)</f>
        <v>#N/A</v>
      </c>
      <c r="H132" s="74" t="e">
        <f t="shared" si="14"/>
        <v>#N/A</v>
      </c>
      <c r="I132" s="69" t="e">
        <f>VLOOKUP(A132,[2]Sheet1!$C$3:$G$310,5,0)</f>
        <v>#N/A</v>
      </c>
      <c r="J132" s="74" t="e">
        <f>VLOOKUP(A132,[3]KCBB0101!$C$3:$F$691,4,0)</f>
        <v>#N/A</v>
      </c>
      <c r="K132" s="74" t="str">
        <f>VLOOKUP(A132,'7月排产计划'!G78:G592,1,0)</f>
        <v>ID225/70R19.5-14PR(128/126M)[M-TRAC RDW]MASTERTRACK无内</v>
      </c>
    </row>
    <row r="133" spans="1:11">
      <c r="A133" s="436" t="s">
        <v>433</v>
      </c>
      <c r="B133" s="417">
        <v>1400</v>
      </c>
      <c r="C133" s="420" t="s">
        <v>314</v>
      </c>
      <c r="D133" s="74" t="str">
        <f t="shared" si="13"/>
        <v>19.5</v>
      </c>
      <c r="E133" s="426" t="str">
        <f>_xlfn.XLOOKUP(A133,'7月排产计划'!G:G,'7月排产计划'!B:B)</f>
        <v>北美</v>
      </c>
      <c r="F133" s="69" t="str">
        <f t="shared" si="12"/>
        <v>北美19.5寸</v>
      </c>
      <c r="G133" s="69" t="e">
        <f>VLOOKUP(A133,'7月排产计划'!G139:G653,1,0)</f>
        <v>#N/A</v>
      </c>
      <c r="H133" s="74" t="e">
        <f t="shared" si="14"/>
        <v>#N/A</v>
      </c>
      <c r="I133" s="69" t="e">
        <f>VLOOKUP(A133,[2]Sheet1!$C$3:$G$310,5,0)</f>
        <v>#N/A</v>
      </c>
      <c r="J133" s="74">
        <f>VLOOKUP(A133,[3]KCBB0101!$C$3:$F$691,4,0)</f>
        <v>4850</v>
      </c>
      <c r="K133" s="74" t="str">
        <f>VLOOKUP(A133,'7月排产计划'!G79:G593,1,0)</f>
        <v>ID225/70R19.5-14PR(128/126N)[AP-7318]VANTAGE无内</v>
      </c>
    </row>
    <row r="134" spans="1:11">
      <c r="A134" s="425" t="s">
        <v>434</v>
      </c>
      <c r="B134" s="417">
        <v>600</v>
      </c>
      <c r="C134" s="420" t="s">
        <v>314</v>
      </c>
      <c r="D134" s="74" t="str">
        <f t="shared" si="13"/>
        <v>19.5</v>
      </c>
      <c r="E134" s="426" t="str">
        <f>_xlfn.XLOOKUP(A134,'7月排产计划'!G:G,'7月排产计划'!B:B)</f>
        <v>北美</v>
      </c>
      <c r="F134" s="69" t="str">
        <f t="shared" si="12"/>
        <v>北美19.5寸</v>
      </c>
      <c r="G134" s="69" t="e">
        <f>VLOOKUP(A134,'7月排产计划'!G140:G654,1,0)</f>
        <v>#N/A</v>
      </c>
      <c r="H134" s="74" t="e">
        <f t="shared" si="14"/>
        <v>#N/A</v>
      </c>
      <c r="I134" s="69" t="e">
        <f>VLOOKUP(A134,[2]Sheet1!$C$3:$G$310,5,0)</f>
        <v>#N/A</v>
      </c>
      <c r="J134" s="74">
        <f>VLOOKUP(A134,[3]KCBB0101!$C$3:$F$691,4,0)</f>
        <v>3550</v>
      </c>
      <c r="K134" s="74" t="str">
        <f>VLOOKUP(A134,'7月排产计划'!G80:G594,1,0)</f>
        <v>ID225/70R19.5-14PR(128/126N)[DR-7318]VANTAGE无内</v>
      </c>
    </row>
    <row r="135" spans="1:11">
      <c r="A135" s="425" t="s">
        <v>435</v>
      </c>
      <c r="B135" s="417">
        <v>1200</v>
      </c>
      <c r="C135" s="420" t="s">
        <v>314</v>
      </c>
      <c r="D135" s="74" t="str">
        <f t="shared" si="13"/>
        <v>19.5</v>
      </c>
      <c r="E135" s="426" t="str">
        <f>_xlfn.XLOOKUP(A135,'7月排产计划'!G:G,'7月排产计划'!B:B)</f>
        <v>北美</v>
      </c>
      <c r="F135" s="69" t="str">
        <f t="shared" si="12"/>
        <v>北美19.5寸</v>
      </c>
      <c r="G135" s="69" t="e">
        <f>VLOOKUP(A135,'7月排产计划'!G141:G655,1,0)</f>
        <v>#N/A</v>
      </c>
      <c r="H135" s="74" t="e">
        <f t="shared" si="14"/>
        <v>#N/A</v>
      </c>
      <c r="I135" s="69" t="e">
        <f>VLOOKUP(A135,[2]Sheet1!$C$3:$G$310,5,0)</f>
        <v>#N/A</v>
      </c>
      <c r="J135" s="74">
        <f>VLOOKUP(A135,[3]KCBB0101!$C$3:$F$691,4,0)</f>
        <v>5000</v>
      </c>
      <c r="K135" s="74" t="str">
        <f>VLOOKUP(A135,'7月排产计划'!G81:G595,1,0)</f>
        <v>ID225/70R19.5-14PR(128/126N)[ECO-MILE AP]TRAVELSTAR无内</v>
      </c>
    </row>
    <row r="136" spans="1:11">
      <c r="A136" s="425" t="s">
        <v>436</v>
      </c>
      <c r="B136" s="417">
        <v>800</v>
      </c>
      <c r="C136" s="420" t="s">
        <v>314</v>
      </c>
      <c r="D136" s="74" t="str">
        <f t="shared" si="13"/>
        <v>19.5</v>
      </c>
      <c r="E136" s="426" t="str">
        <f>_xlfn.XLOOKUP(A136,'7月排产计划'!G:G,'7月排产计划'!B:B)</f>
        <v>北美</v>
      </c>
      <c r="F136" s="69" t="str">
        <f t="shared" si="12"/>
        <v>北美19.5寸</v>
      </c>
      <c r="G136" s="69" t="e">
        <f>VLOOKUP(A136,'7月排产计划'!G142:G656,1,0)</f>
        <v>#N/A</v>
      </c>
      <c r="H136" s="74" t="e">
        <f t="shared" si="14"/>
        <v>#N/A</v>
      </c>
      <c r="I136" s="69" t="e">
        <f>VLOOKUP(A136,[2]Sheet1!$C$3:$G$310,5,0)</f>
        <v>#N/A</v>
      </c>
      <c r="J136" s="74">
        <f>VLOOKUP(A136,[3]KCBB0101!$C$3:$F$691,4,0)</f>
        <v>5000</v>
      </c>
      <c r="K136" s="74" t="str">
        <f>VLOOKUP(A136,'7月排产计划'!G82:G596,1,0)</f>
        <v>ID225/70R19.5-14PR(128/126N)[ECO-MILE HTD]TRAVELSTAR无内</v>
      </c>
    </row>
    <row r="137" spans="1:11">
      <c r="A137" s="425" t="s">
        <v>118</v>
      </c>
      <c r="B137" s="417">
        <v>8000</v>
      </c>
      <c r="C137" s="420" t="s">
        <v>314</v>
      </c>
      <c r="D137" s="74" t="str">
        <f t="shared" si="13"/>
        <v>19.5</v>
      </c>
      <c r="E137" s="426" t="str">
        <f>_xlfn.XLOOKUP(A137,'7月排产计划'!G:G,'7月排产计划'!B:B)</f>
        <v>北美</v>
      </c>
      <c r="F137" s="69" t="str">
        <f t="shared" si="12"/>
        <v>北美19.5寸</v>
      </c>
      <c r="G137" s="69" t="e">
        <f>VLOOKUP(A137,'7月排产计划'!G143:G657,1,0)</f>
        <v>#N/A</v>
      </c>
      <c r="H137" s="74" t="e">
        <f t="shared" si="14"/>
        <v>#N/A</v>
      </c>
      <c r="I137" s="69" t="e">
        <f>VLOOKUP(A137,[2]Sheet1!$C$3:$G$310,5,0)</f>
        <v>#N/A</v>
      </c>
      <c r="J137" s="74" t="e">
        <f>VLOOKUP(A137,[3]KCBB0101!$C$3:$F$691,4,0)</f>
        <v>#N/A</v>
      </c>
      <c r="K137" s="74" t="str">
        <f>VLOOKUP(A137,'7月排产计划'!G83:G597,1,0)</f>
        <v>ID225/70R19.5-14PR(128/126N)[I-19A]IRONMAN无内</v>
      </c>
    </row>
    <row r="138" spans="1:11">
      <c r="A138" s="425" t="s">
        <v>437</v>
      </c>
      <c r="B138" s="417">
        <v>600</v>
      </c>
      <c r="C138" s="420" t="s">
        <v>314</v>
      </c>
      <c r="D138" s="74" t="str">
        <f t="shared" si="13"/>
        <v>19.5</v>
      </c>
      <c r="E138" s="426" t="str">
        <f>_xlfn.XLOOKUP(A138,'7月排产计划'!G:G,'7月排产计划'!B:B)</f>
        <v>北美</v>
      </c>
      <c r="F138" s="69" t="str">
        <f t="shared" si="12"/>
        <v>北美19.5寸</v>
      </c>
      <c r="G138" s="69" t="e">
        <f>VLOOKUP(A138,'7月排产计划'!G144:G658,1,0)</f>
        <v>#N/A</v>
      </c>
      <c r="H138" s="74" t="e">
        <f t="shared" si="14"/>
        <v>#N/A</v>
      </c>
      <c r="I138" s="69">
        <f>VLOOKUP(A138,[2]Sheet1!$C$3:$G$310,5,0)</f>
        <v>10000</v>
      </c>
      <c r="J138" s="74" t="e">
        <f>VLOOKUP(A138,[3]KCBB0101!$C$3:$F$691,4,0)</f>
        <v>#N/A</v>
      </c>
      <c r="K138" s="74" t="str">
        <f>VLOOKUP(A138,'7月排产计划'!G84:G598,1,0)</f>
        <v>ID225/70R19.5-14PR(128/126N)[I-37D]IRONMAN无内</v>
      </c>
    </row>
    <row r="139" spans="1:11">
      <c r="A139" s="437" t="s">
        <v>438</v>
      </c>
      <c r="B139" s="417">
        <v>3300</v>
      </c>
      <c r="C139" s="420" t="s">
        <v>314</v>
      </c>
      <c r="D139" s="74" t="str">
        <f t="shared" ref="D139:D202" si="15">MID(A139,FIND("R",A139)+1,4)</f>
        <v>19.5</v>
      </c>
      <c r="E139" s="426" t="str">
        <f>_xlfn.XLOOKUP(A139,'7月排产计划'!G:G,'7月排产计划'!B:B)</f>
        <v>北美</v>
      </c>
      <c r="F139" s="69" t="str">
        <f t="shared" si="12"/>
        <v>北美19.5寸</v>
      </c>
      <c r="G139" s="69" t="e">
        <f>VLOOKUP(A139,'7月排产计划'!G145:G659,1,0)</f>
        <v>#N/A</v>
      </c>
      <c r="H139" s="74" t="e">
        <f t="shared" si="14"/>
        <v>#N/A</v>
      </c>
      <c r="I139" s="69" t="e">
        <f>VLOOKUP(A139,[2]Sheet1!$C$3:$G$310,5,0)</f>
        <v>#N/A</v>
      </c>
      <c r="J139" s="74">
        <f>VLOOKUP(A139,[3]KCBB0101!$C$3:$F$691,4,0)</f>
        <v>9034</v>
      </c>
      <c r="K139" s="74" t="str">
        <f>VLOOKUP(A139,'7月排产计划'!G85:G599,1,0)</f>
        <v>ID225/70R19.5-14PR(128/126N)[M-TRAC AP]MASTERTRACK无内</v>
      </c>
    </row>
    <row r="140" spans="1:11">
      <c r="A140" s="437" t="s">
        <v>439</v>
      </c>
      <c r="B140" s="417">
        <v>1100</v>
      </c>
      <c r="C140" s="420" t="s">
        <v>314</v>
      </c>
      <c r="D140" s="74" t="str">
        <f t="shared" si="15"/>
        <v>19.5</v>
      </c>
      <c r="E140" s="426" t="str">
        <f>_xlfn.XLOOKUP(A140,'7月排产计划'!G:G,'7月排产计划'!B:B)</f>
        <v>北美</v>
      </c>
      <c r="F140" s="69" t="str">
        <f t="shared" si="12"/>
        <v>北美19.5寸</v>
      </c>
      <c r="G140" s="69" t="e">
        <f>VLOOKUP(A140,'7月排产计划'!G146:G660,1,0)</f>
        <v>#N/A</v>
      </c>
      <c r="H140" s="74" t="e">
        <f t="shared" si="14"/>
        <v>#N/A</v>
      </c>
      <c r="I140" s="69" t="e">
        <f>VLOOKUP(A140,[2]Sheet1!$C$3:$G$310,5,0)</f>
        <v>#N/A</v>
      </c>
      <c r="J140" s="74">
        <f>VLOOKUP(A140,[3]KCBB0101!$C$3:$F$691,4,0)</f>
        <v>6682</v>
      </c>
      <c r="K140" s="74" t="str">
        <f>VLOOKUP(A140,'7月排产计划'!G86:G600,1,0)</f>
        <v>ID225/70R19.5-14PR(128/126N)[M-TRAC HTD]MASTERTRACK无内</v>
      </c>
    </row>
    <row r="141" spans="1:11">
      <c r="A141" s="437" t="s">
        <v>440</v>
      </c>
      <c r="B141" s="417">
        <v>1000</v>
      </c>
      <c r="C141" s="420" t="s">
        <v>317</v>
      </c>
      <c r="D141" s="74" t="str">
        <f t="shared" si="15"/>
        <v>19.5</v>
      </c>
      <c r="E141" s="426" t="str">
        <f>_xlfn.XLOOKUP(A141,'7月排产计划'!G:G,'7月排产计划'!B:B)</f>
        <v>亚</v>
      </c>
      <c r="F141" s="69" t="str">
        <f t="shared" si="12"/>
        <v>亚19.5寸</v>
      </c>
      <c r="G141" s="69" t="e">
        <f>VLOOKUP(A141,'7月排产计划'!G147:G661,1,0)</f>
        <v>#N/A</v>
      </c>
      <c r="H141" s="74" t="e">
        <f t="shared" si="14"/>
        <v>#N/A</v>
      </c>
      <c r="I141" s="69">
        <f>VLOOKUP(A141,[2]Sheet1!$C$3:$G$310,5,0)</f>
        <v>3100</v>
      </c>
      <c r="J141" s="74" t="e">
        <f>VLOOKUP(A141,[3]KCBB0101!$C$3:$F$691,4,0)</f>
        <v>#N/A</v>
      </c>
      <c r="K141" s="74" t="str">
        <f>VLOOKUP(A141,'7月排产计划'!G87:G601,1,0)</f>
        <v>ID225/70R19.5-14PR(128/126M)[VD935]VITOUR无内</v>
      </c>
    </row>
    <row r="142" spans="1:11">
      <c r="A142" s="437" t="s">
        <v>441</v>
      </c>
      <c r="B142" s="417">
        <v>300</v>
      </c>
      <c r="C142" s="420" t="s">
        <v>314</v>
      </c>
      <c r="D142" s="74" t="str">
        <f t="shared" si="15"/>
        <v>17.5</v>
      </c>
      <c r="E142" s="426" t="str">
        <f>_xlfn.XLOOKUP(A142,'7月排产计划'!G:G,'7月排产计划'!B:B)</f>
        <v>北美</v>
      </c>
      <c r="F142" s="69" t="str">
        <f t="shared" si="12"/>
        <v>北美17.5寸</v>
      </c>
      <c r="G142" s="69" t="e">
        <f>VLOOKUP(A142,'7月排产计划'!G148:G662,1,0)</f>
        <v>#N/A</v>
      </c>
      <c r="H142" s="74" t="e">
        <f t="shared" si="14"/>
        <v>#N/A</v>
      </c>
      <c r="I142" s="69" t="e">
        <f>VLOOKUP(A142,[2]Sheet1!$C$3:$G$310,5,0)</f>
        <v>#N/A</v>
      </c>
      <c r="J142" s="74">
        <f>VLOOKUP(A142,[3]KCBB0101!$C$3:$F$691,4,0)</f>
        <v>5300</v>
      </c>
      <c r="K142" s="74" t="e">
        <f>VLOOKUP(A142,'7月排产计划'!G88:G602,1,0)</f>
        <v>#N/A</v>
      </c>
    </row>
    <row r="143" spans="1:11">
      <c r="A143" s="437" t="s">
        <v>442</v>
      </c>
      <c r="B143" s="417">
        <v>2500</v>
      </c>
      <c r="C143" s="420" t="s">
        <v>314</v>
      </c>
      <c r="D143" s="74" t="str">
        <f t="shared" si="15"/>
        <v>17.5</v>
      </c>
      <c r="E143" s="426" t="str">
        <f>_xlfn.XLOOKUP(A143,'7月排产计划'!G:G,'7月排产计划'!B:B)</f>
        <v>北美</v>
      </c>
      <c r="F143" s="69" t="str">
        <f t="shared" si="12"/>
        <v>北美17.5寸</v>
      </c>
      <c r="G143" s="69" t="e">
        <f>VLOOKUP(A143,'7月排产计划'!G149:G663,1,0)</f>
        <v>#N/A</v>
      </c>
      <c r="H143" s="74" t="e">
        <f t="shared" si="14"/>
        <v>#N/A</v>
      </c>
      <c r="I143" s="69">
        <f>VLOOKUP(A143,[2]Sheet1!$C$3:$G$310,5,0)</f>
        <v>12100</v>
      </c>
      <c r="J143" s="74" t="e">
        <f>VLOOKUP(A143,[3]KCBB0101!$C$3:$F$691,4,0)</f>
        <v>#N/A</v>
      </c>
      <c r="K143" s="74" t="e">
        <f>VLOOKUP(A143,'7月排产计划'!G89:G603,1,0)</f>
        <v>#N/A</v>
      </c>
    </row>
    <row r="144" spans="1:11">
      <c r="A144" s="437" t="s">
        <v>443</v>
      </c>
      <c r="B144" s="417">
        <v>2300</v>
      </c>
      <c r="C144" s="420" t="s">
        <v>314</v>
      </c>
      <c r="D144" s="74" t="str">
        <f t="shared" si="15"/>
        <v>17.5</v>
      </c>
      <c r="E144" s="426" t="str">
        <f>_xlfn.XLOOKUP(A144,'7月排产计划'!G:G,'7月排产计划'!B:B)</f>
        <v>北美</v>
      </c>
      <c r="F144" s="69" t="str">
        <f t="shared" si="12"/>
        <v>北美17.5寸</v>
      </c>
      <c r="G144" s="69" t="e">
        <f>VLOOKUP(A144,'7月排产计划'!G150:G664,1,0)</f>
        <v>#N/A</v>
      </c>
      <c r="H144" s="74" t="e">
        <f t="shared" si="14"/>
        <v>#N/A</v>
      </c>
      <c r="I144" s="69" t="e">
        <f>VLOOKUP(A144,[2]Sheet1!$C$3:$G$310,5,0)</f>
        <v>#N/A</v>
      </c>
      <c r="J144" s="74">
        <f>VLOOKUP(A144,[3]KCBB0101!$C$3:$F$691,4,0)</f>
        <v>11000</v>
      </c>
      <c r="K144" s="74" t="e">
        <f>VLOOKUP(A144,'7月排产计划'!G90:G604,1,0)</f>
        <v>#N/A</v>
      </c>
    </row>
    <row r="145" spans="1:11">
      <c r="A145" s="437" t="s">
        <v>444</v>
      </c>
      <c r="B145" s="417">
        <v>750</v>
      </c>
      <c r="C145" s="420" t="s">
        <v>314</v>
      </c>
      <c r="D145" s="74" t="str">
        <f t="shared" si="15"/>
        <v>17.5</v>
      </c>
      <c r="E145" s="426" t="str">
        <f>_xlfn.XLOOKUP(A145,'7月排产计划'!G:G,'7月排产计划'!B:B)</f>
        <v>北美</v>
      </c>
      <c r="F145" s="69" t="str">
        <f t="shared" si="12"/>
        <v>北美17.5寸</v>
      </c>
      <c r="G145" s="69" t="e">
        <f>VLOOKUP(A145,'7月排产计划'!G151:G665,1,0)</f>
        <v>#N/A</v>
      </c>
      <c r="H145" s="74" t="e">
        <f t="shared" si="14"/>
        <v>#N/A</v>
      </c>
      <c r="I145" s="69">
        <f>VLOOKUP(A145,[2]Sheet1!$C$3:$G$310,5,0)</f>
        <v>6564</v>
      </c>
      <c r="J145" s="74" t="e">
        <f>VLOOKUP(A145,[3]KCBB0101!$C$3:$F$691,4,0)</f>
        <v>#N/A</v>
      </c>
      <c r="K145" s="74" t="e">
        <f>VLOOKUP(A145,'7月排产计划'!G91:G605,1,0)</f>
        <v>#N/A</v>
      </c>
    </row>
    <row r="146" spans="1:11">
      <c r="A146" s="437" t="s">
        <v>445</v>
      </c>
      <c r="B146" s="417">
        <v>500</v>
      </c>
      <c r="C146" s="420" t="s">
        <v>317</v>
      </c>
      <c r="D146" s="74" t="str">
        <f t="shared" si="15"/>
        <v>17.5</v>
      </c>
      <c r="E146" s="426" t="str">
        <f>_xlfn.XLOOKUP(A146,'7月排产计划'!G:G,'7月排产计划'!B:B)</f>
        <v>亚</v>
      </c>
      <c r="F146" s="69" t="str">
        <f t="shared" si="12"/>
        <v>亚17.5寸</v>
      </c>
      <c r="G146" s="69" t="e">
        <f>VLOOKUP(A146,'7月排产计划'!G152:G666,1,0)</f>
        <v>#N/A</v>
      </c>
      <c r="H146" s="74" t="e">
        <f t="shared" si="14"/>
        <v>#N/A</v>
      </c>
      <c r="I146" s="69">
        <f>VLOOKUP(A146,[2]Sheet1!$C$3:$G$310,5,0)</f>
        <v>19650</v>
      </c>
      <c r="J146" s="74" t="e">
        <f>VLOOKUP(A146,[3]KCBB0101!$C$3:$F$691,4,0)</f>
        <v>#N/A</v>
      </c>
      <c r="K146" s="74" t="e">
        <f>VLOOKUP(A146,'7月排产计划'!G92:G606,1,0)</f>
        <v>#N/A</v>
      </c>
    </row>
    <row r="147" spans="1:11">
      <c r="A147" s="437" t="s">
        <v>446</v>
      </c>
      <c r="B147" s="417">
        <v>1000</v>
      </c>
      <c r="C147" s="420" t="s">
        <v>314</v>
      </c>
      <c r="D147" s="74" t="str">
        <f t="shared" si="15"/>
        <v>17.5</v>
      </c>
      <c r="E147" s="426" t="str">
        <f>_xlfn.XLOOKUP(A147,'7月排产计划'!G:G,'7月排产计划'!B:B)</f>
        <v>北美</v>
      </c>
      <c r="F147" s="69" t="str">
        <f t="shared" si="12"/>
        <v>北美17.5寸</v>
      </c>
      <c r="G147" s="69" t="e">
        <f>VLOOKUP(A147,'7月排产计划'!G153:G667,1,0)</f>
        <v>#N/A</v>
      </c>
      <c r="H147" s="74" t="e">
        <f t="shared" si="14"/>
        <v>#N/A</v>
      </c>
      <c r="I147" s="69" t="e">
        <f>VLOOKUP(A147,[2]Sheet1!$C$3:$G$310,5,0)</f>
        <v>#N/A</v>
      </c>
      <c r="J147" s="74">
        <f>VLOOKUP(A147,[3]KCBB0101!$C$3:$F$691,4,0)</f>
        <v>5400</v>
      </c>
      <c r="K147" s="74" t="e">
        <f>VLOOKUP(A147,'7月排产计划'!G93:G607,1,0)</f>
        <v>#N/A</v>
      </c>
    </row>
    <row r="148" spans="1:11">
      <c r="A148" s="437" t="s">
        <v>447</v>
      </c>
      <c r="B148" s="417">
        <v>500</v>
      </c>
      <c r="C148" s="420" t="s">
        <v>314</v>
      </c>
      <c r="D148" s="74" t="str">
        <f t="shared" si="15"/>
        <v>17.5</v>
      </c>
      <c r="E148" s="426" t="str">
        <f>_xlfn.XLOOKUP(A148,'7月排产计划'!G:G,'7月排产计划'!B:B)</f>
        <v>北美</v>
      </c>
      <c r="F148" s="69" t="str">
        <f t="shared" si="12"/>
        <v>北美17.5寸</v>
      </c>
      <c r="G148" s="69" t="e">
        <f>VLOOKUP(A148,'7月排产计划'!G154:G668,1,0)</f>
        <v>#N/A</v>
      </c>
      <c r="H148" s="74" t="e">
        <f t="shared" si="14"/>
        <v>#N/A</v>
      </c>
      <c r="I148" s="69">
        <f>VLOOKUP(A148,[2]Sheet1!$C$3:$G$310,5,0)</f>
        <v>6200</v>
      </c>
      <c r="J148" s="74" t="e">
        <f>VLOOKUP(A148,[3]KCBB0101!$C$3:$F$691,4,0)</f>
        <v>#N/A</v>
      </c>
      <c r="K148" s="74" t="e">
        <f>VLOOKUP(A148,'7月排产计划'!G94:G608,1,0)</f>
        <v>#N/A</v>
      </c>
    </row>
    <row r="149" spans="1:11">
      <c r="A149" s="437" t="s">
        <v>448</v>
      </c>
      <c r="B149" s="417">
        <v>120</v>
      </c>
      <c r="C149" s="420" t="s">
        <v>314</v>
      </c>
      <c r="D149" s="74" t="str">
        <f t="shared" si="15"/>
        <v>19.5</v>
      </c>
      <c r="E149" s="426" t="str">
        <f>_xlfn.XLOOKUP(A149,'7月排产计划'!G:G,'7月排产计划'!B:B)</f>
        <v>北美</v>
      </c>
      <c r="F149" s="69" t="str">
        <f t="shared" si="12"/>
        <v>北美19.5寸</v>
      </c>
      <c r="G149" s="69" t="e">
        <f>VLOOKUP(A149,'7月排产计划'!G155:G669,1,0)</f>
        <v>#N/A</v>
      </c>
      <c r="H149" s="74" t="e">
        <f t="shared" si="14"/>
        <v>#N/A</v>
      </c>
      <c r="I149" s="69" t="e">
        <f>VLOOKUP(A149,[2]Sheet1!$C$3:$G$310,5,0)</f>
        <v>#N/A</v>
      </c>
      <c r="J149" s="74" t="e">
        <f>VLOOKUP(A149,[3]KCBB0101!$C$3:$F$691,4,0)</f>
        <v>#N/A</v>
      </c>
      <c r="K149" s="74" t="str">
        <f>VLOOKUP(A149,'7月排产计划'!G95:G609,1,0)</f>
        <v>ID245/70R19.5-16PR(136/134J)[ECO-MILE RDW]TRAVELSTAR无内</v>
      </c>
    </row>
    <row r="150" spans="1:11">
      <c r="A150" s="437" t="s">
        <v>449</v>
      </c>
      <c r="B150" s="417">
        <v>500</v>
      </c>
      <c r="C150" s="420" t="s">
        <v>314</v>
      </c>
      <c r="D150" s="74" t="str">
        <f t="shared" si="15"/>
        <v>19.5</v>
      </c>
      <c r="E150" s="426" t="str">
        <f>_xlfn.XLOOKUP(A150,'7月排产计划'!G:G,'7月排产计划'!B:B)</f>
        <v>北美</v>
      </c>
      <c r="F150" s="69" t="str">
        <f t="shared" si="12"/>
        <v>北美19.5寸</v>
      </c>
      <c r="G150" s="69" t="e">
        <f>VLOOKUP(A150,'7月排产计划'!G156:G670,1,0)</f>
        <v>#N/A</v>
      </c>
      <c r="H150" s="74" t="e">
        <f t="shared" si="14"/>
        <v>#N/A</v>
      </c>
      <c r="I150" s="69" t="e">
        <f>VLOOKUP(A150,[2]Sheet1!$C$3:$G$310,5,0)</f>
        <v>#N/A</v>
      </c>
      <c r="J150" s="74">
        <f>VLOOKUP(A150,[3]KCBB0101!$C$3:$F$691,4,0)</f>
        <v>4900</v>
      </c>
      <c r="K150" s="74" t="str">
        <f>VLOOKUP(A150,'7月排产计划'!G96:G610,1,0)</f>
        <v>ID245/70R19.5-16PR(136/134M)[AP-7318]VANTAGE无内</v>
      </c>
    </row>
    <row r="151" spans="1:11">
      <c r="A151" s="437" t="s">
        <v>450</v>
      </c>
      <c r="B151" s="417">
        <v>220</v>
      </c>
      <c r="C151" s="420" t="s">
        <v>314</v>
      </c>
      <c r="D151" s="74" t="str">
        <f t="shared" si="15"/>
        <v>19.5</v>
      </c>
      <c r="E151" s="426" t="str">
        <f>_xlfn.XLOOKUP(A151,'7月排产计划'!G:G,'7月排产计划'!B:B)</f>
        <v>北美</v>
      </c>
      <c r="F151" s="69" t="str">
        <f t="shared" si="12"/>
        <v>北美19.5寸</v>
      </c>
      <c r="G151" s="69" t="e">
        <f>VLOOKUP(A151,'7月排产计划'!G157:G671,1,0)</f>
        <v>#N/A</v>
      </c>
      <c r="H151" s="74" t="e">
        <f t="shared" si="14"/>
        <v>#N/A</v>
      </c>
      <c r="I151" s="69" t="e">
        <f>VLOOKUP(A151,[2]Sheet1!$C$3:$G$310,5,0)</f>
        <v>#N/A</v>
      </c>
      <c r="J151" s="74">
        <f>VLOOKUP(A151,[3]KCBB0101!$C$3:$F$691,4,0)</f>
        <v>3500</v>
      </c>
      <c r="K151" s="74" t="str">
        <f>VLOOKUP(A151,'7月排产计划'!G97:G611,1,0)</f>
        <v>ID245/70R19.5-16PR(136/134M)[DR-7318]VANTAGE无内</v>
      </c>
    </row>
    <row r="152" spans="1:11">
      <c r="A152" s="437" t="s">
        <v>451</v>
      </c>
      <c r="B152" s="417">
        <v>320</v>
      </c>
      <c r="C152" s="420" t="s">
        <v>314</v>
      </c>
      <c r="D152" s="74" t="str">
        <f t="shared" si="15"/>
        <v>19.5</v>
      </c>
      <c r="E152" s="426" t="str">
        <f>_xlfn.XLOOKUP(A152,'7月排产计划'!G:G,'7月排产计划'!B:B)</f>
        <v>北美</v>
      </c>
      <c r="F152" s="69" t="str">
        <f t="shared" si="12"/>
        <v>北美19.5寸</v>
      </c>
      <c r="G152" s="69" t="e">
        <f>VLOOKUP(A152,'7月排产计划'!G158:G672,1,0)</f>
        <v>#N/A</v>
      </c>
      <c r="H152" s="74" t="e">
        <f t="shared" si="14"/>
        <v>#N/A</v>
      </c>
      <c r="I152" s="69" t="e">
        <f>VLOOKUP(A152,[2]Sheet1!$C$3:$G$310,5,0)</f>
        <v>#N/A</v>
      </c>
      <c r="J152" s="74">
        <f>VLOOKUP(A152,[3]KCBB0101!$C$3:$F$691,4,0)</f>
        <v>5000</v>
      </c>
      <c r="K152" s="74" t="str">
        <f>VLOOKUP(A152,'7月排产计划'!G98:G612,1,0)</f>
        <v>ID245/70R19.5-16PR(136/134M)[ECO-MILE AP]TRAVELSTAR无内</v>
      </c>
    </row>
    <row r="153" spans="1:11">
      <c r="A153" s="437" t="s">
        <v>452</v>
      </c>
      <c r="B153" s="417">
        <v>1500</v>
      </c>
      <c r="C153" s="420" t="s">
        <v>314</v>
      </c>
      <c r="D153" s="74" t="str">
        <f t="shared" si="15"/>
        <v>19.5</v>
      </c>
      <c r="E153" s="426" t="str">
        <f>_xlfn.XLOOKUP(A153,'7月排产计划'!G:G,'7月排产计划'!B:B)</f>
        <v>北美</v>
      </c>
      <c r="F153" s="69" t="str">
        <f t="shared" si="12"/>
        <v>北美19.5寸</v>
      </c>
      <c r="G153" s="69" t="e">
        <f>VLOOKUP(A153,'7月排产计划'!G159:G673,1,0)</f>
        <v>#N/A</v>
      </c>
      <c r="H153" s="74" t="e">
        <f t="shared" si="14"/>
        <v>#N/A</v>
      </c>
      <c r="I153" s="69" t="e">
        <f>VLOOKUP(A153,[2]Sheet1!$C$3:$G$310,5,0)</f>
        <v>#N/A</v>
      </c>
      <c r="J153" s="74">
        <f>VLOOKUP(A153,[3]KCBB0101!$C$3:$F$691,4,0)</f>
        <v>11000</v>
      </c>
      <c r="K153" s="74" t="str">
        <f>VLOOKUP(A153,'7月排产计划'!G99:G613,1,0)</f>
        <v>ID245/70R19.5-16PR(136/134M)[M-TRAC AP]MASTERTRACK无内</v>
      </c>
    </row>
    <row r="154" spans="1:11">
      <c r="A154" s="437" t="s">
        <v>453</v>
      </c>
      <c r="B154" s="417">
        <v>1000</v>
      </c>
      <c r="C154" s="420" t="s">
        <v>314</v>
      </c>
      <c r="D154" s="74" t="str">
        <f t="shared" si="15"/>
        <v>19.5</v>
      </c>
      <c r="E154" s="426" t="str">
        <f>_xlfn.XLOOKUP(A154,'7月排产计划'!G:G,'7月排产计划'!B:B)</f>
        <v>北美</v>
      </c>
      <c r="F154" s="69" t="str">
        <f t="shared" si="12"/>
        <v>北美19.5寸</v>
      </c>
      <c r="G154" s="69" t="e">
        <f>VLOOKUP(A154,'7月排产计划'!G160:G674,1,0)</f>
        <v>#N/A</v>
      </c>
      <c r="H154" s="74" t="e">
        <f t="shared" si="14"/>
        <v>#N/A</v>
      </c>
      <c r="I154" s="69" t="e">
        <f>VLOOKUP(A154,[2]Sheet1!$C$3:$G$310,5,0)</f>
        <v>#N/A</v>
      </c>
      <c r="J154" s="74">
        <f>VLOOKUP(A154,[3]KCBB0101!$C$3:$F$691,4,0)</f>
        <v>8000</v>
      </c>
      <c r="K154" s="74" t="str">
        <f>VLOOKUP(A154,'7月排产计划'!G100:G614,1,0)</f>
        <v>ID245/70R19.5-16PR(136/134M)[M-TRAC HTD]MASTERTRACK无内</v>
      </c>
    </row>
    <row r="155" spans="1:11">
      <c r="A155" s="437" t="s">
        <v>454</v>
      </c>
      <c r="B155" s="417">
        <v>1400</v>
      </c>
      <c r="C155" s="420" t="s">
        <v>314</v>
      </c>
      <c r="D155" s="74" t="str">
        <f t="shared" si="15"/>
        <v>19.5</v>
      </c>
      <c r="E155" s="426" t="str">
        <f>_xlfn.XLOOKUP(A155,'7月排产计划'!G:G,'7月排产计划'!B:B)</f>
        <v>北美</v>
      </c>
      <c r="F155" s="69" t="str">
        <f t="shared" si="12"/>
        <v>北美19.5寸</v>
      </c>
      <c r="G155" s="69" t="e">
        <f>VLOOKUP(A155,'7月排产计划'!G161:G675,1,0)</f>
        <v>#N/A</v>
      </c>
      <c r="H155" s="74" t="e">
        <f t="shared" si="14"/>
        <v>#N/A</v>
      </c>
      <c r="I155" s="69">
        <f>VLOOKUP(A155,[2]Sheet1!$C$3:$G$310,5,0)</f>
        <v>19950</v>
      </c>
      <c r="J155" s="74" t="e">
        <f>VLOOKUP(A155,[3]KCBB0101!$C$3:$F$691,4,0)</f>
        <v>#N/A</v>
      </c>
      <c r="K155" s="74" t="str">
        <f>VLOOKUP(A155,'7月排产计划'!G101:G615,1,0)</f>
        <v>ID245/70R19.5-16PR(136/134N)[I-19A]IRONMAN无内</v>
      </c>
    </row>
    <row r="156" spans="1:11">
      <c r="A156" s="425" t="s">
        <v>455</v>
      </c>
      <c r="B156" s="417">
        <v>220</v>
      </c>
      <c r="C156" s="420" t="s">
        <v>314</v>
      </c>
      <c r="D156" s="74" t="str">
        <f t="shared" si="15"/>
        <v>19.5</v>
      </c>
      <c r="E156" s="426" t="str">
        <f>_xlfn.XLOOKUP(A156,'7月排产计划'!G:G,'7月排产计划'!B:B)</f>
        <v>北美</v>
      </c>
      <c r="F156" s="69" t="str">
        <f t="shared" si="12"/>
        <v>北美19.5寸</v>
      </c>
      <c r="G156" s="69" t="e">
        <f>VLOOKUP(A156,'7月排产计划'!G162:G676,1,0)</f>
        <v>#N/A</v>
      </c>
      <c r="H156" s="74" t="e">
        <f t="shared" si="14"/>
        <v>#N/A</v>
      </c>
      <c r="I156" s="69">
        <f>VLOOKUP(A156,[2]Sheet1!$C$3:$G$310,5,0)</f>
        <v>11900</v>
      </c>
      <c r="J156" s="74" t="e">
        <f>VLOOKUP(A156,[3]KCBB0101!$C$3:$F$691,4,0)</f>
        <v>#N/A</v>
      </c>
      <c r="K156" s="74" t="str">
        <f>VLOOKUP(A156,'7月排产计划'!G102:G616,1,0)</f>
        <v>ID245/70R19.5-16PR(136/134N)[I-37D]IRONMAN无内</v>
      </c>
    </row>
    <row r="157" spans="1:11">
      <c r="A157" s="425" t="s">
        <v>456</v>
      </c>
      <c r="B157" s="417">
        <v>1700</v>
      </c>
      <c r="C157" s="420" t="s">
        <v>314</v>
      </c>
      <c r="D157" s="74" t="str">
        <f t="shared" si="15"/>
        <v>22.5</v>
      </c>
      <c r="E157" s="426" t="str">
        <f>_xlfn.XLOOKUP(A157,'7月排产计划'!G:G,'7月排产计划'!B:B)</f>
        <v>北美</v>
      </c>
      <c r="F157" s="69" t="str">
        <f t="shared" si="12"/>
        <v>北美22.5寸</v>
      </c>
      <c r="G157" s="69" t="e">
        <f>VLOOKUP(A157,'7月排产计划'!G163:G677,1,0)</f>
        <v>#N/A</v>
      </c>
      <c r="H157" s="74" t="e">
        <f t="shared" si="14"/>
        <v>#N/A</v>
      </c>
      <c r="I157" s="69">
        <f>VLOOKUP(A157,[2]Sheet1!$C$3:$G$310,5,0)</f>
        <v>5000</v>
      </c>
      <c r="J157" s="74" t="e">
        <f>VLOOKUP(A157,[3]KCBB0101!$C$3:$F$691,4,0)</f>
        <v>#N/A</v>
      </c>
      <c r="K157" s="74" t="str">
        <f>VLOOKUP(A157,'7月排产计划'!G103:G617,1,0)</f>
        <v>ID245/75R22.5-14PR(134/131L)[Strong Guard H-RA]HERCULES无内</v>
      </c>
    </row>
    <row r="158" spans="1:11">
      <c r="A158" s="425" t="s">
        <v>457</v>
      </c>
      <c r="B158" s="417">
        <v>3600</v>
      </c>
      <c r="C158" s="420" t="s">
        <v>314</v>
      </c>
      <c r="D158" s="74" t="str">
        <f t="shared" si="15"/>
        <v>22.5</v>
      </c>
      <c r="E158" s="426" t="str">
        <f>_xlfn.XLOOKUP(A158,'7月排产计划'!G:G,'7月排产计划'!B:B)</f>
        <v>北美</v>
      </c>
      <c r="F158" s="69" t="str">
        <f t="shared" si="12"/>
        <v>北美22.5寸</v>
      </c>
      <c r="G158" s="69" t="e">
        <f>VLOOKUP(A158,'7月排产计划'!G164:G678,1,0)</f>
        <v>#N/A</v>
      </c>
      <c r="H158" s="74" t="e">
        <f t="shared" si="14"/>
        <v>#N/A</v>
      </c>
      <c r="I158" s="69">
        <f>VLOOKUP(A158,[2]Sheet1!$C$3:$G$310,5,0)</f>
        <v>11900</v>
      </c>
      <c r="J158" s="74" t="e">
        <f>VLOOKUP(A158,[3]KCBB0101!$C$3:$F$691,4,0)</f>
        <v>#N/A</v>
      </c>
      <c r="K158" s="74" t="str">
        <f>VLOOKUP(A158,'7月排产计划'!G104:G618,1,0)</f>
        <v>ID255/70R22.5-16PR(140/137L)[Strong Guard H-RA]HERCULES无内</v>
      </c>
    </row>
    <row r="159" spans="1:11">
      <c r="A159" s="425" t="s">
        <v>458</v>
      </c>
      <c r="B159" s="417">
        <v>120</v>
      </c>
      <c r="C159" s="420" t="s">
        <v>314</v>
      </c>
      <c r="D159" s="74" t="str">
        <f t="shared" si="15"/>
        <v>22.5</v>
      </c>
      <c r="E159" s="426" t="str">
        <f>_xlfn.XLOOKUP(A159,'7月排产计划'!G:G,'7月排产计划'!B:B)</f>
        <v>北美</v>
      </c>
      <c r="F159" s="69" t="str">
        <f t="shared" si="12"/>
        <v>北美22.5寸</v>
      </c>
      <c r="G159" s="69" t="e">
        <f>VLOOKUP(A159,'7月排产计划'!G165:G679,1,0)</f>
        <v>#N/A</v>
      </c>
      <c r="H159" s="74" t="e">
        <f t="shared" si="14"/>
        <v>#N/A</v>
      </c>
      <c r="I159" s="69">
        <f>VLOOKUP(A159,[2]Sheet1!$C$3:$G$310,5,0)</f>
        <v>2000</v>
      </c>
      <c r="J159" s="74" t="e">
        <f>VLOOKUP(A159,[3]KCBB0101!$C$3:$F$691,4,0)</f>
        <v>#N/A</v>
      </c>
      <c r="K159" s="74" t="str">
        <f>VLOOKUP(A159,'7月排产计划'!G105:G619,1,0)</f>
        <v>ID255/70R22.5-16PR(140/137M)[AZ599]威狮无内</v>
      </c>
    </row>
    <row r="160" spans="1:11">
      <c r="A160" s="425" t="s">
        <v>459</v>
      </c>
      <c r="B160" s="417">
        <v>650</v>
      </c>
      <c r="C160" s="420" t="s">
        <v>314</v>
      </c>
      <c r="D160" s="74" t="str">
        <f t="shared" si="15"/>
        <v>22.5</v>
      </c>
      <c r="E160" s="426" t="str">
        <f>_xlfn.XLOOKUP(A160,'7月排产计划'!G:G,'7月排产计划'!B:B)</f>
        <v>北美</v>
      </c>
      <c r="F160" s="69" t="str">
        <f t="shared" si="12"/>
        <v>北美22.5寸</v>
      </c>
      <c r="G160" s="69" t="e">
        <f>VLOOKUP(A160,'7月排产计划'!G166:G680,1,0)</f>
        <v>#N/A</v>
      </c>
      <c r="H160" s="74" t="e">
        <f t="shared" si="14"/>
        <v>#N/A</v>
      </c>
      <c r="I160" s="69" t="e">
        <f>VLOOKUP(A160,[2]Sheet1!$C$3:$G$310,5,0)</f>
        <v>#N/A</v>
      </c>
      <c r="J160" s="74">
        <f>VLOOKUP(A160,[3]KCBB0101!$C$3:$F$691,4,0)</f>
        <v>5000</v>
      </c>
      <c r="K160" s="74" t="str">
        <f>VLOOKUP(A160,'7月排产计划'!G106:G620,1,0)</f>
        <v>ID255/70R22.5-16PR(140/137M)[ECO-MILE AP]TRAVELSTAR无内</v>
      </c>
    </row>
    <row r="161" spans="1:11">
      <c r="A161" s="425" t="s">
        <v>122</v>
      </c>
      <c r="B161" s="417">
        <v>8000</v>
      </c>
      <c r="C161" s="420" t="s">
        <v>314</v>
      </c>
      <c r="D161" s="74" t="str">
        <f t="shared" si="15"/>
        <v>22.5</v>
      </c>
      <c r="E161" s="426" t="str">
        <f>_xlfn.XLOOKUP(A161,'7月排产计划'!G:G,'7月排产计划'!B:B)</f>
        <v>北美</v>
      </c>
      <c r="F161" s="69" t="str">
        <f t="shared" si="12"/>
        <v>北美22.5寸</v>
      </c>
      <c r="G161" s="69" t="e">
        <f>VLOOKUP(A161,'7月排产计划'!G167:G681,1,0)</f>
        <v>#N/A</v>
      </c>
      <c r="H161" s="74" t="e">
        <f t="shared" si="14"/>
        <v>#N/A</v>
      </c>
      <c r="I161" s="69">
        <f>VLOOKUP(A161,[2]Sheet1!$C$3:$G$310,5,0)</f>
        <v>8900</v>
      </c>
      <c r="J161" s="74" t="e">
        <f>VLOOKUP(A161,[3]KCBB0101!$C$3:$F$691,4,0)</f>
        <v>#N/A</v>
      </c>
      <c r="K161" s="74" t="str">
        <f>VLOOKUP(A161,'7月排产计划'!G107:G621,1,0)</f>
        <v>ID255/70R22.5-16PR(140/137M)[I-19A]IRONMAN无内</v>
      </c>
    </row>
    <row r="162" spans="1:11">
      <c r="A162" s="425" t="s">
        <v>126</v>
      </c>
      <c r="B162" s="417">
        <v>2700</v>
      </c>
      <c r="C162" s="420" t="s">
        <v>314</v>
      </c>
      <c r="D162" s="74" t="str">
        <f t="shared" si="15"/>
        <v>22.5</v>
      </c>
      <c r="E162" s="426" t="str">
        <f>_xlfn.XLOOKUP(A162,'7月排产计划'!G:G,'7月排产计划'!B:B)</f>
        <v>北美</v>
      </c>
      <c r="F162" s="69" t="str">
        <f t="shared" si="12"/>
        <v>北美22.5寸</v>
      </c>
      <c r="G162" s="69" t="e">
        <f>VLOOKUP(A162,'7月排产计划'!G168:G682,1,0)</f>
        <v>#N/A</v>
      </c>
      <c r="H162" s="74" t="e">
        <f t="shared" si="14"/>
        <v>#N/A</v>
      </c>
      <c r="I162" s="69" t="e">
        <f>VLOOKUP(A162,[2]Sheet1!$C$3:$G$310,5,0)</f>
        <v>#N/A</v>
      </c>
      <c r="J162" s="74">
        <f>VLOOKUP(A162,[3]KCBB0101!$C$3:$F$691,4,0)</f>
        <v>4407</v>
      </c>
      <c r="K162" s="74" t="str">
        <f>VLOOKUP(A162,'7月排产计划'!G108:G622,1,0)</f>
        <v>ID255/70R22.5-16PR(140/137M)[M-TRAC AP]MASTERTRACK无内</v>
      </c>
    </row>
    <row r="163" spans="1:11">
      <c r="A163" s="425" t="s">
        <v>460</v>
      </c>
      <c r="B163" s="417">
        <v>900</v>
      </c>
      <c r="C163" s="420" t="s">
        <v>314</v>
      </c>
      <c r="D163" s="74" t="str">
        <f t="shared" si="15"/>
        <v>19.5</v>
      </c>
      <c r="E163" s="426" t="str">
        <f>_xlfn.XLOOKUP(A163,'7月排产计划'!G:G,'7月排产计划'!B:B)</f>
        <v>北美</v>
      </c>
      <c r="F163" s="69" t="str">
        <f t="shared" si="12"/>
        <v>北美19.5寸</v>
      </c>
      <c r="G163" s="69" t="e">
        <f>VLOOKUP(A163,'7月排产计划'!G169:G683,1,0)</f>
        <v>#N/A</v>
      </c>
      <c r="H163" s="74" t="e">
        <f t="shared" si="14"/>
        <v>#N/A</v>
      </c>
      <c r="I163" s="69">
        <f>VLOOKUP(A163,[2]Sheet1!$C$3:$G$310,5,0)</f>
        <v>0</v>
      </c>
      <c r="J163" s="74" t="e">
        <f>VLOOKUP(A163,[3]KCBB0101!$C$3:$F$691,4,0)</f>
        <v>#N/A</v>
      </c>
      <c r="K163" s="74" t="str">
        <f>VLOOKUP(A163,'7月排产计划'!G109:G623,1,0)</f>
        <v>ID265/70R19.5-18PR(143/141K)[I-19A]IRONMAN无内</v>
      </c>
    </row>
    <row r="164" spans="1:11">
      <c r="A164" s="425" t="s">
        <v>461</v>
      </c>
      <c r="B164" s="417">
        <v>1000</v>
      </c>
      <c r="C164" s="420" t="s">
        <v>314</v>
      </c>
      <c r="D164" s="74" t="str">
        <f t="shared" si="15"/>
        <v>22.5</v>
      </c>
      <c r="E164" s="426" t="str">
        <f>_xlfn.XLOOKUP(A164,'7月排产计划'!G:G,'7月排产计划'!B:B)</f>
        <v>北美</v>
      </c>
      <c r="F164" s="69" t="str">
        <f t="shared" si="12"/>
        <v>北美22.5寸</v>
      </c>
      <c r="G164" s="69" t="e">
        <f>VLOOKUP(A164,'7月排产计划'!G170:G684,1,0)</f>
        <v>#N/A</v>
      </c>
      <c r="H164" s="74" t="e">
        <f t="shared" si="14"/>
        <v>#N/A</v>
      </c>
      <c r="I164" s="69" t="e">
        <f>VLOOKUP(A164,[2]Sheet1!$C$3:$G$310,5,0)</f>
        <v>#N/A</v>
      </c>
      <c r="J164" s="74">
        <f>VLOOKUP(A164,[3]KCBB0101!$C$3:$F$691,4,0)</f>
        <v>8000</v>
      </c>
      <c r="K164" s="74" t="str">
        <f>VLOOKUP(A164,'7月排产计划'!G110:G624,1,0)</f>
        <v>ID275/70R22.5-16PR(148/145L)[M-TRAC AP]MASTERTRACK无内</v>
      </c>
    </row>
    <row r="165" spans="1:11">
      <c r="A165" s="425" t="s">
        <v>462</v>
      </c>
      <c r="B165" s="417">
        <v>900</v>
      </c>
      <c r="C165" s="420" t="s">
        <v>314</v>
      </c>
      <c r="D165" s="74" t="str">
        <f t="shared" si="15"/>
        <v>22.5</v>
      </c>
      <c r="E165" s="426" t="str">
        <f>_xlfn.XLOOKUP(A165,'7月排产计划'!G:G,'7月排产计划'!B:B)</f>
        <v>北美</v>
      </c>
      <c r="F165" s="69" t="str">
        <f t="shared" si="12"/>
        <v>北美22.5寸</v>
      </c>
      <c r="G165" s="69" t="e">
        <f>VLOOKUP(A165,'7月排产计划'!G171:G685,1,0)</f>
        <v>#N/A</v>
      </c>
      <c r="H165" s="74" t="e">
        <f t="shared" si="14"/>
        <v>#N/A</v>
      </c>
      <c r="I165" s="69">
        <f>VLOOKUP(A165,[2]Sheet1!$C$3:$G$310,5,0)</f>
        <v>7880</v>
      </c>
      <c r="J165" s="74" t="e">
        <f>VLOOKUP(A165,[3]KCBB0101!$C$3:$F$691,4,0)</f>
        <v>#N/A</v>
      </c>
      <c r="K165" s="74" t="str">
        <f>VLOOKUP(A165,'7月排产计划'!G111:G625,1,0)</f>
        <v>ID275/70R22.5-16PR(148/145M)[Strong Guard H-RA]HERCULES无内</v>
      </c>
    </row>
    <row r="166" spans="1:11">
      <c r="A166" s="425" t="s">
        <v>463</v>
      </c>
      <c r="B166" s="417">
        <v>1200</v>
      </c>
      <c r="C166" s="420" t="s">
        <v>314</v>
      </c>
      <c r="D166" s="74" t="str">
        <f t="shared" si="15"/>
        <v>22.5</v>
      </c>
      <c r="E166" s="426" t="str">
        <f>_xlfn.XLOOKUP(A166,'7月排产计划'!G:G,'7月排产计划'!B:B)</f>
        <v>北美</v>
      </c>
      <c r="F166" s="69" t="str">
        <f t="shared" si="12"/>
        <v>北美22.5寸</v>
      </c>
      <c r="G166" s="69" t="e">
        <f>VLOOKUP(A166,'7月排产计划'!G172:G686,1,0)</f>
        <v>#N/A</v>
      </c>
      <c r="H166" s="74" t="e">
        <f t="shared" si="14"/>
        <v>#N/A</v>
      </c>
      <c r="I166" s="69">
        <f>VLOOKUP(A166,[2]Sheet1!$C$3:$G$310,5,0)</f>
        <v>9300</v>
      </c>
      <c r="J166" s="74" t="e">
        <f>VLOOKUP(A166,[3]KCBB0101!$C$3:$F$691,4,0)</f>
        <v>#N/A</v>
      </c>
      <c r="K166" s="74" t="str">
        <f>VLOOKUP(A166,'7月排产计划'!G112:G626,1,0)</f>
        <v>ID275/70R22.5-18PR(152/148L)[I-19A]IRONMAN无内 美国</v>
      </c>
    </row>
    <row r="167" spans="1:11">
      <c r="A167" s="425" t="s">
        <v>464</v>
      </c>
      <c r="B167" s="417">
        <v>400</v>
      </c>
      <c r="C167" s="420" t="s">
        <v>465</v>
      </c>
      <c r="D167" s="74" t="str">
        <f t="shared" si="15"/>
        <v>22.5</v>
      </c>
      <c r="E167" s="426" t="str">
        <f>_xlfn.XLOOKUP(A167,'7月排产计划'!G:G,'7月排产计划'!B:B)</f>
        <v>南美</v>
      </c>
      <c r="F167" s="69" t="str">
        <f t="shared" si="12"/>
        <v>南美22.5寸</v>
      </c>
      <c r="G167" s="69" t="e">
        <f>VLOOKUP(A167,'7月排产计划'!G173:G687,1,0)</f>
        <v>#N/A</v>
      </c>
      <c r="H167" s="74" t="e">
        <f t="shared" si="14"/>
        <v>#N/A</v>
      </c>
      <c r="I167" s="69">
        <f>VLOOKUP(A167,[2]Sheet1!$C$3:$G$310,5,0)</f>
        <v>3000</v>
      </c>
      <c r="J167" s="74" t="e">
        <f>VLOOKUP(A167,[3]KCBB0101!$C$3:$F$691,4,0)</f>
        <v>#N/A</v>
      </c>
      <c r="K167" s="74" t="str">
        <f>VLOOKUP(A167,'7月排产计划'!G113:G627,1,0)</f>
        <v>ID275/80R22.5-16PR(149/146L)[AD153]威狮无内</v>
      </c>
    </row>
    <row r="168" spans="1:11">
      <c r="A168" s="425" t="s">
        <v>466</v>
      </c>
      <c r="B168" s="417">
        <v>650</v>
      </c>
      <c r="C168" s="420" t="s">
        <v>465</v>
      </c>
      <c r="D168" s="74" t="str">
        <f t="shared" si="15"/>
        <v>22.5</v>
      </c>
      <c r="E168" s="426" t="str">
        <f>_xlfn.XLOOKUP(A168,'7月排产计划'!G:G,'7月排产计划'!B:B)</f>
        <v>南美</v>
      </c>
      <c r="F168" s="69" t="str">
        <f t="shared" si="12"/>
        <v>南美22.5寸</v>
      </c>
      <c r="G168" s="69" t="e">
        <f>VLOOKUP(A168,'7月排产计划'!G174:G688,1,0)</f>
        <v>#N/A</v>
      </c>
      <c r="H168" s="74" t="e">
        <f t="shared" si="14"/>
        <v>#N/A</v>
      </c>
      <c r="I168" s="69" t="e">
        <f>VLOOKUP(A168,[2]Sheet1!$C$3:$G$310,5,0)</f>
        <v>#N/A</v>
      </c>
      <c r="J168" s="74">
        <f>VLOOKUP(A168,[3]KCBB0101!$C$3:$F$691,4,0)</f>
        <v>2900</v>
      </c>
      <c r="K168" s="74" t="str">
        <f>VLOOKUP(A168,'7月排产计划'!G114:G628,1,0)</f>
        <v>ID275/80R22.5-16PR(149/146L)[EZ573A]金冠无内</v>
      </c>
    </row>
    <row r="169" spans="1:11">
      <c r="A169" s="425" t="s">
        <v>467</v>
      </c>
      <c r="B169" s="417">
        <v>280</v>
      </c>
      <c r="C169" s="420" t="s">
        <v>465</v>
      </c>
      <c r="D169" s="74" t="str">
        <f t="shared" si="15"/>
        <v>22.5</v>
      </c>
      <c r="E169" s="426" t="str">
        <f>_xlfn.XLOOKUP(A169,'7月排产计划'!G:G,'7月排产计划'!B:B)</f>
        <v>南美</v>
      </c>
      <c r="F169" s="69" t="str">
        <f t="shared" si="12"/>
        <v>南美22.5寸</v>
      </c>
      <c r="G169" s="69" t="e">
        <f>VLOOKUP(A169,'7月排产计划'!G175:G689,1,0)</f>
        <v>#N/A</v>
      </c>
      <c r="H169" s="74" t="e">
        <f t="shared" si="14"/>
        <v>#N/A</v>
      </c>
      <c r="I169" s="69" t="e">
        <f>VLOOKUP(A169,[2]Sheet1!$C$3:$G$310,5,0)</f>
        <v>#N/A</v>
      </c>
      <c r="J169" s="74">
        <f>VLOOKUP(A169,[3]KCBB0101!$C$3:$F$691,4,0)</f>
        <v>9000</v>
      </c>
      <c r="K169" s="74" t="str">
        <f>VLOOKUP(A169,'7月排产计划'!G115:G629,1,0)</f>
        <v>ID275/80R22.5-16PR(149/146L)[EZ573A]力奔无内</v>
      </c>
    </row>
    <row r="170" spans="1:11">
      <c r="A170" s="425" t="s">
        <v>468</v>
      </c>
      <c r="B170" s="417">
        <v>1800</v>
      </c>
      <c r="C170" s="420" t="s">
        <v>465</v>
      </c>
      <c r="D170" s="74" t="str">
        <f t="shared" si="15"/>
        <v>22.5</v>
      </c>
      <c r="E170" s="426" t="str">
        <f>_xlfn.XLOOKUP(A170,'7月排产计划'!G:G,'7月排产计划'!B:B)</f>
        <v>南美</v>
      </c>
      <c r="F170" s="69" t="str">
        <f t="shared" si="12"/>
        <v>南美22.5寸</v>
      </c>
      <c r="G170" s="69" t="e">
        <f>VLOOKUP(A170,'7月排产计划'!G176:G690,1,0)</f>
        <v>#N/A</v>
      </c>
      <c r="H170" s="74" t="e">
        <f t="shared" si="14"/>
        <v>#N/A</v>
      </c>
      <c r="I170" s="69" t="e">
        <f>VLOOKUP(A170,[2]Sheet1!$C$3:$G$310,5,0)</f>
        <v>#N/A</v>
      </c>
      <c r="J170" s="74">
        <f>VLOOKUP(A170,[3]KCBB0101!$C$3:$F$691,4,0)</f>
        <v>6578</v>
      </c>
      <c r="K170" s="74" t="str">
        <f>VLOOKUP(A170,'7月排产计划'!G116:G630,1,0)</f>
        <v>ID275/80R22.5-16PR(149/146L)[G-PERFORM D]GRIPMASTER无内</v>
      </c>
    </row>
    <row r="171" spans="1:11">
      <c r="A171" s="425" t="s">
        <v>469</v>
      </c>
      <c r="B171" s="417">
        <v>700</v>
      </c>
      <c r="C171" s="420" t="s">
        <v>465</v>
      </c>
      <c r="D171" s="74" t="str">
        <f t="shared" si="15"/>
        <v>22.5</v>
      </c>
      <c r="E171" s="426" t="str">
        <f>_xlfn.XLOOKUP(A171,'7月排产计划'!G:G,'7月排产计划'!B:B)</f>
        <v>南美</v>
      </c>
      <c r="F171" s="69" t="str">
        <f t="shared" si="12"/>
        <v>南美22.5寸</v>
      </c>
      <c r="G171" s="69" t="e">
        <f>VLOOKUP(A171,'7月排产计划'!G177:G691,1,0)</f>
        <v>#N/A</v>
      </c>
      <c r="H171" s="74" t="e">
        <f t="shared" si="14"/>
        <v>#N/A</v>
      </c>
      <c r="I171" s="69" t="e">
        <f>VLOOKUP(A171,[2]Sheet1!$C$3:$G$310,5,0)</f>
        <v>#N/A</v>
      </c>
      <c r="J171" s="74">
        <f>VLOOKUP(A171,[3]KCBB0101!$C$3:$F$691,4,0)</f>
        <v>6194</v>
      </c>
      <c r="K171" s="74" t="str">
        <f>VLOOKUP(A171,'7月排产计划'!G117:G631,1,0)</f>
        <v>ID275/80R22.5-16PR(149/146L)[G-PRO MSA]GRIPMASTER无内</v>
      </c>
    </row>
    <row r="172" spans="1:11">
      <c r="A172" s="425" t="s">
        <v>470</v>
      </c>
      <c r="B172" s="417">
        <v>120</v>
      </c>
      <c r="C172" s="420" t="s">
        <v>465</v>
      </c>
      <c r="D172" s="74" t="str">
        <f t="shared" si="15"/>
        <v>22.5</v>
      </c>
      <c r="E172" s="426" t="str">
        <f>_xlfn.XLOOKUP(A172,'7月排产计划'!G:G,'7月排产计划'!B:B)</f>
        <v>南美</v>
      </c>
      <c r="F172" s="69" t="str">
        <f t="shared" si="12"/>
        <v>南美22.5寸</v>
      </c>
      <c r="G172" s="69" t="e">
        <f>VLOOKUP(A172,'7月排产计划'!G178:G692,1,0)</f>
        <v>#N/A</v>
      </c>
      <c r="H172" s="74" t="e">
        <f t="shared" si="14"/>
        <v>#N/A</v>
      </c>
      <c r="I172" s="69" t="e">
        <f>VLOOKUP(A172,[2]Sheet1!$C$3:$G$310,5,0)</f>
        <v>#N/A</v>
      </c>
      <c r="J172" s="74">
        <f>VLOOKUP(A172,[3]KCBB0101!$C$3:$F$691,4,0)</f>
        <v>3000</v>
      </c>
      <c r="K172" s="74" t="str">
        <f>VLOOKUP(A172,'7月排产计划'!G118:G632,1,0)</f>
        <v>ID275/80R22.5-16PR(149/146M)[AD528]TRAZANO(全诺)无内</v>
      </c>
    </row>
    <row r="173" spans="1:11">
      <c r="A173" s="425" t="s">
        <v>471</v>
      </c>
      <c r="B173" s="417">
        <v>120</v>
      </c>
      <c r="C173" s="420" t="s">
        <v>465</v>
      </c>
      <c r="D173" s="74" t="str">
        <f t="shared" si="15"/>
        <v>22.5</v>
      </c>
      <c r="E173" s="426" t="str">
        <f>_xlfn.XLOOKUP(A173,'7月排产计划'!G:G,'7月排产计划'!B:B)</f>
        <v>南美</v>
      </c>
      <c r="F173" s="69" t="str">
        <f t="shared" si="12"/>
        <v>南美22.5寸</v>
      </c>
      <c r="G173" s="69" t="e">
        <f>VLOOKUP(A173,'7月排产计划'!G179:G693,1,0)</f>
        <v>#N/A</v>
      </c>
      <c r="H173" s="74" t="e">
        <f t="shared" si="14"/>
        <v>#N/A</v>
      </c>
      <c r="I173" s="69">
        <f>VLOOKUP(A173,[2]Sheet1!$C$3:$G$310,5,0)</f>
        <v>4500</v>
      </c>
      <c r="J173" s="74" t="e">
        <f>VLOOKUP(A173,[3]KCBB0101!$C$3:$F$691,4,0)</f>
        <v>#N/A</v>
      </c>
      <c r="K173" s="74" t="str">
        <f>VLOOKUP(A173,'7月排产计划'!G119:G633,1,0)</f>
        <v>ID275/80R22.5-16PR(149/146M)[AD528]威狮无内</v>
      </c>
    </row>
    <row r="174" spans="1:11">
      <c r="A174" s="425" t="s">
        <v>472</v>
      </c>
      <c r="B174" s="417">
        <v>120</v>
      </c>
      <c r="C174" s="420" t="s">
        <v>465</v>
      </c>
      <c r="D174" s="74" t="str">
        <f t="shared" si="15"/>
        <v>22.5</v>
      </c>
      <c r="E174" s="426" t="str">
        <f>_xlfn.XLOOKUP(A174,'7月排产计划'!G:G,'7月排产计划'!B:B)</f>
        <v>南美</v>
      </c>
      <c r="F174" s="69" t="str">
        <f t="shared" si="12"/>
        <v>南美22.5寸</v>
      </c>
      <c r="G174" s="69" t="e">
        <f>VLOOKUP(A174,'7月排产计划'!G180:G694,1,0)</f>
        <v>#N/A</v>
      </c>
      <c r="H174" s="74" t="e">
        <f t="shared" si="14"/>
        <v>#N/A</v>
      </c>
      <c r="I174" s="69" t="e">
        <f>VLOOKUP(A174,[2]Sheet1!$C$3:$G$310,5,0)</f>
        <v>#N/A</v>
      </c>
      <c r="J174" s="74">
        <f>VLOOKUP(A174,[3]KCBB0101!$C$3:$F$691,4,0)</f>
        <v>8000</v>
      </c>
      <c r="K174" s="74" t="str">
        <f>VLOOKUP(A174,'7月排产计划'!G120:G634,1,0)</f>
        <v>ID275/80R22.5-16PR(149/146M)[AD528]雅度无内</v>
      </c>
    </row>
    <row r="175" spans="1:11">
      <c r="A175" s="425" t="s">
        <v>473</v>
      </c>
      <c r="B175" s="417">
        <v>1600</v>
      </c>
      <c r="C175" s="420" t="s">
        <v>465</v>
      </c>
      <c r="D175" s="74" t="str">
        <f t="shared" si="15"/>
        <v>22.5</v>
      </c>
      <c r="E175" s="426" t="str">
        <f>_xlfn.XLOOKUP(A175,'7月排产计划'!G:G,'7月排产计划'!B:B)</f>
        <v>南美</v>
      </c>
      <c r="F175" s="69" t="str">
        <f t="shared" si="12"/>
        <v>南美22.5寸</v>
      </c>
      <c r="G175" s="69" t="e">
        <f>VLOOKUP(A175,'7月排产计划'!G181:G695,1,0)</f>
        <v>#N/A</v>
      </c>
      <c r="H175" s="74" t="e">
        <f t="shared" si="14"/>
        <v>#N/A</v>
      </c>
      <c r="I175" s="69" t="e">
        <f>VLOOKUP(A175,[2]Sheet1!$C$3:$G$310,5,0)</f>
        <v>#N/A</v>
      </c>
      <c r="J175" s="74">
        <f>VLOOKUP(A175,[3]KCBB0101!$C$3:$F$691,4,0)</f>
        <v>7000</v>
      </c>
      <c r="K175" s="74" t="str">
        <f>VLOOKUP(A175,'7月排产计划'!G121:G635,1,0)</f>
        <v>ID275/80R22.5-16PR(149/146M)[AS678]朝阳无内</v>
      </c>
    </row>
    <row r="176" spans="1:11">
      <c r="A176" s="425" t="s">
        <v>474</v>
      </c>
      <c r="B176" s="417">
        <v>1100</v>
      </c>
      <c r="C176" s="420" t="s">
        <v>465</v>
      </c>
      <c r="D176" s="74" t="str">
        <f t="shared" si="15"/>
        <v>22.5</v>
      </c>
      <c r="E176" s="426" t="str">
        <f>_xlfn.XLOOKUP(A176,'7月排产计划'!G:G,'7月排产计划'!B:B)</f>
        <v>南美</v>
      </c>
      <c r="F176" s="69" t="str">
        <f t="shared" si="12"/>
        <v>南美22.5寸</v>
      </c>
      <c r="G176" s="69" t="e">
        <f>VLOOKUP(A176,'7月排产计划'!G182:G696,1,0)</f>
        <v>#N/A</v>
      </c>
      <c r="H176" s="74" t="e">
        <f t="shared" si="14"/>
        <v>#N/A</v>
      </c>
      <c r="I176" s="69">
        <f>VLOOKUP(A176,[2]Sheet1!$C$3:$G$310,5,0)</f>
        <v>3000</v>
      </c>
      <c r="J176" s="74" t="e">
        <f>VLOOKUP(A176,[3]KCBB0101!$C$3:$F$691,4,0)</f>
        <v>#N/A</v>
      </c>
      <c r="K176" s="74" t="str">
        <f>VLOOKUP(A176,'7月排产计划'!G122:G636,1,0)</f>
        <v>ID275/80R22.5-16PR(149/146M)[AS678]威狮无内</v>
      </c>
    </row>
    <row r="177" spans="1:11">
      <c r="A177" s="425" t="s">
        <v>475</v>
      </c>
      <c r="B177" s="417">
        <v>3200</v>
      </c>
      <c r="C177" s="420" t="s">
        <v>465</v>
      </c>
      <c r="D177" s="74" t="str">
        <f t="shared" si="15"/>
        <v>22.5</v>
      </c>
      <c r="E177" s="426" t="str">
        <f>_xlfn.XLOOKUP(A177,'7月排产计划'!G:G,'7月排产计划'!B:B)</f>
        <v>南美</v>
      </c>
      <c r="F177" s="69" t="str">
        <f t="shared" si="12"/>
        <v>南美22.5寸</v>
      </c>
      <c r="G177" s="69" t="e">
        <f>VLOOKUP(A177,'7月排产计划'!G183:G697,1,0)</f>
        <v>#N/A</v>
      </c>
      <c r="H177" s="74" t="e">
        <f t="shared" si="14"/>
        <v>#N/A</v>
      </c>
      <c r="I177" s="69" t="e">
        <f>VLOOKUP(A177,[2]Sheet1!$C$3:$G$310,5,0)</f>
        <v>#N/A</v>
      </c>
      <c r="J177" s="74">
        <f>VLOOKUP(A177,[3]KCBB0101!$C$3:$F$691,4,0)</f>
        <v>8915</v>
      </c>
      <c r="K177" s="74" t="str">
        <f>VLOOKUP(A177,'7月排产计划'!G123:G637,1,0)</f>
        <v>ID275/80R22.5-16PR(149/146M)[AZ179]金冠无内</v>
      </c>
    </row>
    <row r="178" spans="1:11">
      <c r="A178" s="425" t="s">
        <v>476</v>
      </c>
      <c r="B178" s="417">
        <v>400</v>
      </c>
      <c r="C178" s="420" t="s">
        <v>465</v>
      </c>
      <c r="D178" s="74" t="str">
        <f t="shared" si="15"/>
        <v>22.5</v>
      </c>
      <c r="E178" s="426" t="str">
        <f>_xlfn.XLOOKUP(A178,'7月排产计划'!G:G,'7月排产计划'!B:B)</f>
        <v>南美</v>
      </c>
      <c r="F178" s="69" t="str">
        <f t="shared" si="12"/>
        <v>南美22.5寸</v>
      </c>
      <c r="G178" s="69" t="e">
        <f>VLOOKUP(A178,'7月排产计划'!G184:G698,1,0)</f>
        <v>#N/A</v>
      </c>
      <c r="H178" s="74" t="e">
        <f t="shared" si="14"/>
        <v>#N/A</v>
      </c>
      <c r="I178" s="69" t="e">
        <f>VLOOKUP(A178,[2]Sheet1!$C$3:$G$310,5,0)</f>
        <v>#N/A</v>
      </c>
      <c r="J178" s="74">
        <f>VLOOKUP(A178,[3]KCBB0101!$C$3:$F$691,4,0)</f>
        <v>8000</v>
      </c>
      <c r="K178" s="74" t="str">
        <f>VLOOKUP(A178,'7月排产计划'!G124:G638,1,0)</f>
        <v>ID275/80R22.5-16PR(149/146M)[BMD06 PRO]BRANSALES无内</v>
      </c>
    </row>
    <row r="179" spans="1:11">
      <c r="A179" s="425" t="s">
        <v>477</v>
      </c>
      <c r="B179" s="417">
        <v>350</v>
      </c>
      <c r="C179" s="420" t="s">
        <v>465</v>
      </c>
      <c r="D179" s="74" t="str">
        <f t="shared" si="15"/>
        <v>22.5</v>
      </c>
      <c r="E179" s="426" t="str">
        <f>_xlfn.XLOOKUP(A179,'7月排产计划'!G:G,'7月排产计划'!B:B)</f>
        <v>南美</v>
      </c>
      <c r="F179" s="69" t="str">
        <f t="shared" si="12"/>
        <v>南美22.5寸</v>
      </c>
      <c r="G179" s="69" t="e">
        <f>VLOOKUP(A179,'7月排产计划'!G185:G699,1,0)</f>
        <v>#N/A</v>
      </c>
      <c r="H179" s="74" t="e">
        <f t="shared" si="14"/>
        <v>#N/A</v>
      </c>
      <c r="I179" s="69" t="e">
        <f>VLOOKUP(A179,[2]Sheet1!$C$3:$G$310,5,0)</f>
        <v>#N/A</v>
      </c>
      <c r="J179" s="74">
        <f>VLOOKUP(A179,[3]KCBB0101!$C$3:$F$691,4,0)</f>
        <v>2450</v>
      </c>
      <c r="K179" s="74" t="str">
        <f>VLOOKUP(A179,'7月排产计划'!G125:G639,1,0)</f>
        <v>ID275/80R22.5-16PR(149/146M)[BRA04]BRANSALES无内</v>
      </c>
    </row>
    <row r="180" spans="1:11">
      <c r="A180" s="425" t="s">
        <v>478</v>
      </c>
      <c r="B180" s="417">
        <v>850</v>
      </c>
      <c r="C180" s="420" t="s">
        <v>465</v>
      </c>
      <c r="D180" s="74" t="str">
        <f t="shared" si="15"/>
        <v>22.5</v>
      </c>
      <c r="E180" s="426" t="str">
        <f>_xlfn.XLOOKUP(A180,'7月排产计划'!G:G,'7月排产计划'!B:B)</f>
        <v>南美</v>
      </c>
      <c r="F180" s="69" t="str">
        <f>E180&amp;D180&amp;"寸"</f>
        <v>南美22.5寸</v>
      </c>
      <c r="G180" s="69" t="e">
        <f>VLOOKUP(A180,'7月排产计划'!G186:G700,1,0)</f>
        <v>#N/A</v>
      </c>
      <c r="H180" s="74" t="e">
        <f t="shared" si="14"/>
        <v>#N/A</v>
      </c>
      <c r="I180" s="69">
        <f>VLOOKUP(A180,[2]Sheet1!$C$3:$G$310,5,0)</f>
        <v>20200</v>
      </c>
      <c r="J180" s="74" t="e">
        <f>VLOOKUP(A180,[3]KCBB0101!$C$3:$F$691,4,0)</f>
        <v>#N/A</v>
      </c>
      <c r="K180" s="74" t="str">
        <f>VLOOKUP(A180,'7月排产计划'!G126:G640,1,0)</f>
        <v>ID275/80R22.5-16PR(149/146M)[CR976A]威狮无内</v>
      </c>
    </row>
    <row r="181" spans="1:11">
      <c r="A181" s="425" t="s">
        <v>479</v>
      </c>
      <c r="B181" s="417">
        <v>1500</v>
      </c>
      <c r="C181" s="420" t="s">
        <v>465</v>
      </c>
      <c r="D181" s="74" t="str">
        <f t="shared" si="15"/>
        <v>22.5</v>
      </c>
      <c r="E181" s="426" t="str">
        <f>_xlfn.XLOOKUP(A181,'7月排产计划'!G:G,'7月排产计划'!B:B)</f>
        <v>南美</v>
      </c>
      <c r="F181" s="69" t="str">
        <f t="shared" ref="F181:F187" si="16">E181&amp;D181&amp;"寸"</f>
        <v>南美22.5寸</v>
      </c>
      <c r="G181" s="69" t="e">
        <f>VLOOKUP(A181,'7月排产计划'!G187:G701,1,0)</f>
        <v>#N/A</v>
      </c>
      <c r="H181" s="74" t="e">
        <f t="shared" si="14"/>
        <v>#N/A</v>
      </c>
      <c r="I181" s="69" t="e">
        <f>VLOOKUP(A181,[2]Sheet1!$C$3:$G$310,5,0)</f>
        <v>#N/A</v>
      </c>
      <c r="J181" s="74">
        <f>VLOOKUP(A181,[3]KCBB0101!$C$3:$F$691,4,0)</f>
        <v>1995</v>
      </c>
      <c r="K181" s="74" t="str">
        <f>VLOOKUP(A181,'7月排产计划'!G127:G641,1,0)</f>
        <v>ID275/80R22.5-16PR(149/146M)[G-PRO MSD]GRIPMASTER无内</v>
      </c>
    </row>
    <row r="182" spans="1:11">
      <c r="A182" s="425" t="s">
        <v>480</v>
      </c>
      <c r="B182" s="417">
        <v>600</v>
      </c>
      <c r="C182" s="420" t="s">
        <v>465</v>
      </c>
      <c r="D182" s="74" t="str">
        <f t="shared" si="15"/>
        <v>22.5</v>
      </c>
      <c r="E182" s="426" t="str">
        <f>_xlfn.XLOOKUP(A182,'7月排产计划'!G:G,'7月排产计划'!B:B)</f>
        <v>南美</v>
      </c>
      <c r="F182" s="69" t="str">
        <f t="shared" si="16"/>
        <v>南美22.5寸</v>
      </c>
      <c r="G182" s="69" t="e">
        <f>VLOOKUP(A182,'7月排产计划'!G188:G702,1,0)</f>
        <v>#N/A</v>
      </c>
      <c r="H182" s="74" t="e">
        <f t="shared" si="14"/>
        <v>#N/A</v>
      </c>
      <c r="I182" s="69" t="e">
        <f>VLOOKUP(A182,[2]Sheet1!$C$3:$G$310,5,0)</f>
        <v>#N/A</v>
      </c>
      <c r="J182" s="74">
        <f>VLOOKUP(A182,[3]KCBB0101!$C$3:$F$691,4,0)</f>
        <v>9866</v>
      </c>
      <c r="K182" s="74" t="str">
        <f>VLOOKUP(A182,'7月排产计划'!G128:G642,1,0)</f>
        <v>ID275/80R22.5-18PR(149/146L)[AZ179]金冠无内</v>
      </c>
    </row>
    <row r="183" spans="1:11">
      <c r="A183" s="425" t="s">
        <v>481</v>
      </c>
      <c r="B183" s="417">
        <v>1000</v>
      </c>
      <c r="C183" s="420" t="s">
        <v>465</v>
      </c>
      <c r="D183" s="74" t="str">
        <f t="shared" si="15"/>
        <v>22.5</v>
      </c>
      <c r="E183" s="426" t="str">
        <f>_xlfn.XLOOKUP(A183,'7月排产计划'!G:G,'7月排产计划'!B:B)</f>
        <v>南美</v>
      </c>
      <c r="F183" s="69" t="str">
        <f t="shared" si="16"/>
        <v>南美22.5寸</v>
      </c>
      <c r="G183" s="69" t="e">
        <f>VLOOKUP(A183,'7月排产计划'!G189:G703,1,0)</f>
        <v>#N/A</v>
      </c>
      <c r="H183" s="74" t="e">
        <f t="shared" si="14"/>
        <v>#N/A</v>
      </c>
      <c r="I183" s="69" t="e">
        <f>VLOOKUP(A183,[2]Sheet1!$C$3:$G$310,5,0)</f>
        <v>#N/A</v>
      </c>
      <c r="J183" s="74">
        <f>VLOOKUP(A183,[3]KCBB0101!$C$3:$F$691,4,0)</f>
        <v>2500</v>
      </c>
      <c r="K183" s="74" t="str">
        <f>VLOOKUP(A183,'7月排产计划'!G129:G643,1,0)</f>
        <v>ID275/80R22.5-18PR(149/146L)[AZ179]力奔无内</v>
      </c>
    </row>
    <row r="184" spans="1:11">
      <c r="A184" s="425" t="s">
        <v>482</v>
      </c>
      <c r="B184" s="417">
        <v>1000</v>
      </c>
      <c r="C184" s="420" t="s">
        <v>465</v>
      </c>
      <c r="D184" s="74" t="str">
        <f t="shared" si="15"/>
        <v>22.5</v>
      </c>
      <c r="E184" s="426" t="str">
        <f>_xlfn.XLOOKUP(A184,'7月排产计划'!G:G,'7月排产计划'!B:B)</f>
        <v>南美</v>
      </c>
      <c r="F184" s="69" t="str">
        <f t="shared" si="16"/>
        <v>南美22.5寸</v>
      </c>
      <c r="G184" s="69" t="e">
        <f>VLOOKUP(A184,'7月排产计划'!G190:G704,1,0)</f>
        <v>#N/A</v>
      </c>
      <c r="H184" s="74" t="e">
        <f t="shared" si="14"/>
        <v>#N/A</v>
      </c>
      <c r="I184" s="69" t="e">
        <f>VLOOKUP(A184,[2]Sheet1!$C$3:$G$310,5,0)</f>
        <v>#N/A</v>
      </c>
      <c r="J184" s="74" t="e">
        <f>VLOOKUP(A184,[3]KCBB0101!$C$3:$F$691,4,0)</f>
        <v>#N/A</v>
      </c>
      <c r="K184" s="74" t="str">
        <f>VLOOKUP(A184,'7月排产计划'!G130:G644,1,0)</f>
        <v>ID275/80R22.5-18PR(149/146L)[AZ179]欧耐特无内</v>
      </c>
    </row>
    <row r="185" spans="1:11">
      <c r="A185" s="425" t="s">
        <v>483</v>
      </c>
      <c r="B185" s="417">
        <v>200</v>
      </c>
      <c r="C185" s="420" t="s">
        <v>314</v>
      </c>
      <c r="D185" s="74" t="str">
        <f t="shared" si="15"/>
        <v>24.5</v>
      </c>
      <c r="E185" s="426" t="str">
        <f>_xlfn.XLOOKUP(A185,'7月排产计划'!G:G,'7月排产计划'!B:B)</f>
        <v>北美</v>
      </c>
      <c r="F185" s="69" t="str">
        <f t="shared" si="16"/>
        <v>北美24.5寸</v>
      </c>
      <c r="G185" s="69" t="e">
        <f>VLOOKUP(A185,'7月排产计划'!G191:G705,1,0)</f>
        <v>#N/A</v>
      </c>
      <c r="H185" s="74" t="e">
        <f t="shared" si="14"/>
        <v>#N/A</v>
      </c>
      <c r="I185" s="69" t="e">
        <f>VLOOKUP(A185,[2]Sheet1!$C$3:$G$310,5,0)</f>
        <v>#N/A</v>
      </c>
      <c r="J185" s="74">
        <f>VLOOKUP(A185,[3]KCBB0101!$C$3:$F$691,4,0)</f>
        <v>2068</v>
      </c>
      <c r="K185" s="74" t="str">
        <f>VLOOKUP(A185,'7月排产计划'!G3:G517,1,0)</f>
        <v>ID285/75R24.5-14PR(144/141L)[HD1 Plus]SUPERMAX无内</v>
      </c>
    </row>
    <row r="186" spans="1:11">
      <c r="A186" s="425" t="s">
        <v>484</v>
      </c>
      <c r="B186" s="417">
        <v>300</v>
      </c>
      <c r="C186" s="420" t="s">
        <v>314</v>
      </c>
      <c r="D186" s="74" t="str">
        <f t="shared" si="15"/>
        <v>24.5</v>
      </c>
      <c r="E186" s="426" t="str">
        <f>_xlfn.XLOOKUP(A186,'7月排产计划'!G:G,'7月排产计划'!B:B)</f>
        <v>北美</v>
      </c>
      <c r="F186" s="69" t="str">
        <f t="shared" si="16"/>
        <v>北美24.5寸</v>
      </c>
      <c r="G186" s="69" t="e">
        <f>VLOOKUP(A186,'7月排产计划'!G192:G706,1,0)</f>
        <v>#N/A</v>
      </c>
      <c r="H186" s="74" t="e">
        <f t="shared" si="14"/>
        <v>#N/A</v>
      </c>
      <c r="I186" s="69" t="e">
        <f>VLOOKUP(A186,[2]Sheet1!$C$3:$G$310,5,0)</f>
        <v>#N/A</v>
      </c>
      <c r="J186" s="74">
        <f>VLOOKUP(A186,[3]KCBB0101!$C$3:$F$691,4,0)</f>
        <v>1986</v>
      </c>
      <c r="K186" s="74" t="str">
        <f>VLOOKUP(A186,'7月排产计划'!G4:G518,1,0)</f>
        <v>ID285/75R24.5-14PR(144/141L)[HF1 Plus]SUPERMAX无内</v>
      </c>
    </row>
    <row r="187" spans="1:11">
      <c r="A187" s="425" t="s">
        <v>485</v>
      </c>
      <c r="B187" s="417">
        <v>1000</v>
      </c>
      <c r="C187" s="420" t="s">
        <v>314</v>
      </c>
      <c r="D187" s="74" t="str">
        <f t="shared" si="15"/>
        <v>24.5</v>
      </c>
      <c r="E187" s="426" t="str">
        <f>_xlfn.XLOOKUP(A187,'7月排产计划'!G:G,'7月排产计划'!B:B)</f>
        <v>北美</v>
      </c>
      <c r="F187" s="69" t="str">
        <f t="shared" si="16"/>
        <v>北美24.5寸</v>
      </c>
      <c r="G187" s="69" t="e">
        <f>VLOOKUP(A187,'7月排产计划'!G193:G707,1,0)</f>
        <v>#N/A</v>
      </c>
      <c r="H187" s="74" t="e">
        <f t="shared" si="14"/>
        <v>#N/A</v>
      </c>
      <c r="I187" s="69">
        <f>VLOOKUP(A187,[2]Sheet1!$C$3:$G$310,5,0)</f>
        <v>4550</v>
      </c>
      <c r="J187" s="74" t="e">
        <f>VLOOKUP(A187,[3]KCBB0101!$C$3:$F$691,4,0)</f>
        <v>#N/A</v>
      </c>
      <c r="K187" s="74" t="str">
        <f>VLOOKUP(A187,'7月排产计划'!G5:G519,1,0)</f>
        <v>ID285/75R24.5-14PR(144/141L)[I-28D]IRONMAN无内 SMARTWAY</v>
      </c>
    </row>
    <row r="188" spans="1:11">
      <c r="A188" s="425" t="s">
        <v>486</v>
      </c>
      <c r="B188" s="417">
        <v>250</v>
      </c>
      <c r="C188" s="420" t="s">
        <v>314</v>
      </c>
      <c r="D188" s="74" t="str">
        <f t="shared" si="15"/>
        <v>24.5</v>
      </c>
      <c r="E188" s="426" t="str">
        <f>_xlfn.XLOOKUP(A188,'7月排产计划'!G:G,'7月排产计划'!B:B)</f>
        <v>北美</v>
      </c>
      <c r="F188" s="69" t="str">
        <f t="shared" ref="F181:F244" si="17">E188&amp;D188&amp;"寸"</f>
        <v>北美24.5寸</v>
      </c>
      <c r="G188" s="69" t="e">
        <f>VLOOKUP(A188,'7月排产计划'!G194:G708,1,0)</f>
        <v>#N/A</v>
      </c>
      <c r="H188" s="74" t="e">
        <f t="shared" si="14"/>
        <v>#N/A</v>
      </c>
      <c r="I188" s="69">
        <f>VLOOKUP(A188,[2]Sheet1!$C$3:$G$310,5,0)</f>
        <v>4550</v>
      </c>
      <c r="J188" s="74" t="e">
        <f>VLOOKUP(A188,[3]KCBB0101!$C$3:$F$691,4,0)</f>
        <v>#N/A</v>
      </c>
      <c r="K188" s="74" t="str">
        <f>VLOOKUP(A188,'7月排产计划'!G6:G520,1,0)</f>
        <v>ID285/75R24.5-14PR(144/141L)[I-37D]IRONMAN无内</v>
      </c>
    </row>
    <row r="189" spans="1:11">
      <c r="A189" s="438" t="s">
        <v>487</v>
      </c>
      <c r="B189" s="417">
        <v>180</v>
      </c>
      <c r="C189" s="420" t="s">
        <v>314</v>
      </c>
      <c r="D189" s="74" t="str">
        <f t="shared" si="15"/>
        <v>24.5</v>
      </c>
      <c r="E189" s="426" t="str">
        <f>_xlfn.XLOOKUP(A189,'7月排产计划'!G:G,'7月排产计划'!B:B)</f>
        <v>北美</v>
      </c>
      <c r="F189" s="69" t="str">
        <f t="shared" si="17"/>
        <v>北美24.5寸</v>
      </c>
      <c r="G189" s="69" t="e">
        <f>VLOOKUP(A189,'7月排产计划'!G195:G709,1,0)</f>
        <v>#N/A</v>
      </c>
      <c r="H189" s="74" t="e">
        <f t="shared" si="14"/>
        <v>#N/A</v>
      </c>
      <c r="I189" s="69">
        <f>VLOOKUP(A189,[2]Sheet1!$C$3:$G$310,5,0)</f>
        <v>8500</v>
      </c>
      <c r="J189" s="74" t="e">
        <f>VLOOKUP(A189,[3]KCBB0101!$C$3:$F$691,4,0)</f>
        <v>#N/A</v>
      </c>
      <c r="K189" s="74" t="str">
        <f>VLOOKUP(A189,'7月排产计划'!G7:G521,1,0)</f>
        <v>ID285/75R24.5-14PR(144/141L)[Strong Guard H-TL]HERCULES无内</v>
      </c>
    </row>
    <row r="190" spans="1:11">
      <c r="A190" s="425" t="s">
        <v>488</v>
      </c>
      <c r="B190" s="417">
        <v>1100</v>
      </c>
      <c r="C190" s="420" t="s">
        <v>314</v>
      </c>
      <c r="D190" s="74" t="str">
        <f t="shared" si="15"/>
        <v>24.5</v>
      </c>
      <c r="E190" s="426" t="str">
        <f>_xlfn.XLOOKUP(A190,'7月排产计划'!G:G,'7月排产计划'!B:B)</f>
        <v>北美</v>
      </c>
      <c r="F190" s="69" t="str">
        <f t="shared" si="17"/>
        <v>北美24.5寸</v>
      </c>
      <c r="G190" s="69" t="e">
        <f>VLOOKUP(A190,'7月排产计划'!G196:G710,1,0)</f>
        <v>#N/A</v>
      </c>
      <c r="H190" s="74" t="e">
        <f t="shared" si="14"/>
        <v>#N/A</v>
      </c>
      <c r="I190" s="69">
        <f>VLOOKUP(A190,[2]Sheet1!$C$3:$G$310,5,0)</f>
        <v>11973</v>
      </c>
      <c r="J190" s="74" t="e">
        <f>VLOOKUP(A190,[3]KCBB0101!$C$3:$F$691,4,0)</f>
        <v>#N/A</v>
      </c>
      <c r="K190" s="74" t="str">
        <f>VLOOKUP(A190,'7月排产计划'!G8:G522,1,0)</f>
        <v>ID285/75R24.5-14PR(144/141M)[I-19A]IRONMAN无内 SMARTWAY</v>
      </c>
    </row>
    <row r="191" spans="1:11">
      <c r="A191" s="425" t="s">
        <v>489</v>
      </c>
      <c r="B191" s="417">
        <v>560</v>
      </c>
      <c r="C191" s="420" t="s">
        <v>314</v>
      </c>
      <c r="D191" s="74" t="str">
        <f t="shared" si="15"/>
        <v>24.5</v>
      </c>
      <c r="E191" s="426" t="str">
        <f>_xlfn.XLOOKUP(A191,'7月排产计划'!G:G,'7月排产计划'!B:B)</f>
        <v>北美</v>
      </c>
      <c r="F191" s="69" t="str">
        <f t="shared" si="17"/>
        <v>北美24.5寸</v>
      </c>
      <c r="G191" s="69" t="e">
        <f>VLOOKUP(A191,'7月排产计划'!G197:G711,1,0)</f>
        <v>#N/A</v>
      </c>
      <c r="H191" s="74" t="e">
        <f t="shared" si="14"/>
        <v>#N/A</v>
      </c>
      <c r="I191" s="69">
        <f>VLOOKUP(A191,[2]Sheet1!$C$3:$G$310,5,0)</f>
        <v>4650</v>
      </c>
      <c r="J191" s="74" t="e">
        <f>VLOOKUP(A191,[3]KCBB0101!$C$3:$F$691,4,0)</f>
        <v>#N/A</v>
      </c>
      <c r="K191" s="74" t="str">
        <f>VLOOKUP(A191,'7月排产计划'!G9:G523,1,0)</f>
        <v>ID285/75R24.5-14PR(144/141M)[I-48T]IRONMAN无内 SMARTWAY</v>
      </c>
    </row>
    <row r="192" spans="1:11">
      <c r="A192" s="425" t="s">
        <v>490</v>
      </c>
      <c r="B192" s="417">
        <v>980</v>
      </c>
      <c r="C192" s="420" t="s">
        <v>314</v>
      </c>
      <c r="D192" s="74" t="str">
        <f t="shared" si="15"/>
        <v>24.5</v>
      </c>
      <c r="E192" s="426" t="str">
        <f>_xlfn.XLOOKUP(A192,'7月排产计划'!G:G,'7月排产计划'!B:B)</f>
        <v>北美</v>
      </c>
      <c r="F192" s="69" t="str">
        <f t="shared" si="17"/>
        <v>北美24.5寸</v>
      </c>
      <c r="G192" s="69" t="e">
        <f>VLOOKUP(A192,'7月排产计划'!G198:G712,1,0)</f>
        <v>#N/A</v>
      </c>
      <c r="H192" s="74" t="e">
        <f t="shared" si="14"/>
        <v>#N/A</v>
      </c>
      <c r="I192" s="69" t="e">
        <f>VLOOKUP(A192,[2]Sheet1!$C$3:$G$310,5,0)</f>
        <v>#N/A</v>
      </c>
      <c r="J192" s="74">
        <f>VLOOKUP(A192,[3]KCBB0101!$C$3:$F$691,4,0)</f>
        <v>8000</v>
      </c>
      <c r="K192" s="74" t="str">
        <f>VLOOKUP(A192,'7月排产计划'!G10:G524,1,0)</f>
        <v>ID285/75R24.5-16PR(147/144L)[M-TRAC AP]MASTERTRACK无内</v>
      </c>
    </row>
    <row r="193" spans="1:11">
      <c r="A193" s="425" t="s">
        <v>192</v>
      </c>
      <c r="B193" s="417">
        <v>600</v>
      </c>
      <c r="C193" s="420" t="s">
        <v>314</v>
      </c>
      <c r="D193" s="74" t="str">
        <f t="shared" si="15"/>
        <v>24.5</v>
      </c>
      <c r="E193" s="426" t="str">
        <f>_xlfn.XLOOKUP(A193,'7月排产计划'!G:G,'7月排产计划'!B:B)</f>
        <v>美国</v>
      </c>
      <c r="F193" s="69" t="str">
        <f t="shared" si="17"/>
        <v>美国24.5寸</v>
      </c>
      <c r="G193" s="69" t="e">
        <f>VLOOKUP(A193,'7月排产计划'!G199:G713,1,0)</f>
        <v>#N/A</v>
      </c>
      <c r="H193" s="74" t="e">
        <f t="shared" si="14"/>
        <v>#N/A</v>
      </c>
      <c r="I193" s="69" t="e">
        <f>VLOOKUP(A193,[2]Sheet1!$C$3:$G$310,5,0)</f>
        <v>#N/A</v>
      </c>
      <c r="J193" s="74" t="e">
        <f>VLOOKUP(A193,[3]KCBB0101!$C$3:$F$691,4,0)</f>
        <v>#N/A</v>
      </c>
      <c r="K193" s="74" t="str">
        <f>VLOOKUP(A193,'7月排产计划'!G11:G525,1,0)</f>
        <v>ID285/75R24.5-16PR(147/144L)[M-TRAC CSD]MASTERTRACK无内</v>
      </c>
    </row>
    <row r="194" spans="1:11">
      <c r="A194" s="425" t="s">
        <v>491</v>
      </c>
      <c r="B194" s="417">
        <v>150</v>
      </c>
      <c r="C194" s="420" t="s">
        <v>314</v>
      </c>
      <c r="D194" s="74" t="str">
        <f t="shared" si="15"/>
        <v>24.5</v>
      </c>
      <c r="E194" s="426" t="str">
        <f>_xlfn.XLOOKUP(A194,'7月排产计划'!G:G,'7月排产计划'!B:B)</f>
        <v>北美</v>
      </c>
      <c r="F194" s="69" t="str">
        <f t="shared" si="17"/>
        <v>北美24.5寸</v>
      </c>
      <c r="G194" s="69" t="e">
        <f>VLOOKUP(A194,'7月排产计划'!G200:G714,1,0)</f>
        <v>#N/A</v>
      </c>
      <c r="H194" s="74" t="e">
        <f t="shared" ref="H194:H257" si="18">D194&amp;G194</f>
        <v>#N/A</v>
      </c>
      <c r="I194" s="69">
        <f>VLOOKUP(A194,[2]Sheet1!$C$3:$G$310,5,0)</f>
        <v>5350</v>
      </c>
      <c r="J194" s="74" t="e">
        <f>VLOOKUP(A194,[3]KCBB0101!$C$3:$F$691,4,0)</f>
        <v>#N/A</v>
      </c>
      <c r="K194" s="74" t="str">
        <f>VLOOKUP(A194,'7月排产计划'!G12:G526,1,0)</f>
        <v>ID285/75R24.5-16PR(147/144M)[I-61S]IRONMAN无内 SMARTWAY</v>
      </c>
    </row>
    <row r="195" spans="1:11">
      <c r="A195" s="425" t="s">
        <v>492</v>
      </c>
      <c r="B195" s="417">
        <v>500</v>
      </c>
      <c r="C195" s="420" t="s">
        <v>317</v>
      </c>
      <c r="D195" s="74" t="str">
        <f t="shared" si="15"/>
        <v>24.5</v>
      </c>
      <c r="E195" s="426" t="str">
        <f>_xlfn.XLOOKUP(A195,'7月排产计划'!G:G,'7月排产计划'!B:B)</f>
        <v>亚</v>
      </c>
      <c r="F195" s="69" t="str">
        <f t="shared" si="17"/>
        <v>亚24.5寸</v>
      </c>
      <c r="G195" s="69" t="e">
        <f>VLOOKUP(A195,'7月排产计划'!G201:G715,1,0)</f>
        <v>#N/A</v>
      </c>
      <c r="H195" s="74" t="e">
        <f t="shared" si="18"/>
        <v>#N/A</v>
      </c>
      <c r="I195" s="69">
        <f>VLOOKUP(A195,[2]Sheet1!$C$3:$G$310,5,0)</f>
        <v>7400</v>
      </c>
      <c r="J195" s="74" t="e">
        <f>VLOOKUP(A195,[3]KCBB0101!$C$3:$F$691,4,0)</f>
        <v>#N/A</v>
      </c>
      <c r="K195" s="74" t="str">
        <f>VLOOKUP(A195,'7月排产计划'!G13:G527,1,0)</f>
        <v>ID285/75R24.5-16PR(147/144L)[VA996]VITOUR无内</v>
      </c>
    </row>
    <row r="196" spans="1:11">
      <c r="A196" s="425" t="s">
        <v>493</v>
      </c>
      <c r="B196" s="417">
        <v>280</v>
      </c>
      <c r="C196" s="420" t="s">
        <v>314</v>
      </c>
      <c r="D196" s="74" t="str">
        <f t="shared" si="15"/>
        <v>22.5</v>
      </c>
      <c r="E196" s="426" t="str">
        <f>_xlfn.XLOOKUP(A196,'7月排产计划'!G:G,'7月排产计划'!B:B)</f>
        <v>北美</v>
      </c>
      <c r="F196" s="69" t="str">
        <f t="shared" si="17"/>
        <v>北美22.5寸</v>
      </c>
      <c r="G196" s="69" t="e">
        <f>VLOOKUP(A196,'7月排产计划'!G202:G716,1,0)</f>
        <v>#N/A</v>
      </c>
      <c r="H196" s="74" t="e">
        <f t="shared" si="18"/>
        <v>#N/A</v>
      </c>
      <c r="I196" s="69" t="e">
        <f>VLOOKUP(A196,[2]Sheet1!$C$3:$G$310,5,0)</f>
        <v>#N/A</v>
      </c>
      <c r="J196" s="74">
        <f>VLOOKUP(A196,[3]KCBB0101!$C$3:$F$691,4,0)</f>
        <v>3000</v>
      </c>
      <c r="K196" s="74" t="str">
        <f>VLOOKUP(A196,'7月排产计划'!G14:G528,1,0)</f>
        <v>ID295/75R22.5-14PR(144/141L)[AS600]ARISUN无内</v>
      </c>
    </row>
    <row r="197" spans="1:11">
      <c r="A197" s="425" t="s">
        <v>494</v>
      </c>
      <c r="B197" s="417">
        <v>250</v>
      </c>
      <c r="C197" s="420" t="s">
        <v>314</v>
      </c>
      <c r="D197" s="74" t="str">
        <f t="shared" si="15"/>
        <v>22.5</v>
      </c>
      <c r="E197" s="426" t="str">
        <f>_xlfn.XLOOKUP(A197,'7月排产计划'!G:G,'7月排产计划'!B:B)</f>
        <v>北美</v>
      </c>
      <c r="F197" s="69" t="str">
        <f t="shared" si="17"/>
        <v>北美22.5寸</v>
      </c>
      <c r="G197" s="69" t="e">
        <f>VLOOKUP(A197,'7月排产计划'!G203:G717,1,0)</f>
        <v>#N/A</v>
      </c>
      <c r="H197" s="74" t="e">
        <f t="shared" si="18"/>
        <v>#N/A</v>
      </c>
      <c r="I197" s="69" t="e">
        <f>VLOOKUP(A197,[2]Sheet1!$C$3:$G$310,5,0)</f>
        <v>#N/A</v>
      </c>
      <c r="J197" s="74">
        <f>VLOOKUP(A197,[3]KCBB0101!$C$3:$F$691,4,0)</f>
        <v>4709</v>
      </c>
      <c r="K197" s="74" t="str">
        <f>VLOOKUP(A197,'7月排产计划'!G15:G529,1,0)</f>
        <v>ID295/75R22.5-14PR(144/141L)[HD1 Plus]SUPERMAX无内</v>
      </c>
    </row>
    <row r="198" spans="1:11">
      <c r="A198" s="425" t="s">
        <v>495</v>
      </c>
      <c r="B198" s="417">
        <v>900</v>
      </c>
      <c r="C198" s="420" t="s">
        <v>314</v>
      </c>
      <c r="D198" s="74" t="str">
        <f t="shared" si="15"/>
        <v>22.5</v>
      </c>
      <c r="E198" s="426" t="str">
        <f>_xlfn.XLOOKUP(A198,'7月排产计划'!G:G,'7月排产计划'!B:B)</f>
        <v>北美</v>
      </c>
      <c r="F198" s="69" t="str">
        <f t="shared" si="17"/>
        <v>北美22.5寸</v>
      </c>
      <c r="G198" s="69" t="e">
        <f>VLOOKUP(A198,'7月排产计划'!G204:G718,1,0)</f>
        <v>#N/A</v>
      </c>
      <c r="H198" s="74" t="e">
        <f t="shared" si="18"/>
        <v>#N/A</v>
      </c>
      <c r="I198" s="69" t="e">
        <f>VLOOKUP(A198,[2]Sheet1!$C$3:$G$310,5,0)</f>
        <v>#N/A</v>
      </c>
      <c r="J198" s="74">
        <f>VLOOKUP(A198,[3]KCBB0101!$C$3:$F$691,4,0)</f>
        <v>8370</v>
      </c>
      <c r="K198" s="74" t="str">
        <f>VLOOKUP(A198,'7月排产计划'!G16:G530,1,0)</f>
        <v>ID295/75R22.5-14PR(144/141L)[HT1 Plus]SUPERMAX无内</v>
      </c>
    </row>
    <row r="199" spans="1:11">
      <c r="A199" s="425" t="s">
        <v>496</v>
      </c>
      <c r="B199" s="417">
        <v>2600</v>
      </c>
      <c r="C199" s="420" t="s">
        <v>314</v>
      </c>
      <c r="D199" s="74" t="str">
        <f t="shared" si="15"/>
        <v>22.5</v>
      </c>
      <c r="E199" s="426" t="str">
        <f>_xlfn.XLOOKUP(A199,'7月排产计划'!G:G,'7月排产计划'!B:B)</f>
        <v>北美</v>
      </c>
      <c r="F199" s="69" t="str">
        <f t="shared" si="17"/>
        <v>北美22.5寸</v>
      </c>
      <c r="G199" s="69" t="e">
        <f>VLOOKUP(A199,'7月排产计划'!G205:G719,1,0)</f>
        <v>#N/A</v>
      </c>
      <c r="H199" s="74" t="e">
        <f t="shared" si="18"/>
        <v>#N/A</v>
      </c>
      <c r="I199" s="69">
        <f>VLOOKUP(A199,[2]Sheet1!$C$3:$G$310,5,0)</f>
        <v>12238</v>
      </c>
      <c r="J199" s="74" t="e">
        <f>VLOOKUP(A199,[3]KCBB0101!$C$3:$F$691,4,0)</f>
        <v>#N/A</v>
      </c>
      <c r="K199" s="74" t="str">
        <f>VLOOKUP(A199,'7月排产计划'!G17:G531,1,0)</f>
        <v>ID295/75R22.5-14PR(144/141L)[I-28D]IRONMAN无内 SMARTWAY</v>
      </c>
    </row>
    <row r="200" spans="1:11">
      <c r="A200" s="425" t="s">
        <v>131</v>
      </c>
      <c r="B200" s="417">
        <v>450</v>
      </c>
      <c r="C200" s="420" t="s">
        <v>314</v>
      </c>
      <c r="D200" s="74" t="str">
        <f t="shared" si="15"/>
        <v>22.5</v>
      </c>
      <c r="E200" s="426" t="str">
        <f>_xlfn.XLOOKUP(A200,'7月排产计划'!G:G,'7月排产计划'!B:B)</f>
        <v>北美</v>
      </c>
      <c r="F200" s="69" t="str">
        <f t="shared" si="17"/>
        <v>北美22.5寸</v>
      </c>
      <c r="G200" s="69" t="e">
        <f>VLOOKUP(A200,'7月排产计划'!G206:G720,1,0)</f>
        <v>#N/A</v>
      </c>
      <c r="H200" s="74" t="e">
        <f t="shared" si="18"/>
        <v>#N/A</v>
      </c>
      <c r="I200" s="69" t="e">
        <f>VLOOKUP(A200,[2]Sheet1!$C$3:$G$310,5,0)</f>
        <v>#N/A</v>
      </c>
      <c r="J200" s="74" t="e">
        <f>VLOOKUP(A200,[3]KCBB0101!$C$3:$F$691,4,0)</f>
        <v>#N/A</v>
      </c>
      <c r="K200" s="74" t="str">
        <f>VLOOKUP(A200,'7月排产计划'!G18:G532,1,0)</f>
        <v>ID295/75R22.5-14PR(144/141L)[M-TRAC AP]MASTERTRACK无内</v>
      </c>
    </row>
    <row r="201" spans="1:11">
      <c r="A201" s="425" t="s">
        <v>497</v>
      </c>
      <c r="B201" s="417">
        <v>900</v>
      </c>
      <c r="C201" s="420" t="s">
        <v>314</v>
      </c>
      <c r="D201" s="74" t="str">
        <f t="shared" si="15"/>
        <v>22.5</v>
      </c>
      <c r="E201" s="426" t="str">
        <f>_xlfn.XLOOKUP(A201,'7月排产计划'!G:G,'7月排产计划'!B:B)</f>
        <v>北美</v>
      </c>
      <c r="F201" s="69" t="str">
        <f t="shared" si="17"/>
        <v>北美22.5寸</v>
      </c>
      <c r="G201" s="69" t="e">
        <f>VLOOKUP(A201,'7月排产计划'!G207:G721,1,0)</f>
        <v>#N/A</v>
      </c>
      <c r="H201" s="74" t="e">
        <f t="shared" si="18"/>
        <v>#N/A</v>
      </c>
      <c r="I201" s="69" t="e">
        <f>VLOOKUP(A201,[2]Sheet1!$C$3:$G$310,5,0)</f>
        <v>#N/A</v>
      </c>
      <c r="J201" s="74">
        <f>VLOOKUP(A201,[3]KCBB0101!$C$3:$F$691,4,0)</f>
        <v>11000</v>
      </c>
      <c r="K201" s="74" t="str">
        <f>VLOOKUP(A201,'7月排产计划'!G19:G533,1,0)</f>
        <v>ID295/75R22.5-14PR(144/141L)[M-TRAC CSD]MASTERTRACK无内</v>
      </c>
    </row>
    <row r="202" spans="1:11">
      <c r="A202" s="425" t="s">
        <v>498</v>
      </c>
      <c r="B202" s="417">
        <v>850</v>
      </c>
      <c r="C202" s="420" t="s">
        <v>314</v>
      </c>
      <c r="D202" s="74" t="str">
        <f t="shared" si="15"/>
        <v>22.5</v>
      </c>
      <c r="E202" s="426" t="str">
        <f>_xlfn.XLOOKUP(A202,'7月排产计划'!G:G,'7月排产计划'!B:B)</f>
        <v>北美</v>
      </c>
      <c r="F202" s="69" t="str">
        <f t="shared" si="17"/>
        <v>北美22.5寸</v>
      </c>
      <c r="G202" s="69" t="e">
        <f>VLOOKUP(A202,'7月排产计划'!G208:G722,1,0)</f>
        <v>#N/A</v>
      </c>
      <c r="H202" s="74" t="e">
        <f t="shared" si="18"/>
        <v>#N/A</v>
      </c>
      <c r="I202" s="69" t="e">
        <f>VLOOKUP(A202,[2]Sheet1!$C$3:$G$310,5,0)</f>
        <v>#N/A</v>
      </c>
      <c r="J202" s="74">
        <f>VLOOKUP(A202,[3]KCBB0101!$C$3:$F$691,4,0)</f>
        <v>5000</v>
      </c>
      <c r="K202" s="74" t="str">
        <f>VLOOKUP(A202,'7月排产计划'!G20:G534,1,0)</f>
        <v>ID295/75R22.5-14PR(144/141L)[M-TRAC OSD]MASTERTRACK无内</v>
      </c>
    </row>
    <row r="203" spans="1:11">
      <c r="A203" s="425" t="s">
        <v>499</v>
      </c>
      <c r="B203" s="417">
        <v>2000</v>
      </c>
      <c r="C203" s="420" t="s">
        <v>314</v>
      </c>
      <c r="D203" s="74" t="str">
        <f>MID(A203,FIND("R",A203)+1,4)</f>
        <v>22.5</v>
      </c>
      <c r="E203" s="426" t="str">
        <f>_xlfn.XLOOKUP(A203,'7月排产计划'!G:G,'7月排产计划'!B:B)</f>
        <v>北美</v>
      </c>
      <c r="F203" s="69" t="str">
        <f t="shared" si="17"/>
        <v>北美22.5寸</v>
      </c>
      <c r="G203" s="69" t="e">
        <f>VLOOKUP(A203,'7月排产计划'!G209:G723,1,0)</f>
        <v>#N/A</v>
      </c>
      <c r="H203" s="74" t="e">
        <f t="shared" si="18"/>
        <v>#N/A</v>
      </c>
      <c r="I203" s="69" t="e">
        <f>VLOOKUP(A203,[2]Sheet1!$C$3:$G$310,5,0)</f>
        <v>#N/A</v>
      </c>
      <c r="J203" s="74">
        <f>VLOOKUP(A203,[3]KCBB0101!$C$3:$F$691,4,0)</f>
        <v>5000</v>
      </c>
      <c r="K203" s="74" t="str">
        <f>VLOOKUP(A203,'7月排产计划'!G21:G535,1,0)</f>
        <v>ID295/75R22.5-14PR(144/141L)[M-TRAC TR]MASTERTRACK无内</v>
      </c>
    </row>
    <row r="204" spans="1:11">
      <c r="A204" s="425" t="s">
        <v>500</v>
      </c>
      <c r="B204" s="417">
        <v>250</v>
      </c>
      <c r="C204" s="420" t="s">
        <v>314</v>
      </c>
      <c r="D204" s="74" t="str">
        <f t="shared" ref="D204:D267" si="19">MID(A204,FIND("R",A204)+1,4)</f>
        <v>22.5</v>
      </c>
      <c r="E204" s="426" t="str">
        <f>_xlfn.XLOOKUP(A204,'7月排产计划'!G:G,'7月排产计划'!B:B)</f>
        <v>北美</v>
      </c>
      <c r="F204" s="69" t="str">
        <f t="shared" si="17"/>
        <v>北美22.5寸</v>
      </c>
      <c r="G204" s="69" t="e">
        <f>VLOOKUP(A204,'7月排产计划'!G210:G724,1,0)</f>
        <v>#N/A</v>
      </c>
      <c r="H204" s="74" t="e">
        <f t="shared" si="18"/>
        <v>#N/A</v>
      </c>
      <c r="I204" s="69">
        <f>VLOOKUP(A204,[2]Sheet1!$C$3:$G$310,5,0)</f>
        <v>3000</v>
      </c>
      <c r="J204" s="74" t="e">
        <f>VLOOKUP(A204,[3]KCBB0101!$C$3:$F$691,4,0)</f>
        <v>#N/A</v>
      </c>
      <c r="K204" s="74" t="str">
        <f>VLOOKUP(A204,'7月排产计划'!G22:G536,1,0)</f>
        <v>ID295/75R22.5-14PR(144/141L)[Strong Guard H-RD]HERCULES无内</v>
      </c>
    </row>
    <row r="205" spans="1:11">
      <c r="A205" s="425" t="s">
        <v>501</v>
      </c>
      <c r="B205" s="417">
        <v>420</v>
      </c>
      <c r="C205" s="420" t="s">
        <v>314</v>
      </c>
      <c r="D205" s="74" t="str">
        <f t="shared" si="19"/>
        <v>22.5</v>
      </c>
      <c r="E205" s="426" t="str">
        <f>_xlfn.XLOOKUP(A205,'7月排产计划'!G:G,'7月排产计划'!B:B)</f>
        <v>北美</v>
      </c>
      <c r="F205" s="69" t="str">
        <f t="shared" si="17"/>
        <v>北美22.5寸</v>
      </c>
      <c r="G205" s="69" t="e">
        <f>VLOOKUP(A205,'7月排产计划'!G211:G725,1,0)</f>
        <v>#N/A</v>
      </c>
      <c r="H205" s="74" t="e">
        <f t="shared" si="18"/>
        <v>#N/A</v>
      </c>
      <c r="I205" s="69" t="e">
        <f>VLOOKUP(A205,[2]Sheet1!$C$3:$G$310,5,0)</f>
        <v>#N/A</v>
      </c>
      <c r="J205" s="74">
        <f>VLOOKUP(A205,[3]KCBB0101!$C$3:$F$691,4,0)</f>
        <v>3204</v>
      </c>
      <c r="K205" s="74" t="str">
        <f>VLOOKUP(A205,'7月排产计划'!G23:G537,1,0)</f>
        <v>ID295/75R22.5-14PR(144/141M)[AT552]ARISUN无内</v>
      </c>
    </row>
    <row r="206" spans="1:11">
      <c r="A206" s="425" t="s">
        <v>502</v>
      </c>
      <c r="B206" s="417">
        <v>950</v>
      </c>
      <c r="C206" s="420" t="s">
        <v>314</v>
      </c>
      <c r="D206" s="74" t="str">
        <f t="shared" si="19"/>
        <v>22.5</v>
      </c>
      <c r="E206" s="426" t="str">
        <f>_xlfn.XLOOKUP(A206,'7月排产计划'!G:G,'7月排产计划'!B:B)</f>
        <v>北美</v>
      </c>
      <c r="F206" s="69" t="str">
        <f t="shared" si="17"/>
        <v>北美22.5寸</v>
      </c>
      <c r="G206" s="69" t="e">
        <f>VLOOKUP(A206,'7月排产计划'!G212:G726,1,0)</f>
        <v>#N/A</v>
      </c>
      <c r="H206" s="74" t="e">
        <f t="shared" si="18"/>
        <v>#N/A</v>
      </c>
      <c r="I206" s="69" t="e">
        <f>VLOOKUP(A206,[2]Sheet1!$C$3:$G$310,5,0)</f>
        <v>#N/A</v>
      </c>
      <c r="J206" s="74">
        <f>VLOOKUP(A206,[3]KCBB0101!$C$3:$F$691,4,0)</f>
        <v>6000</v>
      </c>
      <c r="K206" s="74" t="str">
        <f>VLOOKUP(A206,'7月排产计划'!G24:G538,1,0)</f>
        <v>ID295/75R22.5-14PR(144/141M)[CR915]TRAZANO(全诺)无内</v>
      </c>
    </row>
    <row r="207" spans="1:11">
      <c r="A207" s="425" t="s">
        <v>135</v>
      </c>
      <c r="B207" s="417">
        <v>1500</v>
      </c>
      <c r="C207" s="420" t="s">
        <v>314</v>
      </c>
      <c r="D207" s="74" t="str">
        <f t="shared" si="19"/>
        <v>22.5</v>
      </c>
      <c r="E207" s="426" t="str">
        <f>_xlfn.XLOOKUP(A207,'7月排产计划'!G:G,'7月排产计划'!B:B)</f>
        <v>北美</v>
      </c>
      <c r="F207" s="69" t="str">
        <f t="shared" si="17"/>
        <v>北美22.5寸</v>
      </c>
      <c r="G207" s="69" t="e">
        <f>VLOOKUP(A207,'7月排产计划'!G213:G727,1,0)</f>
        <v>#N/A</v>
      </c>
      <c r="H207" s="74" t="e">
        <f t="shared" si="18"/>
        <v>#N/A</v>
      </c>
      <c r="I207" s="69">
        <f>VLOOKUP(A207,[2]Sheet1!$C$3:$G$310,5,0)</f>
        <v>1400</v>
      </c>
      <c r="J207" s="74" t="e">
        <f>VLOOKUP(A207,[3]KCBB0101!$C$3:$F$691,4,0)</f>
        <v>#N/A</v>
      </c>
      <c r="K207" s="74" t="str">
        <f>VLOOKUP(A207,'7月排产计划'!G25:G539,1,0)</f>
        <v>ID295/75R22.5-14PR(144/141M)[I-19A]IRONMAN无内 SMARTWAY</v>
      </c>
    </row>
    <row r="208" spans="1:11">
      <c r="A208" s="425" t="s">
        <v>139</v>
      </c>
      <c r="B208" s="417">
        <v>6000</v>
      </c>
      <c r="C208" s="420" t="s">
        <v>314</v>
      </c>
      <c r="D208" s="74" t="str">
        <f t="shared" si="19"/>
        <v>22.5</v>
      </c>
      <c r="E208" s="426" t="str">
        <f>_xlfn.XLOOKUP(A208,'7月排产计划'!G:G,'7月排产计划'!B:B)</f>
        <v>北美</v>
      </c>
      <c r="F208" s="69" t="str">
        <f t="shared" si="17"/>
        <v>北美22.5寸</v>
      </c>
      <c r="G208" s="69" t="e">
        <f>VLOOKUP(A208,'7月排产计划'!G214:G728,1,0)</f>
        <v>#N/A</v>
      </c>
      <c r="H208" s="74" t="e">
        <f t="shared" si="18"/>
        <v>#N/A</v>
      </c>
      <c r="I208" s="69">
        <f>VLOOKUP(A208,[2]Sheet1!$C$3:$G$310,5,0)</f>
        <v>7700</v>
      </c>
      <c r="J208" s="74" t="e">
        <f>VLOOKUP(A208,[3]KCBB0101!$C$3:$F$691,4,0)</f>
        <v>#N/A</v>
      </c>
      <c r="K208" s="74" t="str">
        <f>VLOOKUP(A208,'7月排产计划'!G26:G540,1,0)</f>
        <v>ID295/75R22.5-14PR(144/141M)[I-48T]IRONMAN无内 SMARTWAY</v>
      </c>
    </row>
    <row r="209" spans="1:11">
      <c r="A209" s="425" t="s">
        <v>503</v>
      </c>
      <c r="B209" s="417">
        <v>800</v>
      </c>
      <c r="C209" s="420" t="s">
        <v>314</v>
      </c>
      <c r="D209" s="74" t="str">
        <f t="shared" si="19"/>
        <v>22.5</v>
      </c>
      <c r="E209" s="426" t="str">
        <f>_xlfn.XLOOKUP(A209,'7月排产计划'!G:G,'7月排产计划'!B:B)</f>
        <v>北美</v>
      </c>
      <c r="F209" s="69" t="str">
        <f t="shared" si="17"/>
        <v>北美22.5寸</v>
      </c>
      <c r="G209" s="69" t="e">
        <f>VLOOKUP(A209,'7月排产计划'!G215:G729,1,0)</f>
        <v>#N/A</v>
      </c>
      <c r="H209" s="74" t="e">
        <f t="shared" si="18"/>
        <v>#N/A</v>
      </c>
      <c r="I209" s="69" t="e">
        <f>VLOOKUP(A209,[2]Sheet1!$C$3:$G$310,5,0)</f>
        <v>#N/A</v>
      </c>
      <c r="J209" s="74">
        <f>VLOOKUP(A209,[3]KCBB0101!$C$3:$F$691,4,0)</f>
        <v>3000</v>
      </c>
      <c r="K209" s="74" t="str">
        <f>VLOOKUP(A209,'7月排产计划'!G27:G541,1,0)</f>
        <v>ID295/75R22.5-16PR(146/143L)[DOMINATE D01]BLACKARROW无内</v>
      </c>
    </row>
    <row r="210" spans="1:11">
      <c r="A210" s="425" t="s">
        <v>504</v>
      </c>
      <c r="B210" s="417">
        <v>360</v>
      </c>
      <c r="C210" s="420" t="s">
        <v>314</v>
      </c>
      <c r="D210" s="74" t="str">
        <f t="shared" si="19"/>
        <v>22.5</v>
      </c>
      <c r="E210" s="426" t="str">
        <f>_xlfn.XLOOKUP(A210,'7月排产计划'!G:G,'7月排产计划'!B:B)</f>
        <v>北美</v>
      </c>
      <c r="F210" s="69" t="str">
        <f t="shared" si="17"/>
        <v>北美22.5寸</v>
      </c>
      <c r="G210" s="69" t="e">
        <f>VLOOKUP(A210,'7月排产计划'!G216:G730,1,0)</f>
        <v>#N/A</v>
      </c>
      <c r="H210" s="74" t="e">
        <f t="shared" si="18"/>
        <v>#N/A</v>
      </c>
      <c r="I210" s="69" t="e">
        <f>VLOOKUP(A210,[2]Sheet1!$C$3:$G$310,5,0)</f>
        <v>#N/A</v>
      </c>
      <c r="J210" s="74">
        <f>VLOOKUP(A210,[3]KCBB0101!$C$3:$F$691,4,0)</f>
        <v>5000</v>
      </c>
      <c r="K210" s="74" t="str">
        <f>VLOOKUP(A210,'7月排产计划'!G28:G542,1,0)</f>
        <v>ID295/75R22.5-16PR(146/143L)[ECO-MILE CSD]TRAVELSTAR无内</v>
      </c>
    </row>
    <row r="211" spans="1:11">
      <c r="A211" s="425" t="s">
        <v>505</v>
      </c>
      <c r="B211" s="417">
        <v>800</v>
      </c>
      <c r="C211" s="420" t="s">
        <v>314</v>
      </c>
      <c r="D211" s="74" t="str">
        <f t="shared" si="19"/>
        <v>22.5</v>
      </c>
      <c r="E211" s="426" t="str">
        <f>_xlfn.XLOOKUP(A211,'7月排产计划'!G:G,'7月排产计划'!B:B)</f>
        <v>北美</v>
      </c>
      <c r="F211" s="69" t="str">
        <f t="shared" si="17"/>
        <v>北美22.5寸</v>
      </c>
      <c r="G211" s="69" t="e">
        <f>VLOOKUP(A211,'7月排产计划'!G217:G731,1,0)</f>
        <v>#N/A</v>
      </c>
      <c r="H211" s="74" t="e">
        <f t="shared" si="18"/>
        <v>#N/A</v>
      </c>
      <c r="I211" s="69" t="e">
        <f>VLOOKUP(A211,[2]Sheet1!$C$3:$G$310,5,0)</f>
        <v>#N/A</v>
      </c>
      <c r="J211" s="74">
        <f>VLOOKUP(A211,[3]KCBB0101!$C$3:$F$691,4,0)</f>
        <v>7200</v>
      </c>
      <c r="K211" s="74" t="str">
        <f>VLOOKUP(A211,'7月排产计划'!G29:G543,1,0)</f>
        <v>ID295/75R22.5-16PR(146/143L)[HD1 PlusX]SUPERMAX ECO无内</v>
      </c>
    </row>
    <row r="212" spans="1:11">
      <c r="A212" s="425" t="s">
        <v>506</v>
      </c>
      <c r="B212" s="417">
        <v>180</v>
      </c>
      <c r="C212" s="420" t="s">
        <v>314</v>
      </c>
      <c r="D212" s="74" t="str">
        <f t="shared" si="19"/>
        <v>22.5</v>
      </c>
      <c r="E212" s="426" t="str">
        <f>_xlfn.XLOOKUP(A212,'7月排产计划'!G:G,'7月排产计划'!B:B)</f>
        <v>北美</v>
      </c>
      <c r="F212" s="69" t="str">
        <f t="shared" si="17"/>
        <v>北美22.5寸</v>
      </c>
      <c r="G212" s="69" t="e">
        <f>VLOOKUP(A212,'7月排产计划'!G218:G732,1,0)</f>
        <v>#N/A</v>
      </c>
      <c r="H212" s="74" t="e">
        <f t="shared" si="18"/>
        <v>#N/A</v>
      </c>
      <c r="I212" s="69" t="e">
        <f>VLOOKUP(A212,[2]Sheet1!$C$3:$G$310,5,0)</f>
        <v>#N/A</v>
      </c>
      <c r="J212" s="74">
        <f>VLOOKUP(A212,[3]KCBB0101!$C$3:$F$691,4,0)</f>
        <v>7060</v>
      </c>
      <c r="K212" s="74" t="str">
        <f>VLOOKUP(A212,'7月排产计划'!G30:G544,1,0)</f>
        <v>ID295/75R22.5-16PR(146/143L)[HF1 PlusX]SUPERMAX ECO无内</v>
      </c>
    </row>
    <row r="213" spans="1:11">
      <c r="A213" s="425" t="s">
        <v>507</v>
      </c>
      <c r="B213" s="417">
        <v>300</v>
      </c>
      <c r="C213" s="420" t="s">
        <v>314</v>
      </c>
      <c r="D213" s="74" t="str">
        <f t="shared" si="19"/>
        <v>22.5</v>
      </c>
      <c r="E213" s="426" t="str">
        <f>_xlfn.XLOOKUP(A213,'7月排产计划'!G:G,'7月排产计划'!B:B)</f>
        <v>北美</v>
      </c>
      <c r="F213" s="69" t="str">
        <f t="shared" si="17"/>
        <v>北美22.5寸</v>
      </c>
      <c r="G213" s="69" t="e">
        <f>VLOOKUP(A213,'7月排产计划'!G219:G733,1,0)</f>
        <v>#N/A</v>
      </c>
      <c r="H213" s="74" t="e">
        <f t="shared" si="18"/>
        <v>#N/A</v>
      </c>
      <c r="I213" s="69">
        <f>VLOOKUP(A213,[2]Sheet1!$C$3:$G$310,5,0)</f>
        <v>6000</v>
      </c>
      <c r="J213" s="74" t="e">
        <f>VLOOKUP(A213,[3]KCBB0101!$C$3:$F$691,4,0)</f>
        <v>#N/A</v>
      </c>
      <c r="K213" s="74" t="str">
        <f>VLOOKUP(A213,'7月排产计划'!G31:G545,1,0)</f>
        <v>ID295/75R22.5-16PR(146/143L)[I-52A]IRONMAN无内 SMARTWAY</v>
      </c>
    </row>
    <row r="214" spans="1:11">
      <c r="A214" s="425" t="s">
        <v>143</v>
      </c>
      <c r="B214" s="417">
        <v>2000</v>
      </c>
      <c r="C214" s="420" t="s">
        <v>314</v>
      </c>
      <c r="D214" s="74" t="str">
        <f t="shared" si="19"/>
        <v>22.5</v>
      </c>
      <c r="E214" s="426" t="str">
        <f>_xlfn.XLOOKUP(A214,'7月排产计划'!G:G,'7月排产计划'!B:B)</f>
        <v>北美</v>
      </c>
      <c r="F214" s="69" t="str">
        <f t="shared" si="17"/>
        <v>北美22.5寸</v>
      </c>
      <c r="G214" s="69" t="e">
        <f>VLOOKUP(A214,'7月排产计划'!G220:G734,1,0)</f>
        <v>#N/A</v>
      </c>
      <c r="H214" s="74" t="e">
        <f t="shared" si="18"/>
        <v>#N/A</v>
      </c>
      <c r="I214" s="69" t="e">
        <f>VLOOKUP(A214,[2]Sheet1!$C$3:$G$310,5,0)</f>
        <v>#N/A</v>
      </c>
      <c r="J214" s="74">
        <f>VLOOKUP(A214,[3]KCBB0101!$C$3:$F$691,4,0)</f>
        <v>3364</v>
      </c>
      <c r="K214" s="74" t="str">
        <f>VLOOKUP(A214,'7月排产计划'!G32:G546,1,0)</f>
        <v>ID295/75R22.5-16PR(146/143L)[KOBE APM]ITARO无内</v>
      </c>
    </row>
    <row r="215" spans="1:11">
      <c r="A215" s="425" t="s">
        <v>508</v>
      </c>
      <c r="B215" s="417">
        <v>2400</v>
      </c>
      <c r="C215" s="420" t="s">
        <v>314</v>
      </c>
      <c r="D215" s="74" t="str">
        <f t="shared" si="19"/>
        <v>22.5</v>
      </c>
      <c r="E215" s="426" t="str">
        <f>_xlfn.XLOOKUP(A215,'7月排产计划'!G:G,'7月排产计划'!B:B)</f>
        <v>北美</v>
      </c>
      <c r="F215" s="69" t="str">
        <f t="shared" si="17"/>
        <v>北美22.5寸</v>
      </c>
      <c r="G215" s="69" t="e">
        <f>VLOOKUP(A215,'7月排产计划'!G221:G735,1,0)</f>
        <v>#N/A</v>
      </c>
      <c r="H215" s="74" t="e">
        <f t="shared" si="18"/>
        <v>#N/A</v>
      </c>
      <c r="I215" s="69" t="e">
        <f>VLOOKUP(A215,[2]Sheet1!$C$3:$G$310,5,0)</f>
        <v>#N/A</v>
      </c>
      <c r="J215" s="74">
        <f>VLOOKUP(A215,[3]KCBB0101!$C$3:$F$691,4,0)</f>
        <v>8943</v>
      </c>
      <c r="K215" s="74" t="str">
        <f>VLOOKUP(A215,'7月排产计划'!G33:G547,1,0)</f>
        <v>ID295/75R22.5-16PR(146/143L)[KOBE DPM]ITARO无内</v>
      </c>
    </row>
    <row r="216" spans="1:11">
      <c r="A216" s="425" t="s">
        <v>509</v>
      </c>
      <c r="B216" s="417">
        <v>750</v>
      </c>
      <c r="C216" s="420" t="s">
        <v>314</v>
      </c>
      <c r="D216" s="74" t="str">
        <f t="shared" si="19"/>
        <v>22.5</v>
      </c>
      <c r="E216" s="426" t="str">
        <f>_xlfn.XLOOKUP(A216,'7月排产计划'!G:G,'7月排产计划'!B:B)</f>
        <v>北美</v>
      </c>
      <c r="F216" s="69" t="str">
        <f t="shared" si="17"/>
        <v>北美22.5寸</v>
      </c>
      <c r="G216" s="69" t="e">
        <f>VLOOKUP(A216,'7月排产计划'!G222:G736,1,0)</f>
        <v>#N/A</v>
      </c>
      <c r="H216" s="74" t="e">
        <f t="shared" si="18"/>
        <v>#N/A</v>
      </c>
      <c r="I216" s="69" t="e">
        <f>VLOOKUP(A216,[2]Sheet1!$C$3:$G$310,5,0)</f>
        <v>#N/A</v>
      </c>
      <c r="J216" s="74">
        <f>VLOOKUP(A216,[3]KCBB0101!$C$3:$F$691,4,0)</f>
        <v>13171</v>
      </c>
      <c r="K216" s="74" t="str">
        <f>VLOOKUP(A216,'7月排产计划'!G34:G548,1,0)</f>
        <v>ID295/75R22.5-16PR(146/143L)[M-TRAC AP]MASTERTRACK无内</v>
      </c>
    </row>
    <row r="217" spans="1:11">
      <c r="A217" s="425" t="s">
        <v>510</v>
      </c>
      <c r="B217" s="417">
        <v>2000</v>
      </c>
      <c r="C217" s="420" t="s">
        <v>314</v>
      </c>
      <c r="D217" s="74" t="str">
        <f t="shared" si="19"/>
        <v>22.5</v>
      </c>
      <c r="E217" s="426" t="str">
        <f>_xlfn.XLOOKUP(A217,'7月排产计划'!G:G,'7月排产计划'!B:B)</f>
        <v>北美</v>
      </c>
      <c r="F217" s="69" t="str">
        <f t="shared" si="17"/>
        <v>北美22.5寸</v>
      </c>
      <c r="G217" s="69" t="e">
        <f>VLOOKUP(A217,'7月排产计划'!G223:G737,1,0)</f>
        <v>#N/A</v>
      </c>
      <c r="H217" s="74" t="e">
        <f t="shared" si="18"/>
        <v>#N/A</v>
      </c>
      <c r="I217" s="69" t="e">
        <f>VLOOKUP(A217,[2]Sheet1!$C$3:$G$310,5,0)</f>
        <v>#N/A</v>
      </c>
      <c r="J217" s="74">
        <f>VLOOKUP(A217,[3]KCBB0101!$C$3:$F$691,4,0)</f>
        <v>11000</v>
      </c>
      <c r="K217" s="74" t="str">
        <f>VLOOKUP(A217,'7月排产计划'!G35:G549,1,0)</f>
        <v>ID295/75R22.5-16PR(146/143L)[M-TRAC CSD]MASTERTRACK无内</v>
      </c>
    </row>
    <row r="218" spans="1:11">
      <c r="A218" s="425" t="s">
        <v>511</v>
      </c>
      <c r="B218" s="417">
        <v>250</v>
      </c>
      <c r="C218" s="420" t="s">
        <v>314</v>
      </c>
      <c r="D218" s="74" t="str">
        <f t="shared" si="19"/>
        <v>22.5</v>
      </c>
      <c r="E218" s="426" t="str">
        <f>_xlfn.XLOOKUP(A218,'7月排产计划'!G:G,'7月排产计划'!B:B)</f>
        <v>北美</v>
      </c>
      <c r="F218" s="69" t="str">
        <f t="shared" si="17"/>
        <v>北美22.5寸</v>
      </c>
      <c r="G218" s="69" t="e">
        <f>VLOOKUP(A218,'7月排产计划'!G224:G738,1,0)</f>
        <v>#N/A</v>
      </c>
      <c r="H218" s="74" t="e">
        <f t="shared" si="18"/>
        <v>#N/A</v>
      </c>
      <c r="I218" s="69" t="e">
        <f>VLOOKUP(A218,[2]Sheet1!$C$3:$G$310,5,0)</f>
        <v>#N/A</v>
      </c>
      <c r="J218" s="74" t="e">
        <f>VLOOKUP(A218,[3]KCBB0101!$C$3:$F$691,4,0)</f>
        <v>#N/A</v>
      </c>
      <c r="K218" s="74" t="str">
        <f>VLOOKUP(A218,'7月排产计划'!G36:G550,1,0)</f>
        <v>ID295/75R22.5-16PR(146/143L)[M-TRAC CSD+]MASTERTRACK无内</v>
      </c>
    </row>
    <row r="219" spans="1:11">
      <c r="A219" s="425" t="s">
        <v>512</v>
      </c>
      <c r="B219" s="417">
        <v>280</v>
      </c>
      <c r="C219" s="420" t="s">
        <v>314</v>
      </c>
      <c r="D219" s="74" t="str">
        <f t="shared" si="19"/>
        <v>22.5</v>
      </c>
      <c r="E219" s="426" t="str">
        <f>_xlfn.XLOOKUP(A219,'7月排产计划'!G:G,'7月排产计划'!B:B)</f>
        <v>北美</v>
      </c>
      <c r="F219" s="69" t="str">
        <f t="shared" si="17"/>
        <v>北美22.5寸</v>
      </c>
      <c r="G219" s="69" t="e">
        <f>VLOOKUP(A219,'7月排产计划'!G225:G739,1,0)</f>
        <v>#N/A</v>
      </c>
      <c r="H219" s="74" t="e">
        <f t="shared" si="18"/>
        <v>#N/A</v>
      </c>
      <c r="I219" s="69" t="e">
        <f>VLOOKUP(A219,[2]Sheet1!$C$3:$G$310,5,0)</f>
        <v>#N/A</v>
      </c>
      <c r="J219" s="74" t="e">
        <f>VLOOKUP(A219,[3]KCBB0101!$C$3:$F$691,4,0)</f>
        <v>#N/A</v>
      </c>
      <c r="K219" s="74" t="str">
        <f>VLOOKUP(A219,'7月排产计划'!G37:G551,1,0)</f>
        <v>ID295/75R22.5-16PR(146/143L)[M-TRAC HS+]MASTERTRACK无内</v>
      </c>
    </row>
    <row r="220" spans="1:11">
      <c r="A220" s="425" t="s">
        <v>513</v>
      </c>
      <c r="B220" s="417">
        <v>280</v>
      </c>
      <c r="C220" s="420" t="s">
        <v>314</v>
      </c>
      <c r="D220" s="74" t="str">
        <f t="shared" si="19"/>
        <v>22.5</v>
      </c>
      <c r="E220" s="426" t="str">
        <f>_xlfn.XLOOKUP(A220,'7月排产计划'!G:G,'7月排产计划'!B:B)</f>
        <v>北美</v>
      </c>
      <c r="F220" s="69" t="str">
        <f t="shared" si="17"/>
        <v>北美22.5寸</v>
      </c>
      <c r="G220" s="69" t="e">
        <f>VLOOKUP(A220,'7月排产计划'!G226:G740,1,0)</f>
        <v>#N/A</v>
      </c>
      <c r="H220" s="74" t="e">
        <f t="shared" si="18"/>
        <v>#N/A</v>
      </c>
      <c r="I220" s="69" t="e">
        <f>VLOOKUP(A220,[2]Sheet1!$C$3:$G$310,5,0)</f>
        <v>#N/A</v>
      </c>
      <c r="J220" s="74" t="e">
        <f>VLOOKUP(A220,[3]KCBB0101!$C$3:$F$691,4,0)</f>
        <v>#N/A</v>
      </c>
      <c r="K220" s="74" t="str">
        <f>VLOOKUP(A220,'7月排产计划'!G38:G552,1,0)</f>
        <v>ID295/75R22.5-16PR(146/143L)[RLINE-S1]REDCLIFF无内</v>
      </c>
    </row>
    <row r="221" spans="1:11">
      <c r="A221" s="425" t="s">
        <v>514</v>
      </c>
      <c r="B221" s="417">
        <v>1500</v>
      </c>
      <c r="C221" s="420" t="s">
        <v>314</v>
      </c>
      <c r="D221" s="74" t="str">
        <f t="shared" si="19"/>
        <v>22.5</v>
      </c>
      <c r="E221" s="426" t="str">
        <f>_xlfn.XLOOKUP(A221,'7月排产计划'!G:G,'7月排产计划'!B:B)</f>
        <v>北美</v>
      </c>
      <c r="F221" s="69" t="str">
        <f t="shared" si="17"/>
        <v>北美22.5寸</v>
      </c>
      <c r="G221" s="69" t="e">
        <f>VLOOKUP(A221,'7月排产计划'!G227:G741,1,0)</f>
        <v>#N/A</v>
      </c>
      <c r="H221" s="74" t="e">
        <f t="shared" si="18"/>
        <v>#N/A</v>
      </c>
      <c r="I221" s="69">
        <f>VLOOKUP(A221,[2]Sheet1!$C$3:$G$310,5,0)</f>
        <v>5000</v>
      </c>
      <c r="J221" s="74" t="e">
        <f>VLOOKUP(A221,[3]KCBB0101!$C$3:$F$691,4,0)</f>
        <v>#N/A</v>
      </c>
      <c r="K221" s="74" t="str">
        <f>VLOOKUP(A221,'7月排产计划'!G39:G553,1,0)</f>
        <v>ID295/75R22.5-16PR(146/143M)[CR915]威狮无内 SMARTWAY</v>
      </c>
    </row>
    <row r="222" spans="1:11">
      <c r="A222" s="425" t="s">
        <v>515</v>
      </c>
      <c r="B222" s="417">
        <v>550</v>
      </c>
      <c r="C222" s="420" t="s">
        <v>314</v>
      </c>
      <c r="D222" s="74" t="str">
        <f t="shared" si="19"/>
        <v>22.5</v>
      </c>
      <c r="E222" s="426" t="str">
        <f>_xlfn.XLOOKUP(A222,'7月排产计划'!G:G,'7月排产计划'!B:B)</f>
        <v>北美</v>
      </c>
      <c r="F222" s="69" t="str">
        <f t="shared" si="17"/>
        <v>北美22.5寸</v>
      </c>
      <c r="G222" s="69" t="e">
        <f>VLOOKUP(A222,'7月排产计划'!G228:G742,1,0)</f>
        <v>#N/A</v>
      </c>
      <c r="H222" s="74" t="e">
        <f t="shared" si="18"/>
        <v>#N/A</v>
      </c>
      <c r="I222" s="69">
        <f>VLOOKUP(A222,[2]Sheet1!$C$3:$G$310,5,0)</f>
        <v>11450</v>
      </c>
      <c r="J222" s="74" t="e">
        <f>VLOOKUP(A222,[3]KCBB0101!$C$3:$F$691,4,0)</f>
        <v>#N/A</v>
      </c>
      <c r="K222" s="74" t="str">
        <f>VLOOKUP(A222,'7月排产计划'!G40:G554,1,0)</f>
        <v>ID295/75R22.5-16PR(146/143M)[I-19A]IRONMAN无内 SMARTWAY</v>
      </c>
    </row>
    <row r="223" spans="1:11">
      <c r="A223" s="425" t="s">
        <v>147</v>
      </c>
      <c r="B223" s="417">
        <v>2300</v>
      </c>
      <c r="C223" s="420" t="s">
        <v>314</v>
      </c>
      <c r="D223" s="74" t="str">
        <f t="shared" si="19"/>
        <v>22.5</v>
      </c>
      <c r="E223" s="426" t="str">
        <f>_xlfn.XLOOKUP(A223,'7月排产计划'!G:G,'7月排产计划'!B:B)</f>
        <v>北美</v>
      </c>
      <c r="F223" s="69" t="str">
        <f t="shared" si="17"/>
        <v>北美22.5寸</v>
      </c>
      <c r="G223" s="69" t="e">
        <f>VLOOKUP(A223,'7月排产计划'!G229:G743,1,0)</f>
        <v>#N/A</v>
      </c>
      <c r="H223" s="74" t="e">
        <f t="shared" si="18"/>
        <v>#N/A</v>
      </c>
      <c r="I223" s="69" t="e">
        <f>VLOOKUP(A223,[2]Sheet1!$C$3:$G$310,5,0)</f>
        <v>#N/A</v>
      </c>
      <c r="J223" s="74">
        <f>VLOOKUP(A223,[3]KCBB0101!$C$3:$F$691,4,0)</f>
        <v>4923</v>
      </c>
      <c r="K223" s="74" t="str">
        <f>VLOOKUP(A223,'7月排产计划'!G41:G555,1,0)</f>
        <v>ID295/75R22.5-16PR(146/143M)[KOBE TPM]ITARO无内</v>
      </c>
    </row>
    <row r="224" spans="1:11">
      <c r="A224" s="425" t="s">
        <v>516</v>
      </c>
      <c r="B224" s="417">
        <v>500</v>
      </c>
      <c r="C224" s="420" t="s">
        <v>314</v>
      </c>
      <c r="D224" s="74" t="str">
        <f t="shared" si="19"/>
        <v>22.5</v>
      </c>
      <c r="E224" s="426" t="str">
        <f>_xlfn.XLOOKUP(A224,'7月排产计划'!G:G,'7月排产计划'!B:B)</f>
        <v>北美</v>
      </c>
      <c r="F224" s="69" t="str">
        <f t="shared" si="17"/>
        <v>北美22.5寸</v>
      </c>
      <c r="G224" s="69" t="e">
        <f>VLOOKUP(A224,'7月排产计划'!G230:G744,1,0)</f>
        <v>#N/A</v>
      </c>
      <c r="H224" s="74" t="e">
        <f t="shared" si="18"/>
        <v>#N/A</v>
      </c>
      <c r="I224" s="69" t="e">
        <f>VLOOKUP(A224,[2]Sheet1!$C$3:$G$310,5,0)</f>
        <v>#N/A</v>
      </c>
      <c r="J224" s="74">
        <f>VLOOKUP(A224,[3]KCBB0101!$C$3:$F$691,4,0)</f>
        <v>3000</v>
      </c>
      <c r="K224" s="74" t="str">
        <f>VLOOKUP(A224,'7月排产计划'!G42:G556,1,0)</f>
        <v>ID295/75R22.5-16PR(146/143M)[RLINE-TⅡ]REDCLIFF无内</v>
      </c>
    </row>
    <row r="225" spans="1:11">
      <c r="A225" s="425" t="s">
        <v>517</v>
      </c>
      <c r="B225" s="417">
        <v>360</v>
      </c>
      <c r="C225" s="420" t="s">
        <v>314</v>
      </c>
      <c r="D225" s="74" t="str">
        <f t="shared" si="19"/>
        <v>22.5</v>
      </c>
      <c r="E225" s="426" t="str">
        <f>_xlfn.XLOOKUP(A225,'7月排产计划'!G:G,'7月排产计划'!B:B)</f>
        <v>北美</v>
      </c>
      <c r="F225" s="69" t="str">
        <f t="shared" si="17"/>
        <v>北美22.5寸</v>
      </c>
      <c r="G225" s="69" t="e">
        <f>VLOOKUP(A225,'7月排产计划'!G231:G745,1,0)</f>
        <v>#N/A</v>
      </c>
      <c r="H225" s="74" t="e">
        <f t="shared" si="18"/>
        <v>#N/A</v>
      </c>
      <c r="I225" s="69">
        <f>VLOOKUP(A225,[2]Sheet1!$C$3:$G$310,5,0)</f>
        <v>2700</v>
      </c>
      <c r="J225" s="74" t="e">
        <f>VLOOKUP(A225,[3]KCBB0101!$C$3:$F$691,4,0)</f>
        <v>#N/A</v>
      </c>
      <c r="K225" s="74" t="str">
        <f>VLOOKUP(A225,'7月排产计划'!G43:G557,1,0)</f>
        <v>ID295/75R22.5-16PR(146/143M)[Strong Guard H-RA]HERCULES无内</v>
      </c>
    </row>
    <row r="226" spans="1:11">
      <c r="A226" s="425" t="s">
        <v>518</v>
      </c>
      <c r="B226" s="417">
        <v>300</v>
      </c>
      <c r="C226" s="420" t="s">
        <v>314</v>
      </c>
      <c r="D226" s="74" t="str">
        <f t="shared" si="19"/>
        <v>22.5</v>
      </c>
      <c r="E226" s="426" t="str">
        <f>_xlfn.XLOOKUP(A226,'7月排产计划'!G:G,'7月排产计划'!B:B)</f>
        <v>北美</v>
      </c>
      <c r="F226" s="69" t="str">
        <f t="shared" si="17"/>
        <v>北美22.5寸</v>
      </c>
      <c r="G226" s="69" t="e">
        <f>VLOOKUP(A226,'7月排产计划'!G232:G746,1,0)</f>
        <v>#N/A</v>
      </c>
      <c r="H226" s="74" t="e">
        <f t="shared" si="18"/>
        <v>#N/A</v>
      </c>
      <c r="I226" s="69" t="e">
        <f>VLOOKUP(A226,[2]Sheet1!$C$3:$G$310,5,0)</f>
        <v>#N/A</v>
      </c>
      <c r="J226" s="74">
        <f>VLOOKUP(A226,[3]KCBB0101!$C$3:$F$691,4,0)</f>
        <v>3000</v>
      </c>
      <c r="K226" s="74" t="str">
        <f>VLOOKUP(A226,'7月排产计划'!G44:G558,1,0)</f>
        <v>ID295/75R22.5-16PR(146/143M)[STEALTH S01]BLACKARROW无内</v>
      </c>
    </row>
    <row r="227" spans="1:11">
      <c r="A227" s="425" t="s">
        <v>519</v>
      </c>
      <c r="B227" s="417">
        <v>800</v>
      </c>
      <c r="C227" s="420" t="s">
        <v>317</v>
      </c>
      <c r="D227" s="74" t="str">
        <f t="shared" si="19"/>
        <v>22.5</v>
      </c>
      <c r="E227" s="426" t="str">
        <f>_xlfn.XLOOKUP(A227,'7月排产计划'!G:G,'7月排产计划'!B:B)</f>
        <v>亚</v>
      </c>
      <c r="F227" s="69" t="str">
        <f t="shared" si="17"/>
        <v>亚22.5寸</v>
      </c>
      <c r="G227" s="69" t="e">
        <f>VLOOKUP(A227,'7月排产计划'!G233:G747,1,0)</f>
        <v>#N/A</v>
      </c>
      <c r="H227" s="74" t="e">
        <f t="shared" si="18"/>
        <v>#N/A</v>
      </c>
      <c r="I227" s="69">
        <f>VLOOKUP(A227,[2]Sheet1!$C$3:$G$310,5,0)</f>
        <v>5100</v>
      </c>
      <c r="J227" s="74" t="e">
        <f>VLOOKUP(A227,[3]KCBB0101!$C$3:$F$691,4,0)</f>
        <v>#N/A</v>
      </c>
      <c r="K227" s="74" t="str">
        <f>VLOOKUP(A227,'7月排产计划'!G45:G559,1,0)</f>
        <v>ID295/75R22.5-16PR(146/143L)[VXD932]VITOUR无内</v>
      </c>
    </row>
    <row r="228" spans="1:11">
      <c r="A228" s="425" t="s">
        <v>520</v>
      </c>
      <c r="B228" s="417">
        <v>800</v>
      </c>
      <c r="C228" s="420" t="s">
        <v>317</v>
      </c>
      <c r="D228" s="74" t="str">
        <f t="shared" si="19"/>
        <v>22.5</v>
      </c>
      <c r="E228" s="426" t="str">
        <f>_xlfn.XLOOKUP(A228,'7月排产计划'!G:G,'7月排产计划'!B:B)</f>
        <v>亚</v>
      </c>
      <c r="F228" s="69" t="str">
        <f t="shared" si="17"/>
        <v>亚22.5寸</v>
      </c>
      <c r="G228" s="69" t="e">
        <f>VLOOKUP(A228,'7月排产计划'!G234:G748,1,0)</f>
        <v>#N/A</v>
      </c>
      <c r="H228" s="74" t="e">
        <f t="shared" si="18"/>
        <v>#N/A</v>
      </c>
      <c r="I228" s="69">
        <f>VLOOKUP(A228,[2]Sheet1!$C$3:$G$310,5,0)</f>
        <v>5700</v>
      </c>
      <c r="J228" s="74" t="e">
        <f>VLOOKUP(A228,[3]KCBB0101!$C$3:$F$691,4,0)</f>
        <v>#N/A</v>
      </c>
      <c r="K228" s="74" t="str">
        <f>VLOOKUP(A228,'7月排产计划'!G46:G560,1,0)</f>
        <v>ID295/75R22.5-16PR(146/143M)[VA996]VITOUR无内</v>
      </c>
    </row>
    <row r="229" spans="1:11">
      <c r="A229" s="425" t="s">
        <v>521</v>
      </c>
      <c r="B229" s="417">
        <v>1500</v>
      </c>
      <c r="C229" s="420" t="s">
        <v>317</v>
      </c>
      <c r="D229" s="74" t="str">
        <f t="shared" si="19"/>
        <v>22.5</v>
      </c>
      <c r="E229" s="426" t="str">
        <f>_xlfn.XLOOKUP(A229,'7月排产计划'!G:G,'7月排产计划'!B:B)</f>
        <v>亚</v>
      </c>
      <c r="F229" s="69" t="str">
        <f t="shared" si="17"/>
        <v>亚22.5寸</v>
      </c>
      <c r="G229" s="69" t="e">
        <f>VLOOKUP(A229,'7月排产计划'!G235:G749,1,0)</f>
        <v>#N/A</v>
      </c>
      <c r="H229" s="74" t="e">
        <f t="shared" si="18"/>
        <v>#N/A</v>
      </c>
      <c r="I229" s="69">
        <f>VLOOKUP(A229,[2]Sheet1!$C$3:$G$310,5,0)</f>
        <v>14200</v>
      </c>
      <c r="J229" s="74" t="e">
        <f>VLOOKUP(A229,[3]KCBB0101!$C$3:$F$691,4,0)</f>
        <v>#N/A</v>
      </c>
      <c r="K229" s="74" t="str">
        <f>VLOOKUP(A229,'7月排产计划'!G47:G561,1,0)</f>
        <v>ID295/75R22.5-16PR(146/143M)[VT993]VITOUR无内</v>
      </c>
    </row>
    <row r="230" spans="1:11">
      <c r="A230" s="425" t="s">
        <v>150</v>
      </c>
      <c r="B230" s="417">
        <v>8000</v>
      </c>
      <c r="C230" s="420" t="s">
        <v>465</v>
      </c>
      <c r="D230" s="74" t="str">
        <f t="shared" si="19"/>
        <v>22.5</v>
      </c>
      <c r="E230" s="426" t="str">
        <f>_xlfn.XLOOKUP(A230,'7月排产计划'!G:G,'7月排产计划'!B:B)</f>
        <v>南美</v>
      </c>
      <c r="F230" s="69" t="str">
        <f t="shared" si="17"/>
        <v>南美22.5寸</v>
      </c>
      <c r="G230" s="69" t="e">
        <f>VLOOKUP(A230,'7月排产计划'!G236:G750,1,0)</f>
        <v>#N/A</v>
      </c>
      <c r="H230" s="74" t="e">
        <f t="shared" si="18"/>
        <v>#N/A</v>
      </c>
      <c r="I230" s="69">
        <f>VLOOKUP(A230,[2]Sheet1!$C$3:$G$310,5,0)</f>
        <v>5500</v>
      </c>
      <c r="J230" s="74" t="e">
        <f>VLOOKUP(A230,[3]KCBB0101!$C$3:$F$691,4,0)</f>
        <v>#N/A</v>
      </c>
      <c r="K230" s="74" t="str">
        <f>VLOOKUP(A230,'7月排产计划'!G48:G562,1,0)</f>
        <v>ID295/80R22.5-18PR(150/147M)[ECOPLUS]XBRI无内 巴拉圭</v>
      </c>
    </row>
    <row r="231" spans="1:11">
      <c r="A231" s="425" t="s">
        <v>522</v>
      </c>
      <c r="B231" s="417">
        <v>500</v>
      </c>
      <c r="C231" s="420" t="s">
        <v>465</v>
      </c>
      <c r="D231" s="74" t="str">
        <f t="shared" si="19"/>
        <v>22.5</v>
      </c>
      <c r="E231" s="426" t="str">
        <f>_xlfn.XLOOKUP(A231,'7月排产计划'!G:G,'7月排产计划'!B:B)</f>
        <v>南美</v>
      </c>
      <c r="F231" s="69" t="str">
        <f t="shared" si="17"/>
        <v>南美22.5寸</v>
      </c>
      <c r="G231" s="69" t="e">
        <f>VLOOKUP(A231,'7月排产计划'!G237:G751,1,0)</f>
        <v>#N/A</v>
      </c>
      <c r="H231" s="74" t="e">
        <f t="shared" si="18"/>
        <v>#N/A</v>
      </c>
      <c r="I231" s="69" t="e">
        <f>VLOOKUP(A231,[2]Sheet1!$C$3:$G$310,5,0)</f>
        <v>#N/A</v>
      </c>
      <c r="J231" s="74">
        <f>VLOOKUP(A231,[3]KCBB0101!$C$3:$F$691,4,0)</f>
        <v>6491</v>
      </c>
      <c r="K231" s="74" t="str">
        <f>VLOOKUP(A231,'7月排产计划'!G49:G563,1,0)</f>
        <v>ID295/80R22.5-18PR(152/149J)[EZ177]金冠无内</v>
      </c>
    </row>
    <row r="232" spans="1:11">
      <c r="A232" s="425" t="s">
        <v>523</v>
      </c>
      <c r="B232" s="417">
        <v>4000</v>
      </c>
      <c r="C232" s="420" t="s">
        <v>465</v>
      </c>
      <c r="D232" s="74" t="str">
        <f t="shared" si="19"/>
        <v>22.5</v>
      </c>
      <c r="E232" s="426" t="str">
        <f>_xlfn.XLOOKUP(A232,'7月排产计划'!G:G,'7月排产计划'!B:B)</f>
        <v>南美</v>
      </c>
      <c r="F232" s="69" t="str">
        <f t="shared" si="17"/>
        <v>南美22.5寸</v>
      </c>
      <c r="G232" s="69" t="e">
        <f>VLOOKUP(A232,'7月排产计划'!G238:G752,1,0)</f>
        <v>#N/A</v>
      </c>
      <c r="H232" s="74" t="e">
        <f t="shared" si="18"/>
        <v>#N/A</v>
      </c>
      <c r="I232" s="69" t="e">
        <f>VLOOKUP(A232,[2]Sheet1!$C$3:$G$310,5,0)</f>
        <v>#N/A</v>
      </c>
      <c r="J232" s="74">
        <f>VLOOKUP(A232,[3]KCBB0101!$C$3:$F$691,4,0)</f>
        <v>10217</v>
      </c>
      <c r="K232" s="74" t="str">
        <f>VLOOKUP(A232,'7月排产计划'!G50:G564,1,0)</f>
        <v>ID295/80R22.5-18PR(152/149K)[G-PRO MSD]GRIPMASTER无内</v>
      </c>
    </row>
    <row r="233" spans="1:11">
      <c r="A233" s="425" t="s">
        <v>524</v>
      </c>
      <c r="B233" s="417">
        <v>1800</v>
      </c>
      <c r="C233" s="420" t="s">
        <v>465</v>
      </c>
      <c r="D233" s="74" t="str">
        <f t="shared" si="19"/>
        <v>22.5</v>
      </c>
      <c r="E233" s="426" t="str">
        <f>_xlfn.XLOOKUP(A233,'7月排产计划'!G:G,'7月排产计划'!B:B)</f>
        <v>南美</v>
      </c>
      <c r="F233" s="69" t="str">
        <f t="shared" si="17"/>
        <v>南美22.5寸</v>
      </c>
      <c r="G233" s="69" t="e">
        <f>VLOOKUP(A233,'7月排产计划'!G239:G753,1,0)</f>
        <v>#N/A</v>
      </c>
      <c r="H233" s="74" t="e">
        <f t="shared" si="18"/>
        <v>#N/A</v>
      </c>
      <c r="I233" s="69" t="e">
        <f>VLOOKUP(A233,[2]Sheet1!$C$3:$G$310,5,0)</f>
        <v>#N/A</v>
      </c>
      <c r="J233" s="74">
        <f>VLOOKUP(A233,[3]KCBB0101!$C$3:$F$691,4,0)</f>
        <v>3800</v>
      </c>
      <c r="K233" s="74" t="str">
        <f>VLOOKUP(A233,'7月排产计划'!G51:G565,1,0)</f>
        <v>ID295/80R22.5-18PR(152/149K)[MD777]朝阳无内</v>
      </c>
    </row>
    <row r="234" spans="1:11">
      <c r="A234" s="425" t="s">
        <v>525</v>
      </c>
      <c r="B234" s="417">
        <v>320</v>
      </c>
      <c r="C234" s="420" t="s">
        <v>465</v>
      </c>
      <c r="D234" s="74" t="str">
        <f t="shared" si="19"/>
        <v>22.5</v>
      </c>
      <c r="E234" s="426" t="str">
        <f>_xlfn.XLOOKUP(A234,'7月排产计划'!G:G,'7月排产计划'!B:B)</f>
        <v>南美</v>
      </c>
      <c r="F234" s="69" t="str">
        <f t="shared" si="17"/>
        <v>南美22.5寸</v>
      </c>
      <c r="G234" s="69" t="e">
        <f>VLOOKUP(A234,'7月排产计划'!G240:G754,1,0)</f>
        <v>#N/A</v>
      </c>
      <c r="H234" s="74" t="e">
        <f t="shared" si="18"/>
        <v>#N/A</v>
      </c>
      <c r="I234" s="69">
        <f>VLOOKUP(A234,[2]Sheet1!$C$3:$G$310,5,0)</f>
        <v>2200</v>
      </c>
      <c r="J234" s="74" t="e">
        <f>VLOOKUP(A234,[3]KCBB0101!$C$3:$F$691,4,0)</f>
        <v>#N/A</v>
      </c>
      <c r="K234" s="74" t="str">
        <f>VLOOKUP(A234,'7月排产计划'!G52:G566,1,0)</f>
        <v>ID295/80R22.5-18PR(152/149K)[MD777]威狮无内</v>
      </c>
    </row>
    <row r="235" spans="1:11">
      <c r="A235" s="425" t="s">
        <v>526</v>
      </c>
      <c r="B235" s="417">
        <v>620</v>
      </c>
      <c r="C235" s="420" t="s">
        <v>465</v>
      </c>
      <c r="D235" s="74" t="str">
        <f t="shared" si="19"/>
        <v>22.5</v>
      </c>
      <c r="E235" s="426" t="str">
        <f>_xlfn.XLOOKUP(A235,'7月排产计划'!G:G,'7月排产计划'!B:B)</f>
        <v>南美</v>
      </c>
      <c r="F235" s="69" t="str">
        <f t="shared" si="17"/>
        <v>南美22.5寸</v>
      </c>
      <c r="G235" s="69" t="e">
        <f>VLOOKUP(A235,'7月排产计划'!G241:G755,1,0)</f>
        <v>#N/A</v>
      </c>
      <c r="H235" s="74" t="e">
        <f t="shared" si="18"/>
        <v>#N/A</v>
      </c>
      <c r="I235" s="69" t="e">
        <f>VLOOKUP(A235,[2]Sheet1!$C$3:$G$310,5,0)</f>
        <v>#N/A</v>
      </c>
      <c r="J235" s="74">
        <f>VLOOKUP(A235,[3]KCBB0101!$C$3:$F$691,4,0)</f>
        <v>4215</v>
      </c>
      <c r="K235" s="74" t="str">
        <f>VLOOKUP(A235,'7月排产计划'!G53:G567,1,0)</f>
        <v>ID295/80R22.5-18PR(152/149L)[AZ183]金冠无内</v>
      </c>
    </row>
    <row r="236" spans="1:11">
      <c r="A236" s="425" t="s">
        <v>527</v>
      </c>
      <c r="B236" s="417">
        <v>250</v>
      </c>
      <c r="C236" s="420" t="s">
        <v>465</v>
      </c>
      <c r="D236" s="74" t="str">
        <f t="shared" si="19"/>
        <v>22.5</v>
      </c>
      <c r="E236" s="426" t="str">
        <f>_xlfn.XLOOKUP(A236,'7月排产计划'!G:G,'7月排产计划'!B:B)</f>
        <v>南美</v>
      </c>
      <c r="F236" s="69" t="str">
        <f t="shared" si="17"/>
        <v>南美22.5寸</v>
      </c>
      <c r="G236" s="69" t="e">
        <f>VLOOKUP(A236,'7月排产计划'!G242:G756,1,0)</f>
        <v>#N/A</v>
      </c>
      <c r="H236" s="74" t="e">
        <f t="shared" si="18"/>
        <v>#N/A</v>
      </c>
      <c r="I236" s="69" t="e">
        <f>VLOOKUP(A236,[2]Sheet1!$C$3:$G$310,5,0)</f>
        <v>#N/A</v>
      </c>
      <c r="J236" s="74" t="e">
        <f>VLOOKUP(A236,[3]KCBB0101!$C$3:$F$691,4,0)</f>
        <v>#N/A</v>
      </c>
      <c r="K236" s="74" t="str">
        <f>VLOOKUP(A236,'7月排产计划'!G54:G568,1,0)</f>
        <v>ID295/80R22.5-18PR(152/149L)[AZ183]欧耐特无内</v>
      </c>
    </row>
    <row r="237" spans="1:11">
      <c r="A237" s="425" t="s">
        <v>528</v>
      </c>
      <c r="B237" s="417">
        <v>1200</v>
      </c>
      <c r="C237" s="420" t="s">
        <v>465</v>
      </c>
      <c r="D237" s="74" t="str">
        <f t="shared" si="19"/>
        <v>22.5</v>
      </c>
      <c r="E237" s="426" t="str">
        <f>_xlfn.XLOOKUP(A237,'7月排产计划'!G:G,'7月排产计划'!B:B)</f>
        <v>南美</v>
      </c>
      <c r="F237" s="69" t="str">
        <f t="shared" si="17"/>
        <v>南美22.5寸</v>
      </c>
      <c r="G237" s="69" t="e">
        <f>VLOOKUP(A237,'7月排产计划'!G243:G757,1,0)</f>
        <v>#N/A</v>
      </c>
      <c r="H237" s="74" t="e">
        <f t="shared" si="18"/>
        <v>#N/A</v>
      </c>
      <c r="I237" s="69" t="e">
        <f>VLOOKUP(A237,[2]Sheet1!$C$3:$G$310,5,0)</f>
        <v>#N/A</v>
      </c>
      <c r="J237" s="74">
        <f>VLOOKUP(A237,[3]KCBB0101!$C$3:$F$691,4,0)</f>
        <v>6000</v>
      </c>
      <c r="K237" s="74" t="str">
        <f>VLOOKUP(A237,'7月排产计划'!G55:G569,1,0)</f>
        <v>ID295/80R22.5-18PR(152/149L)[BMA07 ECO]BRANSALES无内</v>
      </c>
    </row>
    <row r="238" spans="1:11">
      <c r="A238" s="425" t="s">
        <v>529</v>
      </c>
      <c r="B238" s="417">
        <v>1700</v>
      </c>
      <c r="C238" s="420" t="s">
        <v>465</v>
      </c>
      <c r="D238" s="74" t="str">
        <f t="shared" ref="D238:D256" si="20">MID(A238,FIND("R",A238)+1,4)</f>
        <v>22.5</v>
      </c>
      <c r="E238" s="426" t="str">
        <f>_xlfn.XLOOKUP(A238,'7月排产计划'!G:G,'7月排产计划'!B:B)</f>
        <v>南美</v>
      </c>
      <c r="F238" s="69" t="str">
        <f t="shared" si="17"/>
        <v>南美22.5寸</v>
      </c>
      <c r="G238" s="69" t="e">
        <f>VLOOKUP(A238,'7月排产计划'!G244:G758,1,0)</f>
        <v>#N/A</v>
      </c>
      <c r="H238" s="74" t="e">
        <f t="shared" si="18"/>
        <v>#N/A</v>
      </c>
      <c r="I238" s="69">
        <f>VLOOKUP(A238,[2]Sheet1!$C$3:$G$310,5,0)</f>
        <v>7620</v>
      </c>
      <c r="J238" s="74" t="e">
        <f>VLOOKUP(A238,[3]KCBB0101!$C$3:$F$691,4,0)</f>
        <v>#N/A</v>
      </c>
      <c r="K238" s="74" t="str">
        <f>VLOOKUP(A238,'7月排产计划'!G56:G570,1,0)</f>
        <v>ID295/80R22.5-18PR(152/149L)[EZ573]威狮无内</v>
      </c>
    </row>
    <row r="239" spans="1:11">
      <c r="A239" s="425" t="s">
        <v>530</v>
      </c>
      <c r="B239" s="417">
        <v>350</v>
      </c>
      <c r="C239" s="420" t="s">
        <v>465</v>
      </c>
      <c r="D239" s="74" t="str">
        <f t="shared" si="20"/>
        <v>22.5</v>
      </c>
      <c r="E239" s="426" t="str">
        <f>_xlfn.XLOOKUP(A239,'7月排产计划'!G:G,'7月排产计划'!B:B)</f>
        <v>南美</v>
      </c>
      <c r="F239" s="69" t="str">
        <f t="shared" si="17"/>
        <v>南美22.5寸</v>
      </c>
      <c r="G239" s="69" t="e">
        <f>VLOOKUP(A239,'7月排产计划'!G245:G759,1,0)</f>
        <v>#N/A</v>
      </c>
      <c r="H239" s="74" t="e">
        <f t="shared" si="18"/>
        <v>#N/A</v>
      </c>
      <c r="I239" s="69" t="e">
        <f>VLOOKUP(A239,[2]Sheet1!$C$3:$G$310,5,0)</f>
        <v>#N/A</v>
      </c>
      <c r="J239" s="74">
        <f>VLOOKUP(A239,[3]KCBB0101!$C$3:$F$691,4,0)</f>
        <v>2100</v>
      </c>
      <c r="K239" s="74" t="str">
        <f>VLOOKUP(A239,'7月排产计划'!G57:G571,1,0)</f>
        <v>ID295/80R22.5-18PR(152/149L)[G-PRO U]GRIPMASTER无内</v>
      </c>
    </row>
    <row r="240" spans="1:11">
      <c r="A240" s="425" t="s">
        <v>531</v>
      </c>
      <c r="B240" s="417">
        <v>3000</v>
      </c>
      <c r="C240" s="420" t="s">
        <v>465</v>
      </c>
      <c r="D240" s="74" t="str">
        <f t="shared" si="20"/>
        <v>22.5</v>
      </c>
      <c r="E240" s="426" t="str">
        <f>_xlfn.XLOOKUP(A240,'7月排产计划'!G:G,'7月排产计划'!B:B)</f>
        <v>南美</v>
      </c>
      <c r="F240" s="69" t="str">
        <f t="shared" si="17"/>
        <v>南美22.5寸</v>
      </c>
      <c r="G240" s="69" t="e">
        <f>VLOOKUP(A240,'7月排产计划'!G246:G760,1,0)</f>
        <v>#N/A</v>
      </c>
      <c r="H240" s="74" t="e">
        <f t="shared" si="18"/>
        <v>#N/A</v>
      </c>
      <c r="I240" s="69" t="e">
        <f>VLOOKUP(A240,[2]Sheet1!$C$3:$G$310,5,0)</f>
        <v>#N/A</v>
      </c>
      <c r="J240" s="74">
        <f>VLOOKUP(A240,[3]KCBB0101!$C$3:$F$691,4,0)</f>
        <v>8388</v>
      </c>
      <c r="K240" s="74" t="str">
        <f>VLOOKUP(A240,'7月排产计划'!G58:G572,1,0)</f>
        <v>ID295/80R22.5-18PR(152/149M)[AD156A]金冠无内</v>
      </c>
    </row>
    <row r="241" spans="1:11">
      <c r="A241" s="425" t="s">
        <v>532</v>
      </c>
      <c r="B241" s="417">
        <v>750</v>
      </c>
      <c r="C241" s="420" t="s">
        <v>465</v>
      </c>
      <c r="D241" s="74" t="str">
        <f t="shared" si="20"/>
        <v>22.5</v>
      </c>
      <c r="E241" s="426" t="str">
        <f>_xlfn.XLOOKUP(A241,'7月排产计划'!G:G,'7月排产计划'!B:B)</f>
        <v>南美</v>
      </c>
      <c r="F241" s="69" t="str">
        <f t="shared" si="17"/>
        <v>南美22.5寸</v>
      </c>
      <c r="G241" s="69" t="e">
        <f>VLOOKUP(A241,'7月排产计划'!G247:G761,1,0)</f>
        <v>#N/A</v>
      </c>
      <c r="H241" s="74" t="e">
        <f t="shared" si="18"/>
        <v>#N/A</v>
      </c>
      <c r="I241" s="69">
        <f>VLOOKUP(A241,[2]Sheet1!$C$3:$G$310,5,0)</f>
        <v>5600</v>
      </c>
      <c r="J241" s="74" t="e">
        <f>VLOOKUP(A241,[3]KCBB0101!$C$3:$F$691,4,0)</f>
        <v>#N/A</v>
      </c>
      <c r="K241" s="74" t="str">
        <f>VLOOKUP(A241,'7月排产计划'!G59:G573,1,0)</f>
        <v>ID295/80R22.5-18PR(152/149M)[AD528]威狮无内</v>
      </c>
    </row>
    <row r="242" spans="1:11">
      <c r="A242" s="425" t="s">
        <v>533</v>
      </c>
      <c r="B242" s="417">
        <v>220</v>
      </c>
      <c r="C242" s="420" t="s">
        <v>465</v>
      </c>
      <c r="D242" s="74" t="str">
        <f t="shared" si="20"/>
        <v>22.5</v>
      </c>
      <c r="E242" s="426" t="str">
        <f>_xlfn.XLOOKUP(A242,'7月排产计划'!G:G,'7月排产计划'!B:B)</f>
        <v>南美</v>
      </c>
      <c r="F242" s="69" t="str">
        <f t="shared" si="17"/>
        <v>南美22.5寸</v>
      </c>
      <c r="G242" s="69" t="e">
        <f>VLOOKUP(A242,'7月排产计划'!G248:G762,1,0)</f>
        <v>#N/A</v>
      </c>
      <c r="H242" s="74" t="e">
        <f t="shared" si="18"/>
        <v>#N/A</v>
      </c>
      <c r="I242" s="69">
        <f>VLOOKUP(A242,[2]Sheet1!$C$3:$G$310,5,0)</f>
        <v>1960</v>
      </c>
      <c r="J242" s="74" t="e">
        <f>VLOOKUP(A242,[3]KCBB0101!$C$3:$F$691,4,0)</f>
        <v>#N/A</v>
      </c>
      <c r="K242" s="74" t="str">
        <f>VLOOKUP(A242,'7月排产计划'!G60:G574,1,0)</f>
        <v>ID295/80R22.5-18PR(152/149M)[AD733pro]威狮无内</v>
      </c>
    </row>
    <row r="243" spans="1:11">
      <c r="A243" s="425" t="s">
        <v>534</v>
      </c>
      <c r="B243" s="417">
        <v>300</v>
      </c>
      <c r="C243" s="420" t="s">
        <v>465</v>
      </c>
      <c r="D243" s="74" t="str">
        <f t="shared" si="20"/>
        <v>22.5</v>
      </c>
      <c r="E243" s="426" t="str">
        <f>_xlfn.XLOOKUP(A243,'7月排产计划'!G:G,'7月排产计划'!B:B)</f>
        <v>南美</v>
      </c>
      <c r="F243" s="69" t="str">
        <f t="shared" si="17"/>
        <v>南美22.5寸</v>
      </c>
      <c r="G243" s="69" t="e">
        <f>VLOOKUP(A243,'7月排产计划'!G249:G763,1,0)</f>
        <v>#N/A</v>
      </c>
      <c r="H243" s="74" t="e">
        <f t="shared" si="18"/>
        <v>#N/A</v>
      </c>
      <c r="I243" s="69">
        <f>VLOOKUP(A243,[2]Sheet1!$C$3:$G$310,5,0)</f>
        <v>2500</v>
      </c>
      <c r="J243" s="74" t="e">
        <f>VLOOKUP(A243,[3]KCBB0101!$C$3:$F$691,4,0)</f>
        <v>#N/A</v>
      </c>
      <c r="K243" s="74" t="str">
        <f>VLOOKUP(A243,'7月排产计划'!G61:G575,1,0)</f>
        <v>ID295/80R22.5-18PR(152/149M)[AS589]威狮无内</v>
      </c>
    </row>
    <row r="244" spans="1:11">
      <c r="A244" s="425" t="s">
        <v>535</v>
      </c>
      <c r="B244" s="417">
        <v>700</v>
      </c>
      <c r="C244" s="420" t="s">
        <v>465</v>
      </c>
      <c r="D244" s="74" t="str">
        <f t="shared" si="20"/>
        <v>22.5</v>
      </c>
      <c r="E244" s="426" t="str">
        <f>_xlfn.XLOOKUP(A244,'7月排产计划'!G:G,'7月排产计划'!B:B)</f>
        <v>南美</v>
      </c>
      <c r="F244" s="69" t="str">
        <f t="shared" si="17"/>
        <v>南美22.5寸</v>
      </c>
      <c r="G244" s="69" t="e">
        <f>VLOOKUP(A244,'7月排产计划'!G250:G764,1,0)</f>
        <v>#N/A</v>
      </c>
      <c r="H244" s="74" t="e">
        <f t="shared" si="18"/>
        <v>#N/A</v>
      </c>
      <c r="I244" s="69" t="e">
        <f>VLOOKUP(A244,[2]Sheet1!$C$3:$G$310,5,0)</f>
        <v>#N/A</v>
      </c>
      <c r="J244" s="74">
        <f>VLOOKUP(A244,[3]KCBB0101!$C$3:$F$691,4,0)</f>
        <v>5058</v>
      </c>
      <c r="K244" s="74" t="str">
        <f>VLOOKUP(A244,'7月排产计划'!G62:G576,1,0)</f>
        <v>ID295/80R22.5-18PR(152/149M)[AS678]朝阳无内</v>
      </c>
    </row>
    <row r="245" spans="1:11">
      <c r="A245" s="425" t="s">
        <v>536</v>
      </c>
      <c r="B245" s="417">
        <v>400</v>
      </c>
      <c r="C245" s="420" t="s">
        <v>465</v>
      </c>
      <c r="D245" s="74" t="str">
        <f t="shared" si="20"/>
        <v>22.5</v>
      </c>
      <c r="E245" s="426" t="str">
        <f>_xlfn.XLOOKUP(A245,'7月排产计划'!G:G,'7月排产计划'!B:B)</f>
        <v>南美</v>
      </c>
      <c r="F245" s="69" t="str">
        <f t="shared" ref="F245:F285" si="21">E245&amp;D245&amp;"寸"</f>
        <v>南美22.5寸</v>
      </c>
      <c r="G245" s="69" t="e">
        <f>VLOOKUP(A245,'7月排产计划'!G251:G765,1,0)</f>
        <v>#N/A</v>
      </c>
      <c r="H245" s="74" t="e">
        <f t="shared" si="18"/>
        <v>#N/A</v>
      </c>
      <c r="I245" s="69">
        <f>VLOOKUP(A245,[2]Sheet1!$C$3:$G$310,5,0)</f>
        <v>9400</v>
      </c>
      <c r="J245" s="74" t="e">
        <f>VLOOKUP(A245,[3]KCBB0101!$C$3:$F$691,4,0)</f>
        <v>#N/A</v>
      </c>
      <c r="K245" s="74" t="str">
        <f>VLOOKUP(A245,'7月排产计划'!G63:G577,1,0)</f>
        <v>ID295/80R22.5-18PR(152/149M)[AS678]威狮无内</v>
      </c>
    </row>
    <row r="246" spans="1:11">
      <c r="A246" s="425" t="s">
        <v>537</v>
      </c>
      <c r="B246" s="417">
        <v>300</v>
      </c>
      <c r="C246" s="420" t="s">
        <v>317</v>
      </c>
      <c r="D246" s="74" t="str">
        <f t="shared" si="20"/>
        <v>22.5</v>
      </c>
      <c r="E246" s="426" t="str">
        <f>_xlfn.XLOOKUP(A246,'7月排产计划'!G:G,'7月排产计划'!B:B)</f>
        <v>亚</v>
      </c>
      <c r="F246" s="69" t="str">
        <f t="shared" si="21"/>
        <v>亚22.5寸</v>
      </c>
      <c r="G246" s="69" t="e">
        <f>VLOOKUP(A246,'7月排产计划'!G252:G766,1,0)</f>
        <v>#N/A</v>
      </c>
      <c r="H246" s="74" t="e">
        <f t="shared" si="18"/>
        <v>#N/A</v>
      </c>
      <c r="I246" s="69">
        <f>VLOOKUP(A246,[2]Sheet1!$C$3:$G$310,5,0)</f>
        <v>4200</v>
      </c>
      <c r="J246" s="74" t="str">
        <f>VLOOKUP(A246,[3]KCBB0101!$C$3:$F$691,4,0)</f>
        <v>_</v>
      </c>
      <c r="K246" s="74" t="str">
        <f>VLOOKUP(A246,'7月排产计划'!G64:G578,1,0)</f>
        <v>ID295/80R22.5-18PR(152/149M)[AS858Pro]威狮无内</v>
      </c>
    </row>
    <row r="247" spans="1:11">
      <c r="A247" s="425" t="s">
        <v>538</v>
      </c>
      <c r="B247" s="417">
        <v>350</v>
      </c>
      <c r="C247" s="420" t="s">
        <v>317</v>
      </c>
      <c r="D247" s="74" t="str">
        <f t="shared" si="20"/>
        <v>22.5</v>
      </c>
      <c r="E247" s="426" t="str">
        <f>_xlfn.XLOOKUP(A247,'7月排产计划'!G:G,'7月排产计划'!B:B)</f>
        <v>亚</v>
      </c>
      <c r="F247" s="69" t="str">
        <f t="shared" si="21"/>
        <v>亚22.5寸</v>
      </c>
      <c r="G247" s="69" t="e">
        <f>VLOOKUP(A247,'7月排产计划'!G253:G767,1,0)</f>
        <v>#N/A</v>
      </c>
      <c r="H247" s="74" t="e">
        <f t="shared" si="18"/>
        <v>#N/A</v>
      </c>
      <c r="I247" s="69" t="e">
        <f>VLOOKUP(A247,[2]Sheet1!$C$3:$G$310,5,0)</f>
        <v>#N/A</v>
      </c>
      <c r="J247" s="74">
        <f>VLOOKUP(A247,[3]KCBB0101!$C$3:$F$691,4,0)</f>
        <v>4240</v>
      </c>
      <c r="K247" s="74" t="str">
        <f>VLOOKUP(A247,'7月排产计划'!G65:G579,1,0)</f>
        <v>ID295/80R22.5-18PR(152/149M)[AS858Pro]雅度无内</v>
      </c>
    </row>
    <row r="248" spans="1:11">
      <c r="A248" s="425" t="s">
        <v>539</v>
      </c>
      <c r="B248" s="417">
        <v>250</v>
      </c>
      <c r="C248" s="420" t="s">
        <v>317</v>
      </c>
      <c r="D248" s="74" t="str">
        <f t="shared" si="20"/>
        <v>22.5</v>
      </c>
      <c r="E248" s="426" t="str">
        <f>_xlfn.XLOOKUP(A248,'7月排产计划'!G:G,'7月排产计划'!B:B)</f>
        <v>亚</v>
      </c>
      <c r="F248" s="69" t="str">
        <f t="shared" si="21"/>
        <v>亚22.5寸</v>
      </c>
      <c r="G248" s="69" t="e">
        <f>VLOOKUP(A248,'7月排产计划'!G254:G768,1,0)</f>
        <v>#N/A</v>
      </c>
      <c r="H248" s="74" t="e">
        <f t="shared" si="18"/>
        <v>#N/A</v>
      </c>
      <c r="I248" s="69" t="e">
        <f>VLOOKUP(A248,[2]Sheet1!$C$3:$G$310,5,0)</f>
        <v>#N/A</v>
      </c>
      <c r="J248" s="74">
        <f>VLOOKUP(A248,[3]KCBB0101!$C$3:$F$691,4,0)</f>
        <v>9000</v>
      </c>
      <c r="K248" s="74" t="str">
        <f>VLOOKUP(A248,'7月排产计划'!G66:G580,1,0)</f>
        <v>ID295/80R22.5-18PR(152/149M)[AS868Pro]TRAZANO(全诺)无内</v>
      </c>
    </row>
    <row r="249" spans="1:11">
      <c r="A249" s="425" t="s">
        <v>540</v>
      </c>
      <c r="B249" s="417">
        <v>160</v>
      </c>
      <c r="C249" s="420" t="s">
        <v>317</v>
      </c>
      <c r="D249" s="74" t="str">
        <f t="shared" si="20"/>
        <v>22.5</v>
      </c>
      <c r="E249" s="426" t="str">
        <f>_xlfn.XLOOKUP(A249,'7月排产计划'!G:G,'7月排产计划'!B:B)</f>
        <v>亚</v>
      </c>
      <c r="F249" s="69" t="str">
        <f t="shared" si="21"/>
        <v>亚22.5寸</v>
      </c>
      <c r="G249" s="69" t="e">
        <f>VLOOKUP(A249,'7月排产计划'!G255:G769,1,0)</f>
        <v>#N/A</v>
      </c>
      <c r="H249" s="74" t="e">
        <f t="shared" si="18"/>
        <v>#N/A</v>
      </c>
      <c r="I249" s="69" t="e">
        <f>VLOOKUP(A249,[2]Sheet1!$C$3:$G$310,5,0)</f>
        <v>#N/A</v>
      </c>
      <c r="J249" s="74">
        <f>VLOOKUP(A249,[3]KCBB0101!$C$3:$F$691,4,0)</f>
        <v>3730</v>
      </c>
      <c r="K249" s="74" t="str">
        <f>VLOOKUP(A249,'7月排产计划'!G67:G581,1,0)</f>
        <v>ID295/80R22.5-18PR(152/149M)[AS868Pro]朝阳无内</v>
      </c>
    </row>
    <row r="250" spans="1:11">
      <c r="A250" s="425" t="s">
        <v>541</v>
      </c>
      <c r="B250" s="417">
        <v>1000</v>
      </c>
      <c r="C250" s="420" t="s">
        <v>465</v>
      </c>
      <c r="D250" s="74" t="str">
        <f t="shared" si="20"/>
        <v>22.5</v>
      </c>
      <c r="E250" s="426" t="str">
        <f>_xlfn.XLOOKUP(A250,'7月排产计划'!G:G,'7月排产计划'!B:B)</f>
        <v>南美</v>
      </c>
      <c r="F250" s="69" t="str">
        <f t="shared" si="21"/>
        <v>南美22.5寸</v>
      </c>
      <c r="G250" s="69" t="e">
        <f>VLOOKUP(A250,'7月排产计划'!G256:G770,1,0)</f>
        <v>#N/A</v>
      </c>
      <c r="H250" s="74" t="e">
        <f t="shared" si="18"/>
        <v>#N/A</v>
      </c>
      <c r="I250" s="69" t="e">
        <f>VLOOKUP(A250,[2]Sheet1!$C$3:$G$310,5,0)</f>
        <v>#N/A</v>
      </c>
      <c r="J250" s="74">
        <f>VLOOKUP(A250,[3]KCBB0101!$C$3:$F$691,4,0)</f>
        <v>5185</v>
      </c>
      <c r="K250" s="74" t="str">
        <f>VLOOKUP(A250,'7月排产计划'!G68:G582,1,0)</f>
        <v>ID295/80R22.5-18PR(152/149M)[AS898]雅度无内</v>
      </c>
    </row>
    <row r="251" spans="1:11">
      <c r="A251" s="425" t="s">
        <v>194</v>
      </c>
      <c r="B251" s="417">
        <v>7500</v>
      </c>
      <c r="C251" s="420" t="s">
        <v>465</v>
      </c>
      <c r="D251" s="74" t="str">
        <f t="shared" si="20"/>
        <v>22.5</v>
      </c>
      <c r="E251" s="426" t="str">
        <f>_xlfn.XLOOKUP(A251,'7月排产计划'!G:G,'7月排产计划'!B:B)</f>
        <v>巴西</v>
      </c>
      <c r="F251" s="69" t="str">
        <f t="shared" si="21"/>
        <v>巴西22.5寸</v>
      </c>
      <c r="G251" s="69" t="e">
        <f>VLOOKUP(A251,'7月排产计划'!G257:G771,1,0)</f>
        <v>#N/A</v>
      </c>
      <c r="H251" s="74" t="e">
        <f t="shared" si="18"/>
        <v>#N/A</v>
      </c>
      <c r="I251" s="69" t="e">
        <f>VLOOKUP(A251,[2]Sheet1!$C$3:$G$310,5,0)</f>
        <v>#N/A</v>
      </c>
      <c r="J251" s="74" t="e">
        <f>VLOOKUP(A251,[3]KCBB0101!$C$3:$F$691,4,0)</f>
        <v>#N/A</v>
      </c>
      <c r="K251" s="74" t="str">
        <f>VLOOKUP(A251,'7月排产计划'!G69:G583,1,0)</f>
        <v>ID295/80R22.5-18PR(152/149M)[AT161]SUDESTE无内</v>
      </c>
    </row>
    <row r="252" spans="1:11">
      <c r="A252" s="425" t="s">
        <v>542</v>
      </c>
      <c r="B252" s="417">
        <v>8000</v>
      </c>
      <c r="C252" s="420" t="s">
        <v>465</v>
      </c>
      <c r="D252" s="74" t="str">
        <f t="shared" si="20"/>
        <v>22.5</v>
      </c>
      <c r="E252" s="426" t="str">
        <f>_xlfn.XLOOKUP(A252,'7月排产计划'!G:G,'7月排产计划'!B:B)</f>
        <v>南美</v>
      </c>
      <c r="F252" s="69" t="str">
        <f t="shared" si="21"/>
        <v>南美22.5寸</v>
      </c>
      <c r="G252" s="69" t="e">
        <f>VLOOKUP(A252,'7月排产计划'!G258:G772,1,0)</f>
        <v>#N/A</v>
      </c>
      <c r="H252" s="74" t="e">
        <f t="shared" si="18"/>
        <v>#N/A</v>
      </c>
      <c r="I252" s="69">
        <f>VLOOKUP(A252,[2]Sheet1!$C$3:$G$310,5,0)</f>
        <v>6600</v>
      </c>
      <c r="J252" s="74" t="e">
        <f>VLOOKUP(A252,[3]KCBB0101!$C$3:$F$691,4,0)</f>
        <v>#N/A</v>
      </c>
      <c r="K252" s="74" t="str">
        <f>VLOOKUP(A252,'7月排产计划'!G70:G584,1,0)</f>
        <v>ID295/80R22.5-18PR(152/149M)[AT161]威狮无内</v>
      </c>
    </row>
    <row r="253" spans="1:11">
      <c r="A253" s="425" t="s">
        <v>543</v>
      </c>
      <c r="B253" s="417">
        <v>4000</v>
      </c>
      <c r="C253" s="420" t="s">
        <v>465</v>
      </c>
      <c r="D253" s="74" t="str">
        <f t="shared" si="20"/>
        <v>22.5</v>
      </c>
      <c r="E253" s="426" t="str">
        <f>_xlfn.XLOOKUP(A253,'7月排产计划'!G:G,'7月排产计划'!B:B)</f>
        <v>南美</v>
      </c>
      <c r="F253" s="69" t="str">
        <f t="shared" si="21"/>
        <v>南美22.5寸</v>
      </c>
      <c r="G253" s="69" t="e">
        <f>VLOOKUP(A253,'7月排产计划'!G259:G773,1,0)</f>
        <v>#N/A</v>
      </c>
      <c r="H253" s="74" t="e">
        <f t="shared" si="18"/>
        <v>#N/A</v>
      </c>
      <c r="I253" s="69" t="e">
        <f>VLOOKUP(A253,[2]Sheet1!$C$3:$G$310,5,0)</f>
        <v>#N/A</v>
      </c>
      <c r="J253" s="74">
        <f>VLOOKUP(A253,[3]KCBB0101!$C$3:$F$691,4,0)</f>
        <v>44119</v>
      </c>
      <c r="K253" s="74" t="str">
        <f>VLOOKUP(A253,'7月排产计划'!G71:G585,1,0)</f>
        <v>ID295/80R22.5-18PR(152/149M)[AT186]金冠无内</v>
      </c>
    </row>
    <row r="254" spans="1:11">
      <c r="A254" s="425" t="s">
        <v>544</v>
      </c>
      <c r="B254" s="417">
        <v>1800</v>
      </c>
      <c r="C254" s="420" t="s">
        <v>465</v>
      </c>
      <c r="D254" s="74" t="str">
        <f t="shared" si="20"/>
        <v>22.5</v>
      </c>
      <c r="E254" s="426" t="str">
        <f>_xlfn.XLOOKUP(A254,'7月排产计划'!G:G,'7月排产计划'!B:B)</f>
        <v>南美</v>
      </c>
      <c r="F254" s="69" t="str">
        <f t="shared" si="21"/>
        <v>南美22.5寸</v>
      </c>
      <c r="G254" s="69" t="e">
        <f>VLOOKUP(A254,'7月排产计划'!G260:G774,1,0)</f>
        <v>#N/A</v>
      </c>
      <c r="H254" s="74" t="e">
        <f t="shared" si="18"/>
        <v>#N/A</v>
      </c>
      <c r="I254" s="69" t="e">
        <f>VLOOKUP(A254,[2]Sheet1!$C$3:$G$310,5,0)</f>
        <v>#N/A</v>
      </c>
      <c r="J254" s="74">
        <f>VLOOKUP(A254,[3]KCBB0101!$C$3:$F$691,4,0)</f>
        <v>9000</v>
      </c>
      <c r="K254" s="74" t="str">
        <f>VLOOKUP(A254,'7月排产计划'!G72:G586,1,0)</f>
        <v>ID295/80R22.5-18PR(152/149M)[AT186]力奔无内</v>
      </c>
    </row>
    <row r="255" spans="1:11">
      <c r="A255" s="425" t="s">
        <v>545</v>
      </c>
      <c r="B255" s="417">
        <v>4000</v>
      </c>
      <c r="C255" s="420" t="s">
        <v>465</v>
      </c>
      <c r="D255" s="74" t="str">
        <f t="shared" si="20"/>
        <v>22.5</v>
      </c>
      <c r="E255" s="426" t="str">
        <f>_xlfn.XLOOKUP(A255,'7月排产计划'!G:G,'7月排产计划'!B:B)</f>
        <v>南美</v>
      </c>
      <c r="F255" s="69" t="str">
        <f t="shared" si="21"/>
        <v>南美22.5寸</v>
      </c>
      <c r="G255" s="69" t="e">
        <f>VLOOKUP(A255,'7月排产计划'!G261:G775,1,0)</f>
        <v>#N/A</v>
      </c>
      <c r="H255" s="74" t="e">
        <f t="shared" si="18"/>
        <v>#N/A</v>
      </c>
      <c r="I255" s="69" t="e">
        <f>VLOOKUP(A255,[2]Sheet1!$C$3:$G$310,5,0)</f>
        <v>#N/A</v>
      </c>
      <c r="J255" s="74">
        <f>VLOOKUP(A255,[3]KCBB0101!$C$3:$F$691,4,0)</f>
        <v>6495</v>
      </c>
      <c r="K255" s="74" t="str">
        <f>VLOOKUP(A255,'7月排产计划'!G73:G587,1,0)</f>
        <v>ID295/80R22.5-18PR(152/149M)[AT186]欧耐特无内</v>
      </c>
    </row>
    <row r="256" spans="1:11">
      <c r="A256" s="425" t="s">
        <v>546</v>
      </c>
      <c r="B256" s="417">
        <v>2000</v>
      </c>
      <c r="C256" s="420" t="s">
        <v>465</v>
      </c>
      <c r="D256" s="74" t="str">
        <f t="shared" si="20"/>
        <v>22.5</v>
      </c>
      <c r="E256" s="426" t="str">
        <f>_xlfn.XLOOKUP(A256,'7月排产计划'!G:G,'7月排产计划'!B:B)</f>
        <v>南美</v>
      </c>
      <c r="F256" s="69" t="str">
        <f t="shared" si="21"/>
        <v>南美22.5寸</v>
      </c>
      <c r="G256" s="69" t="e">
        <f>VLOOKUP(A256,'7月排产计划'!G262:G776,1,0)</f>
        <v>#N/A</v>
      </c>
      <c r="H256" s="74" t="e">
        <f t="shared" si="18"/>
        <v>#N/A</v>
      </c>
      <c r="I256" s="69" t="e">
        <f>VLOOKUP(A256,[2]Sheet1!$C$3:$G$310,5,0)</f>
        <v>#N/A</v>
      </c>
      <c r="J256" s="74">
        <f>VLOOKUP(A256,[3]KCBB0101!$C$3:$F$691,4,0)</f>
        <v>5200</v>
      </c>
      <c r="K256" s="74" t="str">
        <f>VLOOKUP(A256,'7月排产计划'!G74:G588,1,0)</f>
        <v>ID295/80R22.5-18PR(152/149M)[AT196]力奔无内</v>
      </c>
    </row>
    <row r="257" spans="1:11">
      <c r="A257" s="425" t="s">
        <v>547</v>
      </c>
      <c r="B257" s="417">
        <v>3000</v>
      </c>
      <c r="C257" s="420" t="s">
        <v>465</v>
      </c>
      <c r="D257" s="74" t="str">
        <f t="shared" ref="D257:D265" si="22">MID(A257,FIND("R",A257)+1,4)</f>
        <v>22.5</v>
      </c>
      <c r="E257" s="426" t="str">
        <f>_xlfn.XLOOKUP(A257,'7月排产计划'!G:G,'7月排产计划'!B:B)</f>
        <v>南美</v>
      </c>
      <c r="F257" s="69" t="str">
        <f t="shared" si="21"/>
        <v>南美22.5寸</v>
      </c>
      <c r="G257" s="69" t="e">
        <f>VLOOKUP(A257,'7月排产计划'!G263:G777,1,0)</f>
        <v>#N/A</v>
      </c>
      <c r="H257" s="74" t="e">
        <f t="shared" si="18"/>
        <v>#N/A</v>
      </c>
      <c r="I257" s="69" t="e">
        <f>VLOOKUP(A257,[2]Sheet1!$C$3:$G$310,5,0)</f>
        <v>#N/A</v>
      </c>
      <c r="J257" s="74">
        <f>VLOOKUP(A257,[3]KCBB0101!$C$3:$F$691,4,0)</f>
        <v>12950</v>
      </c>
      <c r="K257" s="74" t="str">
        <f>VLOOKUP(A257,'7月排产计划'!G75:G589,1,0)</f>
        <v>ID295/80R22.5-18PR(152/149M)[AT196]雅度无内</v>
      </c>
    </row>
    <row r="258" spans="1:11">
      <c r="A258" s="425" t="s">
        <v>548</v>
      </c>
      <c r="B258" s="417">
        <v>720</v>
      </c>
      <c r="C258" s="420" t="s">
        <v>465</v>
      </c>
      <c r="D258" s="74" t="str">
        <f t="shared" si="22"/>
        <v>22.5</v>
      </c>
      <c r="E258" s="426" t="str">
        <f>_xlfn.XLOOKUP(A258,'7月排产计划'!G:G,'7月排产计划'!B:B)</f>
        <v>南美</v>
      </c>
      <c r="F258" s="69" t="str">
        <f t="shared" si="21"/>
        <v>南美22.5寸</v>
      </c>
      <c r="G258" s="69" t="e">
        <f>VLOOKUP(A258,'7月排产计划'!G264:G778,1,0)</f>
        <v>#N/A</v>
      </c>
      <c r="H258" s="74" t="e">
        <f t="shared" ref="H258:H321" si="23">D258&amp;G258</f>
        <v>#N/A</v>
      </c>
      <c r="I258" s="69" t="e">
        <f>VLOOKUP(A258,[2]Sheet1!$C$3:$G$310,5,0)</f>
        <v>#N/A</v>
      </c>
      <c r="J258" s="74">
        <f>VLOOKUP(A258,[3]KCBB0101!$C$3:$F$691,4,0)</f>
        <v>7000</v>
      </c>
      <c r="K258" s="74" t="str">
        <f>VLOOKUP(A258,'7月排产计划'!G76:G590,1,0)</f>
        <v>ID295/80R22.5-18PR(152/149M)[BRA07 ECO]BRANSALES无内</v>
      </c>
    </row>
    <row r="259" spans="1:11">
      <c r="A259" s="425" t="s">
        <v>549</v>
      </c>
      <c r="B259" s="417">
        <v>700</v>
      </c>
      <c r="C259" s="420" t="s">
        <v>465</v>
      </c>
      <c r="D259" s="74" t="str">
        <f t="shared" si="22"/>
        <v>22.5</v>
      </c>
      <c r="E259" s="426" t="str">
        <f>_xlfn.XLOOKUP(A259,'7月排产计划'!G:G,'7月排产计划'!B:B)</f>
        <v>南美</v>
      </c>
      <c r="F259" s="69" t="str">
        <f t="shared" si="21"/>
        <v>南美22.5寸</v>
      </c>
      <c r="G259" s="69" t="e">
        <f>VLOOKUP(A259,'7月排产计划'!G265:G779,1,0)</f>
        <v>#N/A</v>
      </c>
      <c r="H259" s="74" t="e">
        <f t="shared" si="23"/>
        <v>#N/A</v>
      </c>
      <c r="I259" s="69" t="e">
        <f>VLOOKUP(A259,[2]Sheet1!$C$3:$G$310,5,0)</f>
        <v>#N/A</v>
      </c>
      <c r="J259" s="74">
        <f>VLOOKUP(A259,[3]KCBB0101!$C$3:$F$691,4,0)</f>
        <v>2000</v>
      </c>
      <c r="K259" s="74" t="str">
        <f>VLOOKUP(A259,'7月排产计划'!G77:G591,1,0)</f>
        <v>ID295/80R22.5-18PR(152/149M)[BRD06 PRO]BRANSALES无内</v>
      </c>
    </row>
    <row r="260" spans="1:11">
      <c r="A260" s="425" t="s">
        <v>550</v>
      </c>
      <c r="B260" s="417">
        <v>250</v>
      </c>
      <c r="C260" s="420" t="s">
        <v>465</v>
      </c>
      <c r="D260" s="74" t="str">
        <f t="shared" si="22"/>
        <v>22.5</v>
      </c>
      <c r="E260" s="426" t="str">
        <f>_xlfn.XLOOKUP(A260,'7月排产计划'!G:G,'7月排产计划'!B:B)</f>
        <v>南美</v>
      </c>
      <c r="F260" s="69" t="str">
        <f t="shared" si="21"/>
        <v>南美22.5寸</v>
      </c>
      <c r="G260" s="69" t="e">
        <f>VLOOKUP(A260,'7月排产计划'!G266:G780,1,0)</f>
        <v>#N/A</v>
      </c>
      <c r="H260" s="74" t="e">
        <f t="shared" si="23"/>
        <v>#N/A</v>
      </c>
      <c r="I260" s="69" t="e">
        <f>VLOOKUP(A260,[2]Sheet1!$C$3:$G$310,5,0)</f>
        <v>#N/A</v>
      </c>
      <c r="J260" s="74">
        <f>VLOOKUP(A260,[3]KCBB0101!$C$3:$F$691,4,0)</f>
        <v>8000</v>
      </c>
      <c r="K260" s="74" t="str">
        <f>VLOOKUP(A260,'7月排产计划'!G78:G592,1,0)</f>
        <v>ID295/80R22.5-18PR(152/149M)[CR976A]ARISUN无内</v>
      </c>
    </row>
    <row r="261" spans="1:11">
      <c r="A261" s="425" t="s">
        <v>551</v>
      </c>
      <c r="B261" s="417">
        <v>3000</v>
      </c>
      <c r="C261" s="420" t="s">
        <v>465</v>
      </c>
      <c r="D261" s="74" t="str">
        <f t="shared" si="22"/>
        <v>22.5</v>
      </c>
      <c r="E261" s="426" t="str">
        <f>_xlfn.XLOOKUP(A261,'7月排产计划'!G:G,'7月排产计划'!B:B)</f>
        <v>南美</v>
      </c>
      <c r="F261" s="69" t="str">
        <f t="shared" si="21"/>
        <v>南美22.5寸</v>
      </c>
      <c r="G261" s="69" t="e">
        <f>VLOOKUP(A261,'7月排产计划'!G267:G781,1,0)</f>
        <v>#N/A</v>
      </c>
      <c r="H261" s="74" t="e">
        <f t="shared" si="23"/>
        <v>#N/A</v>
      </c>
      <c r="I261" s="69" t="e">
        <f>VLOOKUP(A261,[2]Sheet1!$C$3:$G$310,5,0)</f>
        <v>#N/A</v>
      </c>
      <c r="J261" s="74">
        <f>VLOOKUP(A261,[3]KCBB0101!$C$3:$F$691,4,0)</f>
        <v>13297</v>
      </c>
      <c r="K261" s="74" t="str">
        <f>VLOOKUP(A261,'7月排产计划'!G79:G593,1,0)</f>
        <v>ID295/80R22.5-18PR(152/149M)[G-PRO D]GRIPMASTER无内</v>
      </c>
    </row>
    <row r="262" spans="1:11">
      <c r="A262" s="425" t="s">
        <v>552</v>
      </c>
      <c r="B262" s="417">
        <v>4000</v>
      </c>
      <c r="C262" s="420" t="s">
        <v>465</v>
      </c>
      <c r="D262" s="74" t="str">
        <f t="shared" si="22"/>
        <v>22.5</v>
      </c>
      <c r="E262" s="426" t="str">
        <f>_xlfn.XLOOKUP(A262,'7月排产计划'!G:G,'7月排产计划'!B:B)</f>
        <v>南美</v>
      </c>
      <c r="F262" s="69" t="str">
        <f t="shared" si="21"/>
        <v>南美22.5寸</v>
      </c>
      <c r="G262" s="69" t="e">
        <f>VLOOKUP(A262,'7月排产计划'!G268:G782,1,0)</f>
        <v>#N/A</v>
      </c>
      <c r="H262" s="74" t="e">
        <f t="shared" si="23"/>
        <v>#N/A</v>
      </c>
      <c r="I262" s="69" t="e">
        <f>VLOOKUP(A262,[2]Sheet1!$C$3:$G$310,5,0)</f>
        <v>#N/A</v>
      </c>
      <c r="J262" s="74">
        <f>VLOOKUP(A262,[3]KCBB0101!$C$3:$F$691,4,0)</f>
        <v>25336</v>
      </c>
      <c r="K262" s="74" t="str">
        <f>VLOOKUP(A262,'7月排产计划'!G80:G594,1,0)</f>
        <v>ID295/80R22.5-18PR(152/149M)[G-PRO S]GRIPMASTER无内</v>
      </c>
    </row>
    <row r="263" spans="1:11">
      <c r="A263" s="425" t="s">
        <v>553</v>
      </c>
      <c r="B263" s="417">
        <v>150</v>
      </c>
      <c r="C263" s="420" t="s">
        <v>465</v>
      </c>
      <c r="D263" s="74" t="str">
        <f t="shared" si="22"/>
        <v>22.5</v>
      </c>
      <c r="E263" s="426" t="str">
        <f>_xlfn.XLOOKUP(A263,'7月排产计划'!G:G,'7月排产计划'!B:B)</f>
        <v>南美</v>
      </c>
      <c r="F263" s="69" t="str">
        <f t="shared" si="21"/>
        <v>南美22.5寸</v>
      </c>
      <c r="G263" s="69" t="e">
        <f>VLOOKUP(A263,'7月排产计划'!G269:G783,1,0)</f>
        <v>#N/A</v>
      </c>
      <c r="H263" s="74" t="e">
        <f t="shared" si="23"/>
        <v>#N/A</v>
      </c>
      <c r="I263" s="69" t="e">
        <f>VLOOKUP(A263,[2]Sheet1!$C$3:$G$310,5,0)</f>
        <v>#N/A</v>
      </c>
      <c r="J263" s="74">
        <f>VLOOKUP(A263,[3]KCBB0101!$C$3:$F$691,4,0)</f>
        <v>6350</v>
      </c>
      <c r="K263" s="74" t="str">
        <f>VLOOKUP(A263,'7月排产计划'!G81:G595,1,0)</f>
        <v>ID295/80R22.5-18PR(152/149M)[RF45]RODOFORT无内</v>
      </c>
    </row>
    <row r="264" spans="1:11">
      <c r="A264" s="425" t="s">
        <v>554</v>
      </c>
      <c r="B264" s="417">
        <v>8000</v>
      </c>
      <c r="C264" s="420" t="s">
        <v>465</v>
      </c>
      <c r="D264" s="74" t="str">
        <f t="shared" si="22"/>
        <v>22.5</v>
      </c>
      <c r="E264" s="426" t="str">
        <f>_xlfn.XLOOKUP(A264,'7月排产计划'!G:G,'7月排产计划'!B:B)</f>
        <v>南美</v>
      </c>
      <c r="F264" s="69" t="str">
        <f t="shared" si="21"/>
        <v>南美22.5寸</v>
      </c>
      <c r="G264" s="69" t="e">
        <f>VLOOKUP(A264,'7月排产计划'!G270:G784,1,0)</f>
        <v>#N/A</v>
      </c>
      <c r="H264" s="74" t="e">
        <f t="shared" si="23"/>
        <v>#N/A</v>
      </c>
      <c r="I264" s="69" t="e">
        <f>VLOOKUP(A264,[2]Sheet1!$C$3:$G$310,5,0)</f>
        <v>#N/A</v>
      </c>
      <c r="J264" s="74">
        <f>VLOOKUP(A264,[3]KCBB0101!$C$3:$F$691,4,0)</f>
        <v>20581</v>
      </c>
      <c r="K264" s="74" t="str">
        <f>VLOOKUP(A264,'7月排产计划'!G82:G596,1,0)</f>
        <v>ID295/80R22.5-18PR(152/149M)[TUCSON A]STRYKER无内</v>
      </c>
    </row>
    <row r="265" spans="1:11">
      <c r="A265" s="425" t="s">
        <v>555</v>
      </c>
      <c r="B265" s="417">
        <v>120</v>
      </c>
      <c r="C265" s="420" t="s">
        <v>465</v>
      </c>
      <c r="D265" s="74" t="str">
        <f t="shared" si="22"/>
        <v>22.5</v>
      </c>
      <c r="E265" s="426" t="str">
        <f>_xlfn.XLOOKUP(A265,'7月排产计划'!G:G,'7月排产计划'!B:B)</f>
        <v>南美</v>
      </c>
      <c r="F265" s="69" t="str">
        <f t="shared" si="21"/>
        <v>南美22.5寸</v>
      </c>
      <c r="G265" s="69" t="e">
        <f>VLOOKUP(A265,'7月排产计划'!G271:G785,1,0)</f>
        <v>#N/A</v>
      </c>
      <c r="H265" s="74" t="e">
        <f t="shared" si="23"/>
        <v>#N/A</v>
      </c>
      <c r="I265" s="69" t="e">
        <f>VLOOKUP(A265,[2]Sheet1!$C$3:$G$310,5,0)</f>
        <v>#N/A</v>
      </c>
      <c r="J265" s="74">
        <f>VLOOKUP(A265,[3]KCBB0101!$C$3:$F$691,4,0)</f>
        <v>13945</v>
      </c>
      <c r="K265" s="74" t="str">
        <f>VLOOKUP(A265,'7月排产计划'!G83:G597,1,0)</f>
        <v>ID295/80R22.5-18PR(152/149M)[TUCSON D]STRYKER无内</v>
      </c>
    </row>
    <row r="266" spans="1:11">
      <c r="A266" s="425" t="s">
        <v>556</v>
      </c>
      <c r="B266" s="417">
        <v>420</v>
      </c>
      <c r="C266" s="420" t="s">
        <v>465</v>
      </c>
      <c r="D266" s="74" t="str">
        <f t="shared" ref="D266:D279" si="24">MID(A266,FIND("R",A266)+1,4)</f>
        <v>22.5</v>
      </c>
      <c r="E266" s="426" t="str">
        <f>_xlfn.XLOOKUP(A266,'7月排产计划'!G:G,'7月排产计划'!B:B)</f>
        <v>南美</v>
      </c>
      <c r="F266" s="69" t="str">
        <f t="shared" si="21"/>
        <v>南美22.5寸</v>
      </c>
      <c r="G266" s="69" t="e">
        <f>VLOOKUP(A266,'7月排产计划'!G272:G786,1,0)</f>
        <v>#N/A</v>
      </c>
      <c r="H266" s="74" t="e">
        <f t="shared" si="23"/>
        <v>#N/A</v>
      </c>
      <c r="I266" s="69">
        <f>VLOOKUP(A266,[2]Sheet1!$C$3:$G$310,5,0)</f>
        <v>5000</v>
      </c>
      <c r="J266" s="74" t="e">
        <f>VLOOKUP(A266,[3]KCBB0101!$C$3:$F$691,4,0)</f>
        <v>#N/A</v>
      </c>
      <c r="K266" s="74" t="str">
        <f>VLOOKUP(A266,'7月排产计划'!G84:G598,1,0)</f>
        <v>ID295/80R22.5-18PR(152/149M)[WDR1]威狮无内</v>
      </c>
    </row>
    <row r="267" spans="1:11">
      <c r="A267" s="425" t="s">
        <v>557</v>
      </c>
      <c r="B267" s="417">
        <v>360</v>
      </c>
      <c r="C267" s="420" t="s">
        <v>465</v>
      </c>
      <c r="D267" s="74" t="str">
        <f t="shared" si="24"/>
        <v>22.5</v>
      </c>
      <c r="E267" s="426" t="str">
        <f>_xlfn.XLOOKUP(A267,'7月排产计划'!G:G,'7月排产计划'!B:B)</f>
        <v>南美</v>
      </c>
      <c r="F267" s="69" t="str">
        <f t="shared" si="21"/>
        <v>南美22.5寸</v>
      </c>
      <c r="G267" s="69" t="e">
        <f>VLOOKUP(A267,'7月排产计划'!G273:G787,1,0)</f>
        <v>#N/A</v>
      </c>
      <c r="H267" s="74" t="e">
        <f t="shared" si="23"/>
        <v>#N/A</v>
      </c>
      <c r="I267" s="69" t="e">
        <f>VLOOKUP(A267,[2]Sheet1!$C$3:$G$310,5,0)</f>
        <v>#N/A</v>
      </c>
      <c r="J267" s="74">
        <f>VLOOKUP(A267,[3]KCBB0101!$C$3:$F$691,4,0)</f>
        <v>6880</v>
      </c>
      <c r="K267" s="74" t="str">
        <f>VLOOKUP(A267,'7月排产计划'!G85:G599,1,0)</f>
        <v>ID295/80R22.5-18PR(154/149M)[BRA06 PRO]BRANSALES无内</v>
      </c>
    </row>
    <row r="268" spans="1:11">
      <c r="A268" s="425" t="s">
        <v>558</v>
      </c>
      <c r="B268" s="417">
        <v>5000</v>
      </c>
      <c r="C268" s="420" t="s">
        <v>317</v>
      </c>
      <c r="D268" s="74" t="str">
        <f t="shared" si="24"/>
        <v>22.5</v>
      </c>
      <c r="E268" s="426" t="str">
        <f>_xlfn.XLOOKUP(A268,'7月排产计划'!G:G,'7月排产计划'!B:B)</f>
        <v>亚</v>
      </c>
      <c r="F268" s="69" t="str">
        <f t="shared" si="21"/>
        <v>亚22.5寸</v>
      </c>
      <c r="G268" s="69" t="e">
        <f>VLOOKUP(A268,'7月排产计划'!G274:G788,1,0)</f>
        <v>#N/A</v>
      </c>
      <c r="H268" s="74" t="e">
        <f t="shared" si="23"/>
        <v>#N/A</v>
      </c>
      <c r="I268" s="69" t="e">
        <f>VLOOKUP(A268,[2]Sheet1!$C$3:$G$310,5,0)</f>
        <v>#N/A</v>
      </c>
      <c r="J268" s="74">
        <f>VLOOKUP(A268,[3]KCBB0101!$C$3:$F$691,4,0)</f>
        <v>11050</v>
      </c>
      <c r="K268" s="74" t="str">
        <f>VLOOKUP(A268,'7月排产计划'!G86:G600,1,0)</f>
        <v>ID315/80R22.5-20PR(157/154K)[CM958]雅度无内</v>
      </c>
    </row>
    <row r="269" spans="1:11">
      <c r="A269" s="425" t="s">
        <v>155</v>
      </c>
      <c r="B269" s="417">
        <v>120</v>
      </c>
      <c r="C269" s="420" t="s">
        <v>559</v>
      </c>
      <c r="D269" s="74" t="str">
        <f t="shared" si="24"/>
        <v>22.5</v>
      </c>
      <c r="E269" s="426" t="str">
        <f>_xlfn.XLOOKUP(A269,'7月排产计划'!G:G,'7月排产计划'!B:B)</f>
        <v>非</v>
      </c>
      <c r="F269" s="69" t="str">
        <f t="shared" si="21"/>
        <v>非22.5寸</v>
      </c>
      <c r="G269" s="69" t="e">
        <f>VLOOKUP(A269,'7月排产计划'!G275:G789,1,0)</f>
        <v>#N/A</v>
      </c>
      <c r="H269" s="74" t="e">
        <f t="shared" si="23"/>
        <v>#N/A</v>
      </c>
      <c r="I269" s="69">
        <f>VLOOKUP(A269,[2]Sheet1!$C$3:$G$310,5,0)</f>
        <v>1800</v>
      </c>
      <c r="J269" s="74" t="e">
        <f>VLOOKUP(A269,[3]KCBB0101!$C$3:$F$691,4,0)</f>
        <v>#N/A</v>
      </c>
      <c r="K269" s="74" t="str">
        <f>VLOOKUP(A269,'7月排产计划'!G87:G601,1,0)</f>
        <v>ID315/80R22.5-20PR(157/154K)[CR926B]威狮无内</v>
      </c>
    </row>
    <row r="270" spans="1:11">
      <c r="A270" s="425" t="s">
        <v>560</v>
      </c>
      <c r="B270" s="417">
        <v>300</v>
      </c>
      <c r="C270" s="420" t="s">
        <v>314</v>
      </c>
      <c r="D270" s="74" t="str">
        <f t="shared" si="24"/>
        <v>22.5</v>
      </c>
      <c r="E270" s="426" t="str">
        <f>_xlfn.XLOOKUP(A270,'7月排产计划'!G:G,'7月排产计划'!B:B)</f>
        <v>北美</v>
      </c>
      <c r="F270" s="69" t="str">
        <f t="shared" si="21"/>
        <v>北美22.5寸</v>
      </c>
      <c r="G270" s="69" t="e">
        <f>VLOOKUP(A270,'7月排产计划'!G276:G790,1,0)</f>
        <v>#N/A</v>
      </c>
      <c r="H270" s="74" t="e">
        <f t="shared" si="23"/>
        <v>#N/A</v>
      </c>
      <c r="I270" s="69" t="e">
        <f>VLOOKUP(A270,[2]Sheet1!$C$3:$G$310,5,0)</f>
        <v>#N/A</v>
      </c>
      <c r="J270" s="74">
        <f>VLOOKUP(A270,[3]KCBB0101!$C$3:$F$691,4,0)</f>
        <v>1200</v>
      </c>
      <c r="K270" s="74" t="str">
        <f>VLOOKUP(A270,'7月排产计划'!G88:G602,1,0)</f>
        <v>ID315/80R22.5-20PR(157/154K)[HCC1 PlusX]SUPERMAX ECO无内</v>
      </c>
    </row>
    <row r="271" spans="1:11">
      <c r="A271" s="425" t="s">
        <v>561</v>
      </c>
      <c r="B271" s="417">
        <v>900</v>
      </c>
      <c r="C271" s="420" t="s">
        <v>314</v>
      </c>
      <c r="D271" s="74" t="str">
        <f t="shared" si="24"/>
        <v>22.5</v>
      </c>
      <c r="E271" s="426" t="str">
        <f>_xlfn.XLOOKUP(A271,'7月排产计划'!G:G,'7月排产计划'!B:B)</f>
        <v>北美</v>
      </c>
      <c r="F271" s="69" t="str">
        <f t="shared" si="21"/>
        <v>北美22.5寸</v>
      </c>
      <c r="G271" s="69" t="e">
        <f>VLOOKUP(A271,'7月排产计划'!G277:G791,1,0)</f>
        <v>#N/A</v>
      </c>
      <c r="H271" s="74" t="e">
        <f t="shared" si="23"/>
        <v>#N/A</v>
      </c>
      <c r="I271" s="69">
        <f>VLOOKUP(A271,[2]Sheet1!$C$3:$G$310,5,0)</f>
        <v>17200</v>
      </c>
      <c r="J271" s="74" t="e">
        <f>VLOOKUP(A271,[3]KCBB0101!$C$3:$F$691,4,0)</f>
        <v>#N/A</v>
      </c>
      <c r="K271" s="74" t="str">
        <f>VLOOKUP(A271,'7月排产计划'!G89:G603,1,0)</f>
        <v>ID315/80R22.5-20PR(161/157K)[I-31M]IRONMAN无内</v>
      </c>
    </row>
    <row r="272" spans="1:11">
      <c r="A272" s="425" t="s">
        <v>562</v>
      </c>
      <c r="B272" s="417">
        <v>1400</v>
      </c>
      <c r="C272" s="420" t="s">
        <v>314</v>
      </c>
      <c r="D272" s="74" t="str">
        <f t="shared" si="24"/>
        <v>22.5</v>
      </c>
      <c r="E272" s="426" t="str">
        <f>_xlfn.XLOOKUP(A272,'7月排产计划'!G:G,'7月排产计划'!B:B)</f>
        <v>北美</v>
      </c>
      <c r="F272" s="69" t="str">
        <f t="shared" si="21"/>
        <v>北美22.5寸</v>
      </c>
      <c r="G272" s="69" t="e">
        <f>VLOOKUP(A272,'7月排产计划'!G278:G792,1,0)</f>
        <v>#N/A</v>
      </c>
      <c r="H272" s="74" t="e">
        <f t="shared" si="23"/>
        <v>#N/A</v>
      </c>
      <c r="I272" s="69">
        <f>VLOOKUP(A272,[2]Sheet1!$C$3:$G$310,5,0)</f>
        <v>14800</v>
      </c>
      <c r="J272" s="74" t="e">
        <f>VLOOKUP(A272,[3]KCBB0101!$C$3:$F$691,4,0)</f>
        <v>#N/A</v>
      </c>
      <c r="K272" s="74" t="str">
        <f>VLOOKUP(A272,'7月排产计划'!G90:G604,1,0)</f>
        <v>ID315/80R22.5-20PR(161/157K)[I-52A]IRONMAN无内</v>
      </c>
    </row>
    <row r="273" spans="1:11">
      <c r="A273" s="425" t="s">
        <v>563</v>
      </c>
      <c r="B273" s="417">
        <v>750</v>
      </c>
      <c r="C273" s="420" t="s">
        <v>314</v>
      </c>
      <c r="D273" s="74" t="str">
        <f t="shared" si="24"/>
        <v>22.5</v>
      </c>
      <c r="E273" s="426" t="str">
        <f>_xlfn.XLOOKUP(A273,'7月排产计划'!G:G,'7月排产计划'!B:B)</f>
        <v>北美</v>
      </c>
      <c r="F273" s="69" t="str">
        <f t="shared" ref="F273:F303" si="25">E273&amp;D273&amp;"寸"</f>
        <v>北美22.5寸</v>
      </c>
      <c r="G273" s="69" t="e">
        <f>VLOOKUP(A273,'7月排产计划'!G279:G793,1,0)</f>
        <v>#N/A</v>
      </c>
      <c r="H273" s="74" t="e">
        <f t="shared" si="23"/>
        <v>#N/A</v>
      </c>
      <c r="I273" s="69" t="e">
        <f>VLOOKUP(A273,[2]Sheet1!$C$3:$G$310,5,0)</f>
        <v>#N/A</v>
      </c>
      <c r="J273" s="74">
        <f>VLOOKUP(A273,[3]KCBB0101!$C$3:$F$691,4,0)</f>
        <v>5000</v>
      </c>
      <c r="K273" s="74" t="str">
        <f>VLOOKUP(A273,'7月排产计划'!G91:G605,1,0)</f>
        <v>ID315/80R22.5-20PR(161/157K)[M-TRAC MS]MASTERTRACK无内</v>
      </c>
    </row>
    <row r="274" spans="1:11">
      <c r="A274" s="439" t="s">
        <v>564</v>
      </c>
      <c r="B274" s="417">
        <v>180</v>
      </c>
      <c r="C274" s="420" t="s">
        <v>314</v>
      </c>
      <c r="D274" s="74" t="str">
        <f t="shared" si="24"/>
        <v>22.5</v>
      </c>
      <c r="E274" s="426" t="str">
        <f>_xlfn.XLOOKUP(A274,'7月排产计划'!G:G,'7月排产计划'!B:B)</f>
        <v>北美</v>
      </c>
      <c r="F274" s="69" t="str">
        <f t="shared" si="25"/>
        <v>北美22.5寸</v>
      </c>
      <c r="G274" s="69" t="e">
        <f>VLOOKUP(A274,'7月排产计划'!G280:G794,1,0)</f>
        <v>#N/A</v>
      </c>
      <c r="H274" s="74" t="e">
        <f t="shared" si="23"/>
        <v>#N/A</v>
      </c>
      <c r="I274" s="69">
        <f>VLOOKUP(A274,[2]Sheet1!$C$3:$G$310,5,0)</f>
        <v>10200</v>
      </c>
      <c r="J274" s="74" t="e">
        <f>VLOOKUP(A274,[3]KCBB0101!$C$3:$F$691,4,0)</f>
        <v>#N/A</v>
      </c>
      <c r="K274" s="74" t="str">
        <f>VLOOKUP(A274,'7月排产计划'!G92:G606,1,0)</f>
        <v>ID315/80R22.5-20PR(161/157L)[Strong Guard H-RD]HERCULES无内</v>
      </c>
    </row>
    <row r="275" spans="1:11">
      <c r="A275" s="439" t="s">
        <v>565</v>
      </c>
      <c r="B275" s="417">
        <v>300</v>
      </c>
      <c r="C275" s="420" t="s">
        <v>317</v>
      </c>
      <c r="D275" s="74" t="str">
        <f t="shared" si="24"/>
        <v>22.5</v>
      </c>
      <c r="E275" s="426" t="str">
        <f>_xlfn.XLOOKUP(A275,'7月排产计划'!G:G,'7月排产计划'!B:B)</f>
        <v>亚</v>
      </c>
      <c r="F275" s="69" t="str">
        <f t="shared" si="25"/>
        <v>亚22.5寸</v>
      </c>
      <c r="G275" s="69" t="e">
        <f>VLOOKUP(A275,'7月排产计划'!G281:G795,1,0)</f>
        <v>#N/A</v>
      </c>
      <c r="H275" s="74" t="e">
        <f t="shared" si="23"/>
        <v>#N/A</v>
      </c>
      <c r="I275" s="69">
        <f>VLOOKUP(A275,[2]Sheet1!$C$3:$G$310,5,0)</f>
        <v>7500</v>
      </c>
      <c r="J275" s="74" t="e">
        <f>VLOOKUP(A275,[3]KCBB0101!$C$3:$F$691,4,0)</f>
        <v>#N/A</v>
      </c>
      <c r="K275" s="74" t="str">
        <f>VLOOKUP(A275,'7月排产计划'!G93:G607,1,0)</f>
        <v>ID315/80R22.5-20PR(161/157K)[VA996]VITOUR无内</v>
      </c>
    </row>
    <row r="276" spans="1:8">
      <c r="A276" s="439" t="s">
        <v>566</v>
      </c>
      <c r="B276" s="417">
        <v>600</v>
      </c>
      <c r="C276" s="420" t="s">
        <v>317</v>
      </c>
      <c r="D276" s="74" t="str">
        <f t="shared" ref="D276:D279" si="26">MID(A276,FIND("R",A276)+1,2)</f>
        <v>24</v>
      </c>
      <c r="E276" s="426" t="str">
        <f>_xlfn.XLOOKUP(A276,'7月排产计划'!G:G,'7月排产计划'!B:B)</f>
        <v>亚</v>
      </c>
      <c r="F276" s="69" t="str">
        <f t="shared" si="25"/>
        <v>亚24寸</v>
      </c>
      <c r="G276" s="69" t="str">
        <f>VLOOKUP(A276,'7月排产计划'!G282:G796,1,0)</f>
        <v>ID325/95R24-22PR(162/160F)[CB972]威狮无内</v>
      </c>
      <c r="H276" s="74" t="str">
        <f t="shared" si="23"/>
        <v>24ID325/95R24-22PR(162/160F)[CB972]威狮无内</v>
      </c>
    </row>
    <row r="277" spans="1:8">
      <c r="A277" s="439" t="s">
        <v>567</v>
      </c>
      <c r="B277" s="417">
        <v>250</v>
      </c>
      <c r="C277" s="420" t="s">
        <v>559</v>
      </c>
      <c r="D277" s="74" t="str">
        <f t="shared" si="26"/>
        <v>24</v>
      </c>
      <c r="E277" s="426" t="str">
        <f>_xlfn.XLOOKUP(A277,'7月排产计划'!G:G,'7月排产计划'!B:B)</f>
        <v>非</v>
      </c>
      <c r="F277" s="69" t="str">
        <f t="shared" si="25"/>
        <v>非24寸</v>
      </c>
      <c r="G277" s="69" t="str">
        <f>VLOOKUP(A277,'7月排产计划'!G283:G797,1,0)</f>
        <v>ID325/95R24-22PR(162/160K)[AZ828]威狮无内</v>
      </c>
      <c r="H277" s="74" t="str">
        <f t="shared" si="23"/>
        <v>24ID325/95R24-22PR(162/160K)[AZ828]威狮无内</v>
      </c>
    </row>
    <row r="278" spans="1:8">
      <c r="A278" s="439" t="s">
        <v>568</v>
      </c>
      <c r="B278" s="417">
        <v>100</v>
      </c>
      <c r="C278" s="420" t="s">
        <v>559</v>
      </c>
      <c r="D278" s="74" t="str">
        <f t="shared" si="26"/>
        <v>24</v>
      </c>
      <c r="E278" s="426" t="str">
        <f>_xlfn.XLOOKUP(A278,'7月排产计划'!G:G,'7月排产计划'!B:B)</f>
        <v>非</v>
      </c>
      <c r="F278" s="69" t="str">
        <f t="shared" si="25"/>
        <v>非24寸</v>
      </c>
      <c r="G278" s="69" t="str">
        <f>VLOOKUP(A278,'7月排产计划'!G284:G798,1,0)</f>
        <v>ID325/95R24-22PR(162/160K)[MD752]TRAZANO(全诺)无内</v>
      </c>
      <c r="H278" s="74" t="str">
        <f t="shared" si="23"/>
        <v>24ID325/95R24-22PR(162/160K)[MD752]TRAZANO(全诺)无内</v>
      </c>
    </row>
    <row r="279" spans="1:8">
      <c r="A279" s="439" t="s">
        <v>569</v>
      </c>
      <c r="B279" s="417">
        <v>480</v>
      </c>
      <c r="C279" s="420" t="s">
        <v>559</v>
      </c>
      <c r="D279" s="74" t="str">
        <f t="shared" si="26"/>
        <v>24</v>
      </c>
      <c r="E279" s="426" t="str">
        <f>_xlfn.XLOOKUP(A279,'7月排产计划'!G:G,'7月排产计划'!B:B)</f>
        <v>非</v>
      </c>
      <c r="F279" s="69" t="str">
        <f t="shared" si="25"/>
        <v>非24寸</v>
      </c>
      <c r="G279" s="69" t="str">
        <f>VLOOKUP(A279,'7月排产计划'!G285:G799,1,0)</f>
        <v>ID325/95R24-22PR(162/160K)[MD752]威狮无内</v>
      </c>
      <c r="H279" s="74" t="str">
        <f t="shared" si="23"/>
        <v>24ID325/95R24-22PR(162/160K)[MD752]威狮无内</v>
      </c>
    </row>
    <row r="280" spans="1:11">
      <c r="A280" s="439" t="s">
        <v>570</v>
      </c>
      <c r="B280" s="417">
        <v>320</v>
      </c>
      <c r="C280" s="420" t="s">
        <v>314</v>
      </c>
      <c r="D280" s="74" t="str">
        <f t="shared" ref="D280:D292" si="27">MID(A280,FIND("R",A280)+1,4)</f>
        <v>22.5</v>
      </c>
      <c r="E280" s="426" t="str">
        <f>_xlfn.XLOOKUP(A280,'7月排产计划'!G:G,'7月排产计划'!B:B)</f>
        <v>北美</v>
      </c>
      <c r="F280" s="69" t="str">
        <f t="shared" si="25"/>
        <v>北美22.5寸</v>
      </c>
      <c r="G280" s="69" t="e">
        <f>VLOOKUP(A280,'7月排产计划'!G286:G800,1,0)</f>
        <v>#N/A</v>
      </c>
      <c r="H280" s="74" t="e">
        <f t="shared" si="23"/>
        <v>#N/A</v>
      </c>
      <c r="I280" s="69" t="e">
        <f>VLOOKUP(A280,[2]Sheet1!$C$3:$G$310,5,0)</f>
        <v>#N/A</v>
      </c>
      <c r="J280" s="74">
        <f>VLOOKUP(A280,[3]KCBB0101!$C$3:$F$691,4,0)</f>
        <v>5000</v>
      </c>
      <c r="K280" s="74" t="str">
        <f>VLOOKUP(A280,'7月排产计划'!G98:G612,1,0)</f>
        <v>ID385/65R22.5-20PR(160K)[HA4 Plus]SUPERMAX无内</v>
      </c>
    </row>
    <row r="281" spans="1:11">
      <c r="A281" s="439" t="s">
        <v>571</v>
      </c>
      <c r="B281" s="417">
        <v>320</v>
      </c>
      <c r="C281" s="420" t="s">
        <v>314</v>
      </c>
      <c r="D281" s="74" t="str">
        <f t="shared" si="27"/>
        <v>22.5</v>
      </c>
      <c r="E281" s="426" t="str">
        <f>_xlfn.XLOOKUP(A281,'7月排产计划'!G:G,'7月排产计划'!B:B)</f>
        <v>北美</v>
      </c>
      <c r="F281" s="69" t="str">
        <f t="shared" si="25"/>
        <v>北美22.5寸</v>
      </c>
      <c r="G281" s="69" t="e">
        <f>VLOOKUP(A281,'7月排产计划'!G287:G801,1,0)</f>
        <v>#N/A</v>
      </c>
      <c r="H281" s="74" t="e">
        <f t="shared" si="23"/>
        <v>#N/A</v>
      </c>
      <c r="I281" s="69">
        <f>VLOOKUP(A281,[2]Sheet1!$C$3:$G$310,5,0)</f>
        <v>5200</v>
      </c>
      <c r="J281" s="74" t="e">
        <f>VLOOKUP(A281,[3]KCBB0101!$C$3:$F$691,4,0)</f>
        <v>#N/A</v>
      </c>
      <c r="K281" s="74" t="str">
        <f>VLOOKUP(A281,'7月排产计划'!G99:G613,1,0)</f>
        <v>ID385/65R22.5-20PR(160K)[I-42W]IRONMAN无内</v>
      </c>
    </row>
    <row r="282" spans="1:11">
      <c r="A282" s="439" t="s">
        <v>572</v>
      </c>
      <c r="B282" s="417">
        <v>800</v>
      </c>
      <c r="C282" s="420" t="s">
        <v>314</v>
      </c>
      <c r="D282" s="74" t="str">
        <f t="shared" si="27"/>
        <v>22.5</v>
      </c>
      <c r="E282" s="426" t="str">
        <f>_xlfn.XLOOKUP(A282,'7月排产计划'!G:G,'7月排产计划'!B:B)</f>
        <v>北美</v>
      </c>
      <c r="F282" s="69" t="str">
        <f t="shared" si="25"/>
        <v>北美22.5寸</v>
      </c>
      <c r="G282" s="69" t="e">
        <f>VLOOKUP(A282,'7月排产计划'!G288:G802,1,0)</f>
        <v>#N/A</v>
      </c>
      <c r="H282" s="74" t="e">
        <f t="shared" si="23"/>
        <v>#N/A</v>
      </c>
      <c r="I282" s="69" t="e">
        <f>VLOOKUP(A282,[2]Sheet1!$C$3:$G$310,5,0)</f>
        <v>#N/A</v>
      </c>
      <c r="J282" s="74">
        <f>VLOOKUP(A282,[3]KCBB0101!$C$3:$F$691,4,0)</f>
        <v>5000</v>
      </c>
      <c r="K282" s="74" t="str">
        <f>VLOOKUP(A282,'7月排产计划'!G100:G614,1,0)</f>
        <v>ID385/65R22.5-20PR(160K)[M-TRAC MSF]MASTERTRACK无内</v>
      </c>
    </row>
    <row r="283" spans="1:11">
      <c r="A283" s="439" t="s">
        <v>573</v>
      </c>
      <c r="B283" s="417">
        <v>820</v>
      </c>
      <c r="C283" s="420" t="s">
        <v>314</v>
      </c>
      <c r="D283" s="74" t="str">
        <f t="shared" si="27"/>
        <v>22.5</v>
      </c>
      <c r="E283" s="426" t="str">
        <f>_xlfn.XLOOKUP(A283,'7月排产计划'!G:G,'7月排产计划'!B:B)</f>
        <v>北美</v>
      </c>
      <c r="F283" s="69" t="str">
        <f t="shared" si="25"/>
        <v>北美22.5寸</v>
      </c>
      <c r="G283" s="69" t="e">
        <f>VLOOKUP(A283,'7月排产计划'!G289:G803,1,0)</f>
        <v>#N/A</v>
      </c>
      <c r="H283" s="74" t="e">
        <f t="shared" si="23"/>
        <v>#N/A</v>
      </c>
      <c r="I283" s="69">
        <f>VLOOKUP(A283,[2]Sheet1!$C$3:$G$310,5,0)</f>
        <v>10700</v>
      </c>
      <c r="J283" s="74" t="e">
        <f>VLOOKUP(A283,[3]KCBB0101!$C$3:$F$691,4,0)</f>
        <v>#N/A</v>
      </c>
      <c r="K283" s="74" t="str">
        <f>VLOOKUP(A283,'7月排产计划'!G101:G615,1,0)</f>
        <v>ID385/65R22.5-20PR(160K)[Strong Guard H-MW]HERCULES无内</v>
      </c>
    </row>
    <row r="284" spans="1:11">
      <c r="A284" s="439" t="s">
        <v>574</v>
      </c>
      <c r="B284" s="417">
        <v>500</v>
      </c>
      <c r="C284" s="420" t="s">
        <v>317</v>
      </c>
      <c r="D284" s="74" t="str">
        <f t="shared" si="27"/>
        <v>22.5</v>
      </c>
      <c r="E284" s="426" t="str">
        <f>_xlfn.XLOOKUP(A284,'7月排产计划'!G:G,'7月排产计划'!B:B)</f>
        <v>亚</v>
      </c>
      <c r="F284" s="69" t="str">
        <f t="shared" si="25"/>
        <v>亚22.5寸</v>
      </c>
      <c r="G284" s="69" t="e">
        <f>VLOOKUP(A284,'7月排产计划'!G290:G804,1,0)</f>
        <v>#N/A</v>
      </c>
      <c r="H284" s="74" t="e">
        <f t="shared" si="23"/>
        <v>#N/A</v>
      </c>
      <c r="I284" s="69">
        <f>VLOOKUP(A284,[2]Sheet1!$C$3:$G$310,5,0)</f>
        <v>6000</v>
      </c>
      <c r="J284" s="74" t="e">
        <f>VLOOKUP(A284,[3]KCBB0101!$C$3:$F$691,4,0)</f>
        <v>#N/A</v>
      </c>
      <c r="K284" s="74" t="str">
        <f>VLOOKUP(A284,'7月排产计划'!G102:G616,1,0)</f>
        <v>ID385/65R22.5-20PR(160K)[VA916]VITOUR无内</v>
      </c>
    </row>
    <row r="285" spans="1:11">
      <c r="A285" s="439" t="s">
        <v>575</v>
      </c>
      <c r="B285" s="417">
        <v>280</v>
      </c>
      <c r="C285" s="420" t="s">
        <v>314</v>
      </c>
      <c r="D285" s="74" t="str">
        <f t="shared" si="27"/>
        <v>22.5</v>
      </c>
      <c r="E285" s="426" t="str">
        <f>_xlfn.XLOOKUP(A285,'7月排产计划'!G:G,'7月排产计划'!B:B)</f>
        <v>北美</v>
      </c>
      <c r="F285" s="69" t="str">
        <f t="shared" si="25"/>
        <v>北美22.5寸</v>
      </c>
      <c r="G285" s="69" t="e">
        <f>VLOOKUP(A285,'7月排产计划'!G291:G805,1,0)</f>
        <v>#N/A</v>
      </c>
      <c r="H285" s="74" t="e">
        <f t="shared" si="23"/>
        <v>#N/A</v>
      </c>
      <c r="I285" s="69" t="e">
        <f>VLOOKUP(A285,[2]Sheet1!$C$3:$G$310,5,0)</f>
        <v>#N/A</v>
      </c>
      <c r="J285" s="74">
        <f>VLOOKUP(A285,[3]KCBB0101!$C$3:$F$691,4,0)</f>
        <v>5000</v>
      </c>
      <c r="K285" s="74" t="str">
        <f>VLOOKUP(A285,'7月排产计划'!G103:G617,1,0)</f>
        <v>ID425/65R22.5-20PR(165K)[HA4 Plus]SUPERMAX无内</v>
      </c>
    </row>
    <row r="286" spans="1:11">
      <c r="A286" s="439" t="s">
        <v>576</v>
      </c>
      <c r="B286" s="417">
        <v>500</v>
      </c>
      <c r="C286" s="420" t="s">
        <v>314</v>
      </c>
      <c r="D286" s="74" t="str">
        <f t="shared" si="27"/>
        <v>22.5</v>
      </c>
      <c r="E286" s="426" t="str">
        <f>_xlfn.XLOOKUP(A286,'7月排产计划'!G:G,'7月排产计划'!B:B)</f>
        <v>北美</v>
      </c>
      <c r="F286" s="69" t="str">
        <f t="shared" si="25"/>
        <v>北美22.5寸</v>
      </c>
      <c r="G286" s="69" t="e">
        <f>VLOOKUP(A286,'7月排产计划'!G292:G806,1,0)</f>
        <v>#N/A</v>
      </c>
      <c r="H286" s="74" t="e">
        <f t="shared" si="23"/>
        <v>#N/A</v>
      </c>
      <c r="I286" s="69">
        <f>VLOOKUP(A286,[2]Sheet1!$C$3:$G$310,5,0)</f>
        <v>2200</v>
      </c>
      <c r="J286" s="74" t="e">
        <f>VLOOKUP(A286,[3]KCBB0101!$C$3:$F$691,4,0)</f>
        <v>#N/A</v>
      </c>
      <c r="K286" s="74" t="str">
        <f>VLOOKUP(A286,'7月排产计划'!G104:G618,1,0)</f>
        <v>ID425/65R22.5-20PR(165K)[I-42W]IRONMAN无内</v>
      </c>
    </row>
    <row r="287" spans="1:11">
      <c r="A287" s="439" t="s">
        <v>577</v>
      </c>
      <c r="B287" s="417">
        <v>500</v>
      </c>
      <c r="C287" s="420" t="s">
        <v>314</v>
      </c>
      <c r="D287" s="74" t="str">
        <f t="shared" si="27"/>
        <v>22.5</v>
      </c>
      <c r="E287" s="426" t="str">
        <f>_xlfn.XLOOKUP(A287,'7月排产计划'!G:G,'7月排产计划'!B:B)</f>
        <v>北美</v>
      </c>
      <c r="F287" s="69" t="str">
        <f t="shared" si="25"/>
        <v>北美22.5寸</v>
      </c>
      <c r="G287" s="69" t="e">
        <f>VLOOKUP(A287,'7月排产计划'!G293:G807,1,0)</f>
        <v>#N/A</v>
      </c>
      <c r="H287" s="74" t="e">
        <f t="shared" si="23"/>
        <v>#N/A</v>
      </c>
      <c r="I287" s="69" t="e">
        <f>VLOOKUP(A287,[2]Sheet1!$C$3:$G$310,5,0)</f>
        <v>#N/A</v>
      </c>
      <c r="J287" s="74">
        <f>VLOOKUP(A287,[3]KCBB0101!$C$3:$F$691,4,0)</f>
        <v>8000</v>
      </c>
      <c r="K287" s="74" t="str">
        <f>VLOOKUP(A287,'7月排产计划'!G105:G619,1,0)</f>
        <v>ID425/65R22.5-20PR(165K)[M-TRAC MSF]MASTERTRACK无内</v>
      </c>
    </row>
    <row r="288" spans="1:11">
      <c r="A288" s="439" t="s">
        <v>578</v>
      </c>
      <c r="B288" s="417">
        <v>920</v>
      </c>
      <c r="C288" s="420" t="s">
        <v>314</v>
      </c>
      <c r="D288" s="74" t="str">
        <f t="shared" si="27"/>
        <v>22.5</v>
      </c>
      <c r="E288" s="426" t="str">
        <f>_xlfn.XLOOKUP(A288,'7月排产计划'!G:G,'7月排产计划'!B:B)</f>
        <v>北美</v>
      </c>
      <c r="F288" s="69" t="str">
        <f t="shared" si="25"/>
        <v>北美22.5寸</v>
      </c>
      <c r="G288" s="69" t="e">
        <f>VLOOKUP(A288,'7月排产计划'!G294:G808,1,0)</f>
        <v>#N/A</v>
      </c>
      <c r="H288" s="74" t="e">
        <f t="shared" si="23"/>
        <v>#N/A</v>
      </c>
      <c r="I288" s="69">
        <f>VLOOKUP(A288,[2]Sheet1!$C$3:$G$310,5,0)</f>
        <v>6800</v>
      </c>
      <c r="J288" s="74" t="e">
        <f>VLOOKUP(A288,[3]KCBB0101!$C$3:$F$691,4,0)</f>
        <v>#N/A</v>
      </c>
      <c r="K288" s="74" t="str">
        <f>VLOOKUP(A288,'7月排产计划'!G106:G620,1,0)</f>
        <v>ID425/65R22.5-20PR(165K)[Strong Guard H-MW]HERCULES无内</v>
      </c>
    </row>
    <row r="289" spans="1:11">
      <c r="A289" s="439" t="s">
        <v>579</v>
      </c>
      <c r="B289" s="417">
        <v>500</v>
      </c>
      <c r="C289" s="420" t="s">
        <v>317</v>
      </c>
      <c r="D289" s="74" t="str">
        <f t="shared" si="27"/>
        <v>22.5</v>
      </c>
      <c r="E289" s="426" t="str">
        <f>_xlfn.XLOOKUP(A289,'7月排产计划'!G:G,'7月排产计划'!B:B)</f>
        <v>亚</v>
      </c>
      <c r="F289" s="69" t="str">
        <f t="shared" si="25"/>
        <v>亚22.5寸</v>
      </c>
      <c r="G289" s="69" t="e">
        <f>VLOOKUP(A289,'7月排产计划'!G295:G809,1,0)</f>
        <v>#N/A</v>
      </c>
      <c r="H289" s="74" t="e">
        <f t="shared" si="23"/>
        <v>#N/A</v>
      </c>
      <c r="I289" s="69">
        <f>VLOOKUP(A289,[2]Sheet1!$C$3:$G$310,5,0)</f>
        <v>13700</v>
      </c>
      <c r="J289" s="74" t="e">
        <f>VLOOKUP(A289,[3]KCBB0101!$C$3:$F$691,4,0)</f>
        <v>#N/A</v>
      </c>
      <c r="K289" s="74" t="str">
        <f>VLOOKUP(A289,'7月排产计划'!G107:G621,1,0)</f>
        <v>ID425/65R22.5-20PR(165K)[VA916]VITOUR无内</v>
      </c>
    </row>
    <row r="290" spans="1:11">
      <c r="A290" s="439" t="s">
        <v>580</v>
      </c>
      <c r="B290" s="417">
        <v>160</v>
      </c>
      <c r="C290" s="420" t="s">
        <v>314</v>
      </c>
      <c r="D290" s="74" t="str">
        <f t="shared" ref="D290:D302" si="28">MID(A290,FIND("R",A290)+1,4)</f>
        <v>22.5</v>
      </c>
      <c r="E290" s="426" t="str">
        <f>_xlfn.XLOOKUP(A290,'7月排产计划'!G:G,'7月排产计划'!B:B)</f>
        <v>北美</v>
      </c>
      <c r="F290" s="69" t="str">
        <f t="shared" si="25"/>
        <v>北美22.5寸</v>
      </c>
      <c r="G290" s="69" t="e">
        <f>VLOOKUP(A290,'7月排产计划'!G296:G810,1,0)</f>
        <v>#N/A</v>
      </c>
      <c r="H290" s="74" t="e">
        <f t="shared" si="23"/>
        <v>#N/A</v>
      </c>
      <c r="I290" s="69" t="e">
        <f>VLOOKUP(A290,[2]Sheet1!$C$3:$G$310,5,0)</f>
        <v>#N/A</v>
      </c>
      <c r="J290" s="74">
        <f>VLOOKUP(A290,[3]KCBB0101!$C$3:$F$691,4,0)</f>
        <v>2745</v>
      </c>
      <c r="K290" s="74" t="str">
        <f>VLOOKUP(A290,'7月排产计划'!G108:G622,1,0)</f>
        <v>ID445/50R22.5-20PR(161L)[AD755]ARISUN无内</v>
      </c>
    </row>
    <row r="291" spans="1:11">
      <c r="A291" s="439" t="s">
        <v>581</v>
      </c>
      <c r="B291" s="417">
        <v>270</v>
      </c>
      <c r="C291" s="420" t="s">
        <v>314</v>
      </c>
      <c r="D291" s="74" t="str">
        <f t="shared" si="28"/>
        <v>22.5</v>
      </c>
      <c r="E291" s="426" t="str">
        <f>_xlfn.XLOOKUP(A291,'7月排产计划'!G:G,'7月排产计划'!B:B)</f>
        <v>北美</v>
      </c>
      <c r="F291" s="69" t="str">
        <f t="shared" si="25"/>
        <v>北美22.5寸</v>
      </c>
      <c r="G291" s="69" t="e">
        <f>VLOOKUP(A291,'7月排产计划'!G297:G811,1,0)</f>
        <v>#N/A</v>
      </c>
      <c r="H291" s="74" t="e">
        <f t="shared" si="23"/>
        <v>#N/A</v>
      </c>
      <c r="I291" s="69" t="e">
        <f>VLOOKUP(A291,[2]Sheet1!$C$3:$G$310,5,0)</f>
        <v>#N/A</v>
      </c>
      <c r="J291" s="74">
        <f>VLOOKUP(A291,[3]KCBB0101!$C$3:$F$691,4,0)</f>
        <v>6000</v>
      </c>
      <c r="K291" s="74" t="str">
        <f>VLOOKUP(A291,'7月排产计划'!G109:G623,1,0)</f>
        <v>ID445/50R22.5-20PR(161L)[AD781]GOODRIDE(好运)无内</v>
      </c>
    </row>
    <row r="292" spans="1:11">
      <c r="A292" s="439" t="s">
        <v>582</v>
      </c>
      <c r="B292" s="417">
        <v>460</v>
      </c>
      <c r="C292" s="420" t="s">
        <v>314</v>
      </c>
      <c r="D292" s="74" t="str">
        <f t="shared" si="28"/>
        <v>22.5</v>
      </c>
      <c r="E292" s="426" t="str">
        <f>_xlfn.XLOOKUP(A292,'7月排产计划'!G:G,'7月排产计划'!B:B)</f>
        <v>北美</v>
      </c>
      <c r="F292" s="69" t="str">
        <f t="shared" si="25"/>
        <v>北美22.5寸</v>
      </c>
      <c r="G292" s="69" t="e">
        <f>VLOOKUP(A292,'7月排产计划'!G298:G812,1,0)</f>
        <v>#N/A</v>
      </c>
      <c r="H292" s="74" t="e">
        <f t="shared" si="23"/>
        <v>#N/A</v>
      </c>
      <c r="I292" s="69" t="e">
        <f>VLOOKUP(A292,[2]Sheet1!$C$3:$G$310,5,0)</f>
        <v>#N/A</v>
      </c>
      <c r="J292" s="74">
        <f>VLOOKUP(A292,[3]KCBB0101!$C$3:$F$691,4,0)</f>
        <v>6000</v>
      </c>
      <c r="K292" s="74" t="str">
        <f>VLOOKUP(A292,'7月排产计划'!G110:G624,1,0)</f>
        <v>ID445/50R22.5-20PR(161L)[AT566]GOODRIDE(好运)无内</v>
      </c>
    </row>
    <row r="293" spans="1:11">
      <c r="A293" s="439" t="s">
        <v>583</v>
      </c>
      <c r="B293" s="417">
        <v>550</v>
      </c>
      <c r="C293" s="420" t="s">
        <v>314</v>
      </c>
      <c r="D293" s="74" t="str">
        <f t="shared" si="28"/>
        <v>22.5</v>
      </c>
      <c r="E293" s="426" t="str">
        <f>_xlfn.XLOOKUP(A293,'7月排产计划'!G:G,'7月排产计划'!B:B)</f>
        <v>北美</v>
      </c>
      <c r="F293" s="69" t="str">
        <f t="shared" si="25"/>
        <v>北美22.5寸</v>
      </c>
      <c r="G293" s="69" t="e">
        <f>VLOOKUP(A293,'7月排产计划'!G299:G813,1,0)</f>
        <v>#N/A</v>
      </c>
      <c r="H293" s="74" t="e">
        <f t="shared" si="23"/>
        <v>#N/A</v>
      </c>
      <c r="I293" s="69" t="e">
        <f>VLOOKUP(A293,[2]Sheet1!$C$3:$G$310,5,0)</f>
        <v>#N/A</v>
      </c>
      <c r="J293" s="74">
        <f>VLOOKUP(A293,[3]KCBB0101!$C$3:$F$691,4,0)</f>
        <v>9000</v>
      </c>
      <c r="K293" s="74" t="str">
        <f>VLOOKUP(A293,'7月排产计划'!G111:G625,1,0)</f>
        <v>ID445/50R22.5-20PR(161L)[AT566]TRAZANO(全诺)无内</v>
      </c>
    </row>
    <row r="294" spans="1:11">
      <c r="A294" s="439" t="s">
        <v>584</v>
      </c>
      <c r="B294" s="417">
        <v>180</v>
      </c>
      <c r="C294" s="420" t="s">
        <v>314</v>
      </c>
      <c r="D294" s="74" t="str">
        <f t="shared" si="28"/>
        <v>22.5</v>
      </c>
      <c r="E294" s="426" t="str">
        <f>_xlfn.XLOOKUP(A294,'7月排产计划'!G:G,'7月排产计划'!B:B)</f>
        <v>北美</v>
      </c>
      <c r="F294" s="69" t="str">
        <f t="shared" si="25"/>
        <v>北美22.5寸</v>
      </c>
      <c r="G294" s="69" t="e">
        <f>VLOOKUP(A294,'7月排产计划'!G300:G814,1,0)</f>
        <v>#N/A</v>
      </c>
      <c r="H294" s="74" t="e">
        <f t="shared" si="23"/>
        <v>#N/A</v>
      </c>
      <c r="I294" s="69" t="e">
        <f>VLOOKUP(A294,[2]Sheet1!$C$3:$G$310,5,0)</f>
        <v>#N/A</v>
      </c>
      <c r="J294" s="74">
        <f>VLOOKUP(A294,[3]KCBB0101!$C$3:$F$691,4,0)</f>
        <v>2950</v>
      </c>
      <c r="K294" s="74" t="str">
        <f>VLOOKUP(A294,'7月排产计划'!G112:G626,1,0)</f>
        <v>ID445/50R22.5-20PR(161L)[AT570]ARISUN无内</v>
      </c>
    </row>
    <row r="295" spans="1:11">
      <c r="A295" s="439" t="s">
        <v>585</v>
      </c>
      <c r="B295" s="417">
        <v>200</v>
      </c>
      <c r="C295" s="420" t="s">
        <v>314</v>
      </c>
      <c r="D295" s="74" t="str">
        <f t="shared" si="28"/>
        <v>22.5</v>
      </c>
      <c r="E295" s="426" t="str">
        <f>_xlfn.XLOOKUP(A295,'7月排产计划'!G:G,'7月排产计划'!B:B)</f>
        <v>北美</v>
      </c>
      <c r="F295" s="69" t="str">
        <f t="shared" si="25"/>
        <v>北美22.5寸</v>
      </c>
      <c r="G295" s="69" t="e">
        <f>VLOOKUP(A295,'7月排产计划'!G301:G815,1,0)</f>
        <v>#N/A</v>
      </c>
      <c r="H295" s="74" t="e">
        <f t="shared" si="23"/>
        <v>#N/A</v>
      </c>
      <c r="I295" s="69" t="e">
        <f>VLOOKUP(A295,[2]Sheet1!$C$3:$G$310,5,0)</f>
        <v>#N/A</v>
      </c>
      <c r="J295" s="74">
        <f>VLOOKUP(A295,[3]KCBB0101!$C$3:$F$691,4,0)</f>
        <v>2555</v>
      </c>
      <c r="K295" s="74" t="str">
        <f>VLOOKUP(A295,'7月排产计划'!G113:G627,1,0)</f>
        <v>ID445/50R22.5-20PR(161L)[HT2 Plus]SUPERMAX无内</v>
      </c>
    </row>
    <row r="296" spans="1:11">
      <c r="A296" s="439" t="s">
        <v>586</v>
      </c>
      <c r="B296" s="417">
        <v>360</v>
      </c>
      <c r="C296" s="420" t="s">
        <v>314</v>
      </c>
      <c r="D296" s="74" t="str">
        <f t="shared" si="28"/>
        <v>22.5</v>
      </c>
      <c r="E296" s="426" t="str">
        <f>_xlfn.XLOOKUP(A296,'7月排产计划'!G:G,'7月排产计划'!B:B)</f>
        <v>北美</v>
      </c>
      <c r="F296" s="69" t="str">
        <f t="shared" si="25"/>
        <v>北美22.5寸</v>
      </c>
      <c r="G296" s="69" t="e">
        <f>VLOOKUP(A296,'7月排产计划'!G302:G816,1,0)</f>
        <v>#N/A</v>
      </c>
      <c r="H296" s="74" t="e">
        <f t="shared" si="23"/>
        <v>#N/A</v>
      </c>
      <c r="I296" s="69">
        <f>VLOOKUP(A296,[2]Sheet1!$C$3:$G$310,5,0)</f>
        <v>3300</v>
      </c>
      <c r="J296" s="74" t="e">
        <f>VLOOKUP(A296,[3]KCBB0101!$C$3:$F$691,4,0)</f>
        <v>#N/A</v>
      </c>
      <c r="K296" s="74" t="str">
        <f>VLOOKUP(A296,'7月排产计划'!G114:G628,1,0)</f>
        <v>ID445/65R22.5-20PR(169K)[I-42W]IRONMAN无内</v>
      </c>
    </row>
    <row r="297" spans="1:11">
      <c r="A297" s="439" t="s">
        <v>587</v>
      </c>
      <c r="B297" s="417">
        <v>680</v>
      </c>
      <c r="C297" s="420" t="s">
        <v>317</v>
      </c>
      <c r="D297" s="74" t="str">
        <f t="shared" ref="D297:D306" si="29">MID(A297,FIND("R",A297)+1,2)</f>
        <v>20</v>
      </c>
      <c r="E297" s="426" t="str">
        <f>_xlfn.XLOOKUP(A297,'7月排产计划'!G:G,'7月排产计划'!B:B)</f>
        <v>亚</v>
      </c>
      <c r="F297" s="69" t="str">
        <f t="shared" si="25"/>
        <v>亚20寸</v>
      </c>
      <c r="G297" s="69" t="e">
        <f>VLOOKUP(A297,'7月排产计划'!G303:G817,1,0)</f>
        <v>#N/A</v>
      </c>
      <c r="H297" s="74" t="e">
        <f t="shared" si="23"/>
        <v>#N/A</v>
      </c>
      <c r="I297" s="69">
        <f>VLOOKUP(A297,[2]Sheet1!$C$3:$G$310,5,0)</f>
        <v>5200</v>
      </c>
      <c r="J297" s="74" t="e">
        <f>VLOOKUP(A297,[3]KCBB0101!$C$3:$F$691,4,0)</f>
        <v>#N/A</v>
      </c>
      <c r="K297" s="74" t="str">
        <f>VLOOKUP(A297,'7月排产计划'!G115:G629,1,0)</f>
        <v>ID10.00R20-18PR(149/146F)[CB332]威狮</v>
      </c>
    </row>
    <row r="298" spans="1:11">
      <c r="A298" s="439" t="s">
        <v>588</v>
      </c>
      <c r="B298" s="417">
        <v>280</v>
      </c>
      <c r="C298" s="420" t="s">
        <v>317</v>
      </c>
      <c r="D298" s="74" t="str">
        <f t="shared" si="29"/>
        <v>20</v>
      </c>
      <c r="E298" s="426" t="str">
        <f>_xlfn.XLOOKUP(A298,'7月排产计划'!G:G,'7月排产计划'!B:B)</f>
        <v>亚</v>
      </c>
      <c r="F298" s="69" t="str">
        <f t="shared" si="25"/>
        <v>亚20寸</v>
      </c>
      <c r="G298" s="69" t="e">
        <f>VLOOKUP(A298,'7月排产计划'!G304:G818,1,0)</f>
        <v>#N/A</v>
      </c>
      <c r="H298" s="74" t="e">
        <f t="shared" si="23"/>
        <v>#N/A</v>
      </c>
      <c r="I298" s="69">
        <f>VLOOKUP(A298,[2]Sheet1!$C$3:$G$310,5,0)</f>
        <v>10100</v>
      </c>
      <c r="J298" s="74" t="e">
        <f>VLOOKUP(A298,[3]KCBB0101!$C$3:$F$691,4,0)</f>
        <v>#N/A</v>
      </c>
      <c r="K298" s="74" t="str">
        <f>VLOOKUP(A298,'7月排产计划'!G116:G630,1,0)</f>
        <v>ID10.00R20-18PR(149/146F)[CB972]威狮</v>
      </c>
    </row>
    <row r="299" spans="1:11">
      <c r="A299" s="439" t="s">
        <v>589</v>
      </c>
      <c r="B299" s="417">
        <v>200</v>
      </c>
      <c r="C299" s="420" t="s">
        <v>317</v>
      </c>
      <c r="D299" s="74" t="str">
        <f t="shared" si="29"/>
        <v>20</v>
      </c>
      <c r="E299" s="426" t="str">
        <f>_xlfn.XLOOKUP(A299,'7月排产计划'!G:G,'7月排产计划'!B:B)</f>
        <v>亚</v>
      </c>
      <c r="F299" s="69" t="str">
        <f t="shared" si="25"/>
        <v>亚20寸</v>
      </c>
      <c r="G299" s="69" t="e">
        <f>VLOOKUP(A299,'7月排产计划'!G305:G819,1,0)</f>
        <v>#N/A</v>
      </c>
      <c r="H299" s="74" t="e">
        <f t="shared" si="23"/>
        <v>#N/A</v>
      </c>
      <c r="I299" s="69" t="e">
        <f>VLOOKUP(A299,[2]Sheet1!$C$3:$G$310,5,0)</f>
        <v>#N/A</v>
      </c>
      <c r="J299" s="74">
        <f>VLOOKUP(A299,[3]KCBB0101!$C$3:$F$691,4,0)</f>
        <v>6700</v>
      </c>
      <c r="K299" s="74" t="str">
        <f>VLOOKUP(A299,'7月排产计划'!G117:G631,1,0)</f>
        <v>ID10.00R20-18PR(149/146F)[MT100]UNITED</v>
      </c>
    </row>
    <row r="300" spans="1:11">
      <c r="A300" s="439" t="s">
        <v>590</v>
      </c>
      <c r="B300" s="417">
        <v>1600</v>
      </c>
      <c r="C300" s="420" t="s">
        <v>317</v>
      </c>
      <c r="D300" s="74" t="str">
        <f t="shared" si="29"/>
        <v>20</v>
      </c>
      <c r="E300" s="426" t="str">
        <f>_xlfn.XLOOKUP(A300,'7月排产计划'!G:G,'7月排产计划'!B:B)</f>
        <v>亚</v>
      </c>
      <c r="F300" s="69" t="str">
        <f t="shared" si="25"/>
        <v>亚20寸</v>
      </c>
      <c r="G300" s="69" t="e">
        <f>VLOOKUP(A300,'7月排产计划'!G306:G820,1,0)</f>
        <v>#N/A</v>
      </c>
      <c r="H300" s="74" t="e">
        <f t="shared" si="23"/>
        <v>#N/A</v>
      </c>
      <c r="I300" s="69">
        <f>VLOOKUP(A300,[2]Sheet1!$C$3:$G$310,5,0)</f>
        <v>6850</v>
      </c>
      <c r="J300" s="74" t="e">
        <f>VLOOKUP(A300,[3]KCBB0101!$C$3:$F$691,4,0)</f>
        <v>#N/A</v>
      </c>
      <c r="K300" s="74" t="str">
        <f>VLOOKUP(A300,'7月排产计划'!G118:G632,1,0)</f>
        <v>ID10.00R20-18PR(149/146J)[AZ601]威狮</v>
      </c>
    </row>
    <row r="301" spans="1:11">
      <c r="A301" s="439" t="s">
        <v>591</v>
      </c>
      <c r="B301" s="417">
        <v>3800</v>
      </c>
      <c r="C301" s="420" t="s">
        <v>317</v>
      </c>
      <c r="D301" s="74" t="str">
        <f t="shared" si="29"/>
        <v>20</v>
      </c>
      <c r="E301" s="426" t="str">
        <f>_xlfn.XLOOKUP(A301,'7月排产计划'!G:G,'7月排产计划'!B:B)</f>
        <v>亚</v>
      </c>
      <c r="F301" s="69" t="str">
        <f t="shared" ref="F301:F324" si="30">E301&amp;D301&amp;"寸"</f>
        <v>亚20寸</v>
      </c>
      <c r="G301" s="69" t="e">
        <f>VLOOKUP(A301,'7月排产计划'!G307:G821,1,0)</f>
        <v>#N/A</v>
      </c>
      <c r="H301" s="74" t="e">
        <f t="shared" si="23"/>
        <v>#N/A</v>
      </c>
      <c r="I301" s="69" t="e">
        <f>VLOOKUP(A301,[2]Sheet1!$C$3:$G$310,5,0)</f>
        <v>#N/A</v>
      </c>
      <c r="J301" s="74">
        <f>VLOOKUP(A301,[3]KCBB0101!$C$3:$F$691,4,0)</f>
        <v>5491</v>
      </c>
      <c r="K301" s="74" t="str">
        <f>VLOOKUP(A301,'7月排产计划'!G119:G633,1,0)</f>
        <v>ID10.00R20-18PR(149/146J)[AZ676]TRAZANO(全诺)</v>
      </c>
    </row>
    <row r="302" spans="1:11">
      <c r="A302" s="439" t="s">
        <v>592</v>
      </c>
      <c r="B302" s="417">
        <v>200</v>
      </c>
      <c r="C302" s="420" t="s">
        <v>317</v>
      </c>
      <c r="D302" s="74" t="str">
        <f t="shared" si="29"/>
        <v>20</v>
      </c>
      <c r="E302" s="426" t="str">
        <f>_xlfn.XLOOKUP(A302,'7月排产计划'!G:G,'7月排产计划'!B:B)</f>
        <v>亚</v>
      </c>
      <c r="F302" s="69" t="str">
        <f t="shared" si="30"/>
        <v>亚20寸</v>
      </c>
      <c r="G302" s="69" t="e">
        <f>VLOOKUP(A302,'7月排产计划'!G308:G822,1,0)</f>
        <v>#N/A</v>
      </c>
      <c r="H302" s="74" t="e">
        <f t="shared" si="23"/>
        <v>#N/A</v>
      </c>
      <c r="I302" s="69" t="e">
        <f>VLOOKUP(A302,[2]Sheet1!$C$3:$G$310,5,0)</f>
        <v>#N/A</v>
      </c>
      <c r="J302" s="74">
        <f>VLOOKUP(A302,[3]KCBB0101!$C$3:$F$691,4,0)</f>
        <v>5300</v>
      </c>
      <c r="K302" s="74" t="str">
        <f>VLOOKUP(A302,'7月排产计划'!G120:G634,1,0)</f>
        <v>ID10.00R20-18PR(149/146J)[AZ686]GOODRIDE(好运)</v>
      </c>
    </row>
    <row r="303" spans="1:11">
      <c r="A303" s="439" t="s">
        <v>593</v>
      </c>
      <c r="B303" s="417">
        <v>220</v>
      </c>
      <c r="C303" s="420" t="s">
        <v>317</v>
      </c>
      <c r="D303" s="74" t="str">
        <f t="shared" si="29"/>
        <v>20</v>
      </c>
      <c r="E303" s="426" t="str">
        <f>_xlfn.XLOOKUP(A303,'7月排产计划'!G:G,'7月排产计划'!B:B)</f>
        <v>亚</v>
      </c>
      <c r="F303" s="69" t="str">
        <f t="shared" si="30"/>
        <v>亚20寸</v>
      </c>
      <c r="G303" s="69" t="e">
        <f>VLOOKUP(A303,'7月排产计划'!G309:G823,1,0)</f>
        <v>#N/A</v>
      </c>
      <c r="H303" s="74" t="e">
        <f t="shared" si="23"/>
        <v>#N/A</v>
      </c>
      <c r="I303" s="69" t="e">
        <f>VLOOKUP(A303,[2]Sheet1!$C$3:$G$310,5,0)</f>
        <v>#N/A</v>
      </c>
      <c r="J303" s="74">
        <f>VLOOKUP(A303,[3]KCBB0101!$C$3:$F$691,4,0)</f>
        <v>5012</v>
      </c>
      <c r="K303" s="74" t="str">
        <f>VLOOKUP(A303,'7月排产计划'!G121:G635,1,0)</f>
        <v>ID10.00R20-18PR(149/146J)[AZ686]雅度</v>
      </c>
    </row>
    <row r="304" spans="1:11">
      <c r="A304" s="439" t="s">
        <v>594</v>
      </c>
      <c r="B304" s="417">
        <v>380</v>
      </c>
      <c r="C304" s="420" t="s">
        <v>317</v>
      </c>
      <c r="D304" s="74" t="str">
        <f t="shared" si="29"/>
        <v>20</v>
      </c>
      <c r="E304" s="426" t="str">
        <f>_xlfn.XLOOKUP(A304,'7月排产计划'!G:G,'7月排产计划'!B:B)</f>
        <v>亚</v>
      </c>
      <c r="F304" s="69" t="str">
        <f t="shared" si="30"/>
        <v>亚20寸</v>
      </c>
      <c r="G304" s="69" t="e">
        <f>VLOOKUP(A304,'7月排产计划'!G310:G824,1,0)</f>
        <v>#N/A</v>
      </c>
      <c r="H304" s="74" t="e">
        <f t="shared" si="23"/>
        <v>#N/A</v>
      </c>
      <c r="I304" s="69" t="e">
        <f>VLOOKUP(A304,[2]Sheet1!$C$3:$G$310,5,0)</f>
        <v>#N/A</v>
      </c>
      <c r="J304" s="74">
        <f>VLOOKUP(A304,[3]KCBB0101!$C$3:$F$691,4,0)</f>
        <v>1723</v>
      </c>
      <c r="K304" s="74" t="str">
        <f>VLOOKUP(A304,'7月排产计划'!G122:G636,1,0)</f>
        <v>ID10.00R20-18PR(149/146J)[AZ850]朝阳</v>
      </c>
    </row>
    <row r="305" spans="1:11">
      <c r="A305" s="439" t="s">
        <v>595</v>
      </c>
      <c r="B305" s="417">
        <v>220</v>
      </c>
      <c r="C305" s="420" t="s">
        <v>317</v>
      </c>
      <c r="D305" s="74" t="str">
        <f t="shared" si="29"/>
        <v>20</v>
      </c>
      <c r="E305" s="426" t="str">
        <f>_xlfn.XLOOKUP(A305,'7月排产计划'!G:G,'7月排产计划'!B:B)</f>
        <v>亚</v>
      </c>
      <c r="F305" s="69" t="str">
        <f t="shared" si="30"/>
        <v>亚20寸</v>
      </c>
      <c r="G305" s="69" t="e">
        <f>VLOOKUP(A305,'7月排产计划'!G311:G825,1,0)</f>
        <v>#N/A</v>
      </c>
      <c r="H305" s="74" t="e">
        <f t="shared" si="23"/>
        <v>#N/A</v>
      </c>
      <c r="I305" s="69" t="e">
        <f>VLOOKUP(A305,[2]Sheet1!$C$3:$G$310,5,0)</f>
        <v>#N/A</v>
      </c>
      <c r="J305" s="74">
        <f>VLOOKUP(A305,[3]KCBB0101!$C$3:$F$691,4,0)</f>
        <v>2000</v>
      </c>
      <c r="K305" s="74" t="str">
        <f>VLOOKUP(A305,'7月排产计划'!G123:G637,1,0)</f>
        <v>ID10.00R20-18PR(149/146J)[AZ850]雅度</v>
      </c>
    </row>
    <row r="306" spans="1:11">
      <c r="A306" s="439" t="s">
        <v>596</v>
      </c>
      <c r="B306" s="417">
        <v>120</v>
      </c>
      <c r="C306" s="420" t="s">
        <v>465</v>
      </c>
      <c r="D306" s="74" t="str">
        <f t="shared" si="29"/>
        <v>20</v>
      </c>
      <c r="E306" s="426" t="str">
        <f>_xlfn.XLOOKUP(A306,'7月排产计划'!G:G,'7月排产计划'!B:B)</f>
        <v>南美</v>
      </c>
      <c r="F306" s="69" t="str">
        <f t="shared" si="30"/>
        <v>南美20寸</v>
      </c>
      <c r="G306" s="69" t="e">
        <f>VLOOKUP(A306,'7月排产计划'!G312:G826,1,0)</f>
        <v>#N/A</v>
      </c>
      <c r="H306" s="74" t="e">
        <f t="shared" si="23"/>
        <v>#N/A</v>
      </c>
      <c r="I306" s="69" t="e">
        <f>VLOOKUP(A306,[2]Sheet1!$C$3:$G$310,5,0)</f>
        <v>#N/A</v>
      </c>
      <c r="J306" s="74">
        <f>VLOOKUP(A306,[3]KCBB0101!$C$3:$F$691,4,0)</f>
        <v>3000</v>
      </c>
      <c r="K306" s="74" t="str">
        <f>VLOOKUP(A306,'7月排产计划'!G124:G638,1,0)</f>
        <v>ID10.00R20-18PR(149/146J)[BMA08]BRANSALES</v>
      </c>
    </row>
    <row r="307" spans="1:11">
      <c r="A307" s="439" t="s">
        <v>597</v>
      </c>
      <c r="B307" s="417">
        <v>820</v>
      </c>
      <c r="C307" s="420" t="s">
        <v>317</v>
      </c>
      <c r="D307" s="74" t="str">
        <f t="shared" ref="D302:D315" si="31">MID(A307,FIND("R",A307)+1,2)</f>
        <v>20</v>
      </c>
      <c r="E307" s="426" t="str">
        <f>_xlfn.XLOOKUP(A307,'7月排产计划'!G:G,'7月排产计划'!B:B)</f>
        <v>亚</v>
      </c>
      <c r="F307" s="69" t="str">
        <f t="shared" si="30"/>
        <v>亚20寸</v>
      </c>
      <c r="G307" s="69" t="e">
        <f>VLOOKUP(A307,'7月排产计划'!G313:G827,1,0)</f>
        <v>#N/A</v>
      </c>
      <c r="H307" s="74" t="e">
        <f t="shared" si="23"/>
        <v>#N/A</v>
      </c>
      <c r="I307" s="69">
        <f>VLOOKUP(A307,[2]Sheet1!$C$3:$G$310,5,0)</f>
        <v>8200</v>
      </c>
      <c r="J307" s="74" t="e">
        <f>VLOOKUP(A307,[3]KCBB0101!$C$3:$F$691,4,0)</f>
        <v>#N/A</v>
      </c>
      <c r="K307" s="74" t="str">
        <f>VLOOKUP(A307,'7月排产计划'!G125:G639,1,0)</f>
        <v>ID10.00R20-18PR(149/146J)[CM988]威狮</v>
      </c>
    </row>
    <row r="308" spans="1:11">
      <c r="A308" s="439" t="s">
        <v>598</v>
      </c>
      <c r="B308" s="417">
        <v>3800</v>
      </c>
      <c r="C308" s="420" t="s">
        <v>317</v>
      </c>
      <c r="D308" s="74" t="str">
        <f t="shared" si="31"/>
        <v>20</v>
      </c>
      <c r="E308" s="426" t="str">
        <f>_xlfn.XLOOKUP(A308,'7月排产计划'!G:G,'7月排产计划'!B:B)</f>
        <v>亚</v>
      </c>
      <c r="F308" s="69" t="str">
        <f t="shared" si="30"/>
        <v>亚20寸</v>
      </c>
      <c r="G308" s="69" t="e">
        <f>VLOOKUP(A308,'7月排产计划'!G314:G828,1,0)</f>
        <v>#N/A</v>
      </c>
      <c r="H308" s="74" t="e">
        <f t="shared" si="23"/>
        <v>#N/A</v>
      </c>
      <c r="I308" s="69" t="e">
        <f>VLOOKUP(A308,[2]Sheet1!$C$3:$G$310,5,0)</f>
        <v>#N/A</v>
      </c>
      <c r="J308" s="74">
        <f>VLOOKUP(A308,[3]KCBB0101!$C$3:$F$691,4,0)</f>
        <v>3500</v>
      </c>
      <c r="K308" s="74" t="str">
        <f>VLOOKUP(A308,'7月排产计划'!G126:G640,1,0)</f>
        <v>ID10.00R20-18PR(149/146J)[CR926]GOODRIDE(好运)</v>
      </c>
    </row>
    <row r="309" spans="1:11">
      <c r="A309" s="439" t="s">
        <v>599</v>
      </c>
      <c r="B309" s="417">
        <v>350</v>
      </c>
      <c r="C309" s="420" t="s">
        <v>317</v>
      </c>
      <c r="D309" s="74" t="str">
        <f t="shared" si="31"/>
        <v>20</v>
      </c>
      <c r="E309" s="426" t="str">
        <f>_xlfn.XLOOKUP(A309,'7月排产计划'!G:G,'7月排产计划'!B:B)</f>
        <v>亚</v>
      </c>
      <c r="F309" s="69" t="str">
        <f t="shared" si="30"/>
        <v>亚20寸</v>
      </c>
      <c r="G309" s="69" t="e">
        <f>VLOOKUP(A309,'7月排产计划'!G315:G829,1,0)</f>
        <v>#N/A</v>
      </c>
      <c r="H309" s="74" t="e">
        <f t="shared" si="23"/>
        <v>#N/A</v>
      </c>
      <c r="I309" s="69" t="e">
        <f>VLOOKUP(A309,[2]Sheet1!$C$3:$G$310,5,0)</f>
        <v>#N/A</v>
      </c>
      <c r="J309" s="74">
        <f>VLOOKUP(A309,[3]KCBB0101!$C$3:$F$691,4,0)</f>
        <v>5701</v>
      </c>
      <c r="K309" s="74" t="str">
        <f>VLOOKUP(A309,'7月排产计划'!G127:G641,1,0)</f>
        <v>ID10.00R20-18PR(149/146J)[CR926]朝阳</v>
      </c>
    </row>
    <row r="310" spans="1:11">
      <c r="A310" s="439" t="s">
        <v>600</v>
      </c>
      <c r="B310" s="417">
        <v>1800</v>
      </c>
      <c r="C310" s="420" t="s">
        <v>317</v>
      </c>
      <c r="D310" s="74" t="str">
        <f t="shared" si="31"/>
        <v>20</v>
      </c>
      <c r="E310" s="426" t="str">
        <f>_xlfn.XLOOKUP(A310,'7月排产计划'!G:G,'7月排产计划'!B:B)</f>
        <v>亚</v>
      </c>
      <c r="F310" s="69" t="str">
        <f t="shared" si="30"/>
        <v>亚20寸</v>
      </c>
      <c r="G310" s="69" t="e">
        <f>VLOOKUP(A310,'7月排产计划'!G316:G830,1,0)</f>
        <v>#N/A</v>
      </c>
      <c r="H310" s="74" t="e">
        <f t="shared" si="23"/>
        <v>#N/A</v>
      </c>
      <c r="I310" s="69" t="e">
        <f>VLOOKUP(A310,[2]Sheet1!$C$3:$G$310,5,0)</f>
        <v>#N/A</v>
      </c>
      <c r="J310" s="74">
        <f>VLOOKUP(A310,[3]KCBB0101!$C$3:$F$691,4,0)</f>
        <v>8863</v>
      </c>
      <c r="K310" s="74" t="str">
        <f>VLOOKUP(A310,'7月排产计划'!G128:G642,1,0)</f>
        <v>ID10.00R20-18PR(149/146J)[CR926]金冠</v>
      </c>
    </row>
    <row r="311" spans="1:11">
      <c r="A311" s="439" t="s">
        <v>601</v>
      </c>
      <c r="B311" s="417">
        <v>1700</v>
      </c>
      <c r="C311" s="420" t="s">
        <v>317</v>
      </c>
      <c r="D311" s="74" t="str">
        <f t="shared" si="31"/>
        <v>20</v>
      </c>
      <c r="E311" s="426" t="str">
        <f>_xlfn.XLOOKUP(A311,'7月排产计划'!G:G,'7月排产计划'!B:B)</f>
        <v>亚</v>
      </c>
      <c r="F311" s="69" t="str">
        <f t="shared" si="30"/>
        <v>亚20寸</v>
      </c>
      <c r="G311" s="69" t="e">
        <f>VLOOKUP(A311,'7月排产计划'!G317:G831,1,0)</f>
        <v>#N/A</v>
      </c>
      <c r="H311" s="74" t="e">
        <f t="shared" si="23"/>
        <v>#N/A</v>
      </c>
      <c r="I311" s="69">
        <f>VLOOKUP(A311,[2]Sheet1!$C$3:$G$310,5,0)</f>
        <v>5400</v>
      </c>
      <c r="J311" s="74" t="e">
        <f>VLOOKUP(A311,[3]KCBB0101!$C$3:$F$691,4,0)</f>
        <v>#N/A</v>
      </c>
      <c r="K311" s="74" t="str">
        <f>VLOOKUP(A311,'7月排产计划'!G129:G643,1,0)</f>
        <v>ID10.00R20-18PR(149/146J)[CR926]威狮</v>
      </c>
    </row>
    <row r="312" spans="1:11">
      <c r="A312" s="439" t="s">
        <v>602</v>
      </c>
      <c r="B312" s="417">
        <v>300</v>
      </c>
      <c r="C312" s="420" t="s">
        <v>317</v>
      </c>
      <c r="D312" s="74" t="str">
        <f t="shared" si="31"/>
        <v>20</v>
      </c>
      <c r="E312" s="426" t="str">
        <f>_xlfn.XLOOKUP(A312,'7月排产计划'!G:G,'7月排产计划'!B:B)</f>
        <v>亚</v>
      </c>
      <c r="F312" s="69" t="str">
        <f t="shared" si="30"/>
        <v>亚20寸</v>
      </c>
      <c r="G312" s="69" t="e">
        <f>VLOOKUP(A312,'7月排产计划'!G318:G832,1,0)</f>
        <v>#N/A</v>
      </c>
      <c r="H312" s="74" t="e">
        <f t="shared" si="23"/>
        <v>#N/A</v>
      </c>
      <c r="I312" s="69" t="e">
        <f>VLOOKUP(A312,[2]Sheet1!$C$3:$G$310,5,0)</f>
        <v>#N/A</v>
      </c>
      <c r="J312" s="74">
        <f>VLOOKUP(A312,[3]KCBB0101!$C$3:$F$691,4,0)</f>
        <v>9000</v>
      </c>
      <c r="K312" s="74" t="str">
        <f>VLOOKUP(A312,'7月排产计划'!G130:G644,1,0)</f>
        <v>ID10.00R20-18PR(149/146J)[EZ369]雅度</v>
      </c>
    </row>
    <row r="313" spans="1:11">
      <c r="A313" s="439" t="s">
        <v>603</v>
      </c>
      <c r="B313" s="417">
        <v>820</v>
      </c>
      <c r="C313" s="420" t="s">
        <v>317</v>
      </c>
      <c r="D313" s="74" t="str">
        <f t="shared" si="31"/>
        <v>20</v>
      </c>
      <c r="E313" s="426" t="str">
        <f>_xlfn.XLOOKUP(A313,'7月排产计划'!G:G,'7月排产计划'!B:B)</f>
        <v>亚</v>
      </c>
      <c r="F313" s="69" t="str">
        <f t="shared" si="30"/>
        <v>亚20寸</v>
      </c>
      <c r="G313" s="69" t="e">
        <f>VLOOKUP(A313,'7月排产计划'!G319:G833,1,0)</f>
        <v>#N/A</v>
      </c>
      <c r="H313" s="74" t="e">
        <f t="shared" si="23"/>
        <v>#N/A</v>
      </c>
      <c r="I313" s="69" t="e">
        <f>VLOOKUP(A313,[2]Sheet1!$C$3:$G$310,5,0)</f>
        <v>#N/A</v>
      </c>
      <c r="J313" s="74">
        <f>VLOOKUP(A313,[3]KCBB0101!$C$3:$F$691,4,0)</f>
        <v>3000</v>
      </c>
      <c r="K313" s="74" t="str">
        <f>VLOOKUP(A313,'7月排产计划'!G131:G645,1,0)</f>
        <v>ID10.00R20-18PR(149/146J)[MT200]UNITED</v>
      </c>
    </row>
    <row r="314" spans="1:11">
      <c r="A314" s="439" t="s">
        <v>604</v>
      </c>
      <c r="B314" s="417">
        <v>2700</v>
      </c>
      <c r="C314" s="420" t="s">
        <v>317</v>
      </c>
      <c r="D314" s="74" t="str">
        <f t="shared" si="31"/>
        <v>20</v>
      </c>
      <c r="E314" s="426" t="str">
        <f>_xlfn.XLOOKUP(A314,'7月排产计划'!G:G,'7月排产计划'!B:B)</f>
        <v>亚</v>
      </c>
      <c r="F314" s="69" t="str">
        <f t="shared" si="30"/>
        <v>亚20寸</v>
      </c>
      <c r="G314" s="69" t="e">
        <f>VLOOKUP(A314,'7月排产计划'!G320:G834,1,0)</f>
        <v>#N/A</v>
      </c>
      <c r="H314" s="74" t="e">
        <f t="shared" si="23"/>
        <v>#N/A</v>
      </c>
      <c r="I314" s="69" t="e">
        <f>VLOOKUP(A314,[2]Sheet1!$C$3:$G$310,5,0)</f>
        <v>#N/A</v>
      </c>
      <c r="J314" s="74">
        <f>VLOOKUP(A314,[3]KCBB0101!$C$3:$F$691,4,0)</f>
        <v>7155</v>
      </c>
      <c r="K314" s="74" t="str">
        <f>VLOOKUP(A314,'7月排产计划'!G132:G646,1,0)</f>
        <v>ID10.00R20-18PR(149/146J)[TZ202]TIANLI</v>
      </c>
    </row>
    <row r="315" spans="1:11">
      <c r="A315" s="439" t="s">
        <v>605</v>
      </c>
      <c r="B315" s="417">
        <v>680</v>
      </c>
      <c r="C315" s="420" t="s">
        <v>317</v>
      </c>
      <c r="D315" s="74" t="str">
        <f t="shared" si="31"/>
        <v>20</v>
      </c>
      <c r="E315" s="426" t="str">
        <f>_xlfn.XLOOKUP(A315,'7月排产计划'!G:G,'7月排产计划'!B:B)</f>
        <v>亚</v>
      </c>
      <c r="F315" s="69" t="str">
        <f t="shared" si="30"/>
        <v>亚20寸</v>
      </c>
      <c r="G315" s="69" t="e">
        <f>VLOOKUP(A315,'7月排产计划'!G321:G835,1,0)</f>
        <v>#N/A</v>
      </c>
      <c r="H315" s="74" t="e">
        <f t="shared" si="23"/>
        <v>#N/A</v>
      </c>
      <c r="I315" s="69" t="e">
        <f>VLOOKUP(A315,[2]Sheet1!$C$3:$G$310,5,0)</f>
        <v>#N/A</v>
      </c>
      <c r="J315" s="74">
        <f>VLOOKUP(A315,[3]KCBB0101!$C$3:$F$691,4,0)</f>
        <v>5000</v>
      </c>
      <c r="K315" s="74" t="str">
        <f>VLOOKUP(A315,'7月排产计划'!G133:G647,1,0)</f>
        <v>ID10.00R20-18PR(149/146J)[TZ303]TIANLI</v>
      </c>
    </row>
    <row r="316" spans="1:11">
      <c r="A316" s="439" t="s">
        <v>606</v>
      </c>
      <c r="B316" s="417">
        <v>400</v>
      </c>
      <c r="C316" s="420" t="s">
        <v>317</v>
      </c>
      <c r="D316" s="74" t="str">
        <f t="shared" ref="D316:D336" si="32">MID(A316,FIND("R",A316)+1,2)</f>
        <v>20</v>
      </c>
      <c r="E316" s="426" t="str">
        <f>_xlfn.XLOOKUP(A316,'7月排产计划'!G:G,'7月排产计划'!B:B)</f>
        <v>亚</v>
      </c>
      <c r="F316" s="69" t="str">
        <f t="shared" si="30"/>
        <v>亚20寸</v>
      </c>
      <c r="G316" s="69" t="e">
        <f>VLOOKUP(A316,'7月排产计划'!G322:G836,1,0)</f>
        <v>#N/A</v>
      </c>
      <c r="H316" s="74" t="e">
        <f t="shared" si="23"/>
        <v>#N/A</v>
      </c>
      <c r="I316" s="69">
        <f>VLOOKUP(A316,[2]Sheet1!$C$3:$G$310,5,0)</f>
        <v>5600</v>
      </c>
      <c r="J316" s="74" t="e">
        <f>VLOOKUP(A316,[3]KCBB0101!$C$3:$F$691,4,0)</f>
        <v>#N/A</v>
      </c>
      <c r="K316" s="74" t="str">
        <f>VLOOKUP(A316,'7月排产计划'!G134:G648,1,0)</f>
        <v>ID10.00R20-18PR(149/146K)[FOLO.R109]EFFIPLUS</v>
      </c>
    </row>
    <row r="317" spans="1:11">
      <c r="A317" s="439" t="s">
        <v>607</v>
      </c>
      <c r="B317" s="417">
        <v>120</v>
      </c>
      <c r="C317" s="420" t="s">
        <v>317</v>
      </c>
      <c r="D317" s="74" t="str">
        <f t="shared" si="32"/>
        <v>20</v>
      </c>
      <c r="E317" s="426" t="str">
        <f>_xlfn.XLOOKUP(A317,'7月排产计划'!G:G,'7月排产计划'!B:B)</f>
        <v>亚</v>
      </c>
      <c r="F317" s="69" t="str">
        <f t="shared" si="30"/>
        <v>亚20寸</v>
      </c>
      <c r="G317" s="69" t="e">
        <f>VLOOKUP(A317,'7月排产计划'!G323:G837,1,0)</f>
        <v>#N/A</v>
      </c>
      <c r="H317" s="74" t="e">
        <f t="shared" si="23"/>
        <v>#N/A</v>
      </c>
      <c r="I317" s="69">
        <f>VLOOKUP(A317,[2]Sheet1!$C$3:$G$310,5,0)</f>
        <v>8900</v>
      </c>
      <c r="J317" s="74" t="e">
        <f>VLOOKUP(A317,[3]KCBB0101!$C$3:$F$691,4,0)</f>
        <v>#N/A</v>
      </c>
      <c r="K317" s="74" t="str">
        <f>VLOOKUP(A317,'7月排产计划'!G135:G649,1,0)</f>
        <v>ID10.00R20-18PR(149/146K)[MOBY.R856X]EFFIPLUS</v>
      </c>
    </row>
    <row r="318" spans="1:11">
      <c r="A318" s="439" t="s">
        <v>608</v>
      </c>
      <c r="B318" s="417">
        <v>700</v>
      </c>
      <c r="C318" s="420" t="s">
        <v>317</v>
      </c>
      <c r="D318" s="74" t="str">
        <f t="shared" si="32"/>
        <v>20</v>
      </c>
      <c r="E318" s="426" t="str">
        <f>_xlfn.XLOOKUP(A318,'7月排产计划'!G:G,'7月排产计划'!B:B)</f>
        <v>亚</v>
      </c>
      <c r="F318" s="69" t="str">
        <f t="shared" si="30"/>
        <v>亚20寸</v>
      </c>
      <c r="G318" s="69" t="e">
        <f>VLOOKUP(A318,'7月排产计划'!G324:G838,1,0)</f>
        <v>#N/A</v>
      </c>
      <c r="H318" s="74" t="e">
        <f t="shared" si="23"/>
        <v>#N/A</v>
      </c>
      <c r="I318" s="69">
        <f>VLOOKUP(A318,[2]Sheet1!$C$3:$G$310,5,0)</f>
        <v>3200</v>
      </c>
      <c r="J318" s="74" t="e">
        <f>VLOOKUP(A318,[3]KCBB0101!$C$3:$F$691,4,0)</f>
        <v>#N/A</v>
      </c>
      <c r="K318" s="74" t="str">
        <f>VLOOKUP(A318,'7月排产计划'!G136:G650,1,0)</f>
        <v>ID11.00R20-18PR(152/149F)[CB332A]威狮</v>
      </c>
    </row>
    <row r="319" spans="1:11">
      <c r="A319" s="439" t="s">
        <v>609</v>
      </c>
      <c r="B319" s="417">
        <v>220</v>
      </c>
      <c r="C319" s="420" t="s">
        <v>317</v>
      </c>
      <c r="D319" s="74" t="str">
        <f t="shared" si="32"/>
        <v>20</v>
      </c>
      <c r="E319" s="426" t="str">
        <f>_xlfn.XLOOKUP(A319,'7月排产计划'!G:G,'7月排产计划'!B:B)</f>
        <v>亚</v>
      </c>
      <c r="F319" s="69" t="str">
        <f t="shared" si="30"/>
        <v>亚20寸</v>
      </c>
      <c r="G319" s="69" t="e">
        <f>VLOOKUP(A319,'7月排产计划'!G325:G839,1,0)</f>
        <v>#N/A</v>
      </c>
      <c r="H319" s="74" t="e">
        <f t="shared" si="23"/>
        <v>#N/A</v>
      </c>
      <c r="I319" s="69" t="e">
        <f>VLOOKUP(A319,[2]Sheet1!$C$3:$G$310,5,0)</f>
        <v>#N/A</v>
      </c>
      <c r="J319" s="74">
        <f>VLOOKUP(A319,[3]KCBB0101!$C$3:$F$691,4,0)</f>
        <v>4757</v>
      </c>
      <c r="K319" s="74" t="str">
        <f>VLOOKUP(A319,'7月排产计划'!G137:G651,1,0)</f>
        <v>ID11.00R20-18PR(152/149F)[CB972]朝阳</v>
      </c>
    </row>
    <row r="320" spans="1:11">
      <c r="A320" s="439" t="s">
        <v>610</v>
      </c>
      <c r="B320" s="417">
        <v>900</v>
      </c>
      <c r="C320" s="420" t="s">
        <v>317</v>
      </c>
      <c r="D320" s="74" t="str">
        <f t="shared" si="32"/>
        <v>20</v>
      </c>
      <c r="E320" s="426" t="str">
        <f>_xlfn.XLOOKUP(A320,'7月排产计划'!G:G,'7月排产计划'!B:B)</f>
        <v>亚</v>
      </c>
      <c r="F320" s="69" t="str">
        <f t="shared" si="30"/>
        <v>亚20寸</v>
      </c>
      <c r="G320" s="69" t="e">
        <f>VLOOKUP(A320,'7月排产计划'!G326:G840,1,0)</f>
        <v>#N/A</v>
      </c>
      <c r="H320" s="74" t="e">
        <f t="shared" si="23"/>
        <v>#N/A</v>
      </c>
      <c r="I320" s="69">
        <f>VLOOKUP(A320,[2]Sheet1!$C$3:$G$310,5,0)</f>
        <v>10600</v>
      </c>
      <c r="J320" s="74" t="e">
        <f>VLOOKUP(A320,[3]KCBB0101!$C$3:$F$691,4,0)</f>
        <v>#N/A</v>
      </c>
      <c r="K320" s="74" t="str">
        <f>VLOOKUP(A320,'7月排产计划'!G138:G652,1,0)</f>
        <v>ID11.00R20-18PR(152/149F)[CB972]威狮</v>
      </c>
    </row>
    <row r="321" spans="1:11">
      <c r="A321" s="439" t="s">
        <v>611</v>
      </c>
      <c r="B321" s="417">
        <v>1900</v>
      </c>
      <c r="C321" s="420" t="s">
        <v>317</v>
      </c>
      <c r="D321" s="74" t="str">
        <f t="shared" si="32"/>
        <v>20</v>
      </c>
      <c r="E321" s="426" t="str">
        <f>_xlfn.XLOOKUP(A321,'7月排产计划'!G:G,'7月排产计划'!B:B)</f>
        <v>亚</v>
      </c>
      <c r="F321" s="69" t="str">
        <f t="shared" si="30"/>
        <v>亚20寸</v>
      </c>
      <c r="G321" s="69" t="e">
        <f>VLOOKUP(A321,'7月排产计划'!G327:G841,1,0)</f>
        <v>#N/A</v>
      </c>
      <c r="H321" s="74" t="e">
        <f t="shared" si="23"/>
        <v>#N/A</v>
      </c>
      <c r="I321" s="69" t="e">
        <f>VLOOKUP(A321,[2]Sheet1!$C$3:$G$310,5,0)</f>
        <v>#N/A</v>
      </c>
      <c r="J321" s="74">
        <f>VLOOKUP(A321,[3]KCBB0101!$C$3:$F$691,4,0)</f>
        <v>7274</v>
      </c>
      <c r="K321" s="74" t="str">
        <f>VLOOKUP(A321,'7月排产计划'!G139:G653,1,0)</f>
        <v>ID11.00R20-18PR(152/149F)[CB972]雅度</v>
      </c>
    </row>
    <row r="322" spans="1:11">
      <c r="A322" s="439" t="s">
        <v>159</v>
      </c>
      <c r="B322" s="417">
        <v>160</v>
      </c>
      <c r="C322" s="420" t="s">
        <v>317</v>
      </c>
      <c r="D322" s="74" t="str">
        <f t="shared" si="32"/>
        <v>20</v>
      </c>
      <c r="E322" s="426" t="str">
        <f>_xlfn.XLOOKUP(A322,'7月排产计划'!G:G,'7月排产计划'!B:B)</f>
        <v>亚</v>
      </c>
      <c r="F322" s="69" t="str">
        <f t="shared" si="30"/>
        <v>亚20寸</v>
      </c>
      <c r="G322" s="69" t="e">
        <f>VLOOKUP(A322,'7月排产计划'!G328:G842,1,0)</f>
        <v>#N/A</v>
      </c>
      <c r="H322" s="74" t="e">
        <f>D322&amp;G322</f>
        <v>#N/A</v>
      </c>
      <c r="I322" s="69" t="e">
        <f>VLOOKUP(A322,[2]Sheet1!$C$3:$G$310,5,0)</f>
        <v>#N/A</v>
      </c>
      <c r="J322" s="74">
        <f>VLOOKUP(A322,[3]KCBB0101!$C$3:$F$691,4,0)</f>
        <v>1847</v>
      </c>
      <c r="K322" s="74" t="str">
        <f>VLOOKUP(A322,'7月排产计划'!G140:G654,1,0)</f>
        <v>ID11.00R20-18PR(152/149F)[EZ330A]雅度</v>
      </c>
    </row>
    <row r="323" spans="1:11">
      <c r="A323" s="439" t="s">
        <v>19</v>
      </c>
      <c r="B323" s="417">
        <v>880</v>
      </c>
      <c r="C323" s="420" t="s">
        <v>317</v>
      </c>
      <c r="D323" s="74" t="str">
        <f t="shared" si="32"/>
        <v>20</v>
      </c>
      <c r="E323" s="426" t="str">
        <f>_xlfn.XLOOKUP(A323,'7月排产计划'!G:G,'7月排产计划'!B:B)</f>
        <v>亚</v>
      </c>
      <c r="F323" s="69" t="str">
        <f t="shared" ref="F323:F354" si="33">E323&amp;D323&amp;"寸"</f>
        <v>亚20寸</v>
      </c>
      <c r="G323" s="69" t="e">
        <f>VLOOKUP(A323,'7月排产计划'!G329:G843,1,0)</f>
        <v>#N/A</v>
      </c>
      <c r="H323" s="74" t="e">
        <f t="shared" ref="H323:H354" si="34">D323&amp;G323</f>
        <v>#N/A</v>
      </c>
      <c r="I323" s="69" t="e">
        <f>VLOOKUP(A323,[2]Sheet1!$C$3:$G$310,5,0)</f>
        <v>#N/A</v>
      </c>
      <c r="J323" s="74">
        <f>VLOOKUP(A323,[3]KCBB0101!$C$3:$F$691,4,0)</f>
        <v>2000</v>
      </c>
      <c r="K323" s="74" t="str">
        <f>VLOOKUP(A323,'7月排产计划'!G141:G655,1,0)</f>
        <v>ID11.00R20-18PR(152/149F)[TZ101]TIANLI</v>
      </c>
    </row>
    <row r="324" spans="1:11">
      <c r="A324" s="439" t="s">
        <v>25</v>
      </c>
      <c r="B324" s="417">
        <v>280</v>
      </c>
      <c r="C324" s="420" t="s">
        <v>317</v>
      </c>
      <c r="D324" s="74" t="str">
        <f t="shared" si="32"/>
        <v>20</v>
      </c>
      <c r="E324" s="426" t="str">
        <f>_xlfn.XLOOKUP(A324,'7月排产计划'!G:G,'7月排产计划'!B:B)</f>
        <v>亚</v>
      </c>
      <c r="F324" s="69" t="str">
        <f t="shared" si="33"/>
        <v>亚20寸</v>
      </c>
      <c r="G324" s="69" t="e">
        <f>VLOOKUP(A324,'7月排产计划'!G330:G844,1,0)</f>
        <v>#N/A</v>
      </c>
      <c r="H324" s="74" t="e">
        <f t="shared" si="34"/>
        <v>#N/A</v>
      </c>
      <c r="I324" s="69">
        <f>VLOOKUP(A324,[2]Sheet1!$C$3:$G$310,5,0)</f>
        <v>2000</v>
      </c>
      <c r="J324" s="74" t="e">
        <f>VLOOKUP(A324,[3]KCBB0101!$C$3:$F$691,4,0)</f>
        <v>#N/A</v>
      </c>
      <c r="K324" s="74" t="str">
        <f>VLOOKUP(A324,'7月排产计划'!G142:G656,1,0)</f>
        <v>ID11.00R20-18PR(152/149K)[AM4S.Q679]EFFIPLUS</v>
      </c>
    </row>
    <row r="325" spans="1:11">
      <c r="A325" s="439" t="s">
        <v>612</v>
      </c>
      <c r="B325" s="417">
        <v>500</v>
      </c>
      <c r="C325" s="420" t="s">
        <v>317</v>
      </c>
      <c r="D325" s="74" t="str">
        <f t="shared" si="32"/>
        <v>20</v>
      </c>
      <c r="E325" s="426" t="str">
        <f>_xlfn.XLOOKUP(A325,'7月排产计划'!G:G,'7月排产计划'!B:B)</f>
        <v>亚</v>
      </c>
      <c r="F325" s="69" t="str">
        <f t="shared" si="33"/>
        <v>亚20寸</v>
      </c>
      <c r="G325" s="69" t="e">
        <f>VLOOKUP(A325,'7月排产计划'!G331:G845,1,0)</f>
        <v>#N/A</v>
      </c>
      <c r="H325" s="74" t="e">
        <f t="shared" si="34"/>
        <v>#N/A</v>
      </c>
      <c r="I325" s="69" t="e">
        <f>VLOOKUP(A325,[2]Sheet1!$C$3:$G$310,5,0)</f>
        <v>#N/A</v>
      </c>
      <c r="J325" s="74">
        <f>VLOOKUP(A325,[3]KCBB0101!$C$3:$F$691,4,0)</f>
        <v>6780</v>
      </c>
      <c r="K325" s="74" t="str">
        <f>VLOOKUP(A325,'7月排产计划'!G143:G657,1,0)</f>
        <v>ID11.00R20-18PR(152/149K)[AS578]雅度</v>
      </c>
    </row>
    <row r="326" spans="1:11">
      <c r="A326" s="439" t="s">
        <v>613</v>
      </c>
      <c r="B326" s="417">
        <v>660</v>
      </c>
      <c r="C326" s="420" t="s">
        <v>317</v>
      </c>
      <c r="D326" s="74" t="str">
        <f t="shared" si="32"/>
        <v>20</v>
      </c>
      <c r="E326" s="426" t="str">
        <f>_xlfn.XLOOKUP(A326,'7月排产计划'!G:G,'7月排产计划'!B:B)</f>
        <v>亚</v>
      </c>
      <c r="F326" s="69" t="str">
        <f t="shared" si="33"/>
        <v>亚20寸</v>
      </c>
      <c r="G326" s="69" t="e">
        <f>VLOOKUP(A326,'7月排产计划'!G332:G846,1,0)</f>
        <v>#N/A</v>
      </c>
      <c r="H326" s="74" t="e">
        <f t="shared" si="34"/>
        <v>#N/A</v>
      </c>
      <c r="I326" s="69" t="e">
        <f>VLOOKUP(A326,[2]Sheet1!$C$3:$G$310,5,0)</f>
        <v>#N/A</v>
      </c>
      <c r="J326" s="74">
        <f>VLOOKUP(A326,[3]KCBB0101!$C$3:$F$691,4,0)</f>
        <v>2662</v>
      </c>
      <c r="K326" s="74" t="str">
        <f>VLOOKUP(A326,'7月排产计划'!G144:G658,1,0)</f>
        <v>ID11.00R20-18PR(152/149K)[AZ676]TRAZANO(全诺)</v>
      </c>
    </row>
    <row r="327" spans="1:11">
      <c r="A327" s="439" t="s">
        <v>614</v>
      </c>
      <c r="B327" s="417">
        <v>200</v>
      </c>
      <c r="C327" s="420" t="s">
        <v>317</v>
      </c>
      <c r="D327" s="74" t="str">
        <f t="shared" si="32"/>
        <v>20</v>
      </c>
      <c r="E327" s="426" t="str">
        <f>_xlfn.XLOOKUP(A327,'7月排产计划'!G:G,'7月排产计划'!B:B)</f>
        <v>亚</v>
      </c>
      <c r="F327" s="69" t="str">
        <f t="shared" si="33"/>
        <v>亚20寸</v>
      </c>
      <c r="G327" s="69" t="e">
        <f>VLOOKUP(A327,'7月排产计划'!G333:G847,1,0)</f>
        <v>#N/A</v>
      </c>
      <c r="H327" s="74" t="e">
        <f t="shared" si="34"/>
        <v>#N/A</v>
      </c>
      <c r="I327" s="69" t="e">
        <f>VLOOKUP(A327,[2]Sheet1!$C$3:$G$310,5,0)</f>
        <v>#N/A</v>
      </c>
      <c r="J327" s="74">
        <f>VLOOKUP(A327,[3]KCBB0101!$C$3:$F$691,4,0)</f>
        <v>15710</v>
      </c>
      <c r="K327" s="74" t="str">
        <f>VLOOKUP(A327,'7月排产计划'!G145:G659,1,0)</f>
        <v>ID11.00R20-18PR(152/149K)[AZ850]朝阳</v>
      </c>
    </row>
    <row r="328" spans="1:11">
      <c r="A328" s="439" t="s">
        <v>615</v>
      </c>
      <c r="B328" s="417">
        <v>300</v>
      </c>
      <c r="C328" s="420" t="s">
        <v>317</v>
      </c>
      <c r="D328" s="74" t="str">
        <f t="shared" si="32"/>
        <v>20</v>
      </c>
      <c r="E328" s="426" t="str">
        <f>_xlfn.XLOOKUP(A328,'7月排产计划'!G:G,'7月排产计划'!B:B)</f>
        <v>亚</v>
      </c>
      <c r="F328" s="69" t="str">
        <f t="shared" si="33"/>
        <v>亚20寸</v>
      </c>
      <c r="G328" s="69" t="e">
        <f>VLOOKUP(A328,'7月排产计划'!G334:G848,1,0)</f>
        <v>#N/A</v>
      </c>
      <c r="H328" s="74" t="e">
        <f t="shared" si="34"/>
        <v>#N/A</v>
      </c>
      <c r="I328" s="69" t="e">
        <f>VLOOKUP(A328,[2]Sheet1!$C$3:$G$310,5,0)</f>
        <v>#N/A</v>
      </c>
      <c r="J328" s="74">
        <f>VLOOKUP(A328,[3]KCBB0101!$C$3:$F$691,4,0)</f>
        <v>8000</v>
      </c>
      <c r="K328" s="74" t="str">
        <f>VLOOKUP(A328,'7月排产计划'!G146:G660,1,0)</f>
        <v>ID11.00R20-18PR(152/149K)[CM988]金冠</v>
      </c>
    </row>
    <row r="329" spans="1:11">
      <c r="A329" s="439" t="s">
        <v>616</v>
      </c>
      <c r="B329" s="417">
        <v>1700</v>
      </c>
      <c r="C329" s="420" t="s">
        <v>317</v>
      </c>
      <c r="D329" s="74" t="str">
        <f t="shared" si="32"/>
        <v>20</v>
      </c>
      <c r="E329" s="426" t="str">
        <f>_xlfn.XLOOKUP(A329,'7月排产计划'!G:G,'7月排产计划'!B:B)</f>
        <v>亚</v>
      </c>
      <c r="F329" s="69" t="str">
        <f t="shared" si="33"/>
        <v>亚20寸</v>
      </c>
      <c r="G329" s="69" t="e">
        <f>VLOOKUP(A329,'7月排产计划'!G335:G849,1,0)</f>
        <v>#N/A</v>
      </c>
      <c r="H329" s="74" t="e">
        <f t="shared" si="34"/>
        <v>#N/A</v>
      </c>
      <c r="I329" s="69" t="e">
        <f>VLOOKUP(A329,[2]Sheet1!$C$3:$G$310,5,0)</f>
        <v>#N/A</v>
      </c>
      <c r="J329" s="74">
        <f>VLOOKUP(A329,[3]KCBB0101!$C$3:$F$691,4,0)</f>
        <v>11480</v>
      </c>
      <c r="K329" s="74" t="str">
        <f>VLOOKUP(A329,'7月排产计划'!G147:G661,1,0)</f>
        <v>ID11.00R20-18PR(152/149K)[CR926+]GOODRIDE(好运)</v>
      </c>
    </row>
    <row r="330" spans="1:11">
      <c r="A330" s="439" t="s">
        <v>617</v>
      </c>
      <c r="B330" s="417">
        <v>2200</v>
      </c>
      <c r="C330" s="420" t="s">
        <v>317</v>
      </c>
      <c r="D330" s="74" t="str">
        <f t="shared" si="32"/>
        <v>20</v>
      </c>
      <c r="E330" s="426" t="str">
        <f>_xlfn.XLOOKUP(A330,'7月排产计划'!G:G,'7月排产计划'!B:B)</f>
        <v>亚</v>
      </c>
      <c r="F330" s="69" t="str">
        <f t="shared" si="33"/>
        <v>亚20寸</v>
      </c>
      <c r="G330" s="69" t="e">
        <f>VLOOKUP(A330,'7月排产计划'!G336:G850,1,0)</f>
        <v>#N/A</v>
      </c>
      <c r="H330" s="74" t="e">
        <f t="shared" si="34"/>
        <v>#N/A</v>
      </c>
      <c r="I330" s="69" t="e">
        <f>VLOOKUP(A330,[2]Sheet1!$C$3:$G$310,5,0)</f>
        <v>#N/A</v>
      </c>
      <c r="J330" s="74">
        <f>VLOOKUP(A330,[3]KCBB0101!$C$3:$F$691,4,0)</f>
        <v>7500</v>
      </c>
      <c r="K330" s="74" t="str">
        <f>VLOOKUP(A330,'7月排产计划'!G148:G662,1,0)</f>
        <v>ID11.00R20-18PR(152/149K)[CR926+]金冠</v>
      </c>
    </row>
    <row r="331" spans="1:11">
      <c r="A331" s="439" t="s">
        <v>618</v>
      </c>
      <c r="B331" s="417">
        <v>950</v>
      </c>
      <c r="C331" s="420" t="s">
        <v>317</v>
      </c>
      <c r="D331" s="74" t="str">
        <f t="shared" si="32"/>
        <v>20</v>
      </c>
      <c r="E331" s="426" t="str">
        <f>_xlfn.XLOOKUP(A331,'7月排产计划'!G:G,'7月排产计划'!B:B)</f>
        <v>亚</v>
      </c>
      <c r="F331" s="69" t="str">
        <f t="shared" si="33"/>
        <v>亚20寸</v>
      </c>
      <c r="G331" s="69" t="e">
        <f>VLOOKUP(A331,'7月排产计划'!G337:G851,1,0)</f>
        <v>#N/A</v>
      </c>
      <c r="H331" s="74" t="e">
        <f t="shared" si="34"/>
        <v>#N/A</v>
      </c>
      <c r="I331" s="69">
        <f>VLOOKUP(A331,[2]Sheet1!$C$3:$G$310,5,0)</f>
        <v>2400</v>
      </c>
      <c r="J331" s="74" t="e">
        <f>VLOOKUP(A331,[3]KCBB0101!$C$3:$F$691,4,0)</f>
        <v>#N/A</v>
      </c>
      <c r="K331" s="74" t="str">
        <f>VLOOKUP(A331,'7月排产计划'!G149:G663,1,0)</f>
        <v>ID11.00R20-18PR(152/149K)[CR926+]威狮</v>
      </c>
    </row>
    <row r="332" spans="1:11">
      <c r="A332" s="439" t="s">
        <v>619</v>
      </c>
      <c r="B332" s="417">
        <v>230</v>
      </c>
      <c r="C332" s="420" t="s">
        <v>317</v>
      </c>
      <c r="D332" s="74" t="str">
        <f t="shared" si="32"/>
        <v>20</v>
      </c>
      <c r="E332" s="426" t="str">
        <f>_xlfn.XLOOKUP(A332,'7月排产计划'!G:G,'7月排产计划'!B:B)</f>
        <v>亚</v>
      </c>
      <c r="F332" s="69" t="str">
        <f t="shared" si="33"/>
        <v>亚20寸</v>
      </c>
      <c r="G332" s="69" t="e">
        <f>VLOOKUP(A332,'7月排产计划'!G338:G852,1,0)</f>
        <v>#N/A</v>
      </c>
      <c r="H332" s="74" t="e">
        <f t="shared" si="34"/>
        <v>#N/A</v>
      </c>
      <c r="I332" s="69" t="e">
        <f>VLOOKUP(A332,[2]Sheet1!$C$3:$G$310,5,0)</f>
        <v>#N/A</v>
      </c>
      <c r="J332" s="74">
        <f>VLOOKUP(A332,[3]KCBB0101!$C$3:$F$691,4,0)</f>
        <v>4000</v>
      </c>
      <c r="K332" s="74" t="str">
        <f>VLOOKUP(A332,'7月排产计划'!G150:G664,1,0)</f>
        <v>ID11.00R20-18PR(152/149K)[EZ369]朝阳</v>
      </c>
    </row>
    <row r="333" spans="1:11">
      <c r="A333" s="439" t="s">
        <v>620</v>
      </c>
      <c r="B333" s="417">
        <v>1000</v>
      </c>
      <c r="C333" s="420" t="s">
        <v>317</v>
      </c>
      <c r="D333" s="74" t="str">
        <f t="shared" si="32"/>
        <v>20</v>
      </c>
      <c r="E333" s="426" t="str">
        <f>_xlfn.XLOOKUP(A333,'7月排产计划'!G:G,'7月排产计划'!B:B)</f>
        <v>亚</v>
      </c>
      <c r="F333" s="69" t="str">
        <f t="shared" si="33"/>
        <v>亚20寸</v>
      </c>
      <c r="G333" s="69" t="e">
        <f>VLOOKUP(A333,'7月排产计划'!G339:G853,1,0)</f>
        <v>#N/A</v>
      </c>
      <c r="H333" s="74" t="e">
        <f t="shared" si="34"/>
        <v>#N/A</v>
      </c>
      <c r="I333" s="69" t="e">
        <f>VLOOKUP(A333,[2]Sheet1!$C$3:$G$310,5,0)</f>
        <v>#N/A</v>
      </c>
      <c r="J333" s="74">
        <f>VLOOKUP(A333,[3]KCBB0101!$C$3:$F$691,4,0)</f>
        <v>9000</v>
      </c>
      <c r="K333" s="74" t="str">
        <f>VLOOKUP(A333,'7月排产计划'!G151:G665,1,0)</f>
        <v>ID11.00R20-18PR(152/149K)[EZ867]金冠</v>
      </c>
    </row>
    <row r="334" spans="1:11">
      <c r="A334" s="439" t="s">
        <v>621</v>
      </c>
      <c r="B334" s="417">
        <v>720</v>
      </c>
      <c r="C334" s="420" t="s">
        <v>317</v>
      </c>
      <c r="D334" s="74" t="str">
        <f t="shared" si="32"/>
        <v>20</v>
      </c>
      <c r="E334" s="426" t="str">
        <f>_xlfn.XLOOKUP(A334,'7月排产计划'!G:G,'7月排产计划'!B:B)</f>
        <v>亚</v>
      </c>
      <c r="F334" s="69" t="str">
        <f t="shared" si="33"/>
        <v>亚20寸</v>
      </c>
      <c r="G334" s="69" t="e">
        <f>VLOOKUP(A334,'7月排产计划'!G340:G854,1,0)</f>
        <v>#N/A</v>
      </c>
      <c r="H334" s="74" t="e">
        <f t="shared" si="34"/>
        <v>#N/A</v>
      </c>
      <c r="I334" s="69" t="e">
        <f>VLOOKUP(A334,[2]Sheet1!$C$3:$G$310,5,0)</f>
        <v>#N/A</v>
      </c>
      <c r="J334" s="74">
        <f>VLOOKUP(A334,[3]KCBB0101!$C$3:$F$691,4,0)</f>
        <v>3000</v>
      </c>
      <c r="K334" s="74" t="str">
        <f>VLOOKUP(A334,'7月排产计划'!G152:G666,1,0)</f>
        <v>ID11.00R20-18PR(152/149K)[MT200]UNITED</v>
      </c>
    </row>
    <row r="335" spans="1:11">
      <c r="A335" s="439" t="s">
        <v>622</v>
      </c>
      <c r="B335" s="417">
        <v>1200</v>
      </c>
      <c r="C335" s="420" t="s">
        <v>317</v>
      </c>
      <c r="D335" s="74" t="str">
        <f t="shared" si="32"/>
        <v>20</v>
      </c>
      <c r="E335" s="426" t="str">
        <f>_xlfn.XLOOKUP(A335,'7月排产计划'!G:G,'7月排产计划'!B:B)</f>
        <v>亚</v>
      </c>
      <c r="F335" s="69" t="str">
        <f t="shared" si="33"/>
        <v>亚20寸</v>
      </c>
      <c r="G335" s="69" t="e">
        <f>VLOOKUP(A335,'7月排产计划'!G341:G855,1,0)</f>
        <v>#N/A</v>
      </c>
      <c r="H335" s="74" t="e">
        <f t="shared" si="34"/>
        <v>#N/A</v>
      </c>
      <c r="I335" s="69" t="e">
        <f>VLOOKUP(A335,[2]Sheet1!$C$3:$G$310,5,0)</f>
        <v>#N/A</v>
      </c>
      <c r="J335" s="74">
        <f>VLOOKUP(A335,[3]KCBB0101!$C$3:$F$691,4,0)</f>
        <v>2625</v>
      </c>
      <c r="K335" s="74" t="str">
        <f>VLOOKUP(A335,'7月排产计划'!G153:G667,1,0)</f>
        <v>ID11.00R20-18PR(152/149K)[TZ202]TIANLI</v>
      </c>
    </row>
    <row r="336" spans="1:11">
      <c r="A336" s="439" t="s">
        <v>29</v>
      </c>
      <c r="B336" s="417">
        <v>150</v>
      </c>
      <c r="C336" s="420" t="s">
        <v>317</v>
      </c>
      <c r="D336" s="74" t="str">
        <f t="shared" si="32"/>
        <v>20</v>
      </c>
      <c r="E336" s="426" t="str">
        <f>_xlfn.XLOOKUP(A336,'7月排产计划'!G:G,'7月排产计划'!B:B)</f>
        <v>亚</v>
      </c>
      <c r="F336" s="69" t="str">
        <f t="shared" si="33"/>
        <v>亚20寸</v>
      </c>
      <c r="G336" s="69" t="e">
        <f>VLOOKUP(A336,'7月排产计划'!G342:G856,1,0)</f>
        <v>#N/A</v>
      </c>
      <c r="H336" s="74" t="e">
        <f t="shared" si="34"/>
        <v>#N/A</v>
      </c>
      <c r="I336" s="69">
        <f>VLOOKUP(A336,[2]Sheet1!$C$3:$G$310,5,0)</f>
        <v>1800</v>
      </c>
      <c r="J336" s="74" t="e">
        <f>VLOOKUP(A336,[3]KCBB0101!$C$3:$F$691,4,0)</f>
        <v>#N/A</v>
      </c>
      <c r="K336" s="74" t="str">
        <f>VLOOKUP(A336,'7月排产计划'!G154:G668,1,0)</f>
        <v>ID11.00R20-18PR(152/149L)[FOLO.R109]EFFIPLUS</v>
      </c>
    </row>
    <row r="337" spans="1:11">
      <c r="A337" s="439" t="s">
        <v>623</v>
      </c>
      <c r="B337" s="417">
        <v>350</v>
      </c>
      <c r="C337" s="420" t="s">
        <v>317</v>
      </c>
      <c r="D337" s="74" t="str">
        <f t="shared" ref="D337:D368" si="35">MID(A337,FIND("R",A337)+1,2)</f>
        <v>20</v>
      </c>
      <c r="E337" s="426" t="str">
        <f>_xlfn.XLOOKUP(A337,'7月排产计划'!G:G,'7月排产计划'!B:B)</f>
        <v>亚</v>
      </c>
      <c r="F337" s="69" t="str">
        <f t="shared" si="33"/>
        <v>亚20寸</v>
      </c>
      <c r="G337" s="69" t="e">
        <f>VLOOKUP(A337,'7月排产计划'!G343:G857,1,0)</f>
        <v>#N/A</v>
      </c>
      <c r="H337" s="74" t="e">
        <f t="shared" si="34"/>
        <v>#N/A</v>
      </c>
      <c r="I337" s="69" t="e">
        <f>VLOOKUP(A337,[2]Sheet1!$C$3:$G$310,5,0)</f>
        <v>#N/A</v>
      </c>
      <c r="J337" s="74">
        <f>VLOOKUP(A337,[3]KCBB0101!$C$3:$F$691,4,0)</f>
        <v>4532</v>
      </c>
      <c r="K337" s="74" t="str">
        <f>VLOOKUP(A337,'7月排产计划'!G155:G669,1,0)</f>
        <v>ID11.00R20-20PR(154/151D)[AZ850]雅度 东南亚</v>
      </c>
    </row>
    <row r="338" spans="1:11">
      <c r="A338" s="439" t="s">
        <v>624</v>
      </c>
      <c r="B338" s="417">
        <v>150</v>
      </c>
      <c r="C338" s="420" t="s">
        <v>317</v>
      </c>
      <c r="D338" s="74" t="str">
        <f t="shared" si="35"/>
        <v>20</v>
      </c>
      <c r="E338" s="426" t="str">
        <f>_xlfn.XLOOKUP(A338,'7月排产计划'!G:G,'7月排产计划'!B:B)</f>
        <v>亚</v>
      </c>
      <c r="F338" s="69" t="str">
        <f t="shared" si="33"/>
        <v>亚20寸</v>
      </c>
      <c r="G338" s="69" t="e">
        <f>VLOOKUP(A338,'7月排产计划'!G344:G858,1,0)</f>
        <v>#N/A</v>
      </c>
      <c r="H338" s="74" t="e">
        <f t="shared" si="34"/>
        <v>#N/A</v>
      </c>
      <c r="I338" s="69" t="e">
        <f>VLOOKUP(A338,[2]Sheet1!$C$3:$G$310,5,0)</f>
        <v>#N/A</v>
      </c>
      <c r="J338" s="74">
        <f>VLOOKUP(A338,[3]KCBB0101!$C$3:$F$691,4,0)</f>
        <v>2700</v>
      </c>
      <c r="K338" s="74" t="str">
        <f>VLOOKUP(A338,'7月排产计划'!G156:G670,1,0)</f>
        <v>ID11.00R20-20PR(154/151D)[CB905A]雅度 东南亚</v>
      </c>
    </row>
    <row r="339" spans="1:11">
      <c r="A339" s="340" t="s">
        <v>625</v>
      </c>
      <c r="B339" s="440">
        <v>200</v>
      </c>
      <c r="C339" s="420" t="s">
        <v>317</v>
      </c>
      <c r="D339" s="74" t="str">
        <f t="shared" si="35"/>
        <v>20</v>
      </c>
      <c r="E339" s="426" t="str">
        <f>_xlfn.XLOOKUP(A339,'7月排产计划'!G:G,'7月排产计划'!B:B)</f>
        <v>亚</v>
      </c>
      <c r="F339" s="69" t="str">
        <f t="shared" si="33"/>
        <v>亚20寸</v>
      </c>
      <c r="G339" s="69" t="e">
        <f>VLOOKUP(A339,'7月排产计划'!G345:G859,1,0)</f>
        <v>#N/A</v>
      </c>
      <c r="H339" s="74" t="e">
        <f t="shared" si="34"/>
        <v>#N/A</v>
      </c>
      <c r="I339" s="69" t="e">
        <f>VLOOKUP(A339,[2]Sheet1!$C$3:$G$310,5,0)</f>
        <v>#N/A</v>
      </c>
      <c r="J339" s="74">
        <f>VLOOKUP(A339,[3]KCBB0101!$C$3:$F$691,4,0)</f>
        <v>5600</v>
      </c>
      <c r="K339" s="74" t="str">
        <f>VLOOKUP(A339,'7月排产计划'!G157:G671,1,0)</f>
        <v>ID12.00R20-18PR(154/151F)[CB919]ARISUN</v>
      </c>
    </row>
    <row r="340" spans="1:11">
      <c r="A340" s="340" t="s">
        <v>626</v>
      </c>
      <c r="B340" s="417">
        <v>150</v>
      </c>
      <c r="C340" s="420" t="s">
        <v>317</v>
      </c>
      <c r="D340" s="74" t="str">
        <f t="shared" si="35"/>
        <v>20</v>
      </c>
      <c r="E340" s="426" t="str">
        <f>_xlfn.XLOOKUP(A340,'7月排产计划'!G:G,'7月排产计划'!B:B)</f>
        <v>亚</v>
      </c>
      <c r="F340" s="69" t="str">
        <f t="shared" si="33"/>
        <v>亚20寸</v>
      </c>
      <c r="G340" s="69" t="e">
        <f>VLOOKUP(A340,'7月排产计划'!G346:G860,1,0)</f>
        <v>#N/A</v>
      </c>
      <c r="H340" s="74" t="e">
        <f t="shared" si="34"/>
        <v>#N/A</v>
      </c>
      <c r="I340" s="69" t="e">
        <f>VLOOKUP(A340,[2]Sheet1!$C$3:$G$310,5,0)</f>
        <v>#N/A</v>
      </c>
      <c r="J340" s="74">
        <f>VLOOKUP(A340,[3]KCBB0101!$C$3:$F$691,4,0)</f>
        <v>9500</v>
      </c>
      <c r="K340" s="74" t="str">
        <f>VLOOKUP(A340,'7月排产计划'!G158:G672,1,0)</f>
        <v>ID12.00R20-18PR(154/151F)[EZ336]雅度</v>
      </c>
    </row>
    <row r="341" spans="1:11">
      <c r="A341" s="340" t="s">
        <v>627</v>
      </c>
      <c r="B341" s="417">
        <v>200</v>
      </c>
      <c r="C341" s="420" t="s">
        <v>317</v>
      </c>
      <c r="D341" s="74" t="str">
        <f t="shared" si="35"/>
        <v>20</v>
      </c>
      <c r="E341" s="426" t="str">
        <f>_xlfn.XLOOKUP(A341,'7月排产计划'!G:G,'7月排产计划'!B:B)</f>
        <v>亚</v>
      </c>
      <c r="F341" s="69" t="str">
        <f t="shared" si="33"/>
        <v>亚20寸</v>
      </c>
      <c r="G341" s="69" t="e">
        <f>VLOOKUP(A341,'7月排产计划'!G347:G861,1,0)</f>
        <v>#N/A</v>
      </c>
      <c r="H341" s="74" t="e">
        <f t="shared" si="34"/>
        <v>#N/A</v>
      </c>
      <c r="I341" s="69" t="e">
        <f>VLOOKUP(A341,[2]Sheet1!$C$3:$G$310,5,0)</f>
        <v>#N/A</v>
      </c>
      <c r="J341" s="74">
        <f>VLOOKUP(A341,[3]KCBB0101!$C$3:$F$691,4,0)</f>
        <v>6800</v>
      </c>
      <c r="K341" s="74" t="str">
        <f>VLOOKUP(A341,'7月排产计划'!G159:G673,1,0)</f>
        <v>ID12.00R20-18PR(154/151F)[MT100]UNITED</v>
      </c>
    </row>
    <row r="342" spans="1:11">
      <c r="A342" s="340" t="s">
        <v>628</v>
      </c>
      <c r="B342" s="417">
        <v>2800</v>
      </c>
      <c r="C342" s="420" t="s">
        <v>317</v>
      </c>
      <c r="D342" s="74" t="str">
        <f t="shared" si="35"/>
        <v>20</v>
      </c>
      <c r="E342" s="426" t="str">
        <f>_xlfn.XLOOKUP(A342,'7月排产计划'!G:G,'7月排产计划'!B:B)</f>
        <v>亚</v>
      </c>
      <c r="F342" s="69" t="str">
        <f t="shared" si="33"/>
        <v>亚20寸</v>
      </c>
      <c r="G342" s="69" t="e">
        <f>VLOOKUP(A342,'7月排产计划'!G348:G862,1,0)</f>
        <v>#N/A</v>
      </c>
      <c r="H342" s="74" t="e">
        <f t="shared" si="34"/>
        <v>#N/A</v>
      </c>
      <c r="I342" s="69">
        <f>VLOOKUP(A342,[2]Sheet1!$C$3:$G$310,5,0)</f>
        <v>4700</v>
      </c>
      <c r="J342" s="74" t="e">
        <f>VLOOKUP(A342,[3]KCBB0101!$C$3:$F$691,4,0)</f>
        <v>#N/A</v>
      </c>
      <c r="K342" s="74" t="str">
        <f>VLOOKUP(A342,'7月排产计划'!G160:G674,1,0)</f>
        <v>ID12.00R20-20PR(156/153F)[CB332]威狮</v>
      </c>
    </row>
    <row r="343" spans="1:11">
      <c r="A343" s="340" t="s">
        <v>629</v>
      </c>
      <c r="B343" s="417">
        <v>500</v>
      </c>
      <c r="C343" s="420" t="s">
        <v>317</v>
      </c>
      <c r="D343" s="74" t="str">
        <f t="shared" si="35"/>
        <v>20</v>
      </c>
      <c r="E343" s="426" t="str">
        <f>_xlfn.XLOOKUP(A343,'7月排产计划'!G:G,'7月排产计划'!B:B)</f>
        <v>亚</v>
      </c>
      <c r="F343" s="69" t="str">
        <f t="shared" si="33"/>
        <v>亚20寸</v>
      </c>
      <c r="G343" s="69" t="e">
        <f>VLOOKUP(A343,'7月排产计划'!G349:G863,1,0)</f>
        <v>#N/A</v>
      </c>
      <c r="H343" s="74" t="e">
        <f t="shared" si="34"/>
        <v>#N/A</v>
      </c>
      <c r="I343" s="69" t="e">
        <f>VLOOKUP(A343,[2]Sheet1!$C$3:$G$310,5,0)</f>
        <v>#N/A</v>
      </c>
      <c r="J343" s="74">
        <f>VLOOKUP(A343,[3]KCBB0101!$C$3:$F$691,4,0)</f>
        <v>5000</v>
      </c>
      <c r="K343" s="74" t="str">
        <f>VLOOKUP(A343,'7月排产计划'!G161:G675,1,0)</f>
        <v>ID12.00R20-20PR(156/153F)[CB972]朝阳</v>
      </c>
    </row>
    <row r="344" spans="1:11">
      <c r="A344" s="340" t="s">
        <v>630</v>
      </c>
      <c r="B344" s="417">
        <v>2000</v>
      </c>
      <c r="C344" s="420" t="s">
        <v>317</v>
      </c>
      <c r="D344" s="74" t="str">
        <f t="shared" si="35"/>
        <v>20</v>
      </c>
      <c r="E344" s="426" t="str">
        <f>_xlfn.XLOOKUP(A344,'7月排产计划'!G:G,'7月排产计划'!B:B)</f>
        <v>亚</v>
      </c>
      <c r="F344" s="69" t="str">
        <f t="shared" si="33"/>
        <v>亚20寸</v>
      </c>
      <c r="G344" s="69" t="e">
        <f>VLOOKUP(A344,'7月排产计划'!G350:G864,1,0)</f>
        <v>#N/A</v>
      </c>
      <c r="H344" s="74" t="e">
        <f t="shared" si="34"/>
        <v>#N/A</v>
      </c>
      <c r="I344" s="69">
        <f>VLOOKUP(A344,[2]Sheet1!$C$3:$G$310,5,0)</f>
        <v>10100</v>
      </c>
      <c r="J344" s="74" t="str">
        <f>VLOOKUP(A344,[3]KCBB0101!$C$3:$F$691,4,0)</f>
        <v>_</v>
      </c>
      <c r="K344" s="74" t="str">
        <f>VLOOKUP(A344,'7月排产计划'!G162:G676,1,0)</f>
        <v>ID12.00R20-20PR(156/153F)[CB972]威狮</v>
      </c>
    </row>
    <row r="345" spans="1:11">
      <c r="A345" s="340" t="s">
        <v>631</v>
      </c>
      <c r="B345" s="417">
        <v>4000</v>
      </c>
      <c r="C345" s="420" t="s">
        <v>317</v>
      </c>
      <c r="D345" s="74" t="str">
        <f t="shared" si="35"/>
        <v>20</v>
      </c>
      <c r="E345" s="426" t="str">
        <f>_xlfn.XLOOKUP(A345,'7月排产计划'!G:G,'7月排产计划'!B:B)</f>
        <v>亚</v>
      </c>
      <c r="F345" s="69" t="str">
        <f t="shared" si="33"/>
        <v>亚20寸</v>
      </c>
      <c r="G345" s="69" t="e">
        <f>VLOOKUP(A345,'7月排产计划'!G351:G865,1,0)</f>
        <v>#N/A</v>
      </c>
      <c r="H345" s="74" t="e">
        <f t="shared" si="34"/>
        <v>#N/A</v>
      </c>
      <c r="I345" s="69">
        <f>VLOOKUP(A345,[2]Sheet1!$C$3:$G$310,5,0)</f>
        <v>6400</v>
      </c>
      <c r="J345" s="74" t="e">
        <f>VLOOKUP(A345,[3]KCBB0101!$C$3:$F$691,4,0)</f>
        <v>#N/A</v>
      </c>
      <c r="K345" s="74" t="str">
        <f>VLOOKUP(A345,'7月排产计划'!G163:G677,1,0)</f>
        <v>ID12.00R20-20PR(156/153F)[EZ336]雅度</v>
      </c>
    </row>
    <row r="346" spans="1:11">
      <c r="A346" s="340" t="s">
        <v>33</v>
      </c>
      <c r="B346" s="417">
        <v>2400</v>
      </c>
      <c r="C346" s="420" t="s">
        <v>317</v>
      </c>
      <c r="D346" s="74" t="str">
        <f t="shared" si="35"/>
        <v>20</v>
      </c>
      <c r="E346" s="426" t="str">
        <f>_xlfn.XLOOKUP(A346,'7月排产计划'!G:G,'7月排产计划'!B:B)</f>
        <v>亚</v>
      </c>
      <c r="F346" s="69" t="str">
        <f t="shared" si="33"/>
        <v>亚20寸</v>
      </c>
      <c r="G346" s="69" t="e">
        <f>VLOOKUP(A346,'7月排产计划'!G352:G866,1,0)</f>
        <v>#N/A</v>
      </c>
      <c r="H346" s="74" t="e">
        <f t="shared" si="34"/>
        <v>#N/A</v>
      </c>
      <c r="I346" s="69">
        <f>VLOOKUP(A346,[2]Sheet1!$C$3:$G$310,5,0)</f>
        <v>1100</v>
      </c>
      <c r="J346" s="74" t="e">
        <f>VLOOKUP(A346,[3]KCBB0101!$C$3:$F$691,4,0)</f>
        <v>#N/A</v>
      </c>
      <c r="K346" s="74" t="str">
        <f>VLOOKUP(A346,'7月排产计划'!G164:G678,1,0)</f>
        <v>ID12.00R20-20PR(156/153F)[EZ345]雅度</v>
      </c>
    </row>
    <row r="347" spans="1:11">
      <c r="A347" s="340" t="s">
        <v>632</v>
      </c>
      <c r="B347" s="417">
        <v>400</v>
      </c>
      <c r="C347" s="420" t="s">
        <v>317</v>
      </c>
      <c r="D347" s="74" t="str">
        <f t="shared" si="35"/>
        <v>20</v>
      </c>
      <c r="E347" s="426" t="str">
        <f>_xlfn.XLOOKUP(A347,'7月排产计划'!G:G,'7月排产计划'!B:B)</f>
        <v>亚</v>
      </c>
      <c r="F347" s="69" t="str">
        <f t="shared" si="33"/>
        <v>亚20寸</v>
      </c>
      <c r="G347" s="69" t="e">
        <f>VLOOKUP(A347,'7月排产计划'!G353:G867,1,0)</f>
        <v>#N/A</v>
      </c>
      <c r="H347" s="74" t="e">
        <f t="shared" si="34"/>
        <v>#N/A</v>
      </c>
      <c r="I347" s="69" t="e">
        <f>VLOOKUP(A347,[2]Sheet1!$C$3:$G$310,5,0)</f>
        <v>#N/A</v>
      </c>
      <c r="J347" s="74">
        <f>VLOOKUP(A347,[3]KCBB0101!$C$3:$F$691,4,0)</f>
        <v>4500</v>
      </c>
      <c r="K347" s="74" t="str">
        <f>VLOOKUP(A347,'7月排产计划'!G165:G679,1,0)</f>
        <v>ID12.00R20-20PR(156/153F)[TZ101]天力</v>
      </c>
    </row>
    <row r="348" spans="1:11">
      <c r="A348" s="340" t="s">
        <v>633</v>
      </c>
      <c r="B348" s="417">
        <v>420</v>
      </c>
      <c r="C348" s="420" t="s">
        <v>317</v>
      </c>
      <c r="D348" s="74" t="str">
        <f t="shared" si="35"/>
        <v>20</v>
      </c>
      <c r="E348" s="426" t="str">
        <f>_xlfn.XLOOKUP(A348,'7月排产计划'!G:G,'7月排产计划'!B:B)</f>
        <v>亚</v>
      </c>
      <c r="F348" s="69" t="str">
        <f t="shared" si="33"/>
        <v>亚20寸</v>
      </c>
      <c r="G348" s="69" t="e">
        <f>VLOOKUP(A348,'7月排产计划'!G354:G868,1,0)</f>
        <v>#N/A</v>
      </c>
      <c r="H348" s="74" t="e">
        <f t="shared" si="34"/>
        <v>#N/A</v>
      </c>
      <c r="I348" s="69" t="e">
        <f>VLOOKUP(A348,[2]Sheet1!$C$3:$G$310,5,0)</f>
        <v>#N/A</v>
      </c>
      <c r="J348" s="74">
        <f>VLOOKUP(A348,[3]KCBB0101!$C$3:$F$691,4,0)</f>
        <v>3831</v>
      </c>
      <c r="K348" s="74" t="str">
        <f>VLOOKUP(A348,'7月排产计划'!G166:G680,1,0)</f>
        <v>ID12.00R20-22PR(158/155F)[CB919]雅度</v>
      </c>
    </row>
    <row r="349" spans="1:11">
      <c r="A349" s="340" t="s">
        <v>634</v>
      </c>
      <c r="B349" s="417">
        <v>3500</v>
      </c>
      <c r="C349" s="420" t="s">
        <v>317</v>
      </c>
      <c r="D349" s="74" t="str">
        <f t="shared" si="35"/>
        <v>20</v>
      </c>
      <c r="E349" s="426" t="str">
        <f>_xlfn.XLOOKUP(A349,'7月排产计划'!G:G,'7月排产计划'!B:B)</f>
        <v>亚</v>
      </c>
      <c r="F349" s="69" t="str">
        <f t="shared" si="33"/>
        <v>亚20寸</v>
      </c>
      <c r="G349" s="69" t="e">
        <f>VLOOKUP(A349,'7月排产计划'!G355:G869,1,0)</f>
        <v>#N/A</v>
      </c>
      <c r="H349" s="74" t="e">
        <f t="shared" si="34"/>
        <v>#N/A</v>
      </c>
      <c r="I349" s="69">
        <f>VLOOKUP(A349,[2]Sheet1!$C$3:$G$310,5,0)</f>
        <v>19800</v>
      </c>
      <c r="J349" s="74">
        <f>VLOOKUP(A349,[3]KCBB0101!$C$3:$F$691,4,0)</f>
        <v>6000</v>
      </c>
      <c r="K349" s="74" t="str">
        <f>VLOOKUP(A349,'7月排产计划'!G167:G681,1,0)</f>
        <v>ID12.00R20-22PR(158/155F)[CB972]雅度 东南亚</v>
      </c>
    </row>
    <row r="350" spans="1:11">
      <c r="A350" s="340" t="s">
        <v>635</v>
      </c>
      <c r="B350" s="417">
        <v>8000</v>
      </c>
      <c r="C350" s="420" t="s">
        <v>317</v>
      </c>
      <c r="D350" s="74" t="str">
        <f t="shared" si="35"/>
        <v>20</v>
      </c>
      <c r="E350" s="426" t="str">
        <f>_xlfn.XLOOKUP(A350,'7月排产计划'!G:G,'7月排产计划'!B:B)</f>
        <v>亚</v>
      </c>
      <c r="F350" s="69" t="str">
        <f t="shared" si="33"/>
        <v>亚20寸</v>
      </c>
      <c r="G350" s="69" t="e">
        <f>VLOOKUP(A350,'7月排产计划'!G356:G870,1,0)</f>
        <v>#N/A</v>
      </c>
      <c r="H350" s="74" t="e">
        <f t="shared" si="34"/>
        <v>#N/A</v>
      </c>
      <c r="I350" s="69">
        <f>VLOOKUP(A350,[2]Sheet1!$C$3:$G$310,5,0)</f>
        <v>1900</v>
      </c>
      <c r="J350" s="74">
        <f>VLOOKUP(A350,[3]KCBB0101!$C$3:$F$691,4,0)</f>
        <v>10584</v>
      </c>
      <c r="K350" s="74" t="str">
        <f>VLOOKUP(A350,'7月排产计划'!G168:G682,1,0)</f>
        <v>ID12.00R20-22PR(158/155F)[EZ310 pro]雅度</v>
      </c>
    </row>
    <row r="351" spans="1:11">
      <c r="A351" s="340" t="s">
        <v>636</v>
      </c>
      <c r="B351" s="417">
        <v>400</v>
      </c>
      <c r="C351" s="420" t="s">
        <v>317</v>
      </c>
      <c r="D351" s="74" t="str">
        <f t="shared" si="35"/>
        <v>20</v>
      </c>
      <c r="E351" s="426" t="str">
        <f>_xlfn.XLOOKUP(A351,'7月排产计划'!G:G,'7月排产计划'!B:B)</f>
        <v>亚</v>
      </c>
      <c r="F351" s="69" t="str">
        <f t="shared" si="33"/>
        <v>亚20寸</v>
      </c>
      <c r="G351" s="69" t="e">
        <f>VLOOKUP(A351,'7月排产计划'!G357:G871,1,0)</f>
        <v>#N/A</v>
      </c>
      <c r="H351" s="74" t="e">
        <f t="shared" si="34"/>
        <v>#N/A</v>
      </c>
      <c r="I351" s="69" t="e">
        <f>VLOOKUP(A351,[2]Sheet1!$C$3:$G$310,5,0)</f>
        <v>#N/A</v>
      </c>
      <c r="J351" s="74">
        <f>VLOOKUP(A351,[3]KCBB0101!$C$3:$F$691,4,0)</f>
        <v>2188</v>
      </c>
      <c r="K351" s="74" t="str">
        <f>VLOOKUP(A351,'7月排产计划'!G169:G683,1,0)</f>
        <v>ID12.00R20-22PR(158/155J)[AZ850]雅度 东南亚</v>
      </c>
    </row>
    <row r="352" spans="1:11">
      <c r="A352" s="340" t="s">
        <v>637</v>
      </c>
      <c r="B352" s="417">
        <v>200</v>
      </c>
      <c r="C352" s="420" t="s">
        <v>317</v>
      </c>
      <c r="D352" s="74" t="str">
        <f t="shared" si="35"/>
        <v>20</v>
      </c>
      <c r="E352" s="426" t="str">
        <f>_xlfn.XLOOKUP(A352,'7月排产计划'!G:G,'7月排产计划'!B:B)</f>
        <v>亚</v>
      </c>
      <c r="F352" s="69" t="str">
        <f t="shared" si="33"/>
        <v>亚20寸</v>
      </c>
      <c r="G352" s="69" t="e">
        <f>VLOOKUP(A352,'7月排产计划'!G358:G872,1,0)</f>
        <v>#N/A</v>
      </c>
      <c r="H352" s="74" t="e">
        <f t="shared" si="34"/>
        <v>#N/A</v>
      </c>
      <c r="I352" s="69" t="e">
        <f>VLOOKUP(A352,[2]Sheet1!$C$3:$G$310,5,0)</f>
        <v>#N/A</v>
      </c>
      <c r="J352" s="74">
        <f>VLOOKUP(A352,[3]KCBB0101!$C$3:$F$691,4,0)</f>
        <v>2296</v>
      </c>
      <c r="K352" s="74" t="str">
        <f>VLOOKUP(A352,'7月排产计划'!G170:G684,1,0)</f>
        <v>ID12.00R20-22PR(158/155J)[EZ867]雅度 东南亚</v>
      </c>
    </row>
    <row r="353" spans="1:11">
      <c r="A353" s="340" t="s">
        <v>638</v>
      </c>
      <c r="B353" s="417">
        <v>5000</v>
      </c>
      <c r="C353" s="420" t="s">
        <v>317</v>
      </c>
      <c r="D353" s="74" t="str">
        <f t="shared" si="35"/>
        <v>20</v>
      </c>
      <c r="E353" s="426" t="str">
        <f>_xlfn.XLOOKUP(A353,'7月排产计划'!G:G,'7月排产计划'!B:B)</f>
        <v>亚</v>
      </c>
      <c r="F353" s="69" t="str">
        <f t="shared" si="33"/>
        <v>亚20寸</v>
      </c>
      <c r="G353" s="69" t="e">
        <f>VLOOKUP(A353,'7月排产计划'!G359:G873,1,0)</f>
        <v>#N/A</v>
      </c>
      <c r="H353" s="74" t="e">
        <f t="shared" si="34"/>
        <v>#N/A</v>
      </c>
      <c r="I353" s="69">
        <f>VLOOKUP(A353,[2]Sheet1!$C$3:$G$310,5,0)</f>
        <v>70400</v>
      </c>
      <c r="J353" s="74" t="e">
        <f>VLOOKUP(A353,[3]KCBB0101!$C$3:$F$691,4,0)</f>
        <v>#N/A</v>
      </c>
      <c r="K353" s="74" t="str">
        <f>VLOOKUP(A353,'7月排产计划'!G171:G685,1,0)</f>
        <v>ID12.00R20-☆☆(158/155C)PR[XC809]路诚 综合型</v>
      </c>
    </row>
    <row r="354" spans="1:11">
      <c r="A354" s="340" t="s">
        <v>639</v>
      </c>
      <c r="B354" s="417">
        <v>1400</v>
      </c>
      <c r="C354" s="420" t="s">
        <v>317</v>
      </c>
      <c r="D354" s="74" t="str">
        <f t="shared" si="35"/>
        <v>24</v>
      </c>
      <c r="E354" s="426" t="str">
        <f>_xlfn.XLOOKUP(A354,'7月排产计划'!G:G,'7月排产计划'!B:B)</f>
        <v>亚</v>
      </c>
      <c r="F354" s="69" t="str">
        <f t="shared" si="33"/>
        <v>亚24寸</v>
      </c>
      <c r="G354" s="69" t="e">
        <f>VLOOKUP(A354,'7月排产计划'!G360:G874,1,0)</f>
        <v>#N/A</v>
      </c>
      <c r="H354" s="74" t="e">
        <f t="shared" si="34"/>
        <v>#N/A</v>
      </c>
      <c r="I354" s="69">
        <f>VLOOKUP(A354,[2]Sheet1!$C$3:$G$310,5,0)</f>
        <v>8300</v>
      </c>
      <c r="J354" s="74" t="e">
        <f>VLOOKUP(A354,[3]KCBB0101!$C$3:$F$691,4,0)</f>
        <v>#N/A</v>
      </c>
      <c r="K354" s="74" t="str">
        <f>VLOOKUP(A354,'7月排产计划'!G172:G686,1,0)</f>
        <v>ID12.00R24-20PR(160/156F)[ETOT]TECHKING</v>
      </c>
    </row>
    <row r="355" spans="1:11">
      <c r="A355" s="340" t="s">
        <v>640</v>
      </c>
      <c r="B355" s="417">
        <v>450</v>
      </c>
      <c r="C355" s="420" t="s">
        <v>317</v>
      </c>
      <c r="D355" s="74" t="str">
        <f t="shared" si="35"/>
        <v>24</v>
      </c>
      <c r="E355" s="426" t="str">
        <f>_xlfn.XLOOKUP(A355,'7月排产计划'!G:G,'7月排产计划'!B:B)</f>
        <v>亚</v>
      </c>
      <c r="F355" s="69" t="str">
        <f t="shared" ref="F355:F392" si="36">E355&amp;D355&amp;"寸"</f>
        <v>亚24寸</v>
      </c>
      <c r="G355" s="69" t="e">
        <f>VLOOKUP(A355,'7月排产计划'!G361:G875,1,0)</f>
        <v>#N/A</v>
      </c>
      <c r="H355" s="74" t="e">
        <f t="shared" ref="H355:H392" si="37">D355&amp;G355</f>
        <v>#N/A</v>
      </c>
      <c r="I355" s="69">
        <f>VLOOKUP(A355,[2]Sheet1!$C$3:$G$310,5,0)</f>
        <v>2300</v>
      </c>
      <c r="J355" s="74" t="e">
        <f>VLOOKUP(A355,[3]KCBB0101!$C$3:$F$691,4,0)</f>
        <v>#N/A</v>
      </c>
      <c r="K355" s="74" t="str">
        <f>VLOOKUP(A355,'7月排产计划'!G173:G687,1,0)</f>
        <v>ID12.00R24-20PR(160/157F)[CB332]威狮</v>
      </c>
    </row>
    <row r="356" spans="1:11">
      <c r="A356" s="340" t="s">
        <v>45</v>
      </c>
      <c r="B356" s="417">
        <v>3400</v>
      </c>
      <c r="C356" s="420" t="s">
        <v>317</v>
      </c>
      <c r="D356" s="74" t="str">
        <f t="shared" si="35"/>
        <v>24</v>
      </c>
      <c r="E356" s="426" t="str">
        <f>_xlfn.XLOOKUP(A356,'7月排产计划'!G:G,'7月排产计划'!B:B)</f>
        <v>亚</v>
      </c>
      <c r="F356" s="69" t="str">
        <f t="shared" si="36"/>
        <v>亚24寸</v>
      </c>
      <c r="G356" s="69" t="e">
        <f>VLOOKUP(A356,'7月排产计划'!G362:G876,1,0)</f>
        <v>#N/A</v>
      </c>
      <c r="H356" s="74" t="e">
        <f t="shared" si="37"/>
        <v>#N/A</v>
      </c>
      <c r="I356" s="69">
        <f>VLOOKUP(A356,[2]Sheet1!$C$3:$G$310,5,0)</f>
        <v>200</v>
      </c>
      <c r="J356" s="74" t="e">
        <f>VLOOKUP(A356,[3]KCBB0101!$C$3:$F$691,4,0)</f>
        <v>#N/A</v>
      </c>
      <c r="K356" s="74" t="str">
        <f>VLOOKUP(A356,'7月排产计划'!G174:G688,1,0)</f>
        <v>ID12.00R24-20PR(160/157F)[CB972]雅度</v>
      </c>
    </row>
    <row r="357" spans="1:11">
      <c r="A357" s="340" t="s">
        <v>641</v>
      </c>
      <c r="B357" s="417">
        <v>380</v>
      </c>
      <c r="C357" s="420" t="s">
        <v>317</v>
      </c>
      <c r="D357" s="74" t="str">
        <f t="shared" si="35"/>
        <v>24</v>
      </c>
      <c r="E357" s="426" t="str">
        <f>_xlfn.XLOOKUP(A357,'7月排产计划'!G:G,'7月排产计划'!B:B)</f>
        <v>亚</v>
      </c>
      <c r="F357" s="69" t="str">
        <f t="shared" si="36"/>
        <v>亚24寸</v>
      </c>
      <c r="G357" s="69" t="e">
        <f>VLOOKUP(A357,'7月排产计划'!G363:G877,1,0)</f>
        <v>#N/A</v>
      </c>
      <c r="H357" s="74" t="e">
        <f t="shared" si="37"/>
        <v>#N/A</v>
      </c>
      <c r="I357" s="69" t="e">
        <f>VLOOKUP(A357,[2]Sheet1!$C$3:$G$310,5,0)</f>
        <v>#N/A</v>
      </c>
      <c r="J357" s="74">
        <f>VLOOKUP(A357,[3]KCBB0101!$C$3:$F$691,4,0)</f>
        <v>3690</v>
      </c>
      <c r="K357" s="74" t="str">
        <f>VLOOKUP(A357,'7月排产计划'!G175:G689,1,0)</f>
        <v>ID12.00R24-20PR(160/157F)[CB972E]GOODRIDE(好运)</v>
      </c>
    </row>
    <row r="358" spans="1:11">
      <c r="A358" s="340" t="s">
        <v>642</v>
      </c>
      <c r="B358" s="417">
        <v>1000</v>
      </c>
      <c r="C358" s="420" t="s">
        <v>317</v>
      </c>
      <c r="D358" s="74" t="str">
        <f t="shared" si="35"/>
        <v>24</v>
      </c>
      <c r="E358" s="426" t="str">
        <f>_xlfn.XLOOKUP(A358,'7月排产计划'!G:G,'7月排产计划'!B:B)</f>
        <v>亚</v>
      </c>
      <c r="F358" s="69" t="str">
        <f t="shared" si="36"/>
        <v>亚24寸</v>
      </c>
      <c r="G358" s="69" t="e">
        <f>VLOOKUP(A358,'7月排产计划'!G364:G878,1,0)</f>
        <v>#N/A</v>
      </c>
      <c r="H358" s="74" t="e">
        <f t="shared" si="37"/>
        <v>#N/A</v>
      </c>
      <c r="I358" s="69">
        <f>VLOOKUP(A358,[2]Sheet1!$C$3:$G$310,5,0)</f>
        <v>5000</v>
      </c>
      <c r="J358" s="74" t="str">
        <f>VLOOKUP(A358,[3]KCBB0101!$C$3:$F$691,4,0)</f>
        <v>_</v>
      </c>
      <c r="K358" s="74" t="str">
        <f>VLOOKUP(A358,'7月排产计划'!G176:G690,1,0)</f>
        <v>ID12.00R24-20PR(160/157F)[CB972E]威狮</v>
      </c>
    </row>
    <row r="359" spans="1:11">
      <c r="A359" s="340" t="s">
        <v>643</v>
      </c>
      <c r="B359" s="417">
        <v>1700</v>
      </c>
      <c r="C359" s="420" t="s">
        <v>317</v>
      </c>
      <c r="D359" s="74" t="str">
        <f t="shared" si="35"/>
        <v>24</v>
      </c>
      <c r="E359" s="426" t="str">
        <f>_xlfn.XLOOKUP(A359,'7月排产计划'!G:G,'7月排产计划'!B:B)</f>
        <v>亚</v>
      </c>
      <c r="F359" s="69" t="str">
        <f t="shared" si="36"/>
        <v>亚24寸</v>
      </c>
      <c r="G359" s="69" t="e">
        <f>VLOOKUP(A359,'7月排产计划'!G365:G879,1,0)</f>
        <v>#N/A</v>
      </c>
      <c r="H359" s="74" t="e">
        <f t="shared" si="37"/>
        <v>#N/A</v>
      </c>
      <c r="I359" s="69" t="e">
        <f>VLOOKUP(A359,[2]Sheet1!$C$3:$G$310,5,0)</f>
        <v>#N/A</v>
      </c>
      <c r="J359" s="74">
        <f>VLOOKUP(A359,[3]KCBB0101!$C$3:$F$691,4,0)</f>
        <v>7100</v>
      </c>
      <c r="K359" s="74" t="str">
        <f>VLOOKUP(A359,'7月排产计划'!G177:G691,1,0)</f>
        <v>ID12.00R24-20PR(160/157F)[CB972E]雅度</v>
      </c>
    </row>
    <row r="360" spans="1:11">
      <c r="A360" s="340" t="s">
        <v>644</v>
      </c>
      <c r="B360" s="417">
        <v>2000</v>
      </c>
      <c r="C360" s="420" t="s">
        <v>317</v>
      </c>
      <c r="D360" s="74" t="str">
        <f t="shared" si="35"/>
        <v>24</v>
      </c>
      <c r="E360" s="426" t="str">
        <f>_xlfn.XLOOKUP(A360,'7月排产计划'!G:G,'7月排产计划'!B:B)</f>
        <v>亚</v>
      </c>
      <c r="F360" s="69" t="str">
        <f t="shared" si="36"/>
        <v>亚24寸</v>
      </c>
      <c r="G360" s="69" t="e">
        <f>VLOOKUP(A360,'7月排产计划'!G366:G880,1,0)</f>
        <v>#N/A</v>
      </c>
      <c r="H360" s="74" t="e">
        <f t="shared" si="37"/>
        <v>#N/A</v>
      </c>
      <c r="I360" s="69" t="e">
        <f>VLOOKUP(A360,[2]Sheet1!$C$3:$G$310,5,0)</f>
        <v>#N/A</v>
      </c>
      <c r="J360" s="74">
        <f>VLOOKUP(A360,[3]KCBB0101!$C$3:$F$691,4,0)</f>
        <v>3908</v>
      </c>
      <c r="K360" s="74" t="str">
        <f>VLOOKUP(A360,'7月排产计划'!G178:G692,1,0)</f>
        <v>ID12.00R24-20PR(160/157F)[TZ101 PRO]天力</v>
      </c>
    </row>
    <row r="361" spans="1:11">
      <c r="A361" s="340" t="s">
        <v>645</v>
      </c>
      <c r="B361" s="417">
        <v>1400</v>
      </c>
      <c r="C361" s="420" t="s">
        <v>317</v>
      </c>
      <c r="D361" s="74" t="str">
        <f t="shared" si="35"/>
        <v>24</v>
      </c>
      <c r="E361" s="426" t="str">
        <f>_xlfn.XLOOKUP(A361,'7月排产计划'!G:G,'7月排产计划'!B:B)</f>
        <v>亚</v>
      </c>
      <c r="F361" s="69" t="str">
        <f t="shared" si="36"/>
        <v>亚24寸</v>
      </c>
      <c r="G361" s="69" t="e">
        <f>VLOOKUP(A361,'7月排产计划'!G367:G881,1,0)</f>
        <v>#N/A</v>
      </c>
      <c r="H361" s="74" t="e">
        <f t="shared" si="37"/>
        <v>#N/A</v>
      </c>
      <c r="I361" s="69" t="e">
        <f>VLOOKUP(A361,[2]Sheet1!$C$3:$G$310,5,0)</f>
        <v>#N/A</v>
      </c>
      <c r="J361" s="74">
        <f>VLOOKUP(A361,[3]KCBB0101!$C$3:$F$691,4,0)</f>
        <v>7169</v>
      </c>
      <c r="K361" s="74" t="str">
        <f>VLOOKUP(A361,'7月排产计划'!G179:G693,1,0)</f>
        <v>ID12.00R24-20PR(160/157F)[TZ101]TIANLI</v>
      </c>
    </row>
    <row r="362" spans="1:11">
      <c r="A362" s="340" t="s">
        <v>646</v>
      </c>
      <c r="B362" s="417">
        <v>150</v>
      </c>
      <c r="C362" s="420" t="s">
        <v>317</v>
      </c>
      <c r="D362" s="74" t="str">
        <f t="shared" si="35"/>
        <v>24</v>
      </c>
      <c r="E362" s="426" t="str">
        <f>_xlfn.XLOOKUP(A362,'7月排产计划'!G:G,'7月排产计划'!B:B)</f>
        <v>亚</v>
      </c>
      <c r="F362" s="69" t="str">
        <f t="shared" si="36"/>
        <v>亚24寸</v>
      </c>
      <c r="G362" s="69" t="e">
        <f>VLOOKUP(A362,'7月排产计划'!G368:G882,1,0)</f>
        <v>#N/A</v>
      </c>
      <c r="H362" s="74" t="e">
        <f t="shared" si="37"/>
        <v>#N/A</v>
      </c>
      <c r="I362" s="69" t="e">
        <f>VLOOKUP(A362,[2]Sheet1!$C$3:$G$310,5,0)</f>
        <v>#N/A</v>
      </c>
      <c r="J362" s="74">
        <f>VLOOKUP(A362,[3]KCBB0101!$C$3:$F$691,4,0)</f>
        <v>3000</v>
      </c>
      <c r="K362" s="74" t="str">
        <f>VLOOKUP(A362,'7月排产计划'!G180:G694,1,0)</f>
        <v>ID12.00R24-20PR(160/157F)[TZ304]天力</v>
      </c>
    </row>
    <row r="363" spans="1:11">
      <c r="A363" s="340" t="s">
        <v>647</v>
      </c>
      <c r="B363" s="417">
        <v>600</v>
      </c>
      <c r="C363" s="420" t="s">
        <v>314</v>
      </c>
      <c r="D363" s="74" t="str">
        <f t="shared" si="35"/>
        <v>24</v>
      </c>
      <c r="E363" s="426" t="str">
        <f>_xlfn.XLOOKUP(A363,'7月排产计划'!G:G,'7月排产计划'!B:B)</f>
        <v>北美</v>
      </c>
      <c r="F363" s="69" t="str">
        <f t="shared" si="36"/>
        <v>北美24寸</v>
      </c>
      <c r="G363" s="69" t="e">
        <f>VLOOKUP(A363,'7月排产计划'!G369:G883,1,0)</f>
        <v>#N/A</v>
      </c>
      <c r="H363" s="74" t="e">
        <f t="shared" si="37"/>
        <v>#N/A</v>
      </c>
      <c r="I363" s="69">
        <f>VLOOKUP(A363,[2]Sheet1!$C$3:$G$310,5,0)</f>
        <v>11600</v>
      </c>
      <c r="J363" s="74" t="e">
        <f>VLOOKUP(A363,[3]KCBB0101!$C$3:$F$691,4,0)</f>
        <v>#N/A</v>
      </c>
      <c r="K363" s="74" t="str">
        <f>VLOOKUP(A363,'7月排产计划'!G181:G695,1,0)</f>
        <v>ID12.00R24-20PR(160/157K)[I-301]IRONMAN</v>
      </c>
    </row>
    <row r="364" spans="1:11">
      <c r="A364" s="340" t="s">
        <v>648</v>
      </c>
      <c r="B364" s="417">
        <v>120</v>
      </c>
      <c r="C364" s="420" t="s">
        <v>317</v>
      </c>
      <c r="D364" s="74" t="str">
        <f t="shared" si="35"/>
        <v>24</v>
      </c>
      <c r="E364" s="426" t="str">
        <f>_xlfn.XLOOKUP(A364,'7月排产计划'!G:G,'7月排产计划'!B:B)</f>
        <v>亚</v>
      </c>
      <c r="F364" s="69" t="str">
        <f t="shared" si="36"/>
        <v>亚24寸</v>
      </c>
      <c r="G364" s="69" t="e">
        <f>VLOOKUP(A364,'7月排产计划'!G370:G884,1,0)</f>
        <v>#N/A</v>
      </c>
      <c r="H364" s="74" t="e">
        <f t="shared" si="37"/>
        <v>#N/A</v>
      </c>
      <c r="I364" s="69">
        <f>VLOOKUP(A364,[2]Sheet1!$C$3:$G$310,5,0)</f>
        <v>9000</v>
      </c>
      <c r="J364" s="74" t="e">
        <f>VLOOKUP(A364,[3]KCBB0101!$C$3:$F$691,4,0)</f>
        <v>#N/A</v>
      </c>
      <c r="K364" s="74" t="str">
        <f>VLOOKUP(A364,'7月排产计划'!G182:G696,1,0)</f>
        <v>ID12.00R24-☆☆(162/160C)PR[XC819]路诚 综合型</v>
      </c>
    </row>
    <row r="365" spans="1:11">
      <c r="A365" s="340" t="s">
        <v>63</v>
      </c>
      <c r="B365" s="417">
        <v>100</v>
      </c>
      <c r="C365" s="420" t="s">
        <v>317</v>
      </c>
      <c r="D365" s="74" t="str">
        <f t="shared" si="35"/>
        <v>16</v>
      </c>
      <c r="E365" s="426" t="str">
        <f>_xlfn.XLOOKUP(A365,'7月排产计划'!G:G,'7月排产计划'!B:B)</f>
        <v>印尼</v>
      </c>
      <c r="F365" s="69" t="str">
        <f t="shared" si="36"/>
        <v>印尼16寸</v>
      </c>
      <c r="G365" s="69" t="e">
        <f>VLOOKUP(A365,'7月排产计划'!G371:G885,1,0)</f>
        <v>#N/A</v>
      </c>
      <c r="H365" s="74" t="e">
        <f t="shared" si="37"/>
        <v>#N/A</v>
      </c>
      <c r="I365" s="69" t="e">
        <f>VLOOKUP(A365,[2]Sheet1!$C$3:$G$310,5,0)</f>
        <v>#N/A</v>
      </c>
      <c r="J365" s="74" t="e">
        <f>VLOOKUP(A365,[3]KCBB0101!$C$3:$F$691,4,0)</f>
        <v>#N/A</v>
      </c>
      <c r="K365" s="74" t="str">
        <f>VLOOKUP(A365,'7月排产计划'!G183:G697,1,0)</f>
        <v>ID7.50R16-14PR(122/118F)[CB972pro]雅度</v>
      </c>
    </row>
    <row r="366" spans="1:11">
      <c r="A366" s="340" t="s">
        <v>649</v>
      </c>
      <c r="B366" s="417">
        <v>1300</v>
      </c>
      <c r="C366" s="420" t="s">
        <v>317</v>
      </c>
      <c r="D366" s="74" t="str">
        <f t="shared" si="35"/>
        <v>16</v>
      </c>
      <c r="E366" s="426" t="str">
        <f>_xlfn.XLOOKUP(A366,'7月排产计划'!G:G,'7月排产计划'!B:B)</f>
        <v>亚</v>
      </c>
      <c r="F366" s="69" t="str">
        <f t="shared" si="36"/>
        <v>亚16寸</v>
      </c>
      <c r="G366" s="69" t="e">
        <f>VLOOKUP(A366,'7月排产计划'!G372:G886,1,0)</f>
        <v>#N/A</v>
      </c>
      <c r="H366" s="74" t="e">
        <f t="shared" si="37"/>
        <v>#N/A</v>
      </c>
      <c r="I366" s="69">
        <f>VLOOKUP(A366,[2]Sheet1!$C$3:$G$310,5,0)</f>
        <v>4000</v>
      </c>
      <c r="J366" s="74" t="e">
        <f>VLOOKUP(A366,[3]KCBB0101!$C$3:$F$691,4,0)</f>
        <v>#N/A</v>
      </c>
      <c r="K366" s="74" t="str">
        <f>VLOOKUP(A366,'7月排产计划'!G184:G698,1,0)</f>
        <v>ID7.50R16-14PR(122/118F)[EZ377]威狮</v>
      </c>
    </row>
    <row r="367" spans="1:11">
      <c r="A367" s="340" t="s">
        <v>80</v>
      </c>
      <c r="B367" s="417">
        <v>650</v>
      </c>
      <c r="C367" s="420" t="s">
        <v>317</v>
      </c>
      <c r="D367" s="74" t="str">
        <f t="shared" si="35"/>
        <v>16</v>
      </c>
      <c r="E367" s="426" t="str">
        <f>_xlfn.XLOOKUP(A367,'7月排产计划'!G:G,'7月排产计划'!B:B)</f>
        <v>印尼</v>
      </c>
      <c r="F367" s="69" t="str">
        <f t="shared" si="36"/>
        <v>印尼16寸</v>
      </c>
      <c r="G367" s="69" t="e">
        <f>VLOOKUP(A367,'7月排产计划'!G373:G887,1,0)</f>
        <v>#N/A</v>
      </c>
      <c r="H367" s="74" t="e">
        <f t="shared" si="37"/>
        <v>#N/A</v>
      </c>
      <c r="I367" s="69" t="e">
        <f>VLOOKUP(A367,[2]Sheet1!$C$3:$G$310,5,0)</f>
        <v>#N/A</v>
      </c>
      <c r="J367" s="74" t="e">
        <f>VLOOKUP(A367,[3]KCBB0101!$C$3:$F$691,4,0)</f>
        <v>#N/A</v>
      </c>
      <c r="K367" s="74" t="str">
        <f>VLOOKUP(A367,'7月排产计划'!G185:G699,1,0)</f>
        <v>ID7.50R16-14PR(122/118L)[AZ601+]威狮</v>
      </c>
    </row>
    <row r="368" spans="1:11">
      <c r="A368" s="340" t="s">
        <v>650</v>
      </c>
      <c r="B368" s="417">
        <v>300</v>
      </c>
      <c r="C368" s="420" t="s">
        <v>317</v>
      </c>
      <c r="D368" s="74" t="str">
        <f t="shared" si="35"/>
        <v>16</v>
      </c>
      <c r="E368" s="426" t="str">
        <f>_xlfn.XLOOKUP(A368,'7月排产计划'!G:G,'7月排产计划'!B:B)</f>
        <v>亚</v>
      </c>
      <c r="F368" s="69" t="str">
        <f t="shared" si="36"/>
        <v>亚16寸</v>
      </c>
      <c r="G368" s="69" t="e">
        <f>VLOOKUP(A368,'7月排产计划'!G374:G888,1,0)</f>
        <v>#N/A</v>
      </c>
      <c r="H368" s="74" t="e">
        <f t="shared" si="37"/>
        <v>#N/A</v>
      </c>
      <c r="I368" s="69" t="e">
        <f>VLOOKUP(A368,[2]Sheet1!$C$3:$G$310,5,0)</f>
        <v>#N/A</v>
      </c>
      <c r="J368" s="74">
        <f>VLOOKUP(A368,[3]KCBB0101!$C$3:$F$691,4,0)</f>
        <v>5500</v>
      </c>
      <c r="K368" s="74" t="str">
        <f>VLOOKUP(A368,'7月排产计划'!G186:G700,1,0)</f>
        <v>ID7.50R16-14PR(122/118L)[CB981]ARISUN</v>
      </c>
    </row>
    <row r="369" spans="1:11">
      <c r="A369" s="340" t="s">
        <v>651</v>
      </c>
      <c r="B369" s="417">
        <v>320</v>
      </c>
      <c r="C369" s="420" t="s">
        <v>317</v>
      </c>
      <c r="D369" s="74" t="str">
        <f t="shared" ref="D369:D392" si="38">MID(A369,FIND("R",A369)+1,2)</f>
        <v>16</v>
      </c>
      <c r="E369" s="426" t="str">
        <f>_xlfn.XLOOKUP(A369,'7月排产计划'!G:G,'7月排产计划'!B:B)</f>
        <v>亚</v>
      </c>
      <c r="F369" s="69" t="str">
        <f t="shared" si="36"/>
        <v>亚16寸</v>
      </c>
      <c r="G369" s="69" t="e">
        <f>VLOOKUP(A369,'7月排产计划'!G375:G889,1,0)</f>
        <v>#N/A</v>
      </c>
      <c r="H369" s="74" t="e">
        <f t="shared" si="37"/>
        <v>#N/A</v>
      </c>
      <c r="I369" s="69" t="e">
        <f>VLOOKUP(A369,[2]Sheet1!$C$3:$G$310,5,0)</f>
        <v>#N/A</v>
      </c>
      <c r="J369" s="74">
        <f>VLOOKUP(A369,[3]KCBB0101!$C$3:$F$691,4,0)</f>
        <v>2170</v>
      </c>
      <c r="K369" s="74" t="str">
        <f>VLOOKUP(A369,'7月排产计划'!G187:G701,1,0)</f>
        <v>ID7.50R16-14PR(122/118L)[CM988]GOODRIDE(好运)</v>
      </c>
    </row>
    <row r="370" spans="1:11">
      <c r="A370" s="340" t="s">
        <v>652</v>
      </c>
      <c r="B370" s="417">
        <v>1300</v>
      </c>
      <c r="C370" s="420" t="s">
        <v>317</v>
      </c>
      <c r="D370" s="74" t="str">
        <f t="shared" si="38"/>
        <v>16</v>
      </c>
      <c r="E370" s="426" t="str">
        <f>_xlfn.XLOOKUP(A370,'7月排产计划'!G:G,'7月排产计划'!B:B)</f>
        <v>亚</v>
      </c>
      <c r="F370" s="69" t="str">
        <f t="shared" si="36"/>
        <v>亚16寸</v>
      </c>
      <c r="G370" s="69" t="e">
        <f>VLOOKUP(A370,'7月排产计划'!G376:G890,1,0)</f>
        <v>#N/A</v>
      </c>
      <c r="H370" s="74" t="e">
        <f t="shared" si="37"/>
        <v>#N/A</v>
      </c>
      <c r="I370" s="69">
        <f>VLOOKUP(A370,[2]Sheet1!$C$3:$G$310,5,0)</f>
        <v>5200</v>
      </c>
      <c r="J370" s="74" t="e">
        <f>VLOOKUP(A370,[3]KCBB0101!$C$3:$F$691,4,0)</f>
        <v>#N/A</v>
      </c>
      <c r="K370" s="74" t="str">
        <f>VLOOKUP(A370,'7月排产计划'!G188:G702,1,0)</f>
        <v>ID7.50R16-14PR(122/118L)[CM988]威狮</v>
      </c>
    </row>
    <row r="371" spans="1:11">
      <c r="A371" s="340" t="s">
        <v>653</v>
      </c>
      <c r="B371" s="417">
        <v>1600</v>
      </c>
      <c r="C371" s="420" t="s">
        <v>317</v>
      </c>
      <c r="D371" s="74" t="str">
        <f t="shared" si="38"/>
        <v>16</v>
      </c>
      <c r="E371" s="426" t="str">
        <f>_xlfn.XLOOKUP(A371,'7月排产计划'!G:G,'7月排产计划'!B:B)</f>
        <v>亚</v>
      </c>
      <c r="F371" s="69" t="str">
        <f t="shared" si="36"/>
        <v>亚16寸</v>
      </c>
      <c r="G371" s="69" t="e">
        <f>VLOOKUP(A371,'7月排产计划'!G377:G891,1,0)</f>
        <v>#N/A</v>
      </c>
      <c r="H371" s="74" t="e">
        <f t="shared" si="37"/>
        <v>#N/A</v>
      </c>
      <c r="I371" s="69" t="e">
        <f>VLOOKUP(A371,[2]Sheet1!$C$3:$G$310,5,0)</f>
        <v>#N/A</v>
      </c>
      <c r="J371" s="74">
        <f>VLOOKUP(A371,[3]KCBB0101!$C$3:$F$691,4,0)</f>
        <v>4620</v>
      </c>
      <c r="K371" s="74" t="str">
        <f>VLOOKUP(A371,'7月排产计划'!G189:G703,1,0)</f>
        <v>ID7.50R16-14PR(122/118L)[CR926]GOODRIDE(好运)</v>
      </c>
    </row>
    <row r="372" spans="1:11">
      <c r="A372" s="340" t="s">
        <v>654</v>
      </c>
      <c r="B372" s="417">
        <v>250</v>
      </c>
      <c r="C372" s="420" t="s">
        <v>317</v>
      </c>
      <c r="D372" s="74" t="str">
        <f t="shared" si="38"/>
        <v>16</v>
      </c>
      <c r="E372" s="426" t="str">
        <f>_xlfn.XLOOKUP(A372,'7月排产计划'!G:G,'7月排产计划'!B:B)</f>
        <v>亚</v>
      </c>
      <c r="F372" s="69" t="str">
        <f t="shared" si="36"/>
        <v>亚16寸</v>
      </c>
      <c r="G372" s="69" t="e">
        <f>VLOOKUP(A372,'7月排产计划'!G378:G892,1,0)</f>
        <v>#N/A</v>
      </c>
      <c r="H372" s="74" t="e">
        <f t="shared" si="37"/>
        <v>#N/A</v>
      </c>
      <c r="I372" s="69" t="e">
        <f>VLOOKUP(A372,[2]Sheet1!$C$3:$G$310,5,0)</f>
        <v>#N/A</v>
      </c>
      <c r="J372" s="74">
        <f>VLOOKUP(A372,[3]KCBB0101!$C$3:$F$691,4,0)</f>
        <v>8250</v>
      </c>
      <c r="K372" s="74" t="str">
        <f>VLOOKUP(A372,'7月排产计划'!G190:G704,1,0)</f>
        <v>ID7.50R16-14PR(122/118L)[CR926]朝阳</v>
      </c>
    </row>
    <row r="373" spans="1:11">
      <c r="A373" s="340" t="s">
        <v>655</v>
      </c>
      <c r="B373" s="417">
        <v>1300</v>
      </c>
      <c r="C373" s="420" t="s">
        <v>317</v>
      </c>
      <c r="D373" s="74" t="str">
        <f t="shared" si="38"/>
        <v>16</v>
      </c>
      <c r="E373" s="426" t="str">
        <f>_xlfn.XLOOKUP(A373,'7月排产计划'!G:G,'7月排产计划'!B:B)</f>
        <v>亚</v>
      </c>
      <c r="F373" s="69" t="str">
        <f t="shared" si="36"/>
        <v>亚16寸</v>
      </c>
      <c r="G373" s="69" t="e">
        <f>VLOOKUP(A373,'7月排产计划'!G379:G893,1,0)</f>
        <v>#N/A</v>
      </c>
      <c r="H373" s="74" t="e">
        <f t="shared" si="37"/>
        <v>#N/A</v>
      </c>
      <c r="I373" s="69">
        <f>VLOOKUP(A373,[2]Sheet1!$C$3:$G$310,5,0)</f>
        <v>1400</v>
      </c>
      <c r="J373" s="74" t="e">
        <f>VLOOKUP(A373,[3]KCBB0101!$C$3:$F$691,4,0)</f>
        <v>#N/A</v>
      </c>
      <c r="K373" s="74" t="str">
        <f>VLOOKUP(A373,'7月排产计划'!G191:G705,1,0)</f>
        <v>ID7.50R16-14PR(122/118L)[CR926]威狮</v>
      </c>
    </row>
    <row r="374" spans="1:11">
      <c r="A374" s="340" t="s">
        <v>656</v>
      </c>
      <c r="B374" s="417">
        <v>800</v>
      </c>
      <c r="C374" s="420" t="s">
        <v>317</v>
      </c>
      <c r="D374" s="74" t="str">
        <f t="shared" si="38"/>
        <v>16</v>
      </c>
      <c r="E374" s="426" t="str">
        <f>_xlfn.XLOOKUP(A374,'7月排产计划'!G:G,'7月排产计划'!B:B)</f>
        <v>亚</v>
      </c>
      <c r="F374" s="69" t="str">
        <f t="shared" si="36"/>
        <v>亚16寸</v>
      </c>
      <c r="G374" s="69" t="e">
        <f>VLOOKUP(A374,'7月排产计划'!G380:G894,1,0)</f>
        <v>#N/A</v>
      </c>
      <c r="H374" s="74" t="e">
        <f t="shared" si="37"/>
        <v>#N/A</v>
      </c>
      <c r="I374" s="69" t="e">
        <f>VLOOKUP(A374,[2]Sheet1!$C$3:$G$310,5,0)</f>
        <v>#N/A</v>
      </c>
      <c r="J374" s="74">
        <f>VLOOKUP(A374,[3]KCBB0101!$C$3:$F$691,4,0)</f>
        <v>3660</v>
      </c>
      <c r="K374" s="74" t="str">
        <f>VLOOKUP(A374,'7月排产计划'!G192:G706,1,0)</f>
        <v>ID7.50R16-14PR(122/118L)[EZ369]朝阳</v>
      </c>
    </row>
    <row r="375" spans="1:11">
      <c r="A375" s="340" t="s">
        <v>657</v>
      </c>
      <c r="B375" s="417">
        <v>1100</v>
      </c>
      <c r="C375" s="420" t="s">
        <v>317</v>
      </c>
      <c r="D375" s="74" t="str">
        <f t="shared" si="38"/>
        <v>16</v>
      </c>
      <c r="E375" s="426" t="str">
        <f>_xlfn.XLOOKUP(A375,'7月排产计划'!G:G,'7月排产计划'!B:B)</f>
        <v>亚</v>
      </c>
      <c r="F375" s="69" t="str">
        <f t="shared" si="36"/>
        <v>亚16寸</v>
      </c>
      <c r="G375" s="69" t="e">
        <f>VLOOKUP(A375,'7月排产计划'!G381:G895,1,0)</f>
        <v>#N/A</v>
      </c>
      <c r="H375" s="74" t="e">
        <f t="shared" si="37"/>
        <v>#N/A</v>
      </c>
      <c r="I375" s="69" t="e">
        <f>VLOOKUP(A375,[2]Sheet1!$C$3:$G$310,5,0)</f>
        <v>#N/A</v>
      </c>
      <c r="J375" s="74">
        <f>VLOOKUP(A375,[3]KCBB0101!$C$3:$F$691,4,0)</f>
        <v>5460</v>
      </c>
      <c r="K375" s="74" t="str">
        <f>VLOOKUP(A375,'7月排产计划'!G193:G707,1,0)</f>
        <v>ID7.50R16-14PR(122/118L)[EZ369]金冠</v>
      </c>
    </row>
    <row r="376" spans="1:11">
      <c r="A376" s="340" t="s">
        <v>658</v>
      </c>
      <c r="B376" s="417">
        <v>650</v>
      </c>
      <c r="C376" s="420" t="s">
        <v>317</v>
      </c>
      <c r="D376" s="74" t="str">
        <f t="shared" si="38"/>
        <v>16</v>
      </c>
      <c r="E376" s="426" t="str">
        <f>_xlfn.XLOOKUP(A376,'7月排产计划'!G:G,'7月排产计划'!B:B)</f>
        <v>亚</v>
      </c>
      <c r="F376" s="69" t="str">
        <f t="shared" si="36"/>
        <v>亚16寸</v>
      </c>
      <c r="G376" s="69" t="e">
        <f>VLOOKUP(A376,'7月排产计划'!G382:G896,1,0)</f>
        <v>#N/A</v>
      </c>
      <c r="H376" s="74" t="e">
        <f t="shared" si="37"/>
        <v>#N/A</v>
      </c>
      <c r="I376" s="69">
        <f>VLOOKUP(A376,[2]Sheet1!$C$3:$G$310,5,0)</f>
        <v>2000</v>
      </c>
      <c r="J376" s="74" t="e">
        <f>VLOOKUP(A376,[3]KCBB0101!$C$3:$F$691,4,0)</f>
        <v>#N/A</v>
      </c>
      <c r="K376" s="74" t="str">
        <f>VLOOKUP(A376,'7月排产计划'!G194:G708,1,0)</f>
        <v>ID7.50R16-14PR(122/118L)[FOLO.R109]EFFIPLUS</v>
      </c>
    </row>
    <row r="377" spans="1:11">
      <c r="A377" s="340" t="s">
        <v>659</v>
      </c>
      <c r="B377" s="417">
        <v>1400</v>
      </c>
      <c r="C377" s="420" t="s">
        <v>317</v>
      </c>
      <c r="D377" s="74" t="str">
        <f t="shared" si="38"/>
        <v>16</v>
      </c>
      <c r="E377" s="426" t="str">
        <f>_xlfn.XLOOKUP(A377,'7月排产计划'!G:G,'7月排产计划'!B:B)</f>
        <v>亚</v>
      </c>
      <c r="F377" s="69" t="str">
        <f t="shared" si="36"/>
        <v>亚16寸</v>
      </c>
      <c r="G377" s="69" t="e">
        <f>VLOOKUP(A377,'7月排产计划'!G383:G897,1,0)</f>
        <v>#N/A</v>
      </c>
      <c r="H377" s="74" t="e">
        <f t="shared" si="37"/>
        <v>#N/A</v>
      </c>
      <c r="I377" s="69">
        <f>VLOOKUP(A377,[2]Sheet1!$C$3:$G$310,5,0)</f>
        <v>17200</v>
      </c>
      <c r="J377" s="74" t="e">
        <f>VLOOKUP(A377,[3]KCBB0101!$C$3:$F$691,4,0)</f>
        <v>#N/A</v>
      </c>
      <c r="K377" s="74" t="str">
        <f>VLOOKUP(A377,'7月排产计划'!G195:G709,1,0)</f>
        <v>ID7.50R16-14PR(122/118L)[MOBY.R856X]EFFIPLUS</v>
      </c>
    </row>
    <row r="378" spans="1:11">
      <c r="A378" s="340" t="s">
        <v>660</v>
      </c>
      <c r="B378" s="417">
        <v>400</v>
      </c>
      <c r="C378" s="420" t="s">
        <v>317</v>
      </c>
      <c r="D378" s="74" t="str">
        <f t="shared" si="38"/>
        <v>16</v>
      </c>
      <c r="E378" s="426" t="str">
        <f>_xlfn.XLOOKUP(A378,'7月排产计划'!G:G,'7月排产计划'!B:B)</f>
        <v>亚</v>
      </c>
      <c r="F378" s="69" t="str">
        <f t="shared" si="36"/>
        <v>亚16寸</v>
      </c>
      <c r="G378" s="69" t="e">
        <f>VLOOKUP(A378,'7月排产计划'!G384:G898,1,0)</f>
        <v>#N/A</v>
      </c>
      <c r="H378" s="74" t="e">
        <f t="shared" si="37"/>
        <v>#N/A</v>
      </c>
      <c r="I378" s="69" t="e">
        <f>VLOOKUP(A378,[2]Sheet1!$C$3:$G$310,5,0)</f>
        <v>#N/A</v>
      </c>
      <c r="J378" s="74">
        <f>VLOOKUP(A378,[3]KCBB0101!$C$3:$F$691,4,0)</f>
        <v>3400</v>
      </c>
      <c r="K378" s="74" t="str">
        <f>VLOOKUP(A378,'7月排产计划'!G196:G710,1,0)</f>
        <v>ID7.50R16-14PR(122/118L)[MT200]UNITED</v>
      </c>
    </row>
    <row r="379" spans="1:11">
      <c r="A379" s="340" t="s">
        <v>52</v>
      </c>
      <c r="B379" s="417">
        <v>650</v>
      </c>
      <c r="C379" s="420" t="s">
        <v>317</v>
      </c>
      <c r="D379" s="74" t="str">
        <f t="shared" si="38"/>
        <v>16</v>
      </c>
      <c r="E379" s="426" t="str">
        <f>_xlfn.XLOOKUP(A379,'7月排产计划'!G:G,'7月排产计划'!B:B)</f>
        <v>亚</v>
      </c>
      <c r="F379" s="69" t="str">
        <f t="shared" si="36"/>
        <v>亚16寸</v>
      </c>
      <c r="G379" s="69" t="e">
        <f>VLOOKUP(A379,'7月排产计划'!G385:G899,1,0)</f>
        <v>#N/A</v>
      </c>
      <c r="H379" s="74" t="e">
        <f t="shared" si="37"/>
        <v>#N/A</v>
      </c>
      <c r="I379" s="69" t="e">
        <f>VLOOKUP(A379,[2]Sheet1!$C$3:$G$310,5,0)</f>
        <v>#N/A</v>
      </c>
      <c r="J379" s="74">
        <f>VLOOKUP(A379,[3]KCBB0101!$C$3:$F$691,4,0)</f>
        <v>1820</v>
      </c>
      <c r="K379" s="74" t="str">
        <f>VLOOKUP(A379,'7月排产计划'!G197:G711,1,0)</f>
        <v>ID7.50R16-14PR(122/118L)[TZ202]TIANLI</v>
      </c>
    </row>
    <row r="380" spans="1:11">
      <c r="A380" s="340" t="s">
        <v>661</v>
      </c>
      <c r="B380" s="417">
        <v>750</v>
      </c>
      <c r="C380" s="420" t="s">
        <v>317</v>
      </c>
      <c r="D380" s="74" t="str">
        <f t="shared" si="38"/>
        <v>16</v>
      </c>
      <c r="E380" s="426" t="str">
        <f>_xlfn.XLOOKUP(A380,'7月排产计划'!G:G,'7月排产计划'!B:B)</f>
        <v>亚</v>
      </c>
      <c r="F380" s="69" t="str">
        <f t="shared" si="36"/>
        <v>亚16寸</v>
      </c>
      <c r="G380" s="69" t="e">
        <f>VLOOKUP(A380,'7月排产计划'!G386:G900,1,0)</f>
        <v>#N/A</v>
      </c>
      <c r="H380" s="74" t="e">
        <f t="shared" si="37"/>
        <v>#N/A</v>
      </c>
      <c r="I380" s="69" t="e">
        <f>VLOOKUP(A380,[2]Sheet1!$C$3:$G$310,5,0)</f>
        <v>#N/A</v>
      </c>
      <c r="J380" s="74">
        <f>VLOOKUP(A380,[3]KCBB0101!$C$3:$F$691,4,0)</f>
        <v>4070</v>
      </c>
      <c r="K380" s="74" t="str">
        <f>VLOOKUP(A380,'7月排产计划'!G198:G712,1,0)</f>
        <v>ID7.50R16-14PR(122/118L)[TZ303]TIANLI</v>
      </c>
    </row>
    <row r="381" spans="1:11">
      <c r="A381" s="340" t="s">
        <v>662</v>
      </c>
      <c r="B381" s="417">
        <v>300</v>
      </c>
      <c r="C381" s="420" t="s">
        <v>317</v>
      </c>
      <c r="D381" s="74" t="str">
        <f t="shared" si="38"/>
        <v>16</v>
      </c>
      <c r="E381" s="426" t="str">
        <f>_xlfn.XLOOKUP(A381,'7月排产计划'!G:G,'7月排产计划'!B:B)</f>
        <v>亚</v>
      </c>
      <c r="F381" s="69" t="str">
        <f t="shared" si="36"/>
        <v>亚16寸</v>
      </c>
      <c r="G381" s="69" t="e">
        <f>VLOOKUP(A381,'7月排产计划'!G387:G901,1,0)</f>
        <v>#N/A</v>
      </c>
      <c r="H381" s="74" t="e">
        <f t="shared" si="37"/>
        <v>#N/A</v>
      </c>
      <c r="I381" s="69">
        <f>VLOOKUP(A381,[2]Sheet1!$C$3:$G$310,5,0)</f>
        <v>5200</v>
      </c>
      <c r="J381" s="74" t="e">
        <f>VLOOKUP(A381,[3]KCBB0101!$C$3:$F$691,4,0)</f>
        <v>#N/A</v>
      </c>
      <c r="K381" s="74" t="str">
        <f>VLOOKUP(A381,'7月排产计划'!G199:G713,1,0)</f>
        <v>ID8.25R16-16PR(128/124L)[CR926]威狮</v>
      </c>
    </row>
    <row r="382" spans="1:7">
      <c r="A382" s="340" t="s">
        <v>273</v>
      </c>
      <c r="B382" s="417">
        <v>300</v>
      </c>
      <c r="C382" s="420" t="s">
        <v>663</v>
      </c>
      <c r="D382" s="74" t="str">
        <f>MID(A382,FIND("R",A382)+1,2)</f>
        <v>15</v>
      </c>
      <c r="E382" s="426" t="s">
        <v>664</v>
      </c>
      <c r="F382" s="69" t="str">
        <f>E382&amp;D382&amp;"寸"</f>
        <v>半钢ST15寸</v>
      </c>
      <c r="G382" s="69" t="str">
        <f>VLOOKUP(A382,'7月排产计划'!G390:G904,1,0)</f>
        <v>IDST205/75R15-8PR[ST100]107/102M ARISUN无内</v>
      </c>
    </row>
    <row r="383" spans="1:7">
      <c r="A383" s="340" t="s">
        <v>267</v>
      </c>
      <c r="B383" s="417">
        <v>400</v>
      </c>
      <c r="C383" s="420" t="s">
        <v>663</v>
      </c>
      <c r="D383" s="74" t="str">
        <f>MID(A383,FIND("R",A383)+1,2)</f>
        <v>15</v>
      </c>
      <c r="E383" s="426" t="s">
        <v>664</v>
      </c>
      <c r="F383" s="69" t="str">
        <f>E383&amp;D383&amp;"寸"</f>
        <v>半钢ST15寸</v>
      </c>
      <c r="G383" s="69" t="str">
        <f>VLOOKUP(A383,'7月排产计划'!G392:G906,1,0)</f>
        <v>IDST225/75R15-10PR[ST100]117/112M ARISUN无内</v>
      </c>
    </row>
    <row r="384" spans="1:7">
      <c r="A384" s="340" t="s">
        <v>206</v>
      </c>
      <c r="B384" s="417">
        <v>5000</v>
      </c>
      <c r="C384" s="420" t="s">
        <v>465</v>
      </c>
      <c r="D384" s="74" t="str">
        <f>MID(A384,FIND("R",A384)+1,2)</f>
        <v>13</v>
      </c>
      <c r="E384" s="426" t="s">
        <v>664</v>
      </c>
      <c r="F384" s="69" t="str">
        <f>E384&amp;D384&amp;"寸"</f>
        <v>半钢ST13寸</v>
      </c>
      <c r="G384" s="69" t="str">
        <f>VLOOKUP(A384,'7月排产计划'!G393:G907,1,0)</f>
        <v>ID165/70R13PR[T-118]79T TRAZANO(全诺)无内</v>
      </c>
    </row>
    <row r="385" spans="1:7">
      <c r="A385" s="340" t="s">
        <v>232</v>
      </c>
      <c r="B385" s="417">
        <v>2000</v>
      </c>
      <c r="C385" s="420" t="s">
        <v>465</v>
      </c>
      <c r="D385" s="74" t="str">
        <f>MID(A385,FIND("R",A385)+1,2)</f>
        <v>14</v>
      </c>
      <c r="E385" s="426" t="s">
        <v>664</v>
      </c>
      <c r="F385" s="69" t="str">
        <f>E385&amp;D385&amp;"寸"</f>
        <v>半钢ST14寸</v>
      </c>
      <c r="G385" s="69" t="str">
        <f>VLOOKUP(A385,'7月排产计划'!G394:G908,1,0)</f>
        <v>ID165/70R14PR[T-118]81T TRAZANO(全诺)无内</v>
      </c>
    </row>
    <row r="386" spans="1:7">
      <c r="A386" s="340" t="s">
        <v>237</v>
      </c>
      <c r="B386" s="417">
        <v>3800</v>
      </c>
      <c r="C386" s="420" t="s">
        <v>465</v>
      </c>
      <c r="D386" s="74" t="str">
        <f>MID(A386,FIND("R",A386)+1,2)</f>
        <v>14</v>
      </c>
      <c r="E386" s="426" t="s">
        <v>664</v>
      </c>
      <c r="F386" s="69" t="str">
        <f>E386&amp;D386&amp;"寸"</f>
        <v>半钢ST14寸</v>
      </c>
      <c r="G386" s="69" t="str">
        <f>VLOOKUP(A386,'7月排产计划'!G395:G909,1,0)</f>
        <v>ID165/70R14PR[Z-108]81T 西湖无内</v>
      </c>
    </row>
    <row r="387" spans="1:7">
      <c r="A387" s="340" t="s">
        <v>227</v>
      </c>
      <c r="B387" s="417">
        <v>25000</v>
      </c>
      <c r="C387" s="420" t="s">
        <v>465</v>
      </c>
      <c r="D387" s="74" t="str">
        <f>MID(A387,FIND("R",A387)+1,2)</f>
        <v>14</v>
      </c>
      <c r="E387" s="426" t="s">
        <v>664</v>
      </c>
      <c r="F387" s="69" t="str">
        <f>E387&amp;D387&amp;"寸"</f>
        <v>半钢ST14寸</v>
      </c>
      <c r="G387" s="69" t="str">
        <f>VLOOKUP(A387,'7月排产计划'!G396:G910,1,0)</f>
        <v>ID175/65R14PR[T-118]82H TRAZANO(全诺)无内</v>
      </c>
    </row>
    <row r="388" spans="1:7">
      <c r="A388" s="340" t="s">
        <v>164</v>
      </c>
      <c r="B388" s="417">
        <v>17000</v>
      </c>
      <c r="C388" s="420" t="s">
        <v>465</v>
      </c>
      <c r="D388" s="74" t="str">
        <f>MID(A388,FIND("R",A388)+1,2)</f>
        <v>14</v>
      </c>
      <c r="E388" s="426" t="s">
        <v>664</v>
      </c>
      <c r="F388" s="69" t="str">
        <f>E388&amp;D388&amp;"寸"</f>
        <v>半钢ST14寸</v>
      </c>
      <c r="G388" s="69" t="str">
        <f>VLOOKUP(A388,'7月排产计划'!G397:G911,1,0)</f>
        <v>ID175/65R14PR[Z-108]82H 西湖无内</v>
      </c>
    </row>
    <row r="389" spans="1:7">
      <c r="A389" s="340" t="s">
        <v>217</v>
      </c>
      <c r="B389" s="417">
        <v>10000</v>
      </c>
      <c r="C389" s="420" t="s">
        <v>465</v>
      </c>
      <c r="D389" s="74" t="str">
        <f>MID(A389,FIND("R",A389)+1,2)</f>
        <v>13</v>
      </c>
      <c r="E389" s="426" t="s">
        <v>664</v>
      </c>
      <c r="F389" s="69" t="str">
        <f>E389&amp;D389&amp;"寸"</f>
        <v>半钢ST13寸</v>
      </c>
      <c r="G389" s="69" t="str">
        <f>VLOOKUP(A389,'7月排产计划'!G398:G912,1,0)</f>
        <v>ID175/70R13PR[T-118]82T TRAZANO(全诺)无内</v>
      </c>
    </row>
    <row r="390" spans="1:7">
      <c r="A390" s="340" t="s">
        <v>222</v>
      </c>
      <c r="B390" s="417">
        <v>6700</v>
      </c>
      <c r="C390" s="420" t="s">
        <v>465</v>
      </c>
      <c r="D390" s="74" t="str">
        <f t="shared" ref="D390:D401" si="39">MID(A390,FIND("R",A390)+1,2)</f>
        <v>13</v>
      </c>
      <c r="E390" s="426" t="s">
        <v>664</v>
      </c>
      <c r="F390" s="69" t="str">
        <f t="shared" ref="F390:F404" si="40">E390&amp;D390&amp;"寸"</f>
        <v>半钢ST13寸</v>
      </c>
      <c r="G390" s="69" t="str">
        <f>VLOOKUP(A390,'7月排产计划'!G399:G913,1,0)</f>
        <v>ID175/70R13PR[Z-108]82T 西湖无内</v>
      </c>
    </row>
    <row r="391" spans="1:7">
      <c r="A391" s="340" t="s">
        <v>257</v>
      </c>
      <c r="B391" s="417">
        <v>25000</v>
      </c>
      <c r="C391" s="420" t="s">
        <v>465</v>
      </c>
      <c r="D391" s="74" t="str">
        <f t="shared" si="39"/>
        <v>14</v>
      </c>
      <c r="E391" s="426" t="s">
        <v>664</v>
      </c>
      <c r="F391" s="69" t="str">
        <f t="shared" si="40"/>
        <v>半钢ST14寸</v>
      </c>
      <c r="G391" s="69" t="str">
        <f>VLOOKUP(A391,'7月排产计划'!G400:G914,1,0)</f>
        <v>ID175/70R14PR[T-118]84T TRAZANO(全诺)无内</v>
      </c>
    </row>
    <row r="392" spans="1:7">
      <c r="A392" s="340" t="s">
        <v>174</v>
      </c>
      <c r="B392" s="417">
        <v>27000</v>
      </c>
      <c r="C392" s="420" t="s">
        <v>465</v>
      </c>
      <c r="D392" s="74" t="str">
        <f t="shared" si="39"/>
        <v>14</v>
      </c>
      <c r="E392" s="426" t="s">
        <v>664</v>
      </c>
      <c r="F392" s="69" t="str">
        <f t="shared" si="40"/>
        <v>半钢ST14寸</v>
      </c>
      <c r="G392" s="69" t="str">
        <f>VLOOKUP(A392,'7月排产计划'!G401:G915,1,0)</f>
        <v>ID175/70R14PR[Z-108]84T 西湖无内</v>
      </c>
    </row>
    <row r="393" spans="1:7">
      <c r="A393" s="340" t="s">
        <v>242</v>
      </c>
      <c r="B393" s="417">
        <v>2000</v>
      </c>
      <c r="C393" s="420" t="s">
        <v>465</v>
      </c>
      <c r="D393" s="74" t="str">
        <f t="shared" si="39"/>
        <v>14</v>
      </c>
      <c r="E393" s="426" t="s">
        <v>664</v>
      </c>
      <c r="F393" s="69" t="str">
        <f t="shared" si="40"/>
        <v>半钢ST14寸</v>
      </c>
      <c r="G393" s="69" t="str">
        <f>VLOOKUP(A393,'7月排产计划'!G402:G916,1,0)</f>
        <v>ID185/65R14PR[T-118]86H TRAZANO(全诺)无内</v>
      </c>
    </row>
    <row r="394" spans="1:7">
      <c r="A394" s="340" t="s">
        <v>247</v>
      </c>
      <c r="B394" s="417">
        <v>1700</v>
      </c>
      <c r="C394" s="420" t="s">
        <v>465</v>
      </c>
      <c r="D394" s="74" t="str">
        <f t="shared" si="39"/>
        <v>14</v>
      </c>
      <c r="E394" s="426" t="s">
        <v>664</v>
      </c>
      <c r="F394" s="69" t="str">
        <f t="shared" si="40"/>
        <v>半钢ST14寸</v>
      </c>
      <c r="G394" s="69" t="str">
        <f>VLOOKUP(A394,'7月排产计划'!G403:G917,1,0)</f>
        <v>ID185/65R14PR[Z-108]86H 西湖无内</v>
      </c>
    </row>
    <row r="395" spans="1:7">
      <c r="A395" s="340" t="s">
        <v>252</v>
      </c>
      <c r="B395" s="417">
        <v>10000</v>
      </c>
      <c r="C395" s="420" t="s">
        <v>465</v>
      </c>
      <c r="D395" s="74" t="str">
        <f t="shared" si="39"/>
        <v>14</v>
      </c>
      <c r="E395" s="426" t="s">
        <v>664</v>
      </c>
      <c r="F395" s="69" t="str">
        <f t="shared" si="40"/>
        <v>半钢ST14寸</v>
      </c>
      <c r="G395" s="69" t="str">
        <f>VLOOKUP(A395,'7月排产计划'!G404:G918,1,0)</f>
        <v>ID185/70R14PR[T-118]88T TRAZANO(全诺)无内</v>
      </c>
    </row>
    <row r="396" spans="1:7">
      <c r="A396" s="340" t="s">
        <v>170</v>
      </c>
      <c r="B396" s="417">
        <v>8000</v>
      </c>
      <c r="C396" s="420" t="s">
        <v>465</v>
      </c>
      <c r="D396" s="74" t="str">
        <f t="shared" si="39"/>
        <v>14</v>
      </c>
      <c r="E396" s="426" t="s">
        <v>664</v>
      </c>
      <c r="F396" s="69" t="str">
        <f t="shared" si="40"/>
        <v>半钢ST14寸</v>
      </c>
      <c r="G396" s="69" t="str">
        <f>VLOOKUP(A396,'7月排产计划'!G405:G919,1,0)</f>
        <v>ID185/70R14PR[Z-108]88T 西湖无内</v>
      </c>
    </row>
    <row r="397" spans="1:7">
      <c r="A397" s="340"/>
      <c r="B397" s="417">
        <f>SUM(B382:B396)</f>
        <v>143900</v>
      </c>
      <c r="C397" s="420"/>
      <c r="E397" s="426"/>
      <c r="G397" s="426"/>
    </row>
    <row r="398" spans="1:7">
      <c r="A398" s="340"/>
      <c r="B398" s="417"/>
      <c r="C398" s="420"/>
      <c r="E398" s="426"/>
      <c r="G398" s="426"/>
    </row>
    <row r="399" spans="1:7">
      <c r="A399" s="340"/>
      <c r="B399" s="417"/>
      <c r="C399" s="420"/>
      <c r="E399" s="426"/>
      <c r="G399" s="426"/>
    </row>
    <row r="400" spans="1:7">
      <c r="A400" s="340"/>
      <c r="B400" s="417"/>
      <c r="C400" s="420"/>
      <c r="E400" s="426"/>
      <c r="G400" s="426"/>
    </row>
    <row r="401" spans="1:7">
      <c r="A401" s="340"/>
      <c r="B401" s="417"/>
      <c r="C401" s="420"/>
      <c r="E401" s="426"/>
      <c r="G401" s="426"/>
    </row>
    <row r="402" spans="1:7">
      <c r="A402" s="340"/>
      <c r="B402" s="417"/>
      <c r="C402" s="420"/>
      <c r="E402" s="426"/>
      <c r="G402" s="426"/>
    </row>
    <row r="403" spans="1:7">
      <c r="A403" s="340"/>
      <c r="B403" s="417"/>
      <c r="C403" s="420"/>
      <c r="E403" s="426"/>
      <c r="G403" s="426"/>
    </row>
    <row r="404" spans="1:7">
      <c r="A404" s="340"/>
      <c r="B404" s="417"/>
      <c r="C404" s="420"/>
      <c r="E404" s="426"/>
      <c r="G404" s="426"/>
    </row>
    <row r="405" spans="1:7">
      <c r="A405" s="340"/>
      <c r="B405" s="417"/>
      <c r="C405" s="420"/>
      <c r="E405" s="426"/>
      <c r="G405" s="426"/>
    </row>
    <row r="406" spans="1:7">
      <c r="A406" s="340"/>
      <c r="B406" s="417"/>
      <c r="C406" s="420"/>
      <c r="E406" s="426"/>
      <c r="G406" s="426"/>
    </row>
    <row r="407" spans="1:7">
      <c r="A407" s="340"/>
      <c r="B407" s="417"/>
      <c r="C407" s="420"/>
      <c r="E407" s="426"/>
      <c r="G407" s="426"/>
    </row>
    <row r="408" spans="1:7">
      <c r="A408" s="340"/>
      <c r="B408" s="417"/>
      <c r="C408" s="420"/>
      <c r="E408" s="426"/>
      <c r="G408" s="426"/>
    </row>
    <row r="409" spans="1:7">
      <c r="A409" s="340"/>
      <c r="B409" s="417"/>
      <c r="C409" s="420"/>
      <c r="E409" s="426"/>
      <c r="G409" s="426"/>
    </row>
    <row r="410" spans="1:7">
      <c r="A410" s="340"/>
      <c r="B410" s="417"/>
      <c r="C410" s="420"/>
      <c r="E410" s="426"/>
      <c r="G410" s="426"/>
    </row>
    <row r="411" spans="1:7">
      <c r="A411" s="340"/>
      <c r="B411" s="417"/>
      <c r="C411" s="420"/>
      <c r="E411" s="426"/>
      <c r="G411" s="426"/>
    </row>
    <row r="412" spans="1:7">
      <c r="A412" s="340"/>
      <c r="B412" s="417"/>
      <c r="C412" s="420"/>
      <c r="E412" s="426"/>
      <c r="G412" s="426"/>
    </row>
    <row r="413" spans="1:7">
      <c r="A413" s="340"/>
      <c r="B413" s="417"/>
      <c r="C413" s="420"/>
      <c r="E413" s="426"/>
      <c r="G413" s="426"/>
    </row>
    <row r="414" spans="1:7">
      <c r="A414" s="340"/>
      <c r="B414" s="417"/>
      <c r="C414" s="420"/>
      <c r="E414" s="426"/>
      <c r="G414" s="426"/>
    </row>
    <row r="415" spans="1:7">
      <c r="A415" s="340"/>
      <c r="B415" s="417"/>
      <c r="C415" s="420"/>
      <c r="E415" s="426"/>
      <c r="G415" s="426"/>
    </row>
    <row r="416" spans="1:7">
      <c r="A416" s="340"/>
      <c r="B416" s="417"/>
      <c r="C416" s="420"/>
      <c r="E416" s="426"/>
      <c r="G416" s="426"/>
    </row>
    <row r="417" spans="1:7">
      <c r="A417" s="340"/>
      <c r="B417" s="417"/>
      <c r="C417" s="420"/>
      <c r="E417" s="426"/>
      <c r="G417" s="426"/>
    </row>
    <row r="418" spans="1:7">
      <c r="A418" s="340"/>
      <c r="B418" s="417"/>
      <c r="C418" s="420"/>
      <c r="E418" s="426"/>
      <c r="G418" s="426"/>
    </row>
    <row r="419" spans="1:7">
      <c r="A419" s="340"/>
      <c r="B419" s="417"/>
      <c r="C419" s="420"/>
      <c r="E419" s="426"/>
      <c r="G419" s="426"/>
    </row>
    <row r="420" spans="1:7">
      <c r="A420" s="340"/>
      <c r="B420" s="417"/>
      <c r="C420" s="420"/>
      <c r="E420" s="426"/>
      <c r="G420" s="426"/>
    </row>
    <row r="421" spans="1:7">
      <c r="A421" s="340"/>
      <c r="B421" s="417"/>
      <c r="C421" s="420"/>
      <c r="E421" s="426"/>
      <c r="G421" s="426"/>
    </row>
    <row r="422" spans="1:7">
      <c r="A422" s="340"/>
      <c r="B422" s="417"/>
      <c r="C422" s="420"/>
      <c r="E422" s="426"/>
      <c r="G422" s="426"/>
    </row>
    <row r="424" spans="1:3">
      <c r="A424" s="408" t="s">
        <v>628</v>
      </c>
      <c r="C424" s="410" t="s">
        <v>317</v>
      </c>
    </row>
    <row r="425" spans="1:3">
      <c r="A425" s="408" t="s">
        <v>642</v>
      </c>
      <c r="C425" s="410" t="s">
        <v>317</v>
      </c>
    </row>
    <row r="426" spans="1:3">
      <c r="A426" s="408" t="s">
        <v>652</v>
      </c>
      <c r="C426" s="410" t="s">
        <v>317</v>
      </c>
    </row>
    <row r="427" spans="1:3">
      <c r="A427" s="408" t="s">
        <v>610</v>
      </c>
      <c r="C427" s="410" t="s">
        <v>317</v>
      </c>
    </row>
    <row r="428" spans="1:3">
      <c r="A428" s="408" t="s">
        <v>618</v>
      </c>
      <c r="C428" s="410" t="s">
        <v>317</v>
      </c>
    </row>
    <row r="429" spans="1:3">
      <c r="A429" s="408" t="s">
        <v>665</v>
      </c>
      <c r="C429" s="410" t="s">
        <v>314</v>
      </c>
    </row>
    <row r="430" spans="1:3">
      <c r="A430" s="408" t="s">
        <v>49</v>
      </c>
      <c r="C430" s="410" t="s">
        <v>317</v>
      </c>
    </row>
    <row r="431" spans="1:3">
      <c r="A431" s="408" t="s">
        <v>39</v>
      </c>
      <c r="C431" s="410" t="s">
        <v>317</v>
      </c>
    </row>
    <row r="432" spans="1:3">
      <c r="A432" s="408" t="s">
        <v>69</v>
      </c>
      <c r="C432" s="410" t="s">
        <v>317</v>
      </c>
    </row>
    <row r="433" spans="1:3">
      <c r="A433" s="408" t="s">
        <v>75</v>
      </c>
      <c r="C433" s="410" t="s">
        <v>317</v>
      </c>
    </row>
  </sheetData>
  <autoFilter xmlns:etc="http://www.wps.cn/officeDocument/2017/etCustomData" ref="A1:K397" etc:filterBottomFollowUsedRange="0">
    <extLst/>
  </autoFilter>
  <mergeCells count="1">
    <mergeCell ref="J54:J55"/>
  </mergeCells>
  <conditionalFormatting sqref="A341">
    <cfRule type="duplicateValues" dxfId="3" priority="87"/>
  </conditionalFormatting>
  <conditionalFormatting sqref="A342">
    <cfRule type="duplicateValues" dxfId="3" priority="86"/>
  </conditionalFormatting>
  <conditionalFormatting sqref="A343">
    <cfRule type="duplicateValues" dxfId="3" priority="85"/>
  </conditionalFormatting>
  <conditionalFormatting sqref="A344">
    <cfRule type="duplicateValues" dxfId="3" priority="84"/>
  </conditionalFormatting>
  <conditionalFormatting sqref="A345">
    <cfRule type="duplicateValues" dxfId="3" priority="83"/>
  </conditionalFormatting>
  <conditionalFormatting sqref="A346">
    <cfRule type="duplicateValues" dxfId="3" priority="82"/>
  </conditionalFormatting>
  <conditionalFormatting sqref="A347">
    <cfRule type="duplicateValues" dxfId="3" priority="81"/>
  </conditionalFormatting>
  <conditionalFormatting sqref="A348">
    <cfRule type="duplicateValues" dxfId="3" priority="80"/>
  </conditionalFormatting>
  <conditionalFormatting sqref="A349">
    <cfRule type="duplicateValues" dxfId="3" priority="79"/>
  </conditionalFormatting>
  <conditionalFormatting sqref="A350">
    <cfRule type="duplicateValues" dxfId="3" priority="78"/>
  </conditionalFormatting>
  <conditionalFormatting sqref="A351">
    <cfRule type="duplicateValues" dxfId="3" priority="77"/>
  </conditionalFormatting>
  <conditionalFormatting sqref="A352">
    <cfRule type="duplicateValues" dxfId="3" priority="76"/>
  </conditionalFormatting>
  <conditionalFormatting sqref="A353">
    <cfRule type="duplicateValues" dxfId="3" priority="75"/>
  </conditionalFormatting>
  <conditionalFormatting sqref="A354">
    <cfRule type="duplicateValues" dxfId="3" priority="74"/>
  </conditionalFormatting>
  <conditionalFormatting sqref="A355">
    <cfRule type="duplicateValues" dxfId="3" priority="73"/>
  </conditionalFormatting>
  <conditionalFormatting sqref="A356">
    <cfRule type="duplicateValues" dxfId="3" priority="72"/>
  </conditionalFormatting>
  <conditionalFormatting sqref="A357">
    <cfRule type="duplicateValues" dxfId="3" priority="71"/>
  </conditionalFormatting>
  <conditionalFormatting sqref="A358">
    <cfRule type="duplicateValues" dxfId="3" priority="70"/>
  </conditionalFormatting>
  <conditionalFormatting sqref="A359">
    <cfRule type="duplicateValues" dxfId="3" priority="69"/>
  </conditionalFormatting>
  <conditionalFormatting sqref="A360">
    <cfRule type="duplicateValues" dxfId="3" priority="68"/>
  </conditionalFormatting>
  <conditionalFormatting sqref="A361">
    <cfRule type="duplicateValues" dxfId="3" priority="67"/>
  </conditionalFormatting>
  <conditionalFormatting sqref="A362">
    <cfRule type="duplicateValues" dxfId="3" priority="66"/>
  </conditionalFormatting>
  <conditionalFormatting sqref="A363">
    <cfRule type="duplicateValues" dxfId="3" priority="65"/>
  </conditionalFormatting>
  <conditionalFormatting sqref="A364">
    <cfRule type="duplicateValues" dxfId="3" priority="64"/>
  </conditionalFormatting>
  <conditionalFormatting sqref="A365">
    <cfRule type="duplicateValues" dxfId="3" priority="63"/>
  </conditionalFormatting>
  <conditionalFormatting sqref="A366">
    <cfRule type="duplicateValues" dxfId="3" priority="62"/>
  </conditionalFormatting>
  <conditionalFormatting sqref="A367">
    <cfRule type="duplicateValues" dxfId="3" priority="61"/>
  </conditionalFormatting>
  <conditionalFormatting sqref="A368">
    <cfRule type="duplicateValues" dxfId="3" priority="60"/>
  </conditionalFormatting>
  <conditionalFormatting sqref="A369">
    <cfRule type="duplicateValues" dxfId="3" priority="59"/>
  </conditionalFormatting>
  <conditionalFormatting sqref="A370">
    <cfRule type="duplicateValues" dxfId="3" priority="58"/>
  </conditionalFormatting>
  <conditionalFormatting sqref="A371">
    <cfRule type="duplicateValues" dxfId="3" priority="57"/>
  </conditionalFormatting>
  <conditionalFormatting sqref="A372">
    <cfRule type="duplicateValues" dxfId="3" priority="56"/>
  </conditionalFormatting>
  <conditionalFormatting sqref="A373">
    <cfRule type="duplicateValues" dxfId="3" priority="55"/>
  </conditionalFormatting>
  <conditionalFormatting sqref="A374">
    <cfRule type="duplicateValues" dxfId="3" priority="54"/>
  </conditionalFormatting>
  <conditionalFormatting sqref="A375">
    <cfRule type="duplicateValues" dxfId="3" priority="53"/>
  </conditionalFormatting>
  <conditionalFormatting sqref="A376">
    <cfRule type="duplicateValues" dxfId="3" priority="52"/>
  </conditionalFormatting>
  <conditionalFormatting sqref="A377">
    <cfRule type="duplicateValues" dxfId="3" priority="51"/>
  </conditionalFormatting>
  <conditionalFormatting sqref="A378">
    <cfRule type="duplicateValues" dxfId="3" priority="50"/>
  </conditionalFormatting>
  <conditionalFormatting sqref="A379">
    <cfRule type="duplicateValues" dxfId="3" priority="49"/>
  </conditionalFormatting>
  <conditionalFormatting sqref="A380">
    <cfRule type="duplicateValues" dxfId="3" priority="48"/>
  </conditionalFormatting>
  <conditionalFormatting sqref="A381">
    <cfRule type="duplicateValues" dxfId="3" priority="47"/>
  </conditionalFormatting>
  <conditionalFormatting sqref="A382">
    <cfRule type="duplicateValues" dxfId="3" priority="44"/>
  </conditionalFormatting>
  <conditionalFormatting sqref="A383">
    <cfRule type="duplicateValues" dxfId="3" priority="42"/>
  </conditionalFormatting>
  <conditionalFormatting sqref="A384">
    <cfRule type="duplicateValues" dxfId="3" priority="41"/>
  </conditionalFormatting>
  <conditionalFormatting sqref="A385">
    <cfRule type="duplicateValues" dxfId="3" priority="40"/>
  </conditionalFormatting>
  <conditionalFormatting sqref="A386">
    <cfRule type="duplicateValues" dxfId="3" priority="39"/>
  </conditionalFormatting>
  <conditionalFormatting sqref="A387">
    <cfRule type="duplicateValues" dxfId="3" priority="38"/>
  </conditionalFormatting>
  <conditionalFormatting sqref="A388">
    <cfRule type="duplicateValues" dxfId="3" priority="37"/>
  </conditionalFormatting>
  <conditionalFormatting sqref="A389">
    <cfRule type="duplicateValues" dxfId="3" priority="34"/>
  </conditionalFormatting>
  <conditionalFormatting sqref="A390">
    <cfRule type="duplicateValues" dxfId="3" priority="33"/>
  </conditionalFormatting>
  <conditionalFormatting sqref="A391">
    <cfRule type="duplicateValues" dxfId="3" priority="32"/>
  </conditionalFormatting>
  <conditionalFormatting sqref="A392">
    <cfRule type="duplicateValues" dxfId="3" priority="31"/>
  </conditionalFormatting>
  <conditionalFormatting sqref="A393">
    <cfRule type="duplicateValues" dxfId="3" priority="30"/>
  </conditionalFormatting>
  <conditionalFormatting sqref="A394">
    <cfRule type="duplicateValues" dxfId="3" priority="29"/>
  </conditionalFormatting>
  <conditionalFormatting sqref="A395">
    <cfRule type="duplicateValues" dxfId="3" priority="28"/>
  </conditionalFormatting>
  <conditionalFormatting sqref="A396">
    <cfRule type="duplicateValues" dxfId="3" priority="27"/>
  </conditionalFormatting>
  <conditionalFormatting sqref="A397">
    <cfRule type="duplicateValues" dxfId="3" priority="26"/>
  </conditionalFormatting>
  <conditionalFormatting sqref="A398">
    <cfRule type="duplicateValues" dxfId="3" priority="25"/>
  </conditionalFormatting>
  <conditionalFormatting sqref="A399">
    <cfRule type="duplicateValues" dxfId="3" priority="24"/>
  </conditionalFormatting>
  <conditionalFormatting sqref="A400">
    <cfRule type="duplicateValues" dxfId="3" priority="23"/>
  </conditionalFormatting>
  <conditionalFormatting sqref="A401">
    <cfRule type="duplicateValues" dxfId="3" priority="22"/>
  </conditionalFormatting>
  <conditionalFormatting sqref="A402">
    <cfRule type="duplicateValues" dxfId="3" priority="21"/>
  </conditionalFormatting>
  <conditionalFormatting sqref="A403">
    <cfRule type="duplicateValues" dxfId="3" priority="20"/>
  </conditionalFormatting>
  <conditionalFormatting sqref="A404">
    <cfRule type="duplicateValues" dxfId="3" priority="19"/>
  </conditionalFormatting>
  <conditionalFormatting sqref="A405">
    <cfRule type="duplicateValues" dxfId="3" priority="18"/>
  </conditionalFormatting>
  <conditionalFormatting sqref="A406">
    <cfRule type="duplicateValues" dxfId="3" priority="17"/>
  </conditionalFormatting>
  <conditionalFormatting sqref="A407">
    <cfRule type="duplicateValues" dxfId="3" priority="16"/>
  </conditionalFormatting>
  <conditionalFormatting sqref="A408">
    <cfRule type="duplicateValues" dxfId="3" priority="15"/>
  </conditionalFormatting>
  <conditionalFormatting sqref="A409">
    <cfRule type="duplicateValues" dxfId="3" priority="14"/>
  </conditionalFormatting>
  <conditionalFormatting sqref="A410">
    <cfRule type="duplicateValues" dxfId="3" priority="13"/>
  </conditionalFormatting>
  <conditionalFormatting sqref="A411">
    <cfRule type="duplicateValues" dxfId="3" priority="12"/>
  </conditionalFormatting>
  <conditionalFormatting sqref="A412">
    <cfRule type="duplicateValues" dxfId="3" priority="11"/>
  </conditionalFormatting>
  <conditionalFormatting sqref="A413">
    <cfRule type="duplicateValues" dxfId="3" priority="10"/>
  </conditionalFormatting>
  <conditionalFormatting sqref="A414">
    <cfRule type="duplicateValues" dxfId="3" priority="9"/>
  </conditionalFormatting>
  <conditionalFormatting sqref="A415">
    <cfRule type="duplicateValues" dxfId="3" priority="8"/>
  </conditionalFormatting>
  <conditionalFormatting sqref="A416">
    <cfRule type="duplicateValues" dxfId="3" priority="7"/>
  </conditionalFormatting>
  <conditionalFormatting sqref="A417">
    <cfRule type="duplicateValues" dxfId="3" priority="6"/>
  </conditionalFormatting>
  <conditionalFormatting sqref="A418">
    <cfRule type="duplicateValues" dxfId="3" priority="5"/>
  </conditionalFormatting>
  <conditionalFormatting sqref="A419">
    <cfRule type="duplicateValues" dxfId="3" priority="4"/>
  </conditionalFormatting>
  <conditionalFormatting sqref="A420">
    <cfRule type="duplicateValues" dxfId="3" priority="3"/>
  </conditionalFormatting>
  <conditionalFormatting sqref="A421">
    <cfRule type="duplicateValues" dxfId="3" priority="2"/>
  </conditionalFormatting>
  <conditionalFormatting sqref="A422">
    <cfRule type="duplicateValues" dxfId="3" priority="1"/>
  </conditionalFormatting>
  <conditionalFormatting sqref="A339:A340">
    <cfRule type="duplicateValues" dxfId="3" priority="88"/>
  </conditionalFormatting>
  <pageMargins left="0.75" right="0.75" top="1" bottom="1" header="0.5" footer="0.5"/>
  <pageSetup paperSize="9" scale="11" orientation="portrait" horizontalDpi="300" verticalDpi="300"/>
  <headerFooter alignWithMargins="0"/>
  <ignoredErrors>
    <ignoredError sqref="D56:F56 F57:F86 D1:F1 P1:P38 P40:P162 E3:F23 F24:F26 P164:P264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>
    <pageSetUpPr fitToPage="1"/>
  </sheetPr>
  <dimension ref="A1:DK580"/>
  <sheetViews>
    <sheetView workbookViewId="0">
      <pane xSplit="17" ySplit="2" topLeftCell="R464" activePane="bottomRight" state="frozen"/>
      <selection/>
      <selection pane="topRight"/>
      <selection pane="bottomLeft"/>
      <selection pane="bottomRight" activeCell="G473" sqref="G473"/>
    </sheetView>
  </sheetViews>
  <sheetFormatPr defaultColWidth="8.796875" defaultRowHeight="16.8"/>
  <cols>
    <col min="1" max="1" width="1.625" style="330" customWidth="1"/>
    <col min="2" max="2" width="10.6015625" style="331" hidden="1" customWidth="1"/>
    <col min="3" max="3" width="5.703125" style="331" hidden="1" customWidth="1"/>
    <col min="4" max="4" width="11.7578125" style="331" hidden="1" customWidth="1"/>
    <col min="5" max="5" width="28.6015625" style="332" hidden="1" customWidth="1"/>
    <col min="6" max="6" width="53.9296875" style="332" hidden="1" customWidth="1"/>
    <col min="7" max="7" width="56.7734375" style="332" customWidth="1"/>
    <col min="8" max="9" width="8.703125" style="331" hidden="1" customWidth="1"/>
    <col min="10" max="10" width="36.5859375" style="331" hidden="1" customWidth="1"/>
    <col min="11" max="11" width="9.8984375" style="331" hidden="1" customWidth="1"/>
    <col min="12" max="13" width="8.1171875" style="331" hidden="1" customWidth="1"/>
    <col min="14" max="14" width="9.8984375" style="331" hidden="1" customWidth="1"/>
    <col min="15" max="15" width="7.765625" style="331" hidden="1" customWidth="1"/>
    <col min="16" max="17" width="7.875" style="331" hidden="1" customWidth="1"/>
    <col min="18" max="18" width="6.578125" style="331" hidden="1" customWidth="1"/>
    <col min="19" max="28" width="6.5" style="330" hidden="1" customWidth="1"/>
    <col min="29" max="29" width="6.9296875" style="330" hidden="1" customWidth="1"/>
    <col min="30" max="48" width="6.5" style="330" hidden="1" customWidth="1"/>
    <col min="49" max="49" width="11.5234375" style="330" customWidth="1"/>
    <col min="50" max="50" width="11.6640625" style="330" hidden="1" customWidth="1"/>
    <col min="51" max="51" width="10.6015625" style="330" hidden="1" customWidth="1"/>
    <col min="52" max="52" width="9.6015625" style="258" hidden="1" customWidth="1"/>
    <col min="53" max="53" width="8.703125" style="258" hidden="1" customWidth="1"/>
    <col min="54" max="54" width="8.1015625" style="258" hidden="1" customWidth="1"/>
    <col min="55" max="55" width="8.703125" style="330" hidden="1" customWidth="1"/>
    <col min="56" max="56" width="8.1015625" style="330" hidden="1" customWidth="1"/>
    <col min="57" max="58" width="11.5" style="330" hidden="1" customWidth="1"/>
    <col min="59" max="59" width="10.5" style="330" hidden="1" customWidth="1"/>
    <col min="60" max="60" width="11.5" style="330" hidden="1" customWidth="1"/>
    <col min="61" max="61" width="3.3984375" style="330" hidden="1" customWidth="1"/>
    <col min="62" max="63" width="10.5" style="330" hidden="1" customWidth="1"/>
    <col min="64" max="64" width="11.5" style="330" hidden="1" customWidth="1"/>
    <col min="65" max="65" width="8.1015625" style="330" hidden="1" customWidth="1"/>
    <col min="66" max="70" width="8.796875" style="258" hidden="1" customWidth="1"/>
    <col min="71" max="71" width="8.796875" style="115" hidden="1" customWidth="1"/>
    <col min="72" max="81" width="8.796875" style="258" hidden="1" customWidth="1"/>
    <col min="82" max="82" width="9.5703125" style="113" hidden="1" customWidth="1"/>
    <col min="83" max="83" width="10.5" style="258" hidden="1" customWidth="1"/>
    <col min="84" max="87" width="8.796875" style="258" hidden="1" customWidth="1"/>
    <col min="88" max="88" width="8.5703125" style="113" hidden="1" customWidth="1"/>
    <col min="89" max="89" width="11.6015625" style="258" hidden="1" customWidth="1"/>
    <col min="90" max="93" width="12.796875" style="258" hidden="1" customWidth="1"/>
    <col min="94" max="94" width="8.796875" style="258" hidden="1" customWidth="1"/>
    <col min="95" max="95" width="12.796875" style="258" hidden="1" customWidth="1"/>
    <col min="96" max="16384" width="8.796875" style="258"/>
  </cols>
  <sheetData>
    <row r="1" spans="7:57">
      <c r="G1" s="332" t="s">
        <v>666</v>
      </c>
      <c r="I1" s="331" cm="1">
        <f t="array" ref="I1">SUM((I3:I376)/2)</f>
        <v>142</v>
      </c>
      <c r="L1" s="331">
        <v>350</v>
      </c>
      <c r="M1" s="348"/>
      <c r="Q1" s="331">
        <f>SUM(Q3:Q375)</f>
        <v>8999</v>
      </c>
      <c r="AZ1" s="225" t="s">
        <v>667</v>
      </c>
      <c r="BA1" s="113"/>
      <c r="BB1" s="113"/>
      <c r="BC1" s="285"/>
      <c r="BE1" s="330" t="s">
        <v>668</v>
      </c>
    </row>
    <row r="2" ht="36" spans="2:81">
      <c r="B2" s="333" t="s">
        <v>669</v>
      </c>
      <c r="C2" s="333" t="s">
        <v>670</v>
      </c>
      <c r="D2" s="333"/>
      <c r="E2" s="336" t="s">
        <v>671</v>
      </c>
      <c r="F2" s="336"/>
      <c r="G2" s="337" t="s">
        <v>672</v>
      </c>
      <c r="H2" s="338" t="s">
        <v>673</v>
      </c>
      <c r="I2" s="333" t="s">
        <v>674</v>
      </c>
      <c r="J2" s="344" t="s">
        <v>675</v>
      </c>
      <c r="K2" s="344" t="s">
        <v>676</v>
      </c>
      <c r="L2" s="344" t="s">
        <v>677</v>
      </c>
      <c r="M2" s="333" t="s">
        <v>678</v>
      </c>
      <c r="N2" s="333" t="s">
        <v>679</v>
      </c>
      <c r="O2" s="344" t="s">
        <v>680</v>
      </c>
      <c r="P2" s="344" t="s">
        <v>681</v>
      </c>
      <c r="Q2" s="344" t="s">
        <v>682</v>
      </c>
      <c r="R2" s="351">
        <v>1</v>
      </c>
      <c r="S2" s="351">
        <v>2</v>
      </c>
      <c r="T2" s="351">
        <v>3</v>
      </c>
      <c r="U2" s="351">
        <v>4</v>
      </c>
      <c r="V2" s="351">
        <v>5</v>
      </c>
      <c r="W2" s="351">
        <v>6</v>
      </c>
      <c r="X2" s="351">
        <v>7</v>
      </c>
      <c r="Y2" s="351">
        <v>8</v>
      </c>
      <c r="Z2" s="351">
        <v>9</v>
      </c>
      <c r="AA2" s="351">
        <v>10</v>
      </c>
      <c r="AB2" s="351">
        <v>11</v>
      </c>
      <c r="AC2" s="351">
        <v>12</v>
      </c>
      <c r="AD2" s="351">
        <v>13</v>
      </c>
      <c r="AE2" s="351">
        <v>14</v>
      </c>
      <c r="AF2" s="351">
        <v>15</v>
      </c>
      <c r="AG2" s="351">
        <v>16</v>
      </c>
      <c r="AH2" s="351">
        <v>17</v>
      </c>
      <c r="AI2" s="351">
        <v>18</v>
      </c>
      <c r="AJ2" s="351">
        <v>19</v>
      </c>
      <c r="AK2" s="351">
        <v>20</v>
      </c>
      <c r="AL2" s="351">
        <v>21</v>
      </c>
      <c r="AM2" s="351">
        <v>22</v>
      </c>
      <c r="AN2" s="351">
        <v>23</v>
      </c>
      <c r="AO2" s="351">
        <v>24</v>
      </c>
      <c r="AP2" s="351">
        <v>25</v>
      </c>
      <c r="AQ2" s="351">
        <v>26</v>
      </c>
      <c r="AR2" s="351">
        <v>27</v>
      </c>
      <c r="AS2" s="351">
        <v>28</v>
      </c>
      <c r="AT2" s="351">
        <v>29</v>
      </c>
      <c r="AU2" s="351">
        <v>30</v>
      </c>
      <c r="AV2" s="351">
        <v>31</v>
      </c>
      <c r="AW2" s="347" t="s">
        <v>683</v>
      </c>
      <c r="AX2" s="363" t="s">
        <v>684</v>
      </c>
      <c r="AY2" s="363" t="s">
        <v>685</v>
      </c>
      <c r="AZ2" s="364" t="s">
        <v>686</v>
      </c>
      <c r="BA2" s="364" t="s">
        <v>687</v>
      </c>
      <c r="BB2" s="364" t="s">
        <v>688</v>
      </c>
      <c r="BC2" s="364" t="s">
        <v>689</v>
      </c>
      <c r="BE2" s="369" t="s">
        <v>686</v>
      </c>
      <c r="BF2" s="369" t="s">
        <v>687</v>
      </c>
      <c r="BG2" s="369" t="s">
        <v>688</v>
      </c>
      <c r="BH2" s="369" t="s">
        <v>689</v>
      </c>
      <c r="BY2" s="113">
        <f>SUM(BY3:BY376)</f>
        <v>57034</v>
      </c>
      <c r="BZ2" s="113">
        <f>SUM(BZ3:BZ376)</f>
        <v>62050</v>
      </c>
      <c r="CA2" s="113">
        <f>SUM(CA3:CA376)</f>
        <v>72418</v>
      </c>
      <c r="CB2" s="113">
        <f>SUM(CB3:CB376)</f>
        <v>82194</v>
      </c>
      <c r="CC2" s="113"/>
    </row>
    <row r="3" ht="17.6" spans="2:95">
      <c r="B3" s="334" t="str">
        <f>_xlfn.XLOOKUP(G3,销售需求表!A:A,销售需求表!C:C)</f>
        <v>亚</v>
      </c>
      <c r="C3" s="335" t="str">
        <f>IFERROR(MID(F3,FIND("R",F3)+1,4),"")</f>
        <v>22.5</v>
      </c>
      <c r="D3" s="334" t="str">
        <f t="shared" ref="D3:D33" si="0">B3&amp;C3&amp;"寸"</f>
        <v>亚22.5寸</v>
      </c>
      <c r="E3" s="339" t="str">
        <f t="shared" ref="E3:E13" si="1">LEFT(REPLACE(G3,1,2,""),FIND("[",REPLACE(G3,1,2,""))-1)&amp;"-"&amp;MID(REPLACE(G3,1,2,""),FIND("[",REPLACE(G3,1,2,""))+1,FIND("]",REPLACE(G3,1,2,""))-FIND("[",REPLACE(G3,1,2,""))-1)</f>
        <v>11R22.5-14PR(144/142M)-AT552</v>
      </c>
      <c r="F3" s="340" t="str">
        <f t="shared" ref="F3:F34" si="2">IFERROR(MID(G3,3,FIND("(",G3)-3)&amp;"-"&amp;SUBSTITUTE(MID(G3,FIND("[",G3)+1,FIND("]",G3)-FIND("[",G3)-1),"Strong Guard ",""),"")</f>
        <v>11R22.5-14PR-AT552</v>
      </c>
      <c r="G3" s="341" t="s">
        <v>363</v>
      </c>
      <c r="H3" s="334">
        <v>700</v>
      </c>
      <c r="I3" s="345"/>
      <c r="J3" s="346" t="str">
        <f>IFERROR(LEFT(F3,FIND("-",F3))&amp;MID(F3,FIND("PR",F3,FIND("-",F3))+3,LEN(F3)),F3)</f>
        <v>11R22.5-AT552</v>
      </c>
      <c r="K3" s="347" t="str">
        <f>_xlfn.XLOOKUP(F3,投产规格!E:E,投产规格!D:D,"未投产")</f>
        <v>✔</v>
      </c>
      <c r="L3" s="347">
        <f>IFERROR(_xlfn.XLOOKUP(F3,硫化工艺!B:B,硫化工艺!C:C),"")</f>
        <v>36.5</v>
      </c>
      <c r="M3" s="349">
        <f t="shared" ref="M3:M33" si="3">IF(L3="","",L3/(L3+$L$1/60))</f>
        <v>0.862204724409449</v>
      </c>
      <c r="N3" s="347" t="str">
        <f>C3&amp;"全钢"</f>
        <v>22.5全钢</v>
      </c>
      <c r="O3" s="347">
        <f>IFERROR(_xlfn.XLOOKUP(F3,轮胎重量!J:J,轮胎重量!G:G),"")</f>
        <v>48.15</v>
      </c>
      <c r="P3" s="347">
        <f>IFERROR(_xlfn.XLOOKUP(G3,硫化工艺!I:I,硫化工艺!J:J),"")</f>
        <v>707.7168</v>
      </c>
      <c r="Q3" s="347">
        <f t="shared" ref="Q3:Q33" si="4">IFERROR(ROUND(1440/L3*(I3)*M3,0),"")</f>
        <v>0</v>
      </c>
      <c r="R3" s="347"/>
      <c r="S3" s="347"/>
      <c r="T3" s="347"/>
      <c r="U3" s="347"/>
      <c r="V3" s="347"/>
      <c r="W3" s="347"/>
      <c r="X3" s="347"/>
      <c r="Y3" s="347"/>
      <c r="Z3" s="347"/>
      <c r="AA3" s="347"/>
      <c r="AB3" s="347"/>
      <c r="AC3" s="347"/>
      <c r="AD3" s="347"/>
      <c r="AE3" s="347"/>
      <c r="AF3" s="347"/>
      <c r="AG3" s="347"/>
      <c r="AH3" s="347"/>
      <c r="AI3" s="347"/>
      <c r="AJ3" s="347"/>
      <c r="AK3" s="347"/>
      <c r="AL3" s="347"/>
      <c r="AM3" s="347"/>
      <c r="AN3" s="347"/>
      <c r="AO3" s="347"/>
      <c r="AP3" s="347"/>
      <c r="AQ3" s="347"/>
      <c r="AR3" s="355">
        <v>130</v>
      </c>
      <c r="AS3" s="347">
        <v>130</v>
      </c>
      <c r="AT3" s="347">
        <v>130</v>
      </c>
      <c r="AU3" s="347">
        <v>130</v>
      </c>
      <c r="AV3" s="347">
        <v>130</v>
      </c>
      <c r="AW3" s="347">
        <f t="shared" ref="AW3:AW33" si="5">IF(SUM(R3:AV3)=0,"",SUM(R3:AV3))</f>
        <v>650</v>
      </c>
      <c r="AX3" s="365">
        <f t="shared" ref="AX3:AX33" si="6">IFERROR(AW3*O3/1000,"")</f>
        <v>31.2975</v>
      </c>
      <c r="AY3" s="365">
        <f t="shared" ref="AY3:AY33" si="7">IFERROR(ROUND(AW3*P3/10000,3),"")</f>
        <v>46.002</v>
      </c>
      <c r="AZ3" s="366">
        <v>464.56</v>
      </c>
      <c r="BA3" s="368">
        <v>29.9</v>
      </c>
      <c r="BB3" s="368">
        <v>49.85</v>
      </c>
      <c r="BC3" s="368">
        <v>52.38</v>
      </c>
      <c r="BE3" s="330">
        <f t="shared" ref="BE3:BE33" si="8">AZ3*AW3</f>
        <v>301964</v>
      </c>
      <c r="BF3" s="330">
        <f t="shared" ref="BF3:BF33" si="9">BA3*AW3</f>
        <v>19435</v>
      </c>
      <c r="BG3" s="330">
        <f t="shared" ref="BG3:BG33" si="10">BB3*AW3</f>
        <v>32402.5</v>
      </c>
      <c r="BH3" s="330">
        <f t="shared" ref="BH3:BH33" si="11">BC3*AW3</f>
        <v>34047</v>
      </c>
      <c r="BJ3" s="370" cm="1">
        <f t="array" ref="BJ3:BM3">_xlfn.LET(_xlpm.data,$R3:$AV3,_xlpm.starts,{1,8,16,23},_xlpm.lengths,{7,7,8,9},_xlpm.arr,_xlfn.MAP(_xlpm.starts,_xlpm.lengths,_xlfn.LAMBDA(_xlpm.s,_xlpm.l,SUM(INDEX(_xlpm.data,,_xlfn.SEQUENCE(,_xlpm.l,_xlpm.s))))),ROUND(_xlpm.arr*$O3/1000,2))</f>
        <v>0</v>
      </c>
      <c r="BK3" s="370">
        <v>0</v>
      </c>
      <c r="BL3" s="370">
        <v>0</v>
      </c>
      <c r="BM3" s="330">
        <v>31.3</v>
      </c>
      <c r="BN3" s="258">
        <f t="shared" ref="BN3:BN33" si="12">SUM(BJ3:BM3)</f>
        <v>31.3</v>
      </c>
      <c r="BO3" s="258">
        <v>0</v>
      </c>
      <c r="BP3" s="258">
        <v>0</v>
      </c>
      <c r="BQ3" s="258">
        <v>0</v>
      </c>
      <c r="BR3" s="258">
        <v>0</v>
      </c>
      <c r="BT3" s="258" cm="1">
        <f ca="1" t="array" ref="BT3:BW3">_xlfn.HSTACK(SUM(INDEX($R3:$AV3,1,1):INDEX($R3:$AV3,1,7)),SUM(INDEX($R3:$AV3,1,7):INDEX($R3:$AV3,1,13)),SUM(INDEX($R3:$AV3,1,16):INDEX($R3:$AV3,1,23)),SUM(INDEX($R3:$AV3,1,23):INDEX($R3:$AV3,1,31)))</f>
        <v>0</v>
      </c>
      <c r="BU3" s="258">
        <v>0</v>
      </c>
      <c r="BV3" s="258">
        <v>0</v>
      </c>
      <c r="BW3" s="258">
        <v>650</v>
      </c>
      <c r="BX3" s="371" t="s">
        <v>690</v>
      </c>
      <c r="BY3" s="258">
        <f>SUM(R3:X3)</f>
        <v>0</v>
      </c>
      <c r="BZ3" s="258">
        <f>SUM(Y3:AE3)</f>
        <v>0</v>
      </c>
      <c r="CA3" s="258">
        <f>SUM(AF3:AM3)</f>
        <v>0</v>
      </c>
      <c r="CB3" s="258">
        <f>SUM(AN3:AV3)</f>
        <v>650</v>
      </c>
      <c r="CE3" s="258">
        <f>ROUND(BY3*$O3/1000,2)</f>
        <v>0</v>
      </c>
      <c r="CF3" s="258">
        <f t="shared" ref="CF3:CF17" si="13">ROUND(BZ3*$O3/1000,2)</f>
        <v>0</v>
      </c>
      <c r="CG3" s="258">
        <f t="shared" ref="CG3:CG17" si="14">ROUND(CA3*$O3/1000,2)</f>
        <v>0</v>
      </c>
      <c r="CH3" s="258">
        <f t="shared" ref="CH3:CH17" si="15">ROUND(CB3*$O3/1000,2)</f>
        <v>31.3</v>
      </c>
      <c r="CI3" s="258">
        <f t="shared" ref="CI3:CI33" si="16">SUM(CE3:CH3)</f>
        <v>31.3</v>
      </c>
      <c r="CK3" s="258">
        <f t="shared" ref="CK3:CN3" si="17">IFERROR(ROUND(BY3*$P3,2),"")</f>
        <v>0</v>
      </c>
      <c r="CL3" s="258">
        <f t="shared" si="17"/>
        <v>0</v>
      </c>
      <c r="CM3" s="258">
        <f t="shared" si="17"/>
        <v>0</v>
      </c>
      <c r="CN3" s="258">
        <f t="shared" si="17"/>
        <v>460015.92</v>
      </c>
      <c r="CO3" s="258">
        <f t="shared" ref="CO3:CO66" si="18">SUM(CK3:CN3)</f>
        <v>460015.92</v>
      </c>
      <c r="CP3" s="258" t="e">
        <f>VLOOKUP(G3,[2]Sheet1!$C$3:$G$310,5,0)</f>
        <v>#N/A</v>
      </c>
      <c r="CQ3" s="258">
        <f>VLOOKUP(G3,[3]KCBB0101!$C$3:$F$691,4,0)</f>
        <v>8214</v>
      </c>
    </row>
    <row r="4" s="258" customFormat="1" ht="17.6" spans="1:95">
      <c r="A4" s="330"/>
      <c r="B4" s="334" t="str">
        <f>_xlfn.XLOOKUP(G4,销售需求表!A:A,销售需求表!C:C)</f>
        <v>北美</v>
      </c>
      <c r="C4" s="335" t="str">
        <f t="shared" ref="C4:C67" si="19">IFERROR(MID(F4,FIND("R",F4)+1,4),"")</f>
        <v>22.5</v>
      </c>
      <c r="D4" s="334" t="str">
        <f t="shared" si="0"/>
        <v>北美22.5寸</v>
      </c>
      <c r="E4" s="339" t="str">
        <f t="shared" si="1"/>
        <v>11R22.5-14PR(144/142M)-AT563</v>
      </c>
      <c r="F4" s="340" t="str">
        <f t="shared" si="2"/>
        <v>11R22.5-14PR-AT563</v>
      </c>
      <c r="G4" s="341" t="s">
        <v>364</v>
      </c>
      <c r="H4" s="334">
        <v>300</v>
      </c>
      <c r="I4" s="345"/>
      <c r="J4" s="346" t="str">
        <f t="shared" ref="J4:J27" si="20">IFERROR(LEFT(F4,FIND("-",F4))&amp;MID(F4,FIND("PR",F4,FIND("-",F4))+3,LEN(F4)),F4)</f>
        <v>11R22.5-AT563</v>
      </c>
      <c r="K4" s="347" t="str">
        <f>_xlfn.XLOOKUP(F4,投产规格!E:E,投产规格!D:D,"未投产")</f>
        <v>✔</v>
      </c>
      <c r="L4" s="347">
        <f>IFERROR(_xlfn.XLOOKUP(F4,硫化工艺!B:B,硫化工艺!C:C),"")</f>
        <v>38.5</v>
      </c>
      <c r="M4" s="349">
        <f t="shared" si="3"/>
        <v>0.868421052631579</v>
      </c>
      <c r="N4" s="347" t="str">
        <f>C4&amp;"全钢"</f>
        <v>22.5全钢</v>
      </c>
      <c r="O4" s="347">
        <f>IFERROR(_xlfn.XLOOKUP(F4,轮胎重量!J:J,轮胎重量!G:G),"")</f>
        <v>50.98</v>
      </c>
      <c r="P4" s="347">
        <f>IFERROR(_xlfn.XLOOKUP(G4,硫化工艺!I:I,硫化工艺!J:J),"")</f>
        <v>750.2593</v>
      </c>
      <c r="Q4" s="347">
        <f t="shared" si="4"/>
        <v>0</v>
      </c>
      <c r="R4" s="347"/>
      <c r="S4" s="347"/>
      <c r="T4" s="347"/>
      <c r="U4" s="347"/>
      <c r="V4" s="347"/>
      <c r="W4" s="347"/>
      <c r="X4" s="347"/>
      <c r="Y4" s="347"/>
      <c r="Z4" s="347"/>
      <c r="AA4" s="347"/>
      <c r="AB4" s="347"/>
      <c r="AC4" s="347"/>
      <c r="AD4" s="347"/>
      <c r="AE4" s="347"/>
      <c r="AF4" s="347"/>
      <c r="AG4" s="347"/>
      <c r="AH4" s="347"/>
      <c r="AI4" s="347"/>
      <c r="AJ4" s="347"/>
      <c r="AK4" s="347"/>
      <c r="AL4" s="347"/>
      <c r="AM4" s="347"/>
      <c r="AN4" s="347">
        <v>60</v>
      </c>
      <c r="AO4" s="347">
        <v>60</v>
      </c>
      <c r="AP4" s="347">
        <v>60</v>
      </c>
      <c r="AQ4" s="347">
        <v>60</v>
      </c>
      <c r="AR4" s="347">
        <v>60</v>
      </c>
      <c r="AS4" s="347">
        <v>60</v>
      </c>
      <c r="AT4" s="347">
        <v>60</v>
      </c>
      <c r="AU4" s="347">
        <v>60</v>
      </c>
      <c r="AV4" s="347">
        <v>60</v>
      </c>
      <c r="AW4" s="347">
        <f t="shared" si="5"/>
        <v>540</v>
      </c>
      <c r="AX4" s="365">
        <f t="shared" si="6"/>
        <v>27.5292</v>
      </c>
      <c r="AY4" s="365">
        <f t="shared" si="7"/>
        <v>40.514</v>
      </c>
      <c r="AZ4" s="366">
        <v>464.56</v>
      </c>
      <c r="BA4" s="368">
        <v>29.9</v>
      </c>
      <c r="BB4" s="368">
        <v>49.85</v>
      </c>
      <c r="BC4" s="368">
        <v>52.38</v>
      </c>
      <c r="BD4" s="330"/>
      <c r="BE4" s="330">
        <f t="shared" si="8"/>
        <v>250862.4</v>
      </c>
      <c r="BF4" s="330">
        <f t="shared" si="9"/>
        <v>16146</v>
      </c>
      <c r="BG4" s="330">
        <f t="shared" si="10"/>
        <v>26919</v>
      </c>
      <c r="BH4" s="330">
        <f t="shared" si="11"/>
        <v>28285.2</v>
      </c>
      <c r="BI4" s="330"/>
      <c r="BJ4" s="370" cm="1">
        <f t="array" ref="BJ4:BM4">_xlfn.LET(_xlpm.data,$R4:$AV4,_xlpm.starts,{1,8,16,23},_xlpm.lengths,{7,7,8,9},_xlpm.arr,_xlfn.MAP(_xlpm.starts,_xlpm.lengths,_xlfn.LAMBDA(_xlpm.s,_xlpm.l,SUM(INDEX(_xlpm.data,,_xlfn.SEQUENCE(,_xlpm.l,_xlpm.s))))),ROUND(_xlpm.arr*$O4/1000,2))</f>
        <v>0</v>
      </c>
      <c r="BK4" s="370">
        <v>0</v>
      </c>
      <c r="BL4" s="370">
        <v>3.06</v>
      </c>
      <c r="BM4" s="330">
        <v>27.53</v>
      </c>
      <c r="BN4" s="258">
        <f t="shared" si="12"/>
        <v>30.59</v>
      </c>
      <c r="BO4" s="258">
        <v>0</v>
      </c>
      <c r="BP4" s="258">
        <v>0</v>
      </c>
      <c r="BQ4" s="258">
        <v>0</v>
      </c>
      <c r="BR4" s="258">
        <v>0</v>
      </c>
      <c r="BS4" s="115"/>
      <c r="BT4" s="258" cm="1">
        <f ca="1" t="array" ref="BT4:BW4">_xlfn.HSTACK(SUM(INDEX($R4:$AV4,1,1):INDEX($R4:$AV4,1,7)),SUM(INDEX($R4:$AV4,1,7):INDEX($R4:$AV4,1,13)),SUM(INDEX($R4:$AV4,1,16):INDEX($R4:$AV4,1,23)),SUM(INDEX($R4:$AV4,1,23):INDEX($R4:$AV4,1,31)))</f>
        <v>0</v>
      </c>
      <c r="BU4" s="258">
        <v>0</v>
      </c>
      <c r="BV4" s="258">
        <v>60</v>
      </c>
      <c r="BW4" s="258">
        <v>540</v>
      </c>
      <c r="BY4" s="258">
        <f t="shared" ref="BY4:BY67" si="21">SUM(R4:X4)</f>
        <v>0</v>
      </c>
      <c r="BZ4" s="258">
        <f t="shared" ref="BZ4:BZ67" si="22">SUM(Y4:AE4)</f>
        <v>0</v>
      </c>
      <c r="CA4" s="258">
        <f t="shared" ref="CA4:CA67" si="23">SUM(AF4:AM4)</f>
        <v>0</v>
      </c>
      <c r="CB4" s="258">
        <f t="shared" ref="CB4:CB67" si="24">SUM(AN4:AV4)</f>
        <v>540</v>
      </c>
      <c r="CD4" s="113"/>
      <c r="CE4" s="258">
        <f t="shared" ref="CE3:CE17" si="25">ROUND(BY4*$O4/1000,2)</f>
        <v>0</v>
      </c>
      <c r="CF4" s="258">
        <f t="shared" si="13"/>
        <v>0</v>
      </c>
      <c r="CG4" s="258">
        <f t="shared" si="14"/>
        <v>0</v>
      </c>
      <c r="CH4" s="258">
        <f t="shared" si="15"/>
        <v>27.53</v>
      </c>
      <c r="CI4" s="258">
        <f t="shared" si="16"/>
        <v>27.53</v>
      </c>
      <c r="CJ4" s="113"/>
      <c r="CK4" s="258">
        <f t="shared" ref="CK4:CN4" si="26">IFERROR(ROUND(BY4*$P4,2),"")</f>
        <v>0</v>
      </c>
      <c r="CL4" s="258">
        <f t="shared" si="26"/>
        <v>0</v>
      </c>
      <c r="CM4" s="258">
        <f t="shared" si="26"/>
        <v>0</v>
      </c>
      <c r="CN4" s="258">
        <f t="shared" si="26"/>
        <v>405140.02</v>
      </c>
      <c r="CO4" s="258">
        <f t="shared" si="18"/>
        <v>405140.02</v>
      </c>
      <c r="CP4" s="258" t="e">
        <f>VLOOKUP(G4,[2]Sheet1!$C$3:$G$310,5,0)</f>
        <v>#N/A</v>
      </c>
      <c r="CQ4" s="258">
        <f>VLOOKUP(G4,[3]KCBB0101!$C$3:$F$691,4,0)</f>
        <v>2573</v>
      </c>
    </row>
    <row r="5" ht="17.6" spans="2:95">
      <c r="B5" s="334" t="str">
        <f>_xlfn.XLOOKUP(G5,销售需求表!A:A,销售需求表!C:C)</f>
        <v>北美</v>
      </c>
      <c r="C5" s="335" t="str">
        <f t="shared" si="19"/>
        <v>22.5</v>
      </c>
      <c r="D5" s="334" t="str">
        <f t="shared" si="0"/>
        <v>北美22.5寸</v>
      </c>
      <c r="E5" s="339" t="str">
        <f t="shared" si="1"/>
        <v>11R22.5-14PR(144/142M)-CR915</v>
      </c>
      <c r="F5" s="340" t="str">
        <f t="shared" si="2"/>
        <v>11R22.5-14PR-CR915</v>
      </c>
      <c r="G5" s="341" t="s">
        <v>365</v>
      </c>
      <c r="H5" s="334">
        <v>500</v>
      </c>
      <c r="I5" s="345"/>
      <c r="J5" s="346" t="str">
        <f t="shared" si="20"/>
        <v>11R22.5-CR915</v>
      </c>
      <c r="K5" s="347" t="str">
        <f>_xlfn.XLOOKUP(F5,投产规格!E:E,投产规格!D:D,"未投产")</f>
        <v>✔</v>
      </c>
      <c r="L5" s="347">
        <f>IFERROR(_xlfn.XLOOKUP(F5,硫化工艺!B:B,硫化工艺!C:C),"")</f>
        <v>33.5</v>
      </c>
      <c r="M5" s="349">
        <f t="shared" si="3"/>
        <v>0.851694915254237</v>
      </c>
      <c r="N5" s="347" t="str">
        <f>C5&amp;"全钢"</f>
        <v>22.5全钢</v>
      </c>
      <c r="O5" s="347">
        <f>IFERROR(_xlfn.XLOOKUP(F5,轮胎重量!J:J,轮胎重量!G:G),"")</f>
        <v>48.51</v>
      </c>
      <c r="P5" s="347">
        <f>IFERROR(_xlfn.XLOOKUP(G5,硫化工艺!I:I,硫化工艺!J:J),"")</f>
        <v>708.673203</v>
      </c>
      <c r="Q5" s="347">
        <f t="shared" si="4"/>
        <v>0</v>
      </c>
      <c r="R5" s="347"/>
      <c r="S5" s="347"/>
      <c r="T5" s="347"/>
      <c r="U5" s="347"/>
      <c r="V5" s="347"/>
      <c r="W5" s="347"/>
      <c r="X5" s="347"/>
      <c r="Y5" s="347"/>
      <c r="Z5" s="347"/>
      <c r="AA5" s="347"/>
      <c r="AB5" s="347"/>
      <c r="AC5" s="347"/>
      <c r="AD5" s="347"/>
      <c r="AE5" s="347"/>
      <c r="AF5" s="347"/>
      <c r="AG5" s="347"/>
      <c r="AH5" s="347"/>
      <c r="AI5" s="347"/>
      <c r="AJ5" s="347"/>
      <c r="AK5" s="358">
        <v>60</v>
      </c>
      <c r="AL5" s="347">
        <v>60</v>
      </c>
      <c r="AM5" s="347">
        <v>60</v>
      </c>
      <c r="AN5" s="347">
        <v>60</v>
      </c>
      <c r="AO5" s="347">
        <v>60</v>
      </c>
      <c r="AP5" s="347">
        <v>60</v>
      </c>
      <c r="AQ5" s="347">
        <v>60</v>
      </c>
      <c r="AR5" s="347">
        <v>60</v>
      </c>
      <c r="AS5" s="347">
        <v>60</v>
      </c>
      <c r="AT5" s="347">
        <v>60</v>
      </c>
      <c r="AU5" s="347">
        <v>60</v>
      </c>
      <c r="AV5" s="347">
        <v>60</v>
      </c>
      <c r="AW5" s="347">
        <f t="shared" si="5"/>
        <v>720</v>
      </c>
      <c r="AX5" s="365">
        <f t="shared" si="6"/>
        <v>34.9272</v>
      </c>
      <c r="AY5" s="365">
        <f t="shared" si="7"/>
        <v>51.024</v>
      </c>
      <c r="AZ5" s="366">
        <v>461.01</v>
      </c>
      <c r="BA5" s="368">
        <v>30.13</v>
      </c>
      <c r="BB5" s="368">
        <v>49.93</v>
      </c>
      <c r="BC5" s="368">
        <v>53.65</v>
      </c>
      <c r="BE5" s="330">
        <f t="shared" si="8"/>
        <v>331927.2</v>
      </c>
      <c r="BF5" s="330">
        <f t="shared" si="9"/>
        <v>21693.6</v>
      </c>
      <c r="BG5" s="330">
        <f t="shared" si="10"/>
        <v>35949.6</v>
      </c>
      <c r="BH5" s="330">
        <f t="shared" si="11"/>
        <v>38628</v>
      </c>
      <c r="BJ5" s="370" cm="1">
        <f t="array" ref="BJ5:BM5">_xlfn.LET(_xlpm.data,$R5:$AV5,_xlpm.starts,{1,8,16,23},_xlpm.lengths,{7,7,8,9},_xlpm.arr,_xlfn.MAP(_xlpm.starts,_xlpm.lengths,_xlfn.LAMBDA(_xlpm.s,_xlpm.l,SUM(INDEX(_xlpm.data,,_xlfn.SEQUENCE(,_xlpm.l,_xlpm.s))))),ROUND(_xlpm.arr*$O5/1000,2))</f>
        <v>0</v>
      </c>
      <c r="BK5" s="330">
        <v>0</v>
      </c>
      <c r="BL5" s="330">
        <v>11.64</v>
      </c>
      <c r="BM5" s="330">
        <v>26.2</v>
      </c>
      <c r="BN5" s="258">
        <f t="shared" si="12"/>
        <v>37.84</v>
      </c>
      <c r="BO5" s="258">
        <v>111.71</v>
      </c>
      <c r="BP5" s="258">
        <v>91.4</v>
      </c>
      <c r="BQ5" s="258">
        <v>46.43</v>
      </c>
      <c r="BR5" s="258">
        <v>52.23</v>
      </c>
      <c r="BT5" s="258" cm="1">
        <f ca="1" t="array" ref="BT5:BW5">_xlfn.HSTACK(SUM(INDEX($R5:$AV5,1,1):INDEX($R5:$AV5,1,7)),SUM(INDEX($R5:$AV5,1,7):INDEX($R5:$AV5,1,13)),SUM(INDEX($R5:$AV5,1,16):INDEX($R5:$AV5,1,23)),SUM(INDEX($R5:$AV5,1,23):INDEX($R5:$AV5,1,31)))</f>
        <v>0</v>
      </c>
      <c r="BU5" s="258">
        <v>0</v>
      </c>
      <c r="BV5" s="258">
        <v>240</v>
      </c>
      <c r="BW5" s="258">
        <v>540</v>
      </c>
      <c r="BY5" s="258">
        <f t="shared" si="21"/>
        <v>0</v>
      </c>
      <c r="BZ5" s="258">
        <f t="shared" si="22"/>
        <v>0</v>
      </c>
      <c r="CA5" s="258">
        <f t="shared" si="23"/>
        <v>180</v>
      </c>
      <c r="CB5" s="258">
        <f t="shared" si="24"/>
        <v>540</v>
      </c>
      <c r="CE5" s="258">
        <f t="shared" si="25"/>
        <v>0</v>
      </c>
      <c r="CF5" s="258">
        <f t="shared" si="13"/>
        <v>0</v>
      </c>
      <c r="CG5" s="258">
        <f t="shared" si="14"/>
        <v>8.73</v>
      </c>
      <c r="CH5" s="258">
        <f t="shared" si="15"/>
        <v>26.2</v>
      </c>
      <c r="CI5" s="258">
        <f t="shared" si="16"/>
        <v>34.93</v>
      </c>
      <c r="CK5" s="258">
        <f t="shared" ref="CK5:CN5" si="27">IFERROR(ROUND(BY5*$P5,2),"")</f>
        <v>0</v>
      </c>
      <c r="CL5" s="258">
        <f t="shared" si="27"/>
        <v>0</v>
      </c>
      <c r="CM5" s="258">
        <f t="shared" si="27"/>
        <v>127561.18</v>
      </c>
      <c r="CN5" s="258">
        <f t="shared" si="27"/>
        <v>382683.53</v>
      </c>
      <c r="CO5" s="258">
        <f t="shared" si="18"/>
        <v>510244.71</v>
      </c>
      <c r="CP5" s="258">
        <f>VLOOKUP(G5,[2]Sheet1!$C$3:$G$310,5,0)</f>
        <v>5700</v>
      </c>
      <c r="CQ5" s="258" t="e">
        <f>VLOOKUP(G5,[3]KCBB0101!$C$3:$F$691,4,0)</f>
        <v>#N/A</v>
      </c>
    </row>
    <row r="6" ht="17.6" spans="2:95">
      <c r="B6" s="334" t="str">
        <f>_xlfn.XLOOKUP(G6,销售需求表!A:A,销售需求表!C:C)</f>
        <v>北美</v>
      </c>
      <c r="C6" s="335" t="str">
        <f t="shared" si="19"/>
        <v>22.5</v>
      </c>
      <c r="D6" s="334" t="str">
        <f t="shared" si="0"/>
        <v>北美22.5寸</v>
      </c>
      <c r="E6" s="339" t="str">
        <f t="shared" si="1"/>
        <v>11R22.5-14PR(144/142M)-HT1 Plus</v>
      </c>
      <c r="F6" s="340" t="str">
        <f t="shared" si="2"/>
        <v>11R22.5-14PR-HT1 Plus</v>
      </c>
      <c r="G6" s="341" t="s">
        <v>366</v>
      </c>
      <c r="H6" s="334">
        <v>580</v>
      </c>
      <c r="I6" s="345">
        <v>2</v>
      </c>
      <c r="J6" s="346" t="str">
        <f t="shared" si="20"/>
        <v>11R22.5-HT1 Plus</v>
      </c>
      <c r="K6" s="347" t="str">
        <f>_xlfn.XLOOKUP(F6,投产规格!E:E,投产规格!D:D,"未投产")</f>
        <v>✔</v>
      </c>
      <c r="L6" s="347">
        <f>IFERROR(_xlfn.XLOOKUP(F6,硫化工艺!B:B,硫化工艺!C:C),"")</f>
        <v>33.5</v>
      </c>
      <c r="M6" s="349">
        <f t="shared" si="3"/>
        <v>0.851694915254237</v>
      </c>
      <c r="N6" s="347" t="str">
        <f t="shared" ref="N6:N21" si="28">C6&amp;"全钢"</f>
        <v>22.5全钢</v>
      </c>
      <c r="O6" s="347">
        <f>IFERROR(_xlfn.XLOOKUP(F6,轮胎重量!J:J,轮胎重量!G:G),"")</f>
        <v>48.51</v>
      </c>
      <c r="P6" s="350">
        <f>O6*13.9</f>
        <v>674.289</v>
      </c>
      <c r="Q6" s="347">
        <f t="shared" si="4"/>
        <v>73</v>
      </c>
      <c r="R6" s="347">
        <v>66</v>
      </c>
      <c r="S6" s="347">
        <v>66</v>
      </c>
      <c r="T6" s="347">
        <v>66</v>
      </c>
      <c r="U6" s="347">
        <v>66</v>
      </c>
      <c r="V6" s="352">
        <v>66</v>
      </c>
      <c r="W6" s="347"/>
      <c r="X6" s="347"/>
      <c r="Y6" s="347"/>
      <c r="Z6" s="347"/>
      <c r="AA6" s="347"/>
      <c r="AB6" s="347"/>
      <c r="AC6" s="347"/>
      <c r="AD6" s="347"/>
      <c r="AE6" s="347"/>
      <c r="AF6" s="347"/>
      <c r="AG6" s="347"/>
      <c r="AH6" s="347"/>
      <c r="AI6" s="347"/>
      <c r="AJ6" s="347"/>
      <c r="AK6" s="347"/>
      <c r="AL6" s="347"/>
      <c r="AM6" s="347"/>
      <c r="AN6" s="347"/>
      <c r="AO6" s="347"/>
      <c r="AP6" s="347"/>
      <c r="AQ6" s="347"/>
      <c r="AR6" s="347"/>
      <c r="AS6" s="347"/>
      <c r="AT6" s="347"/>
      <c r="AU6" s="347"/>
      <c r="AV6" s="347"/>
      <c r="AW6" s="347">
        <f t="shared" si="5"/>
        <v>330</v>
      </c>
      <c r="AX6" s="365">
        <f t="shared" si="6"/>
        <v>16.0083</v>
      </c>
      <c r="AY6" s="365">
        <f t="shared" si="7"/>
        <v>22.252</v>
      </c>
      <c r="AZ6" s="367"/>
      <c r="BE6" s="330">
        <f t="shared" si="8"/>
        <v>0</v>
      </c>
      <c r="BF6" s="330">
        <f t="shared" si="9"/>
        <v>0</v>
      </c>
      <c r="BG6" s="330">
        <f t="shared" si="10"/>
        <v>0</v>
      </c>
      <c r="BH6" s="330">
        <f t="shared" si="11"/>
        <v>0</v>
      </c>
      <c r="BJ6" s="370" cm="1">
        <f t="array" ref="BJ6:BM6">_xlfn.LET(_xlpm.data,$R6:$AV6,_xlpm.starts,{1,8,16,23},_xlpm.lengths,{7,7,8,9},_xlpm.arr,_xlfn.MAP(_xlpm.starts,_xlpm.lengths,_xlfn.LAMBDA(_xlpm.s,_xlpm.l,SUM(INDEX(_xlpm.data,,_xlfn.SEQUENCE(,_xlpm.l,_xlpm.s))))),ROUND(_xlpm.arr*$O6/1000,2))</f>
        <v>16.01</v>
      </c>
      <c r="BK6" s="330">
        <v>0</v>
      </c>
      <c r="BL6" s="330">
        <v>0</v>
      </c>
      <c r="BM6" s="330">
        <v>0</v>
      </c>
      <c r="BN6" s="258">
        <f t="shared" si="12"/>
        <v>16.01</v>
      </c>
      <c r="BO6" s="258">
        <v>15.39</v>
      </c>
      <c r="BP6" s="258">
        <v>0</v>
      </c>
      <c r="BQ6" s="258">
        <v>0</v>
      </c>
      <c r="BR6" s="258">
        <v>0</v>
      </c>
      <c r="BT6" s="258" cm="1">
        <f ca="1" t="array" ref="BT6:BW6">_xlfn.HSTACK(SUM(INDEX($R6:$AV6,1,1):INDEX($R6:$AV6,1,7)),SUM(INDEX($R6:$AV6,1,7):INDEX($R6:$AV6,1,13)),SUM(INDEX($R6:$AV6,1,16):INDEX($R6:$AV6,1,23)),SUM(INDEX($R6:$AV6,1,23):INDEX($R6:$AV6,1,31)))</f>
        <v>330</v>
      </c>
      <c r="BU6" s="258">
        <v>0</v>
      </c>
      <c r="BV6" s="258">
        <v>0</v>
      </c>
      <c r="BW6" s="258">
        <v>0</v>
      </c>
      <c r="BY6" s="258">
        <f t="shared" si="21"/>
        <v>330</v>
      </c>
      <c r="BZ6" s="258">
        <f t="shared" si="22"/>
        <v>0</v>
      </c>
      <c r="CA6" s="258">
        <f t="shared" si="23"/>
        <v>0</v>
      </c>
      <c r="CB6" s="258">
        <f t="shared" si="24"/>
        <v>0</v>
      </c>
      <c r="CE6" s="258">
        <f t="shared" si="25"/>
        <v>16.01</v>
      </c>
      <c r="CF6" s="258">
        <f t="shared" si="13"/>
        <v>0</v>
      </c>
      <c r="CG6" s="258">
        <f t="shared" si="14"/>
        <v>0</v>
      </c>
      <c r="CH6" s="258">
        <f t="shared" si="15"/>
        <v>0</v>
      </c>
      <c r="CI6" s="258">
        <f t="shared" si="16"/>
        <v>16.01</v>
      </c>
      <c r="CK6" s="258">
        <f t="shared" ref="CK6:CN6" si="29">IFERROR(ROUND(BY6*$P6,2),"")</f>
        <v>222515.37</v>
      </c>
      <c r="CL6" s="258">
        <f t="shared" si="29"/>
        <v>0</v>
      </c>
      <c r="CM6" s="258">
        <f t="shared" si="29"/>
        <v>0</v>
      </c>
      <c r="CN6" s="258">
        <f t="shared" si="29"/>
        <v>0</v>
      </c>
      <c r="CO6" s="258">
        <f t="shared" si="18"/>
        <v>222515.37</v>
      </c>
      <c r="CP6" s="258" t="e">
        <f>VLOOKUP(G6,[2]Sheet1!$C$3:$G$310,5,0)</f>
        <v>#N/A</v>
      </c>
      <c r="CQ6" s="258">
        <f>VLOOKUP(G6,[3]KCBB0101!$C$3:$F$691,4,0)</f>
        <v>5000</v>
      </c>
    </row>
    <row r="7" ht="17.6" spans="2:95">
      <c r="B7" s="334" t="str">
        <f>_xlfn.XLOOKUP(G7,销售需求表!A:A,销售需求表!C:C)</f>
        <v>北美</v>
      </c>
      <c r="C7" s="335" t="str">
        <f t="shared" si="19"/>
        <v>22.5</v>
      </c>
      <c r="D7" s="334" t="str">
        <f t="shared" si="0"/>
        <v>北美22.5寸</v>
      </c>
      <c r="E7" s="339" t="str">
        <f t="shared" si="1"/>
        <v>11R22.5-14PR(144/142M)-I-48T</v>
      </c>
      <c r="F7" s="340" t="str">
        <f t="shared" si="2"/>
        <v>11R22.5-14PR-I-48T</v>
      </c>
      <c r="G7" s="341" t="s">
        <v>367</v>
      </c>
      <c r="H7" s="334">
        <v>800</v>
      </c>
      <c r="I7" s="345"/>
      <c r="J7" s="346" t="str">
        <f t="shared" si="20"/>
        <v>11R22.5-I-48T</v>
      </c>
      <c r="K7" s="347" t="str">
        <f>_xlfn.XLOOKUP(F7,投产规格!E:E,投产规格!D:D,"未投产")</f>
        <v>✔</v>
      </c>
      <c r="L7" s="347">
        <f>IFERROR(_xlfn.XLOOKUP(F7,硫化工艺!B:B,硫化工艺!C:C),"")</f>
        <v>33.5</v>
      </c>
      <c r="M7" s="349">
        <f t="shared" si="3"/>
        <v>0.851694915254237</v>
      </c>
      <c r="N7" s="347" t="str">
        <f t="shared" si="28"/>
        <v>22.5全钢</v>
      </c>
      <c r="O7" s="347">
        <f>IFERROR(_xlfn.XLOOKUP(F7,轮胎重量!J:J,轮胎重量!G:G),"")</f>
        <v>48.51</v>
      </c>
      <c r="P7" s="347">
        <f>IFERROR(_xlfn.XLOOKUP(G7,硫化工艺!I:I,硫化工艺!J:J),"")</f>
        <v>706.6458</v>
      </c>
      <c r="Q7" s="347">
        <f t="shared" si="4"/>
        <v>0</v>
      </c>
      <c r="R7" s="347"/>
      <c r="S7" s="347"/>
      <c r="T7" s="347"/>
      <c r="U7" s="347"/>
      <c r="V7" s="347"/>
      <c r="W7" s="347"/>
      <c r="X7" s="347"/>
      <c r="Y7" s="347"/>
      <c r="Z7" s="347"/>
      <c r="AA7" s="347"/>
      <c r="AB7" s="347"/>
      <c r="AC7" s="347"/>
      <c r="AD7" s="347"/>
      <c r="AE7" s="347"/>
      <c r="AF7" s="347"/>
      <c r="AG7" s="347"/>
      <c r="AH7" s="347"/>
      <c r="AI7" s="352">
        <v>60</v>
      </c>
      <c r="AJ7" s="347">
        <v>60</v>
      </c>
      <c r="AK7" s="347">
        <v>60</v>
      </c>
      <c r="AL7" s="347">
        <v>60</v>
      </c>
      <c r="AM7" s="347">
        <v>60</v>
      </c>
      <c r="AN7" s="347">
        <v>60</v>
      </c>
      <c r="AO7" s="347">
        <v>60</v>
      </c>
      <c r="AP7" s="347">
        <v>60</v>
      </c>
      <c r="AQ7" s="347">
        <v>60</v>
      </c>
      <c r="AR7" s="347">
        <v>60</v>
      </c>
      <c r="AS7" s="347">
        <v>60</v>
      </c>
      <c r="AT7" s="347">
        <v>60</v>
      </c>
      <c r="AU7" s="347">
        <v>60</v>
      </c>
      <c r="AV7" s="347">
        <v>60</v>
      </c>
      <c r="AW7" s="347">
        <f t="shared" si="5"/>
        <v>840</v>
      </c>
      <c r="AX7" s="365">
        <f t="shared" si="6"/>
        <v>40.7484</v>
      </c>
      <c r="AY7" s="365">
        <f t="shared" si="7"/>
        <v>59.358</v>
      </c>
      <c r="AZ7" s="367"/>
      <c r="BE7" s="330">
        <f t="shared" si="8"/>
        <v>0</v>
      </c>
      <c r="BF7" s="330">
        <f t="shared" si="9"/>
        <v>0</v>
      </c>
      <c r="BG7" s="330">
        <f t="shared" si="10"/>
        <v>0</v>
      </c>
      <c r="BH7" s="330">
        <f t="shared" si="11"/>
        <v>0</v>
      </c>
      <c r="BJ7" s="370" cm="1">
        <f t="array" ref="BJ7:BM7">_xlfn.LET(_xlpm.data,$R7:$AV7,_xlpm.starts,{1,8,16,23},_xlpm.lengths,{7,7,8,9},_xlpm.arr,_xlfn.MAP(_xlpm.starts,_xlpm.lengths,_xlfn.LAMBDA(_xlpm.s,_xlpm.l,SUM(INDEX(_xlpm.data,,_xlfn.SEQUENCE(,_xlpm.l,_xlpm.s))))),ROUND(_xlpm.arr*$O7/1000,2))</f>
        <v>0</v>
      </c>
      <c r="BK7" s="330">
        <v>0</v>
      </c>
      <c r="BL7" s="330">
        <v>17.46</v>
      </c>
      <c r="BM7" s="330">
        <v>26.2</v>
      </c>
      <c r="BN7" s="258">
        <f t="shared" si="12"/>
        <v>43.66</v>
      </c>
      <c r="BO7" s="258">
        <v>22.16</v>
      </c>
      <c r="BP7" s="258">
        <v>22.16</v>
      </c>
      <c r="BQ7" s="258">
        <v>25.32</v>
      </c>
      <c r="BR7" s="258">
        <v>28.49</v>
      </c>
      <c r="BT7" s="258" cm="1">
        <f ca="1" t="array" ref="BT7:BW7">_xlfn.HSTACK(SUM(INDEX($R7:$AV7,1,1):INDEX($R7:$AV7,1,7)),SUM(INDEX($R7:$AV7,1,7):INDEX($R7:$AV7,1,13)),SUM(INDEX($R7:$AV7,1,16):INDEX($R7:$AV7,1,23)),SUM(INDEX($R7:$AV7,1,23):INDEX($R7:$AV7,1,31)))</f>
        <v>0</v>
      </c>
      <c r="BU7" s="258">
        <v>0</v>
      </c>
      <c r="BV7" s="258">
        <v>360</v>
      </c>
      <c r="BW7" s="258">
        <v>540</v>
      </c>
      <c r="BY7" s="258">
        <f t="shared" si="21"/>
        <v>0</v>
      </c>
      <c r="BZ7" s="258">
        <f t="shared" si="22"/>
        <v>0</v>
      </c>
      <c r="CA7" s="258">
        <f t="shared" si="23"/>
        <v>300</v>
      </c>
      <c r="CB7" s="258">
        <f t="shared" si="24"/>
        <v>540</v>
      </c>
      <c r="CE7" s="258">
        <f t="shared" si="25"/>
        <v>0</v>
      </c>
      <c r="CF7" s="258">
        <f t="shared" si="13"/>
        <v>0</v>
      </c>
      <c r="CG7" s="258">
        <f t="shared" si="14"/>
        <v>14.55</v>
      </c>
      <c r="CH7" s="258">
        <f t="shared" si="15"/>
        <v>26.2</v>
      </c>
      <c r="CI7" s="258">
        <f t="shared" si="16"/>
        <v>40.75</v>
      </c>
      <c r="CK7" s="258">
        <f t="shared" ref="CK7:CN7" si="30">IFERROR(ROUND(BY7*$P7,2),"")</f>
        <v>0</v>
      </c>
      <c r="CL7" s="258">
        <f t="shared" si="30"/>
        <v>0</v>
      </c>
      <c r="CM7" s="258">
        <f t="shared" si="30"/>
        <v>211993.74</v>
      </c>
      <c r="CN7" s="258">
        <f t="shared" si="30"/>
        <v>381588.73</v>
      </c>
      <c r="CO7" s="258">
        <f t="shared" si="18"/>
        <v>593582.47</v>
      </c>
      <c r="CP7" s="258">
        <f>VLOOKUP(G7,[2]Sheet1!$C$3:$G$310,5,0)</f>
        <v>7500</v>
      </c>
      <c r="CQ7" s="258" t="e">
        <f>VLOOKUP(G7,[3]KCBB0101!$C$3:$F$691,4,0)</f>
        <v>#N/A</v>
      </c>
    </row>
    <row r="8" s="258" customFormat="1" ht="17.6" spans="1:95">
      <c r="A8" s="330"/>
      <c r="B8" s="334" t="str">
        <f>_xlfn.XLOOKUP(G8,销售需求表!A:A,销售需求表!C:C)</f>
        <v>北美</v>
      </c>
      <c r="C8" s="335" t="str">
        <f t="shared" si="19"/>
        <v>22.5</v>
      </c>
      <c r="D8" s="334" t="str">
        <f t="shared" si="0"/>
        <v>北美22.5寸</v>
      </c>
      <c r="E8" s="339" t="str">
        <f t="shared" si="1"/>
        <v>11R22.5-14PR(144/142M)-M-TRAC TR</v>
      </c>
      <c r="F8" s="340" t="str">
        <f t="shared" si="2"/>
        <v>11R22.5-14PR-M-TRAC TR</v>
      </c>
      <c r="G8" s="341" t="s">
        <v>368</v>
      </c>
      <c r="H8" s="334">
        <v>620</v>
      </c>
      <c r="I8" s="345"/>
      <c r="J8" s="346" t="str">
        <f t="shared" si="20"/>
        <v>11R22.5-M-TRAC TR</v>
      </c>
      <c r="K8" s="347" t="str">
        <f>_xlfn.XLOOKUP(F8,投产规格!E:E,投产规格!D:D,"未投产")</f>
        <v>✔</v>
      </c>
      <c r="L8" s="347">
        <f>IFERROR(_xlfn.XLOOKUP(F8,硫化工艺!B:B,硫化工艺!C:C),"")</f>
        <v>33.5</v>
      </c>
      <c r="M8" s="349">
        <f t="shared" si="3"/>
        <v>0.851694915254237</v>
      </c>
      <c r="N8" s="347" t="str">
        <f t="shared" si="28"/>
        <v>22.5全钢</v>
      </c>
      <c r="O8" s="347">
        <f>IFERROR(_xlfn.XLOOKUP(F8,轮胎重量!J:J,轮胎重量!G:G),"")</f>
        <v>59.57</v>
      </c>
      <c r="P8" s="350">
        <f>O8*13.9</f>
        <v>828.023</v>
      </c>
      <c r="Q8" s="347">
        <f t="shared" si="4"/>
        <v>0</v>
      </c>
      <c r="R8" s="347"/>
      <c r="S8" s="347"/>
      <c r="T8" s="347"/>
      <c r="U8" s="347"/>
      <c r="V8" s="347"/>
      <c r="W8" s="347"/>
      <c r="X8" s="347"/>
      <c r="Y8" s="347"/>
      <c r="Z8" s="347"/>
      <c r="AA8" s="347"/>
      <c r="AB8" s="347"/>
      <c r="AC8" s="347"/>
      <c r="AD8" s="347"/>
      <c r="AE8" s="347"/>
      <c r="AF8" s="347"/>
      <c r="AG8" s="347"/>
      <c r="AH8" s="347"/>
      <c r="AI8" s="352">
        <v>60</v>
      </c>
      <c r="AJ8" s="347">
        <v>60</v>
      </c>
      <c r="AK8" s="347">
        <v>60</v>
      </c>
      <c r="AL8" s="347">
        <v>60</v>
      </c>
      <c r="AM8" s="347">
        <v>60</v>
      </c>
      <c r="AN8" s="347">
        <v>60</v>
      </c>
      <c r="AO8" s="347">
        <v>60</v>
      </c>
      <c r="AP8" s="347">
        <v>60</v>
      </c>
      <c r="AQ8" s="347">
        <v>60</v>
      </c>
      <c r="AR8" s="352">
        <v>60</v>
      </c>
      <c r="AS8" s="347"/>
      <c r="AT8" s="347"/>
      <c r="AU8" s="347"/>
      <c r="AV8" s="347"/>
      <c r="AW8" s="347">
        <f t="shared" si="5"/>
        <v>600</v>
      </c>
      <c r="AX8" s="365">
        <f t="shared" si="6"/>
        <v>35.742</v>
      </c>
      <c r="AY8" s="365">
        <f t="shared" si="7"/>
        <v>49.681</v>
      </c>
      <c r="AZ8" s="367"/>
      <c r="BA8" s="258"/>
      <c r="BB8" s="258"/>
      <c r="BC8" s="330"/>
      <c r="BD8" s="330"/>
      <c r="BE8" s="330">
        <f t="shared" si="8"/>
        <v>0</v>
      </c>
      <c r="BF8" s="330">
        <f t="shared" si="9"/>
        <v>0</v>
      </c>
      <c r="BG8" s="330">
        <f t="shared" si="10"/>
        <v>0</v>
      </c>
      <c r="BH8" s="330">
        <f t="shared" si="11"/>
        <v>0</v>
      </c>
      <c r="BI8" s="330"/>
      <c r="BJ8" s="370" cm="1">
        <f t="array" ref="BJ8:BM8">_xlfn.LET(_xlpm.data,$R8:$AV8,_xlpm.starts,{1,8,16,23},_xlpm.lengths,{7,7,8,9},_xlpm.arr,_xlfn.MAP(_xlpm.starts,_xlpm.lengths,_xlfn.LAMBDA(_xlpm.s,_xlpm.l,SUM(INDEX(_xlpm.data,,_xlfn.SEQUENCE(,_xlpm.l,_xlpm.s))))),ROUND(_xlpm.arr*$O8/1000,2))</f>
        <v>0</v>
      </c>
      <c r="BK8" s="330">
        <v>0</v>
      </c>
      <c r="BL8" s="330">
        <v>21.45</v>
      </c>
      <c r="BM8" s="330">
        <v>17.87</v>
      </c>
      <c r="BN8" s="258">
        <f t="shared" si="12"/>
        <v>39.32</v>
      </c>
      <c r="BO8" s="258">
        <v>0</v>
      </c>
      <c r="BP8" s="258">
        <v>0</v>
      </c>
      <c r="BQ8" s="258">
        <v>0</v>
      </c>
      <c r="BR8" s="258">
        <v>0</v>
      </c>
      <c r="BS8" s="115"/>
      <c r="BT8" s="258" cm="1">
        <f ca="1" t="array" ref="BT8:BW8">_xlfn.HSTACK(SUM(INDEX($R8:$AV8,1,1):INDEX($R8:$AV8,1,7)),SUM(INDEX($R8:$AV8,1,7):INDEX($R8:$AV8,1,13)),SUM(INDEX($R8:$AV8,1,16):INDEX($R8:$AV8,1,23)),SUM(INDEX($R8:$AV8,1,23):INDEX($R8:$AV8,1,31)))</f>
        <v>0</v>
      </c>
      <c r="BU8" s="258">
        <v>0</v>
      </c>
      <c r="BV8" s="258">
        <v>360</v>
      </c>
      <c r="BW8" s="258">
        <v>300</v>
      </c>
      <c r="BY8" s="258">
        <f t="shared" si="21"/>
        <v>0</v>
      </c>
      <c r="BZ8" s="258">
        <f t="shared" si="22"/>
        <v>0</v>
      </c>
      <c r="CA8" s="258">
        <f t="shared" si="23"/>
        <v>300</v>
      </c>
      <c r="CB8" s="258">
        <f t="shared" si="24"/>
        <v>300</v>
      </c>
      <c r="CD8" s="113"/>
      <c r="CE8" s="258">
        <f t="shared" si="25"/>
        <v>0</v>
      </c>
      <c r="CF8" s="258">
        <f t="shared" si="13"/>
        <v>0</v>
      </c>
      <c r="CG8" s="258">
        <f t="shared" si="14"/>
        <v>17.87</v>
      </c>
      <c r="CH8" s="258">
        <f t="shared" si="15"/>
        <v>17.87</v>
      </c>
      <c r="CI8" s="258">
        <f t="shared" si="16"/>
        <v>35.74</v>
      </c>
      <c r="CJ8" s="113"/>
      <c r="CK8" s="258">
        <f t="shared" ref="CK8:CN8" si="31">IFERROR(ROUND(BY8*$P8,2),"")</f>
        <v>0</v>
      </c>
      <c r="CL8" s="258">
        <f t="shared" si="31"/>
        <v>0</v>
      </c>
      <c r="CM8" s="258">
        <f t="shared" si="31"/>
        <v>248406.9</v>
      </c>
      <c r="CN8" s="258">
        <f t="shared" si="31"/>
        <v>248406.9</v>
      </c>
      <c r="CO8" s="258">
        <f t="shared" si="18"/>
        <v>496813.8</v>
      </c>
      <c r="CP8" s="258" t="e">
        <f>VLOOKUP(G8,[2]Sheet1!$C$3:$G$310,5,0)</f>
        <v>#N/A</v>
      </c>
      <c r="CQ8" s="258">
        <f>VLOOKUP(G8,[3]KCBB0101!$C$3:$F$691,4,0)</f>
        <v>8000</v>
      </c>
    </row>
    <row r="9" s="258" customFormat="1" ht="17.6" spans="1:95">
      <c r="A9" s="330"/>
      <c r="B9" s="334" t="str">
        <f>_xlfn.XLOOKUP(G9,销售需求表!A:A,销售需求表!C:C)</f>
        <v>北美</v>
      </c>
      <c r="C9" s="335" t="str">
        <f t="shared" si="19"/>
        <v>22.5</v>
      </c>
      <c r="D9" s="334" t="str">
        <f t="shared" si="0"/>
        <v>北美22.5寸</v>
      </c>
      <c r="E9" s="339" t="str">
        <f t="shared" si="1"/>
        <v>11R22.5-14PR(144/142M)-Strong Guard H-TL</v>
      </c>
      <c r="F9" s="340" t="str">
        <f t="shared" si="2"/>
        <v>11R22.5-14PR-H-TL</v>
      </c>
      <c r="G9" s="341" t="s">
        <v>369</v>
      </c>
      <c r="H9" s="334">
        <v>280</v>
      </c>
      <c r="I9" s="345"/>
      <c r="J9" s="346" t="str">
        <f t="shared" si="20"/>
        <v>11R22.5-H-TL</v>
      </c>
      <c r="K9" s="347" t="str">
        <f>_xlfn.XLOOKUP(F9,投产规格!E:E,投产规格!D:D,"未投产")</f>
        <v>✔</v>
      </c>
      <c r="L9" s="347">
        <f>IFERROR(_xlfn.XLOOKUP(F9,硫化工艺!B:B,硫化工艺!C:C),"")</f>
        <v>34</v>
      </c>
      <c r="M9" s="349">
        <f t="shared" si="3"/>
        <v>0.853556485355648</v>
      </c>
      <c r="N9" s="347" t="str">
        <f t="shared" si="28"/>
        <v>22.5全钢</v>
      </c>
      <c r="O9" s="347">
        <f>IFERROR(_xlfn.XLOOKUP(F9,轮胎重量!J:J,轮胎重量!G:G),"")</f>
        <v>49.075</v>
      </c>
      <c r="P9" s="347">
        <f>IFERROR(_xlfn.XLOOKUP(G9,硫化工艺!I:I,硫化工艺!J:J),"")</f>
        <v>711.929995</v>
      </c>
      <c r="Q9" s="347">
        <f t="shared" si="4"/>
        <v>0</v>
      </c>
      <c r="R9" s="347"/>
      <c r="S9" s="347"/>
      <c r="T9" s="347"/>
      <c r="U9" s="347"/>
      <c r="V9" s="347"/>
      <c r="W9" s="347"/>
      <c r="X9" s="347"/>
      <c r="Y9" s="347"/>
      <c r="Z9" s="347"/>
      <c r="AA9" s="347"/>
      <c r="AB9" s="347"/>
      <c r="AC9" s="347"/>
      <c r="AD9" s="347"/>
      <c r="AE9" s="347"/>
      <c r="AF9" s="347"/>
      <c r="AG9" s="347"/>
      <c r="AH9" s="347"/>
      <c r="AI9" s="347"/>
      <c r="AJ9" s="347"/>
      <c r="AK9" s="347"/>
      <c r="AL9" s="347"/>
      <c r="AM9" s="347"/>
      <c r="AN9" s="347">
        <v>60</v>
      </c>
      <c r="AO9" s="347">
        <v>60</v>
      </c>
      <c r="AP9" s="347">
        <v>60</v>
      </c>
      <c r="AQ9" s="347">
        <v>60</v>
      </c>
      <c r="AR9" s="347">
        <v>60</v>
      </c>
      <c r="AS9" s="347">
        <v>60</v>
      </c>
      <c r="AT9" s="347">
        <v>60</v>
      </c>
      <c r="AU9" s="347">
        <v>60</v>
      </c>
      <c r="AV9" s="347">
        <v>60</v>
      </c>
      <c r="AW9" s="347">
        <f t="shared" si="5"/>
        <v>540</v>
      </c>
      <c r="AX9" s="365">
        <f t="shared" si="6"/>
        <v>26.5005</v>
      </c>
      <c r="AY9" s="365">
        <f t="shared" si="7"/>
        <v>38.444</v>
      </c>
      <c r="AZ9" s="367"/>
      <c r="BA9" s="258"/>
      <c r="BB9" s="258"/>
      <c r="BC9" s="330"/>
      <c r="BD9" s="330"/>
      <c r="BE9" s="330">
        <f t="shared" si="8"/>
        <v>0</v>
      </c>
      <c r="BF9" s="330">
        <f t="shared" si="9"/>
        <v>0</v>
      </c>
      <c r="BG9" s="330">
        <f t="shared" si="10"/>
        <v>0</v>
      </c>
      <c r="BH9" s="330">
        <f t="shared" si="11"/>
        <v>0</v>
      </c>
      <c r="BI9" s="330"/>
      <c r="BJ9" s="370" cm="1">
        <f t="array" ref="BJ9:BM9">_xlfn.LET(_xlpm.data,$R9:$AV9,_xlpm.starts,{1,8,16,23},_xlpm.lengths,{7,7,8,9},_xlpm.arr,_xlfn.MAP(_xlpm.starts,_xlpm.lengths,_xlfn.LAMBDA(_xlpm.s,_xlpm.l,SUM(INDEX(_xlpm.data,,_xlfn.SEQUENCE(,_xlpm.l,_xlpm.s))))),ROUND(_xlpm.arr*$O9/1000,2))</f>
        <v>0</v>
      </c>
      <c r="BK9" s="330">
        <v>0</v>
      </c>
      <c r="BL9" s="330">
        <v>2.94</v>
      </c>
      <c r="BM9" s="330">
        <v>26.5</v>
      </c>
      <c r="BN9" s="258">
        <f t="shared" si="12"/>
        <v>29.44</v>
      </c>
      <c r="BO9" s="258">
        <v>0</v>
      </c>
      <c r="BP9" s="258">
        <v>0</v>
      </c>
      <c r="BQ9" s="258">
        <v>0</v>
      </c>
      <c r="BR9" s="258">
        <v>0</v>
      </c>
      <c r="BS9" s="115"/>
      <c r="BT9" s="258" cm="1">
        <f ca="1" t="array" ref="BT9:BW9">_xlfn.HSTACK(SUM(INDEX($R9:$AV9,1,1):INDEX($R9:$AV9,1,7)),SUM(INDEX($R9:$AV9,1,7):INDEX($R9:$AV9,1,13)),SUM(INDEX($R9:$AV9,1,16):INDEX($R9:$AV9,1,23)),SUM(INDEX($R9:$AV9,1,23):INDEX($R9:$AV9,1,31)))</f>
        <v>0</v>
      </c>
      <c r="BU9" s="258">
        <v>0</v>
      </c>
      <c r="BV9" s="258">
        <v>60</v>
      </c>
      <c r="BW9" s="258">
        <v>540</v>
      </c>
      <c r="BY9" s="258">
        <f t="shared" si="21"/>
        <v>0</v>
      </c>
      <c r="BZ9" s="258">
        <f t="shared" si="22"/>
        <v>0</v>
      </c>
      <c r="CA9" s="258">
        <f t="shared" si="23"/>
        <v>0</v>
      </c>
      <c r="CB9" s="258">
        <f t="shared" si="24"/>
        <v>540</v>
      </c>
      <c r="CD9" s="113"/>
      <c r="CE9" s="258">
        <f t="shared" si="25"/>
        <v>0</v>
      </c>
      <c r="CF9" s="258">
        <f t="shared" si="13"/>
        <v>0</v>
      </c>
      <c r="CG9" s="258">
        <f t="shared" si="14"/>
        <v>0</v>
      </c>
      <c r="CH9" s="258">
        <f t="shared" si="15"/>
        <v>26.5</v>
      </c>
      <c r="CI9" s="258">
        <f t="shared" si="16"/>
        <v>26.5</v>
      </c>
      <c r="CJ9" s="113"/>
      <c r="CK9" s="258">
        <f t="shared" ref="CK9:CN9" si="32">IFERROR(ROUND(BY9*$P9,2),"")</f>
        <v>0</v>
      </c>
      <c r="CL9" s="258">
        <f t="shared" si="32"/>
        <v>0</v>
      </c>
      <c r="CM9" s="258">
        <f t="shared" si="32"/>
        <v>0</v>
      </c>
      <c r="CN9" s="258">
        <f t="shared" si="32"/>
        <v>384442.2</v>
      </c>
      <c r="CO9" s="258">
        <f t="shared" si="18"/>
        <v>384442.2</v>
      </c>
      <c r="CP9" s="258">
        <f>VLOOKUP(G9,[2]Sheet1!$C$3:$G$310,5,0)</f>
        <v>11500</v>
      </c>
      <c r="CQ9" s="258" t="e">
        <f>VLOOKUP(G9,[3]KCBB0101!$C$3:$F$691,4,0)</f>
        <v>#N/A</v>
      </c>
    </row>
    <row r="10" s="258" customFormat="1" ht="17.6" spans="1:93">
      <c r="A10" s="330"/>
      <c r="B10" s="334" t="str">
        <f>_xlfn.XLOOKUP(G10,销售需求表!A:A,销售需求表!C:C)</f>
        <v>北美</v>
      </c>
      <c r="C10" s="335" t="str">
        <f t="shared" si="19"/>
        <v>22.5</v>
      </c>
      <c r="D10" s="334" t="str">
        <f t="shared" si="0"/>
        <v>北美22.5寸</v>
      </c>
      <c r="E10" s="339" t="str">
        <f t="shared" si="1"/>
        <v>11R22.5-16PR(146/143L)-DOMINATE D01</v>
      </c>
      <c r="F10" s="340" t="str">
        <f t="shared" si="2"/>
        <v>11R22.5-16PR-DOMINATE D01</v>
      </c>
      <c r="G10" s="339" t="s">
        <v>370</v>
      </c>
      <c r="H10" s="334">
        <v>280</v>
      </c>
      <c r="I10" s="345"/>
      <c r="J10" s="346" t="str">
        <f t="shared" si="20"/>
        <v>11R22.5-DOMINATE D01</v>
      </c>
      <c r="K10" s="347" t="str">
        <f>_xlfn.XLOOKUP(F10,投产规格!E:E,投产规格!D:D,"未投产")</f>
        <v>未投产</v>
      </c>
      <c r="L10" s="347">
        <f>IFERROR(_xlfn.XLOOKUP(F10,硫化工艺!B:B,硫化工艺!C:C),"")</f>
        <v>37</v>
      </c>
      <c r="M10" s="349">
        <f t="shared" si="3"/>
        <v>0.863813229571984</v>
      </c>
      <c r="N10" s="347" t="str">
        <f t="shared" si="28"/>
        <v>22.5全钢</v>
      </c>
      <c r="O10" s="347">
        <f>IFERROR(_xlfn.XLOOKUP(F10,轮胎重量!J:J,轮胎重量!G:G),"")</f>
        <v>58.509</v>
      </c>
      <c r="P10" s="347">
        <f>IFERROR(_xlfn.XLOOKUP(G10,硫化工艺!I:I,硫化工艺!J:J),"")</f>
        <v>854.698222</v>
      </c>
      <c r="Q10" s="347">
        <f t="shared" si="4"/>
        <v>0</v>
      </c>
      <c r="R10" s="347"/>
      <c r="S10" s="347"/>
      <c r="T10" s="347"/>
      <c r="U10" s="347"/>
      <c r="V10" s="347"/>
      <c r="W10" s="347"/>
      <c r="X10" s="347"/>
      <c r="Y10" s="347"/>
      <c r="Z10" s="347"/>
      <c r="AA10" s="347"/>
      <c r="AB10" s="347"/>
      <c r="AC10" s="347"/>
      <c r="AD10" s="347"/>
      <c r="AE10" s="347"/>
      <c r="AF10" s="347"/>
      <c r="AG10" s="347"/>
      <c r="AH10" s="347"/>
      <c r="AI10" s="347"/>
      <c r="AJ10" s="347"/>
      <c r="AK10" s="347"/>
      <c r="AL10" s="347"/>
      <c r="AM10" s="347"/>
      <c r="AN10" s="347"/>
      <c r="AO10" s="347"/>
      <c r="AP10" s="347"/>
      <c r="AQ10" s="347"/>
      <c r="AR10" s="347"/>
      <c r="AS10" s="347"/>
      <c r="AT10" s="347"/>
      <c r="AU10" s="347"/>
      <c r="AV10" s="347"/>
      <c r="AW10" s="347" t="str">
        <f t="shared" si="5"/>
        <v/>
      </c>
      <c r="AX10" s="365" t="str">
        <f t="shared" si="6"/>
        <v/>
      </c>
      <c r="AY10" s="365" t="str">
        <f t="shared" si="7"/>
        <v/>
      </c>
      <c r="AZ10" s="367"/>
      <c r="BA10" s="258"/>
      <c r="BB10" s="258"/>
      <c r="BC10" s="330"/>
      <c r="BD10" s="330"/>
      <c r="BE10" s="330" t="e">
        <f t="shared" si="8"/>
        <v>#VALUE!</v>
      </c>
      <c r="BF10" s="330" t="e">
        <f t="shared" si="9"/>
        <v>#VALUE!</v>
      </c>
      <c r="BG10" s="330" t="e">
        <f t="shared" si="10"/>
        <v>#VALUE!</v>
      </c>
      <c r="BH10" s="330" t="e">
        <f t="shared" si="11"/>
        <v>#VALUE!</v>
      </c>
      <c r="BI10" s="330"/>
      <c r="BJ10" s="370" cm="1">
        <f t="array" ref="BJ10:BM10">_xlfn.LET(_xlpm.data,$R10:$AV10,_xlpm.starts,{1,8,16,23},_xlpm.lengths,{7,7,8,9},_xlpm.arr,_xlfn.MAP(_xlpm.starts,_xlpm.lengths,_xlfn.LAMBDA(_xlpm.s,_xlpm.l,SUM(INDEX(_xlpm.data,,_xlfn.SEQUENCE(,_xlpm.l,_xlpm.s))))),ROUND(_xlpm.arr*$O10/1000,2))</f>
        <v>0</v>
      </c>
      <c r="BK10" s="330">
        <v>0</v>
      </c>
      <c r="BL10" s="330">
        <v>0</v>
      </c>
      <c r="BM10" s="330">
        <v>0</v>
      </c>
      <c r="BN10" s="258">
        <f t="shared" si="12"/>
        <v>0</v>
      </c>
      <c r="BO10" s="258">
        <v>0</v>
      </c>
      <c r="BP10" s="258">
        <v>0</v>
      </c>
      <c r="BQ10" s="258">
        <v>0</v>
      </c>
      <c r="BR10" s="258">
        <v>0</v>
      </c>
      <c r="BS10" s="115"/>
      <c r="BT10" s="258" cm="1">
        <f ca="1" t="array" ref="BT10:BW10">_xlfn.HSTACK(SUM(INDEX($R10:$AV10,1,1):INDEX($R10:$AV10,1,7)),SUM(INDEX($R10:$AV10,1,7):INDEX($R10:$AV10,1,13)),SUM(INDEX($R10:$AV10,1,16):INDEX($R10:$AV10,1,23)),SUM(INDEX($R10:$AV10,1,23):INDEX($R10:$AV10,1,31)))</f>
        <v>0</v>
      </c>
      <c r="BU10" s="258">
        <v>0</v>
      </c>
      <c r="BV10" s="258">
        <v>0</v>
      </c>
      <c r="BW10" s="258">
        <v>0</v>
      </c>
      <c r="BY10" s="258">
        <f t="shared" si="21"/>
        <v>0</v>
      </c>
      <c r="BZ10" s="258">
        <f t="shared" si="22"/>
        <v>0</v>
      </c>
      <c r="CA10" s="258">
        <f t="shared" si="23"/>
        <v>0</v>
      </c>
      <c r="CB10" s="258">
        <f t="shared" si="24"/>
        <v>0</v>
      </c>
      <c r="CD10" s="113"/>
      <c r="CE10" s="258">
        <f t="shared" si="25"/>
        <v>0</v>
      </c>
      <c r="CF10" s="258">
        <f t="shared" si="13"/>
        <v>0</v>
      </c>
      <c r="CG10" s="258">
        <f t="shared" si="14"/>
        <v>0</v>
      </c>
      <c r="CH10" s="258">
        <f t="shared" si="15"/>
        <v>0</v>
      </c>
      <c r="CI10" s="258">
        <f t="shared" si="16"/>
        <v>0</v>
      </c>
      <c r="CJ10" s="113"/>
      <c r="CK10" s="258">
        <f t="shared" ref="CK10:CN10" si="33">IFERROR(ROUND(BY10*$P10,2),"")</f>
        <v>0</v>
      </c>
      <c r="CL10" s="258">
        <f t="shared" si="33"/>
        <v>0</v>
      </c>
      <c r="CM10" s="258">
        <f t="shared" si="33"/>
        <v>0</v>
      </c>
      <c r="CN10" s="258">
        <f t="shared" si="33"/>
        <v>0</v>
      </c>
      <c r="CO10" s="258">
        <f t="shared" si="18"/>
        <v>0</v>
      </c>
    </row>
    <row r="11" s="258" customFormat="1" ht="17.6" spans="1:93">
      <c r="A11" s="330"/>
      <c r="B11" s="334" t="str">
        <f>_xlfn.XLOOKUP(G11,销售需求表!A:A,销售需求表!C:C)</f>
        <v>北美</v>
      </c>
      <c r="C11" s="335" t="str">
        <f t="shared" si="19"/>
        <v>22.5</v>
      </c>
      <c r="D11" s="334" t="str">
        <f t="shared" si="0"/>
        <v>北美22.5寸</v>
      </c>
      <c r="E11" s="339" t="str">
        <f t="shared" si="1"/>
        <v>11R22.5-16PR(146/143L)-HD1 PlusX</v>
      </c>
      <c r="F11" s="340" t="str">
        <f t="shared" si="2"/>
        <v>11R22.5-16PR-HD1 PlusX</v>
      </c>
      <c r="G11" s="339" t="s">
        <v>371</v>
      </c>
      <c r="H11" s="334">
        <v>750</v>
      </c>
      <c r="I11" s="345"/>
      <c r="J11" s="346" t="str">
        <f t="shared" si="20"/>
        <v>11R22.5-HD1 PlusX</v>
      </c>
      <c r="K11" s="347" t="str">
        <f>_xlfn.XLOOKUP(F11,投产规格!E:E,投产规格!D:D,"未投产")</f>
        <v>未投产</v>
      </c>
      <c r="L11" s="347">
        <f>IFERROR(_xlfn.XLOOKUP(F11,硫化工艺!B:B,硫化工艺!C:C),"")</f>
        <v>38</v>
      </c>
      <c r="M11" s="349">
        <f t="shared" si="3"/>
        <v>0.866920152091255</v>
      </c>
      <c r="N11" s="347" t="str">
        <f t="shared" si="28"/>
        <v>22.5全钢</v>
      </c>
      <c r="O11" s="347">
        <f>IFERROR(_xlfn.XLOOKUP(F11,轮胎重量!J:J,轮胎重量!G:G),"")</f>
        <v>54.54</v>
      </c>
      <c r="P11" s="347">
        <f>IFERROR(_xlfn.XLOOKUP(G11,硫化工艺!I:I,硫化工艺!J:J),"")</f>
        <v>748.795481</v>
      </c>
      <c r="Q11" s="347">
        <f t="shared" si="4"/>
        <v>0</v>
      </c>
      <c r="R11" s="347"/>
      <c r="S11" s="347"/>
      <c r="T11" s="347"/>
      <c r="U11" s="347"/>
      <c r="V11" s="347"/>
      <c r="W11" s="347"/>
      <c r="X11" s="347"/>
      <c r="Y11" s="347"/>
      <c r="Z11" s="347"/>
      <c r="AA11" s="347"/>
      <c r="AB11" s="347"/>
      <c r="AC11" s="347"/>
      <c r="AD11" s="347"/>
      <c r="AE11" s="347"/>
      <c r="AF11" s="347"/>
      <c r="AG11" s="347"/>
      <c r="AH11" s="347"/>
      <c r="AI11" s="347"/>
      <c r="AJ11" s="347"/>
      <c r="AK11" s="347"/>
      <c r="AL11" s="347"/>
      <c r="AM11" s="347"/>
      <c r="AN11" s="347"/>
      <c r="AO11" s="347"/>
      <c r="AP11" s="347"/>
      <c r="AQ11" s="347"/>
      <c r="AR11" s="347"/>
      <c r="AS11" s="347"/>
      <c r="AT11" s="347"/>
      <c r="AU11" s="347"/>
      <c r="AV11" s="347"/>
      <c r="AW11" s="347" t="str">
        <f t="shared" si="5"/>
        <v/>
      </c>
      <c r="AX11" s="365" t="str">
        <f t="shared" si="6"/>
        <v/>
      </c>
      <c r="AY11" s="365" t="str">
        <f t="shared" si="7"/>
        <v/>
      </c>
      <c r="AZ11" s="367"/>
      <c r="BA11" s="258"/>
      <c r="BB11" s="258"/>
      <c r="BC11" s="330"/>
      <c r="BD11" s="330"/>
      <c r="BE11" s="330" t="e">
        <f t="shared" si="8"/>
        <v>#VALUE!</v>
      </c>
      <c r="BF11" s="330" t="e">
        <f t="shared" si="9"/>
        <v>#VALUE!</v>
      </c>
      <c r="BG11" s="330" t="e">
        <f t="shared" si="10"/>
        <v>#VALUE!</v>
      </c>
      <c r="BH11" s="330" t="e">
        <f t="shared" si="11"/>
        <v>#VALUE!</v>
      </c>
      <c r="BI11" s="330"/>
      <c r="BJ11" s="370" cm="1">
        <f t="array" ref="BJ11:BM11">_xlfn.LET(_xlpm.data,$R11:$AV11,_xlpm.starts,{1,8,16,23},_xlpm.lengths,{7,7,8,9},_xlpm.arr,_xlfn.MAP(_xlpm.starts,_xlpm.lengths,_xlfn.LAMBDA(_xlpm.s,_xlpm.l,SUM(INDEX(_xlpm.data,,_xlfn.SEQUENCE(,_xlpm.l,_xlpm.s))))),ROUND(_xlpm.arr*$O11/1000,2))</f>
        <v>0</v>
      </c>
      <c r="BK11" s="330">
        <v>0</v>
      </c>
      <c r="BL11" s="330">
        <v>0</v>
      </c>
      <c r="BM11" s="330">
        <v>0</v>
      </c>
      <c r="BN11" s="258">
        <f t="shared" si="12"/>
        <v>0</v>
      </c>
      <c r="BO11" s="258">
        <v>0</v>
      </c>
      <c r="BP11" s="258">
        <v>0</v>
      </c>
      <c r="BQ11" s="258">
        <v>0</v>
      </c>
      <c r="BR11" s="258">
        <v>0</v>
      </c>
      <c r="BS11" s="115"/>
      <c r="BT11" s="258" cm="1">
        <f ca="1" t="array" ref="BT11:BW11">_xlfn.HSTACK(SUM(INDEX($R11:$AV11,1,1):INDEX($R11:$AV11,1,7)),SUM(INDEX($R11:$AV11,1,7):INDEX($R11:$AV11,1,13)),SUM(INDEX($R11:$AV11,1,16):INDEX($R11:$AV11,1,23)),SUM(INDEX($R11:$AV11,1,23):INDEX($R11:$AV11,1,31)))</f>
        <v>0</v>
      </c>
      <c r="BU11" s="258">
        <v>0</v>
      </c>
      <c r="BV11" s="258">
        <v>0</v>
      </c>
      <c r="BW11" s="258">
        <v>0</v>
      </c>
      <c r="BY11" s="258">
        <f t="shared" si="21"/>
        <v>0</v>
      </c>
      <c r="BZ11" s="258">
        <f t="shared" si="22"/>
        <v>0</v>
      </c>
      <c r="CA11" s="258">
        <f t="shared" si="23"/>
        <v>0</v>
      </c>
      <c r="CB11" s="258">
        <f t="shared" si="24"/>
        <v>0</v>
      </c>
      <c r="CD11" s="113"/>
      <c r="CE11" s="258">
        <f t="shared" si="25"/>
        <v>0</v>
      </c>
      <c r="CF11" s="258">
        <f t="shared" si="13"/>
        <v>0</v>
      </c>
      <c r="CG11" s="258">
        <f t="shared" si="14"/>
        <v>0</v>
      </c>
      <c r="CH11" s="258">
        <f t="shared" si="15"/>
        <v>0</v>
      </c>
      <c r="CI11" s="258">
        <f t="shared" si="16"/>
        <v>0</v>
      </c>
      <c r="CJ11" s="113"/>
      <c r="CK11" s="258">
        <f t="shared" ref="CK11:CN11" si="34">IFERROR(ROUND(BY11*$P11,2),"")</f>
        <v>0</v>
      </c>
      <c r="CL11" s="258">
        <f t="shared" si="34"/>
        <v>0</v>
      </c>
      <c r="CM11" s="258">
        <f t="shared" si="34"/>
        <v>0</v>
      </c>
      <c r="CN11" s="258">
        <f t="shared" si="34"/>
        <v>0</v>
      </c>
      <c r="CO11" s="258">
        <f t="shared" si="18"/>
        <v>0</v>
      </c>
    </row>
    <row r="12" s="258" customFormat="1" ht="17.6" spans="1:95">
      <c r="A12" s="330"/>
      <c r="B12" s="334" t="str">
        <f>_xlfn.XLOOKUP(G12,销售需求表!A:A,销售需求表!C:C)</f>
        <v>北美</v>
      </c>
      <c r="C12" s="335" t="str">
        <f t="shared" si="19"/>
        <v>22.5</v>
      </c>
      <c r="D12" s="334" t="str">
        <f t="shared" si="0"/>
        <v>北美22.5寸</v>
      </c>
      <c r="E12" s="339" t="str">
        <f t="shared" si="1"/>
        <v>11R22.5-16PR(146/143L)-KOBE DPM</v>
      </c>
      <c r="F12" s="340" t="str">
        <f t="shared" si="2"/>
        <v>11R22.5-16PR-KOBE DPM</v>
      </c>
      <c r="G12" s="342" t="s">
        <v>86</v>
      </c>
      <c r="H12" s="334">
        <v>1700</v>
      </c>
      <c r="I12" s="345">
        <v>2</v>
      </c>
      <c r="J12" s="346" t="str">
        <f t="shared" si="20"/>
        <v>11R22.5-KOBE DPM</v>
      </c>
      <c r="K12" s="347" t="str">
        <f>_xlfn.XLOOKUP(F12,投产规格!E:E,投产规格!D:D,"未投产")</f>
        <v>✔</v>
      </c>
      <c r="L12" s="347">
        <f>IFERROR(_xlfn.XLOOKUP(F12,硫化工艺!B:B,硫化工艺!C:C),"")</f>
        <v>38</v>
      </c>
      <c r="M12" s="349">
        <f t="shared" si="3"/>
        <v>0.866920152091255</v>
      </c>
      <c r="N12" s="347" t="str">
        <f t="shared" si="28"/>
        <v>22.5全钢</v>
      </c>
      <c r="O12" s="347">
        <f>IFERROR(_xlfn.XLOOKUP(F12,轮胎重量!J:J,轮胎重量!G:G),"")</f>
        <v>54.54</v>
      </c>
      <c r="P12" s="347">
        <f>IFERROR(_xlfn.XLOOKUP(G12,硫化工艺!I:I,硫化工艺!J:J),"")</f>
        <v>748.795481</v>
      </c>
      <c r="Q12" s="347">
        <f t="shared" si="4"/>
        <v>66</v>
      </c>
      <c r="R12" s="347">
        <v>60</v>
      </c>
      <c r="S12" s="347">
        <v>60</v>
      </c>
      <c r="T12" s="347">
        <v>60</v>
      </c>
      <c r="U12" s="347">
        <v>60</v>
      </c>
      <c r="V12" s="347">
        <v>60</v>
      </c>
      <c r="W12" s="352">
        <v>120</v>
      </c>
      <c r="X12" s="347">
        <v>120</v>
      </c>
      <c r="Y12" s="347">
        <v>120</v>
      </c>
      <c r="Z12" s="347">
        <v>120</v>
      </c>
      <c r="AA12" s="347">
        <v>120</v>
      </c>
      <c r="AB12" s="347">
        <v>120</v>
      </c>
      <c r="AC12" s="347">
        <v>120</v>
      </c>
      <c r="AD12" s="347">
        <v>120</v>
      </c>
      <c r="AE12" s="347">
        <v>120</v>
      </c>
      <c r="AF12" s="347">
        <v>120</v>
      </c>
      <c r="AG12" s="347">
        <v>120</v>
      </c>
      <c r="AH12" s="352">
        <v>120</v>
      </c>
      <c r="AI12" s="347"/>
      <c r="AJ12" s="347"/>
      <c r="AK12" s="347"/>
      <c r="AL12" s="347"/>
      <c r="AM12" s="347"/>
      <c r="AN12" s="347"/>
      <c r="AO12" s="347"/>
      <c r="AP12" s="347"/>
      <c r="AQ12" s="347"/>
      <c r="AR12" s="347"/>
      <c r="AS12" s="347"/>
      <c r="AT12" s="347"/>
      <c r="AU12" s="347"/>
      <c r="AV12" s="347"/>
      <c r="AW12" s="347">
        <v>3000</v>
      </c>
      <c r="AX12" s="365">
        <f t="shared" si="6"/>
        <v>163.62</v>
      </c>
      <c r="AY12" s="365">
        <f t="shared" si="7"/>
        <v>224.639</v>
      </c>
      <c r="AZ12" s="367"/>
      <c r="BA12" s="258"/>
      <c r="BB12" s="258"/>
      <c r="BC12" s="330"/>
      <c r="BD12" s="330"/>
      <c r="BE12" s="330">
        <f t="shared" si="8"/>
        <v>0</v>
      </c>
      <c r="BF12" s="330">
        <f t="shared" si="9"/>
        <v>0</v>
      </c>
      <c r="BG12" s="330">
        <f t="shared" si="10"/>
        <v>0</v>
      </c>
      <c r="BH12" s="330">
        <f t="shared" si="11"/>
        <v>0</v>
      </c>
      <c r="BI12" s="330"/>
      <c r="BJ12" s="370" cm="1">
        <f t="array" ref="BJ12:BM12">_xlfn.LET(_xlpm.data,$R12:$AV12,_xlpm.starts,{1,8,16,23},_xlpm.lengths,{7,7,8,9},_xlpm.arr,_xlfn.MAP(_xlpm.starts,_xlpm.lengths,_xlfn.LAMBDA(_xlpm.s,_xlpm.l,SUM(INDEX(_xlpm.data,,_xlfn.SEQUENCE(,_xlpm.l,_xlpm.s))))),ROUND(_xlpm.arr*$O12/1000,2))</f>
        <v>29.45</v>
      </c>
      <c r="BK12" s="330">
        <v>45.81</v>
      </c>
      <c r="BL12" s="330">
        <v>13.09</v>
      </c>
      <c r="BM12" s="330">
        <v>0</v>
      </c>
      <c r="BN12" s="258">
        <f t="shared" si="12"/>
        <v>88.35</v>
      </c>
      <c r="BO12" s="258">
        <v>0</v>
      </c>
      <c r="BP12" s="258">
        <v>0</v>
      </c>
      <c r="BQ12" s="258">
        <v>0</v>
      </c>
      <c r="BR12" s="258">
        <v>0</v>
      </c>
      <c r="BS12" s="115"/>
      <c r="BT12" s="258" cm="1">
        <f ca="1" t="array" ref="BT12:BW12">_xlfn.HSTACK(SUM(INDEX($R12:$AV12,1,1):INDEX($R12:$AV12,1,7)),SUM(INDEX($R12:$AV12,1,7):INDEX($R12:$AV12,1,13)),SUM(INDEX($R12:$AV12,1,16):INDEX($R12:$AV12,1,23)),SUM(INDEX($R12:$AV12,1,23):INDEX($R12:$AV12,1,31)))</f>
        <v>540</v>
      </c>
      <c r="BU12" s="258">
        <v>840</v>
      </c>
      <c r="BV12" s="258">
        <v>240</v>
      </c>
      <c r="BW12" s="258">
        <v>0</v>
      </c>
      <c r="BY12" s="258">
        <f t="shared" si="21"/>
        <v>540</v>
      </c>
      <c r="BZ12" s="258">
        <f t="shared" si="22"/>
        <v>840</v>
      </c>
      <c r="CA12" s="258">
        <f t="shared" si="23"/>
        <v>360</v>
      </c>
      <c r="CB12" s="258">
        <f t="shared" si="24"/>
        <v>0</v>
      </c>
      <c r="CD12" s="113"/>
      <c r="CE12" s="258">
        <f t="shared" si="25"/>
        <v>29.45</v>
      </c>
      <c r="CF12" s="258">
        <f t="shared" si="13"/>
        <v>45.81</v>
      </c>
      <c r="CG12" s="258">
        <f t="shared" si="14"/>
        <v>19.63</v>
      </c>
      <c r="CH12" s="258">
        <f t="shared" si="15"/>
        <v>0</v>
      </c>
      <c r="CI12" s="258">
        <f t="shared" si="16"/>
        <v>94.89</v>
      </c>
      <c r="CJ12" s="113"/>
      <c r="CK12" s="258">
        <f t="shared" ref="CK12:CN12" si="35">IFERROR(ROUND(BY12*$P12,2),"")</f>
        <v>404349.56</v>
      </c>
      <c r="CL12" s="258">
        <f t="shared" si="35"/>
        <v>628988.2</v>
      </c>
      <c r="CM12" s="258">
        <f t="shared" si="35"/>
        <v>269566.37</v>
      </c>
      <c r="CN12" s="258">
        <f t="shared" si="35"/>
        <v>0</v>
      </c>
      <c r="CO12" s="258">
        <f t="shared" si="18"/>
        <v>1302904.13</v>
      </c>
      <c r="CP12" s="258" t="e">
        <f>VLOOKUP(G12,[2]Sheet1!$C$3:$G$310,5,0)</f>
        <v>#N/A</v>
      </c>
      <c r="CQ12" s="258">
        <f>VLOOKUP(G12,[3]KCBB0101!$C$3:$F$691,4,0)</f>
        <v>3503</v>
      </c>
    </row>
    <row r="13" s="258" customFormat="1" ht="17.6" spans="1:93">
      <c r="A13" s="330"/>
      <c r="B13" s="334" t="str">
        <f>_xlfn.XLOOKUP(G13,销售需求表!A:A,销售需求表!C:C)</f>
        <v>北美</v>
      </c>
      <c r="C13" s="335" t="str">
        <f t="shared" si="19"/>
        <v>22.5</v>
      </c>
      <c r="D13" s="334" t="str">
        <f t="shared" si="0"/>
        <v>北美22.5寸</v>
      </c>
      <c r="E13" s="339" t="str">
        <f t="shared" si="1"/>
        <v>11R22.5-16PR(146/143L)-M-TRAC CSD+</v>
      </c>
      <c r="F13" s="340" t="str">
        <f t="shared" si="2"/>
        <v>11R22.5-16PR-M-TRAC CSD+</v>
      </c>
      <c r="G13" s="339" t="s">
        <v>372</v>
      </c>
      <c r="H13" s="334">
        <v>280</v>
      </c>
      <c r="I13" s="345"/>
      <c r="J13" s="346" t="str">
        <f t="shared" si="20"/>
        <v>11R22.5-M-TRAC CSD+</v>
      </c>
      <c r="K13" s="347" t="str">
        <f>_xlfn.XLOOKUP(F13,投产规格!E:E,投产规格!D:D,"未投产")</f>
        <v>未投产</v>
      </c>
      <c r="L13" s="347">
        <f>IFERROR(_xlfn.XLOOKUP(F13,硫化工艺!B:B,硫化工艺!C:C),"")</f>
        <v>38.5</v>
      </c>
      <c r="M13" s="349">
        <f t="shared" si="3"/>
        <v>0.868421052631579</v>
      </c>
      <c r="N13" s="347" t="str">
        <f t="shared" si="28"/>
        <v>22.5全钢</v>
      </c>
      <c r="O13" s="347">
        <f>IFERROR(_xlfn.XLOOKUP(F13,轮胎重量!J:J,轮胎重量!G:G),"")</f>
        <v>59.57</v>
      </c>
      <c r="P13" s="350">
        <f t="shared" ref="P13:P17" si="36">O13*13.9</f>
        <v>828.023</v>
      </c>
      <c r="Q13" s="347">
        <f t="shared" si="4"/>
        <v>0</v>
      </c>
      <c r="R13" s="347"/>
      <c r="S13" s="347"/>
      <c r="T13" s="347"/>
      <c r="U13" s="347"/>
      <c r="V13" s="347"/>
      <c r="W13" s="347"/>
      <c r="X13" s="347"/>
      <c r="Y13" s="347"/>
      <c r="Z13" s="347"/>
      <c r="AA13" s="347"/>
      <c r="AB13" s="347"/>
      <c r="AC13" s="347"/>
      <c r="AD13" s="347"/>
      <c r="AE13" s="347"/>
      <c r="AF13" s="347"/>
      <c r="AG13" s="347"/>
      <c r="AH13" s="347"/>
      <c r="AI13" s="347"/>
      <c r="AJ13" s="347"/>
      <c r="AK13" s="347"/>
      <c r="AL13" s="347"/>
      <c r="AM13" s="347"/>
      <c r="AN13" s="347"/>
      <c r="AO13" s="347"/>
      <c r="AP13" s="347"/>
      <c r="AQ13" s="347"/>
      <c r="AR13" s="347"/>
      <c r="AS13" s="347"/>
      <c r="AT13" s="347"/>
      <c r="AU13" s="347"/>
      <c r="AV13" s="347"/>
      <c r="AW13" s="347" t="str">
        <f t="shared" si="5"/>
        <v/>
      </c>
      <c r="AX13" s="365" t="str">
        <f t="shared" si="6"/>
        <v/>
      </c>
      <c r="AY13" s="365" t="str">
        <f t="shared" si="7"/>
        <v/>
      </c>
      <c r="AZ13" s="367"/>
      <c r="BA13" s="258"/>
      <c r="BB13" s="258"/>
      <c r="BC13" s="330"/>
      <c r="BD13" s="330"/>
      <c r="BE13" s="330" t="e">
        <f t="shared" si="8"/>
        <v>#VALUE!</v>
      </c>
      <c r="BF13" s="330" t="e">
        <f t="shared" si="9"/>
        <v>#VALUE!</v>
      </c>
      <c r="BG13" s="330" t="e">
        <f t="shared" si="10"/>
        <v>#VALUE!</v>
      </c>
      <c r="BH13" s="330" t="e">
        <f t="shared" si="11"/>
        <v>#VALUE!</v>
      </c>
      <c r="BI13" s="330"/>
      <c r="BJ13" s="370" cm="1">
        <f t="array" ref="BJ13:BM13">_xlfn.LET(_xlpm.data,$R13:$AV13,_xlpm.starts,{1,8,16,23},_xlpm.lengths,{7,7,8,9},_xlpm.arr,_xlfn.MAP(_xlpm.starts,_xlpm.lengths,_xlfn.LAMBDA(_xlpm.s,_xlpm.l,SUM(INDEX(_xlpm.data,,_xlfn.SEQUENCE(,_xlpm.l,_xlpm.s))))),ROUND(_xlpm.arr*$O13/1000,2))</f>
        <v>0</v>
      </c>
      <c r="BK13" s="330">
        <v>0</v>
      </c>
      <c r="BL13" s="330">
        <v>0</v>
      </c>
      <c r="BM13" s="330">
        <v>0</v>
      </c>
      <c r="BN13" s="258">
        <f t="shared" si="12"/>
        <v>0</v>
      </c>
      <c r="BO13" s="258">
        <v>0</v>
      </c>
      <c r="BP13" s="258">
        <v>0</v>
      </c>
      <c r="BQ13" s="258">
        <v>0</v>
      </c>
      <c r="BR13" s="258">
        <v>0</v>
      </c>
      <c r="BS13" s="115"/>
      <c r="BT13" s="258" cm="1">
        <f ca="1" t="array" ref="BT13:BW13">_xlfn.HSTACK(SUM(INDEX($R13:$AV13,1,1):INDEX($R13:$AV13,1,7)),SUM(INDEX($R13:$AV13,1,7):INDEX($R13:$AV13,1,13)),SUM(INDEX($R13:$AV13,1,16):INDEX($R13:$AV13,1,23)),SUM(INDEX($R13:$AV13,1,23):INDEX($R13:$AV13,1,31)))</f>
        <v>0</v>
      </c>
      <c r="BU13" s="258">
        <v>0</v>
      </c>
      <c r="BV13" s="258">
        <v>0</v>
      </c>
      <c r="BW13" s="258">
        <v>0</v>
      </c>
      <c r="BY13" s="258">
        <f t="shared" si="21"/>
        <v>0</v>
      </c>
      <c r="BZ13" s="258">
        <f t="shared" si="22"/>
        <v>0</v>
      </c>
      <c r="CA13" s="258">
        <f t="shared" si="23"/>
        <v>0</v>
      </c>
      <c r="CB13" s="258">
        <f t="shared" si="24"/>
        <v>0</v>
      </c>
      <c r="CD13" s="113"/>
      <c r="CE13" s="258">
        <f t="shared" si="25"/>
        <v>0</v>
      </c>
      <c r="CF13" s="258">
        <f t="shared" si="13"/>
        <v>0</v>
      </c>
      <c r="CG13" s="258">
        <f t="shared" si="14"/>
        <v>0</v>
      </c>
      <c r="CH13" s="258">
        <f t="shared" si="15"/>
        <v>0</v>
      </c>
      <c r="CI13" s="258">
        <f t="shared" si="16"/>
        <v>0</v>
      </c>
      <c r="CJ13" s="113"/>
      <c r="CK13" s="258">
        <f t="shared" ref="CK13:CN13" si="37">IFERROR(ROUND(BY13*$P13,2),"")</f>
        <v>0</v>
      </c>
      <c r="CL13" s="258">
        <f t="shared" si="37"/>
        <v>0</v>
      </c>
      <c r="CM13" s="258">
        <f t="shared" si="37"/>
        <v>0</v>
      </c>
      <c r="CN13" s="258">
        <f t="shared" si="37"/>
        <v>0</v>
      </c>
      <c r="CO13" s="258">
        <f t="shared" si="18"/>
        <v>0</v>
      </c>
    </row>
    <row r="14" s="258" customFormat="1" ht="17.6" spans="1:93">
      <c r="A14" s="330"/>
      <c r="B14" s="334" t="str">
        <f>_xlfn.XLOOKUP(G14,销售需求表!A:A,销售需求表!C:C)</f>
        <v>北美</v>
      </c>
      <c r="C14" s="335" t="str">
        <f t="shared" si="19"/>
        <v>22.5</v>
      </c>
      <c r="D14" s="334" t="str">
        <f t="shared" si="0"/>
        <v>北美22.5寸</v>
      </c>
      <c r="E14" s="339" t="str">
        <f t="shared" ref="E14:E27" si="38">LEFT(REPLACE(G14,1,2,""),FIND("[",REPLACE(G14,1,2,""))-1)&amp;"-"&amp;MID(REPLACE(G14,1,2,""),FIND("[",REPLACE(G14,1,2,""))+1,FIND("]",REPLACE(G14,1,2,""))-FIND("[",REPLACE(G14,1,2,""))-1)</f>
        <v>11R22.5-16PR(146/143L)-M-TRAC HS+</v>
      </c>
      <c r="F14" s="340" t="str">
        <f t="shared" si="2"/>
        <v>11R22.5-16PR-M-TRAC HS+</v>
      </c>
      <c r="G14" s="339" t="s">
        <v>373</v>
      </c>
      <c r="H14" s="334">
        <v>280</v>
      </c>
      <c r="I14" s="345"/>
      <c r="J14" s="346" t="str">
        <f t="shared" si="20"/>
        <v>11R22.5-M-TRAC HS+</v>
      </c>
      <c r="K14" s="347" t="str">
        <f>_xlfn.XLOOKUP(F14,投产规格!E:E,投产规格!D:D,"未投产")</f>
        <v>未投产</v>
      </c>
      <c r="L14" s="347">
        <f>IFERROR(_xlfn.XLOOKUP(F14,硫化工艺!B:B,硫化工艺!C:C),"")</f>
        <v>38.5</v>
      </c>
      <c r="M14" s="349">
        <f t="shared" si="3"/>
        <v>0.868421052631579</v>
      </c>
      <c r="N14" s="347" t="str">
        <f t="shared" si="28"/>
        <v>22.5全钢</v>
      </c>
      <c r="O14" s="347">
        <f>IFERROR(_xlfn.XLOOKUP(F14,轮胎重量!J:J,轮胎重量!G:G),"")</f>
        <v>59.57</v>
      </c>
      <c r="P14" s="350">
        <f t="shared" si="36"/>
        <v>828.023</v>
      </c>
      <c r="Q14" s="347">
        <f t="shared" si="4"/>
        <v>0</v>
      </c>
      <c r="R14" s="347"/>
      <c r="S14" s="347"/>
      <c r="T14" s="347"/>
      <c r="U14" s="347"/>
      <c r="V14" s="347"/>
      <c r="W14" s="347"/>
      <c r="X14" s="347"/>
      <c r="Y14" s="347"/>
      <c r="Z14" s="347"/>
      <c r="AA14" s="347"/>
      <c r="AB14" s="347"/>
      <c r="AC14" s="347"/>
      <c r="AD14" s="347"/>
      <c r="AE14" s="347"/>
      <c r="AF14" s="347"/>
      <c r="AG14" s="347"/>
      <c r="AH14" s="347"/>
      <c r="AI14" s="347"/>
      <c r="AJ14" s="347"/>
      <c r="AK14" s="347"/>
      <c r="AL14" s="347"/>
      <c r="AM14" s="347"/>
      <c r="AN14" s="347"/>
      <c r="AO14" s="347"/>
      <c r="AP14" s="347"/>
      <c r="AQ14" s="347"/>
      <c r="AR14" s="347"/>
      <c r="AS14" s="347"/>
      <c r="AT14" s="347"/>
      <c r="AU14" s="347"/>
      <c r="AV14" s="347"/>
      <c r="AW14" s="347" t="str">
        <f t="shared" si="5"/>
        <v/>
      </c>
      <c r="AX14" s="365" t="str">
        <f t="shared" si="6"/>
        <v/>
      </c>
      <c r="AY14" s="365" t="str">
        <f t="shared" si="7"/>
        <v/>
      </c>
      <c r="AZ14" s="367"/>
      <c r="BA14" s="258"/>
      <c r="BB14" s="258"/>
      <c r="BC14" s="330"/>
      <c r="BD14" s="330"/>
      <c r="BE14" s="330" t="e">
        <f t="shared" si="8"/>
        <v>#VALUE!</v>
      </c>
      <c r="BF14" s="330" t="e">
        <f t="shared" si="9"/>
        <v>#VALUE!</v>
      </c>
      <c r="BG14" s="330" t="e">
        <f t="shared" si="10"/>
        <v>#VALUE!</v>
      </c>
      <c r="BH14" s="330" t="e">
        <f t="shared" si="11"/>
        <v>#VALUE!</v>
      </c>
      <c r="BI14" s="330"/>
      <c r="BJ14" s="370" cm="1">
        <f t="array" ref="BJ14:BM14">_xlfn.LET(_xlpm.data,$R14:$AV14,_xlpm.starts,{1,8,16,23},_xlpm.lengths,{7,7,8,9},_xlpm.arr,_xlfn.MAP(_xlpm.starts,_xlpm.lengths,_xlfn.LAMBDA(_xlpm.s,_xlpm.l,SUM(INDEX(_xlpm.data,,_xlfn.SEQUENCE(,_xlpm.l,_xlpm.s))))),ROUND(_xlpm.arr*$O14/1000,2))</f>
        <v>0</v>
      </c>
      <c r="BK14" s="330">
        <v>0</v>
      </c>
      <c r="BL14" s="330">
        <v>0</v>
      </c>
      <c r="BM14" s="330">
        <v>0</v>
      </c>
      <c r="BN14" s="258">
        <f t="shared" si="12"/>
        <v>0</v>
      </c>
      <c r="BO14" s="258">
        <v>0</v>
      </c>
      <c r="BP14" s="258">
        <v>0</v>
      </c>
      <c r="BQ14" s="258">
        <v>0</v>
      </c>
      <c r="BR14" s="258">
        <v>0</v>
      </c>
      <c r="BS14" s="115"/>
      <c r="BT14" s="258" cm="1">
        <f ca="1" t="array" ref="BT14:BW14">_xlfn.HSTACK(SUM(INDEX($R14:$AV14,1,1):INDEX($R14:$AV14,1,7)),SUM(INDEX($R14:$AV14,1,7):INDEX($R14:$AV14,1,13)),SUM(INDEX($R14:$AV14,1,16):INDEX($R14:$AV14,1,23)),SUM(INDEX($R14:$AV14,1,23):INDEX($R14:$AV14,1,31)))</f>
        <v>0</v>
      </c>
      <c r="BU14" s="258">
        <v>0</v>
      </c>
      <c r="BV14" s="258">
        <v>0</v>
      </c>
      <c r="BW14" s="258">
        <v>0</v>
      </c>
      <c r="BY14" s="258">
        <f t="shared" si="21"/>
        <v>0</v>
      </c>
      <c r="BZ14" s="258">
        <f t="shared" si="22"/>
        <v>0</v>
      </c>
      <c r="CA14" s="258">
        <f t="shared" si="23"/>
        <v>0</v>
      </c>
      <c r="CB14" s="258">
        <f t="shared" si="24"/>
        <v>0</v>
      </c>
      <c r="CD14" s="113"/>
      <c r="CE14" s="258">
        <f t="shared" si="25"/>
        <v>0</v>
      </c>
      <c r="CF14" s="258">
        <f t="shared" si="13"/>
        <v>0</v>
      </c>
      <c r="CG14" s="258">
        <f t="shared" si="14"/>
        <v>0</v>
      </c>
      <c r="CH14" s="258">
        <f t="shared" si="15"/>
        <v>0</v>
      </c>
      <c r="CI14" s="258">
        <f t="shared" si="16"/>
        <v>0</v>
      </c>
      <c r="CJ14" s="113"/>
      <c r="CK14" s="258">
        <f t="shared" ref="CK14:CN14" si="39">IFERROR(ROUND(BY14*$P14,2),"")</f>
        <v>0</v>
      </c>
      <c r="CL14" s="258">
        <f t="shared" si="39"/>
        <v>0</v>
      </c>
      <c r="CM14" s="258">
        <f t="shared" si="39"/>
        <v>0</v>
      </c>
      <c r="CN14" s="258">
        <f t="shared" si="39"/>
        <v>0</v>
      </c>
      <c r="CO14" s="258">
        <f t="shared" si="18"/>
        <v>0</v>
      </c>
    </row>
    <row r="15" s="258" customFormat="1" ht="17.6" spans="1:95">
      <c r="A15" s="330"/>
      <c r="B15" s="334" t="str">
        <f>_xlfn.XLOOKUP(G15,销售需求表!A:A,销售需求表!C:C)</f>
        <v>北美</v>
      </c>
      <c r="C15" s="335" t="str">
        <f t="shared" si="19"/>
        <v>22.5</v>
      </c>
      <c r="D15" s="334" t="str">
        <f t="shared" si="0"/>
        <v>北美22.5寸</v>
      </c>
      <c r="E15" s="339" t="str">
        <f t="shared" si="38"/>
        <v>11R22.5-16PR(146/143L)-M-TRAC MS</v>
      </c>
      <c r="F15" s="340" t="str">
        <f t="shared" si="2"/>
        <v>11R22.5-16PR-M-TRAC MS</v>
      </c>
      <c r="G15" s="341" t="s">
        <v>374</v>
      </c>
      <c r="H15" s="334">
        <v>600</v>
      </c>
      <c r="I15" s="345"/>
      <c r="J15" s="346" t="str">
        <f t="shared" si="20"/>
        <v>11R22.5-M-TRAC MS</v>
      </c>
      <c r="K15" s="347" t="str">
        <f>_xlfn.XLOOKUP(F15,投产规格!E:E,投产规格!D:D,"未投产")</f>
        <v>✔</v>
      </c>
      <c r="L15" s="347">
        <f>IFERROR(_xlfn.XLOOKUP(F15,硫化工艺!B:B,硫化工艺!C:C),"")</f>
        <v>38.5</v>
      </c>
      <c r="M15" s="349">
        <f t="shared" si="3"/>
        <v>0.868421052631579</v>
      </c>
      <c r="N15" s="347" t="str">
        <f t="shared" si="28"/>
        <v>22.5全钢</v>
      </c>
      <c r="O15" s="347">
        <f>IFERROR(_xlfn.XLOOKUP(F15,轮胎重量!J:J,轮胎重量!G:G),"")</f>
        <v>59.57</v>
      </c>
      <c r="P15" s="350">
        <f t="shared" si="36"/>
        <v>828.023</v>
      </c>
      <c r="Q15" s="347">
        <f t="shared" si="4"/>
        <v>0</v>
      </c>
      <c r="R15" s="347"/>
      <c r="S15" s="347"/>
      <c r="T15" s="347"/>
      <c r="U15" s="347"/>
      <c r="V15" s="347"/>
      <c r="W15" s="347"/>
      <c r="X15" s="347"/>
      <c r="Y15" s="347"/>
      <c r="Z15" s="347"/>
      <c r="AA15" s="347"/>
      <c r="AB15" s="347"/>
      <c r="AC15" s="347"/>
      <c r="AD15" s="347"/>
      <c r="AE15" s="347"/>
      <c r="AF15" s="347"/>
      <c r="AG15" s="347"/>
      <c r="AH15" s="347"/>
      <c r="AI15" s="347"/>
      <c r="AJ15" s="347"/>
      <c r="AK15" s="354">
        <v>60</v>
      </c>
      <c r="AL15" s="354">
        <v>60</v>
      </c>
      <c r="AM15" s="354">
        <v>60</v>
      </c>
      <c r="AN15" s="354">
        <v>60</v>
      </c>
      <c r="AO15" s="354">
        <v>60</v>
      </c>
      <c r="AP15" s="354">
        <v>60</v>
      </c>
      <c r="AQ15" s="354">
        <v>60</v>
      </c>
      <c r="AR15" s="354">
        <v>60</v>
      </c>
      <c r="AS15" s="354">
        <v>60</v>
      </c>
      <c r="AT15" s="354">
        <v>60</v>
      </c>
      <c r="AU15" s="354">
        <v>60</v>
      </c>
      <c r="AV15" s="354">
        <v>60</v>
      </c>
      <c r="AW15" s="347">
        <f t="shared" si="5"/>
        <v>720</v>
      </c>
      <c r="AX15" s="365">
        <f t="shared" si="6"/>
        <v>42.8904</v>
      </c>
      <c r="AY15" s="365">
        <f t="shared" si="7"/>
        <v>59.618</v>
      </c>
      <c r="AZ15" s="367"/>
      <c r="BA15" s="258"/>
      <c r="BB15" s="258"/>
      <c r="BC15" s="330"/>
      <c r="BD15" s="330"/>
      <c r="BE15" s="330">
        <f t="shared" si="8"/>
        <v>0</v>
      </c>
      <c r="BF15" s="330">
        <f t="shared" si="9"/>
        <v>0</v>
      </c>
      <c r="BG15" s="330">
        <f t="shared" si="10"/>
        <v>0</v>
      </c>
      <c r="BH15" s="330">
        <f t="shared" si="11"/>
        <v>0</v>
      </c>
      <c r="BI15" s="330"/>
      <c r="BJ15" s="370" cm="1">
        <f t="array" ref="BJ15:BM15">_xlfn.LET(_xlpm.data,$R15:$AV15,_xlpm.starts,{1,8,16,23},_xlpm.lengths,{7,7,8,9},_xlpm.arr,_xlfn.MAP(_xlpm.starts,_xlpm.lengths,_xlfn.LAMBDA(_xlpm.s,_xlpm.l,SUM(INDEX(_xlpm.data,,_xlfn.SEQUENCE(,_xlpm.l,_xlpm.s))))),ROUND(_xlpm.arr*$O15/1000,2))</f>
        <v>0</v>
      </c>
      <c r="BK15" s="330">
        <v>0</v>
      </c>
      <c r="BL15" s="330">
        <v>14.3</v>
      </c>
      <c r="BM15" s="330">
        <v>32.17</v>
      </c>
      <c r="BN15" s="258">
        <f t="shared" si="12"/>
        <v>46.47</v>
      </c>
      <c r="BO15" s="258">
        <v>0</v>
      </c>
      <c r="BP15" s="258">
        <v>0</v>
      </c>
      <c r="BQ15" s="258">
        <v>0</v>
      </c>
      <c r="BR15" s="258">
        <v>0</v>
      </c>
      <c r="BS15" s="115"/>
      <c r="BT15" s="258" cm="1">
        <f ca="1" t="array" ref="BT15:BW15">_xlfn.HSTACK(SUM(INDEX($R15:$AV15,1,1):INDEX($R15:$AV15,1,7)),SUM(INDEX($R15:$AV15,1,7):INDEX($R15:$AV15,1,13)),SUM(INDEX($R15:$AV15,1,16):INDEX($R15:$AV15,1,23)),SUM(INDEX($R15:$AV15,1,23):INDEX($R15:$AV15,1,31)))</f>
        <v>0</v>
      </c>
      <c r="BU15" s="258">
        <v>0</v>
      </c>
      <c r="BV15" s="258">
        <v>240</v>
      </c>
      <c r="BW15" s="258">
        <v>540</v>
      </c>
      <c r="BY15" s="258">
        <f t="shared" si="21"/>
        <v>0</v>
      </c>
      <c r="BZ15" s="258">
        <f t="shared" si="22"/>
        <v>0</v>
      </c>
      <c r="CA15" s="258">
        <f t="shared" si="23"/>
        <v>180</v>
      </c>
      <c r="CB15" s="258">
        <f t="shared" si="24"/>
        <v>540</v>
      </c>
      <c r="CD15" s="113"/>
      <c r="CE15" s="258">
        <f t="shared" si="25"/>
        <v>0</v>
      </c>
      <c r="CF15" s="258">
        <f t="shared" si="13"/>
        <v>0</v>
      </c>
      <c r="CG15" s="258">
        <f t="shared" si="14"/>
        <v>10.72</v>
      </c>
      <c r="CH15" s="258">
        <f t="shared" si="15"/>
        <v>32.17</v>
      </c>
      <c r="CI15" s="258">
        <f t="shared" si="16"/>
        <v>42.89</v>
      </c>
      <c r="CJ15" s="113"/>
      <c r="CK15" s="258">
        <f t="shared" ref="CK15:CN15" si="40">IFERROR(ROUND(BY15*$P15,2),"")</f>
        <v>0</v>
      </c>
      <c r="CL15" s="258">
        <f t="shared" si="40"/>
        <v>0</v>
      </c>
      <c r="CM15" s="258">
        <f t="shared" si="40"/>
        <v>149044.14</v>
      </c>
      <c r="CN15" s="258">
        <f t="shared" si="40"/>
        <v>447132.42</v>
      </c>
      <c r="CO15" s="258">
        <f t="shared" si="18"/>
        <v>596176.56</v>
      </c>
      <c r="CP15" s="258" t="e">
        <f>VLOOKUP(G15,[2]Sheet1!$C$3:$G$310,5,0)</f>
        <v>#N/A</v>
      </c>
      <c r="CQ15" s="258">
        <f>VLOOKUP(G15,[3]KCBB0101!$C$3:$F$691,4,0)</f>
        <v>8000</v>
      </c>
    </row>
    <row r="16" s="258" customFormat="1" ht="17.6" spans="1:95">
      <c r="A16" s="330"/>
      <c r="B16" s="334" t="str">
        <f>_xlfn.XLOOKUP(G16,销售需求表!A:A,销售需求表!C:C)</f>
        <v>北美</v>
      </c>
      <c r="C16" s="335" t="str">
        <f t="shared" si="19"/>
        <v>22.5</v>
      </c>
      <c r="D16" s="334" t="str">
        <f t="shared" si="0"/>
        <v>北美22.5寸</v>
      </c>
      <c r="E16" s="339" t="str">
        <f t="shared" si="38"/>
        <v>11R22.5-16PR(146/143L)-M-TRAC OSD</v>
      </c>
      <c r="F16" s="340" t="str">
        <f t="shared" si="2"/>
        <v>11R22.5-16PR-M-TRAC OSD</v>
      </c>
      <c r="G16" s="341" t="s">
        <v>375</v>
      </c>
      <c r="H16" s="334">
        <v>2000</v>
      </c>
      <c r="I16" s="345">
        <v>2</v>
      </c>
      <c r="J16" s="346" t="str">
        <f t="shared" si="20"/>
        <v>11R22.5-M-TRAC OSD</v>
      </c>
      <c r="K16" s="347" t="str">
        <f>_xlfn.XLOOKUP(F16,投产规格!E:E,投产规格!D:D,"未投产")</f>
        <v>✔</v>
      </c>
      <c r="L16" s="347">
        <f>IFERROR(_xlfn.XLOOKUP(F16,硫化工艺!B:B,硫化工艺!C:C),"")</f>
        <v>41.5</v>
      </c>
      <c r="M16" s="349">
        <f t="shared" si="3"/>
        <v>0.876760563380282</v>
      </c>
      <c r="N16" s="347" t="str">
        <f t="shared" si="28"/>
        <v>22.5全钢</v>
      </c>
      <c r="O16" s="347">
        <f>IFERROR(_xlfn.XLOOKUP(F16,轮胎重量!J:J,轮胎重量!G:G),"")</f>
        <v>59.57</v>
      </c>
      <c r="P16" s="350">
        <f t="shared" si="36"/>
        <v>828.023</v>
      </c>
      <c r="Q16" s="347">
        <f t="shared" si="4"/>
        <v>61</v>
      </c>
      <c r="R16" s="347">
        <v>60</v>
      </c>
      <c r="S16" s="347">
        <v>60</v>
      </c>
      <c r="T16" s="347">
        <v>60</v>
      </c>
      <c r="U16" s="347">
        <v>60</v>
      </c>
      <c r="V16" s="347">
        <v>60</v>
      </c>
      <c r="W16" s="347">
        <v>60</v>
      </c>
      <c r="X16" s="347">
        <v>60</v>
      </c>
      <c r="Y16" s="347">
        <v>60</v>
      </c>
      <c r="Z16" s="347">
        <v>60</v>
      </c>
      <c r="AA16" s="347">
        <v>60</v>
      </c>
      <c r="AB16" s="347">
        <v>60</v>
      </c>
      <c r="AC16" s="347">
        <v>60</v>
      </c>
      <c r="AD16" s="347">
        <v>60</v>
      </c>
      <c r="AE16" s="347">
        <v>60</v>
      </c>
      <c r="AF16" s="347">
        <v>60</v>
      </c>
      <c r="AG16" s="347">
        <v>60</v>
      </c>
      <c r="AH16" s="347">
        <v>60</v>
      </c>
      <c r="AI16" s="347">
        <v>60</v>
      </c>
      <c r="AJ16" s="347">
        <v>60</v>
      </c>
      <c r="AK16" s="347">
        <v>60</v>
      </c>
      <c r="AL16" s="347">
        <v>60</v>
      </c>
      <c r="AM16" s="347">
        <v>60</v>
      </c>
      <c r="AN16" s="347">
        <v>60</v>
      </c>
      <c r="AO16" s="347">
        <v>60</v>
      </c>
      <c r="AP16" s="347">
        <v>60</v>
      </c>
      <c r="AQ16" s="347">
        <v>60</v>
      </c>
      <c r="AR16" s="347">
        <v>60</v>
      </c>
      <c r="AS16" s="347">
        <v>60</v>
      </c>
      <c r="AT16" s="347">
        <v>60</v>
      </c>
      <c r="AU16" s="347">
        <v>60</v>
      </c>
      <c r="AV16" s="347">
        <v>60</v>
      </c>
      <c r="AW16" s="347">
        <f t="shared" si="5"/>
        <v>1860</v>
      </c>
      <c r="AX16" s="365">
        <f t="shared" si="6"/>
        <v>110.8002</v>
      </c>
      <c r="AY16" s="365">
        <f t="shared" si="7"/>
        <v>154.012</v>
      </c>
      <c r="AZ16" s="367"/>
      <c r="BA16" s="258"/>
      <c r="BB16" s="258"/>
      <c r="BC16" s="330"/>
      <c r="BD16" s="330"/>
      <c r="BE16" s="330">
        <f t="shared" si="8"/>
        <v>0</v>
      </c>
      <c r="BF16" s="330">
        <f t="shared" si="9"/>
        <v>0</v>
      </c>
      <c r="BG16" s="330">
        <f t="shared" si="10"/>
        <v>0</v>
      </c>
      <c r="BH16" s="330">
        <f t="shared" si="11"/>
        <v>0</v>
      </c>
      <c r="BI16" s="330"/>
      <c r="BJ16" s="370" cm="1">
        <f t="array" ref="BJ16:BM16">_xlfn.LET(_xlpm.data,$R16:$AV16,_xlpm.starts,{1,8,16,23},_xlpm.lengths,{7,7,8,9},_xlpm.arr,_xlfn.MAP(_xlpm.starts,_xlpm.lengths,_xlfn.LAMBDA(_xlpm.s,_xlpm.l,SUM(INDEX(_xlpm.data,,_xlfn.SEQUENCE(,_xlpm.l,_xlpm.s))))),ROUND(_xlpm.arr*$O16/1000,2))</f>
        <v>25.02</v>
      </c>
      <c r="BK16" s="330">
        <v>25.02</v>
      </c>
      <c r="BL16" s="330">
        <v>28.59</v>
      </c>
      <c r="BM16" s="330">
        <v>32.17</v>
      </c>
      <c r="BN16" s="258">
        <f t="shared" si="12"/>
        <v>110.8</v>
      </c>
      <c r="BO16" s="258">
        <v>0</v>
      </c>
      <c r="BP16" s="258">
        <v>0</v>
      </c>
      <c r="BQ16" s="258">
        <v>0</v>
      </c>
      <c r="BR16" s="258">
        <v>0</v>
      </c>
      <c r="BS16" s="115"/>
      <c r="BT16" s="258" cm="1">
        <f ca="1" t="array" ref="BT16:BW16">_xlfn.HSTACK(SUM(INDEX($R16:$AV16,1,1):INDEX($R16:$AV16,1,7)),SUM(INDEX($R16:$AV16,1,7):INDEX($R16:$AV16,1,13)),SUM(INDEX($R16:$AV16,1,16):INDEX($R16:$AV16,1,23)),SUM(INDEX($R16:$AV16,1,23):INDEX($R16:$AV16,1,31)))</f>
        <v>420</v>
      </c>
      <c r="BU16" s="258">
        <v>420</v>
      </c>
      <c r="BV16" s="258">
        <v>480</v>
      </c>
      <c r="BW16" s="258">
        <v>540</v>
      </c>
      <c r="BY16" s="258">
        <f t="shared" si="21"/>
        <v>420</v>
      </c>
      <c r="BZ16" s="258">
        <f t="shared" si="22"/>
        <v>420</v>
      </c>
      <c r="CA16" s="258">
        <f t="shared" si="23"/>
        <v>480</v>
      </c>
      <c r="CB16" s="258">
        <f t="shared" si="24"/>
        <v>540</v>
      </c>
      <c r="CD16" s="113"/>
      <c r="CE16" s="258">
        <f t="shared" si="25"/>
        <v>25.02</v>
      </c>
      <c r="CF16" s="258">
        <f t="shared" si="13"/>
        <v>25.02</v>
      </c>
      <c r="CG16" s="258">
        <f t="shared" si="14"/>
        <v>28.59</v>
      </c>
      <c r="CH16" s="258">
        <f t="shared" si="15"/>
        <v>32.17</v>
      </c>
      <c r="CI16" s="258">
        <f t="shared" si="16"/>
        <v>110.8</v>
      </c>
      <c r="CJ16" s="113"/>
      <c r="CK16" s="258">
        <f t="shared" ref="CK16:CN16" si="41">IFERROR(ROUND(BY16*$P16,2),"")</f>
        <v>347769.66</v>
      </c>
      <c r="CL16" s="258">
        <f t="shared" si="41"/>
        <v>347769.66</v>
      </c>
      <c r="CM16" s="258">
        <f t="shared" si="41"/>
        <v>397451.04</v>
      </c>
      <c r="CN16" s="258">
        <f t="shared" si="41"/>
        <v>447132.42</v>
      </c>
      <c r="CO16" s="258">
        <f t="shared" si="18"/>
        <v>1540122.78</v>
      </c>
      <c r="CP16" s="258" t="e">
        <f>VLOOKUP(G16,[2]Sheet1!$C$3:$G$310,5,0)</f>
        <v>#N/A</v>
      </c>
      <c r="CQ16" s="258">
        <f>VLOOKUP(G16,[3]KCBB0101!$C$3:$F$691,4,0)</f>
        <v>8000</v>
      </c>
    </row>
    <row r="17" s="258" customFormat="1" ht="17.6" spans="1:93">
      <c r="A17" s="330"/>
      <c r="B17" s="334" t="str">
        <f>_xlfn.XLOOKUP(G17,销售需求表!A:A,销售需求表!C:C)</f>
        <v>北美</v>
      </c>
      <c r="C17" s="335" t="str">
        <f t="shared" si="19"/>
        <v>22.5</v>
      </c>
      <c r="D17" s="334" t="str">
        <f t="shared" si="0"/>
        <v>北美22.5寸</v>
      </c>
      <c r="E17" s="339" t="str">
        <f t="shared" si="38"/>
        <v>11R22.5-16PR(146/143L)-RLINE-S1</v>
      </c>
      <c r="F17" s="340" t="str">
        <f t="shared" si="2"/>
        <v>11R22.5-16PR-RLINE-S1</v>
      </c>
      <c r="G17" s="339" t="s">
        <v>376</v>
      </c>
      <c r="H17" s="334">
        <v>280</v>
      </c>
      <c r="I17" s="345"/>
      <c r="J17" s="346" t="str">
        <f t="shared" si="20"/>
        <v>11R22.5-RLINE-S1</v>
      </c>
      <c r="K17" s="347" t="str">
        <f>_xlfn.XLOOKUP(F17,投产规格!E:E,投产规格!D:D,"未投产")</f>
        <v>未投产</v>
      </c>
      <c r="L17" s="347">
        <f>IFERROR(_xlfn.XLOOKUP(F17,硫化工艺!B:B,硫化工艺!C:C),"")</f>
        <v>41</v>
      </c>
      <c r="M17" s="349">
        <f t="shared" si="3"/>
        <v>0.875444839857651</v>
      </c>
      <c r="N17" s="347" t="str">
        <f t="shared" si="28"/>
        <v>22.5全钢</v>
      </c>
      <c r="O17" s="347">
        <f>IFERROR(_xlfn.XLOOKUP(F17,轮胎重量!J:J,轮胎重量!G:G),"")</f>
        <v>54.398</v>
      </c>
      <c r="P17" s="350">
        <f t="shared" si="36"/>
        <v>756.1322</v>
      </c>
      <c r="Q17" s="347">
        <f t="shared" si="4"/>
        <v>0</v>
      </c>
      <c r="R17" s="347"/>
      <c r="S17" s="347"/>
      <c r="T17" s="347"/>
      <c r="U17" s="347"/>
      <c r="V17" s="347"/>
      <c r="W17" s="347"/>
      <c r="X17" s="347"/>
      <c r="Y17" s="347"/>
      <c r="Z17" s="347"/>
      <c r="AA17" s="347"/>
      <c r="AB17" s="347"/>
      <c r="AC17" s="347"/>
      <c r="AD17" s="347"/>
      <c r="AE17" s="347"/>
      <c r="AF17" s="347"/>
      <c r="AG17" s="347"/>
      <c r="AH17" s="347"/>
      <c r="AI17" s="347"/>
      <c r="AJ17" s="347"/>
      <c r="AK17" s="347"/>
      <c r="AL17" s="347"/>
      <c r="AM17" s="347"/>
      <c r="AN17" s="347"/>
      <c r="AO17" s="347"/>
      <c r="AP17" s="347"/>
      <c r="AQ17" s="347"/>
      <c r="AR17" s="347"/>
      <c r="AS17" s="347"/>
      <c r="AT17" s="347"/>
      <c r="AU17" s="347"/>
      <c r="AV17" s="347"/>
      <c r="AW17" s="347" t="str">
        <f t="shared" si="5"/>
        <v/>
      </c>
      <c r="AX17" s="365" t="str">
        <f t="shared" si="6"/>
        <v/>
      </c>
      <c r="AY17" s="365" t="str">
        <f t="shared" si="7"/>
        <v/>
      </c>
      <c r="AZ17" s="367"/>
      <c r="BA17" s="258"/>
      <c r="BB17" s="258"/>
      <c r="BC17" s="330"/>
      <c r="BD17" s="330"/>
      <c r="BE17" s="330" t="e">
        <f t="shared" si="8"/>
        <v>#VALUE!</v>
      </c>
      <c r="BF17" s="330" t="e">
        <f t="shared" si="9"/>
        <v>#VALUE!</v>
      </c>
      <c r="BG17" s="330" t="e">
        <f t="shared" si="10"/>
        <v>#VALUE!</v>
      </c>
      <c r="BH17" s="330" t="e">
        <f t="shared" si="11"/>
        <v>#VALUE!</v>
      </c>
      <c r="BI17" s="330"/>
      <c r="BJ17" s="370" cm="1">
        <f t="array" ref="BJ17:BM17">_xlfn.LET(_xlpm.data,$R17:$AV17,_xlpm.starts,{1,8,16,23},_xlpm.lengths,{7,7,8,9},_xlpm.arr,_xlfn.MAP(_xlpm.starts,_xlpm.lengths,_xlfn.LAMBDA(_xlpm.s,_xlpm.l,SUM(INDEX(_xlpm.data,,_xlfn.SEQUENCE(,_xlpm.l,_xlpm.s))))),ROUND(_xlpm.arr*$O17/1000,2))</f>
        <v>0</v>
      </c>
      <c r="BK17" s="330">
        <v>0</v>
      </c>
      <c r="BL17" s="330">
        <v>0</v>
      </c>
      <c r="BM17" s="330">
        <v>0</v>
      </c>
      <c r="BN17" s="258">
        <f t="shared" si="12"/>
        <v>0</v>
      </c>
      <c r="BO17" s="258">
        <v>0</v>
      </c>
      <c r="BP17" s="258">
        <v>0</v>
      </c>
      <c r="BQ17" s="258">
        <v>0</v>
      </c>
      <c r="BR17" s="258">
        <v>0</v>
      </c>
      <c r="BS17" s="115"/>
      <c r="BT17" s="258" cm="1">
        <f ca="1" t="array" ref="BT17:BW17">_xlfn.HSTACK(SUM(INDEX($R17:$AV17,1,1):INDEX($R17:$AV17,1,7)),SUM(INDEX($R17:$AV17,1,7):INDEX($R17:$AV17,1,13)),SUM(INDEX($R17:$AV17,1,16):INDEX($R17:$AV17,1,23)),SUM(INDEX($R17:$AV17,1,23):INDEX($R17:$AV17,1,31)))</f>
        <v>0</v>
      </c>
      <c r="BU17" s="258">
        <v>0</v>
      </c>
      <c r="BV17" s="258">
        <v>0</v>
      </c>
      <c r="BW17" s="258">
        <v>0</v>
      </c>
      <c r="BY17" s="258">
        <f t="shared" si="21"/>
        <v>0</v>
      </c>
      <c r="BZ17" s="258">
        <f t="shared" si="22"/>
        <v>0</v>
      </c>
      <c r="CA17" s="258">
        <f t="shared" si="23"/>
        <v>0</v>
      </c>
      <c r="CB17" s="258">
        <f t="shared" si="24"/>
        <v>0</v>
      </c>
      <c r="CD17" s="113"/>
      <c r="CE17" s="258">
        <f t="shared" si="25"/>
        <v>0</v>
      </c>
      <c r="CF17" s="258">
        <f t="shared" si="13"/>
        <v>0</v>
      </c>
      <c r="CG17" s="258">
        <f t="shared" si="14"/>
        <v>0</v>
      </c>
      <c r="CH17" s="258">
        <f t="shared" si="15"/>
        <v>0</v>
      </c>
      <c r="CI17" s="258">
        <f t="shared" si="16"/>
        <v>0</v>
      </c>
      <c r="CJ17" s="113"/>
      <c r="CK17" s="258">
        <f t="shared" ref="CK17:CN17" si="42">IFERROR(ROUND(BY17*$P17,2),"")</f>
        <v>0</v>
      </c>
      <c r="CL17" s="258">
        <f t="shared" si="42"/>
        <v>0</v>
      </c>
      <c r="CM17" s="258">
        <f t="shared" si="42"/>
        <v>0</v>
      </c>
      <c r="CN17" s="258">
        <f t="shared" si="42"/>
        <v>0</v>
      </c>
      <c r="CO17" s="258">
        <f t="shared" si="18"/>
        <v>0</v>
      </c>
    </row>
    <row r="18" s="258" customFormat="1" ht="17.6" spans="1:95">
      <c r="A18" s="330"/>
      <c r="B18" s="334" t="str">
        <f>_xlfn.XLOOKUP(G18,销售需求表!A:A,销售需求表!C:C)</f>
        <v>北美</v>
      </c>
      <c r="C18" s="335" t="str">
        <f t="shared" si="19"/>
        <v>22.5</v>
      </c>
      <c r="D18" s="334" t="str">
        <f t="shared" si="0"/>
        <v>北美22.5寸</v>
      </c>
      <c r="E18" s="339" t="str">
        <f t="shared" si="38"/>
        <v>11R22.5-16PR(146/143L)-Strong Guard H-RD</v>
      </c>
      <c r="F18" s="340" t="str">
        <f t="shared" si="2"/>
        <v>11R22.5-16PR-H-RD</v>
      </c>
      <c r="G18" s="341" t="s">
        <v>377</v>
      </c>
      <c r="H18" s="334">
        <v>750</v>
      </c>
      <c r="I18" s="345"/>
      <c r="J18" s="346" t="str">
        <f t="shared" si="20"/>
        <v>11R22.5-H-RD</v>
      </c>
      <c r="K18" s="347" t="str">
        <f>_xlfn.XLOOKUP(F18,投产规格!E:E,投产规格!D:D,"未投产")</f>
        <v>✔</v>
      </c>
      <c r="L18" s="347">
        <f>IFERROR(_xlfn.XLOOKUP(F18,硫化工艺!B:B,硫化工艺!C:C),"")</f>
        <v>40.5</v>
      </c>
      <c r="M18" s="349">
        <f t="shared" ref="M18:M23" si="43">IF(L18="","",L18/(L18+$L$1/60))</f>
        <v>0.87410071942446</v>
      </c>
      <c r="N18" s="347" t="str">
        <f t="shared" si="28"/>
        <v>22.5全钢</v>
      </c>
      <c r="O18" s="347">
        <f>IFERROR(_xlfn.XLOOKUP(F18,轮胎重量!J:J,轮胎重量!G:G),"")</f>
        <v>54.254</v>
      </c>
      <c r="P18" s="347">
        <f>IFERROR(_xlfn.XLOOKUP(G18,硫化工艺!I:I,硫化工艺!J:J),"")</f>
        <v>791.1</v>
      </c>
      <c r="Q18" s="347">
        <f t="shared" si="4"/>
        <v>0</v>
      </c>
      <c r="R18" s="347"/>
      <c r="S18" s="347"/>
      <c r="T18" s="347"/>
      <c r="U18" s="347"/>
      <c r="V18" s="347"/>
      <c r="W18" s="347"/>
      <c r="X18" s="347"/>
      <c r="Y18" s="347"/>
      <c r="Z18" s="347"/>
      <c r="AA18" s="347"/>
      <c r="AB18" s="347"/>
      <c r="AC18" s="347"/>
      <c r="AD18" s="347"/>
      <c r="AE18" s="347"/>
      <c r="AF18" s="347"/>
      <c r="AG18" s="347"/>
      <c r="AH18" s="354">
        <v>60</v>
      </c>
      <c r="AI18" s="347">
        <v>60</v>
      </c>
      <c r="AJ18" s="347">
        <v>60</v>
      </c>
      <c r="AK18" s="347">
        <v>60</v>
      </c>
      <c r="AL18" s="347">
        <v>60</v>
      </c>
      <c r="AM18" s="347">
        <v>60</v>
      </c>
      <c r="AN18" s="347">
        <v>60</v>
      </c>
      <c r="AO18" s="347">
        <v>60</v>
      </c>
      <c r="AP18" s="347">
        <v>60</v>
      </c>
      <c r="AQ18" s="347">
        <v>60</v>
      </c>
      <c r="AR18" s="347">
        <v>60</v>
      </c>
      <c r="AS18" s="354">
        <v>60</v>
      </c>
      <c r="AT18" s="347"/>
      <c r="AU18" s="347"/>
      <c r="AV18" s="347"/>
      <c r="AW18" s="347">
        <f t="shared" si="5"/>
        <v>720</v>
      </c>
      <c r="AX18" s="365">
        <f t="shared" si="6"/>
        <v>39.06288</v>
      </c>
      <c r="AY18" s="365">
        <f t="shared" si="7"/>
        <v>56.959</v>
      </c>
      <c r="AZ18" s="367"/>
      <c r="BC18" s="330"/>
      <c r="BD18" s="330"/>
      <c r="BE18" s="330">
        <f t="shared" si="8"/>
        <v>0</v>
      </c>
      <c r="BF18" s="330">
        <f t="shared" si="9"/>
        <v>0</v>
      </c>
      <c r="BG18" s="330">
        <f t="shared" si="10"/>
        <v>0</v>
      </c>
      <c r="BH18" s="330">
        <f t="shared" si="11"/>
        <v>0</v>
      </c>
      <c r="BI18" s="330"/>
      <c r="BJ18" s="370" cm="1">
        <f t="array" ref="BJ18:BM18">_xlfn.LET(_xlpm.data,$R18:$AV18,_xlpm.starts,{1,8,16,23},_xlpm.lengths,{7,7,8,9},_xlpm.arr,_xlfn.MAP(_xlpm.starts,_xlpm.lengths,_xlfn.LAMBDA(_xlpm.s,_xlpm.l,SUM(INDEX(_xlpm.data,,_xlfn.SEQUENCE(,_xlpm.l,_xlpm.s))))),ROUND(_xlpm.arr*$O18/1000,2))</f>
        <v>0</v>
      </c>
      <c r="BK18" s="330">
        <v>0</v>
      </c>
      <c r="BL18" s="330">
        <v>22.79</v>
      </c>
      <c r="BM18" s="330">
        <v>19.53</v>
      </c>
      <c r="BN18" s="258">
        <f t="shared" si="12"/>
        <v>42.32</v>
      </c>
      <c r="BO18" s="258">
        <v>0</v>
      </c>
      <c r="BP18" s="258">
        <v>0</v>
      </c>
      <c r="BQ18" s="258">
        <v>0</v>
      </c>
      <c r="BR18" s="258">
        <v>0</v>
      </c>
      <c r="BS18" s="115"/>
      <c r="BT18" s="258" cm="1">
        <f ca="1" t="array" ref="BT18:BW18">_xlfn.HSTACK(SUM(INDEX($R18:$AV18,1,1):INDEX($R18:$AV18,1,7)),SUM(INDEX($R18:$AV18,1,7):INDEX($R18:$AV18,1,13)),SUM(INDEX($R18:$AV18,1,16):INDEX($R18:$AV18,1,23)),SUM(INDEX($R18:$AV18,1,23):INDEX($R18:$AV18,1,31)))</f>
        <v>0</v>
      </c>
      <c r="BU18" s="258">
        <v>0</v>
      </c>
      <c r="BV18" s="258">
        <v>420</v>
      </c>
      <c r="BW18" s="258">
        <v>360</v>
      </c>
      <c r="BY18" s="258">
        <f t="shared" si="21"/>
        <v>0</v>
      </c>
      <c r="BZ18" s="258">
        <f t="shared" si="22"/>
        <v>0</v>
      </c>
      <c r="CA18" s="258">
        <f t="shared" si="23"/>
        <v>360</v>
      </c>
      <c r="CB18" s="258">
        <f t="shared" si="24"/>
        <v>360</v>
      </c>
      <c r="CD18" s="113"/>
      <c r="CE18" s="258">
        <f t="shared" ref="CE18:CH18" si="44">ROUND(BY18*$O18/1000,2)</f>
        <v>0</v>
      </c>
      <c r="CF18" s="258">
        <f t="shared" si="44"/>
        <v>0</v>
      </c>
      <c r="CG18" s="258">
        <f t="shared" si="44"/>
        <v>19.53</v>
      </c>
      <c r="CH18" s="258">
        <f t="shared" si="44"/>
        <v>19.53</v>
      </c>
      <c r="CI18" s="258">
        <f t="shared" si="16"/>
        <v>39.06</v>
      </c>
      <c r="CJ18" s="113"/>
      <c r="CK18" s="258">
        <f t="shared" ref="CK18:CN18" si="45">IFERROR(ROUND(BY18*$P18,2),"")</f>
        <v>0</v>
      </c>
      <c r="CL18" s="258">
        <f t="shared" si="45"/>
        <v>0</v>
      </c>
      <c r="CM18" s="258">
        <f t="shared" si="45"/>
        <v>284796</v>
      </c>
      <c r="CN18" s="258">
        <f t="shared" si="45"/>
        <v>284796</v>
      </c>
      <c r="CO18" s="258">
        <f t="shared" si="18"/>
        <v>569592</v>
      </c>
      <c r="CP18" s="258">
        <f>VLOOKUP(G18,[2]Sheet1!$C$3:$G$310,5,0)</f>
        <v>6000</v>
      </c>
      <c r="CQ18" s="258" t="e">
        <f>VLOOKUP(G18,[3]KCBB0101!$C$3:$F$691,4,0)</f>
        <v>#N/A</v>
      </c>
    </row>
    <row r="19" s="258" customFormat="1" ht="17.6" spans="1:95">
      <c r="A19" s="330"/>
      <c r="B19" s="334" t="str">
        <f>_xlfn.XLOOKUP(G19,销售需求表!A:A,销售需求表!C:C)</f>
        <v>北美</v>
      </c>
      <c r="C19" s="335" t="str">
        <f t="shared" si="19"/>
        <v>22.5</v>
      </c>
      <c r="D19" s="334" t="str">
        <f t="shared" si="0"/>
        <v>北美22.5寸</v>
      </c>
      <c r="E19" s="339" t="str">
        <f t="shared" si="38"/>
        <v>11R22.5-16PR(146/143M)-HF1 PlusX</v>
      </c>
      <c r="F19" s="340" t="str">
        <f t="shared" si="2"/>
        <v>11R22.5-16PR-HF1 PlusX</v>
      </c>
      <c r="G19" s="341" t="s">
        <v>378</v>
      </c>
      <c r="H19" s="334">
        <v>400</v>
      </c>
      <c r="I19" s="345"/>
      <c r="J19" s="346" t="str">
        <f t="shared" si="20"/>
        <v>11R22.5-HF1 PlusX</v>
      </c>
      <c r="K19" s="347" t="str">
        <f>_xlfn.XLOOKUP(F19,投产规格!E:E,投产规格!D:D,"未投产")</f>
        <v>✔</v>
      </c>
      <c r="L19" s="347">
        <f>IFERROR(_xlfn.XLOOKUP(F19,硫化工艺!B:B,硫化工艺!C:C),"")</f>
        <v>36</v>
      </c>
      <c r="M19" s="349">
        <f t="shared" si="43"/>
        <v>0.860557768924303</v>
      </c>
      <c r="N19" s="347" t="str">
        <f t="shared" si="28"/>
        <v>22.5全钢</v>
      </c>
      <c r="O19" s="347">
        <f>IFERROR(_xlfn.XLOOKUP(F19,轮胎重量!J:J,轮胎重量!G:G),"")</f>
        <v>50.643</v>
      </c>
      <c r="P19" s="347">
        <f>IFERROR(_xlfn.XLOOKUP(G19,硫化工艺!I:I,硫化工艺!J:J),"")</f>
        <v>707.124656</v>
      </c>
      <c r="Q19" s="347">
        <f t="shared" si="4"/>
        <v>0</v>
      </c>
      <c r="R19" s="347"/>
      <c r="S19" s="347"/>
      <c r="T19" s="347"/>
      <c r="U19" s="347"/>
      <c r="V19" s="347"/>
      <c r="W19" s="347"/>
      <c r="X19" s="347"/>
      <c r="Y19" s="347"/>
      <c r="Z19" s="347"/>
      <c r="AA19" s="347"/>
      <c r="AB19" s="347"/>
      <c r="AC19" s="347"/>
      <c r="AD19" s="347"/>
      <c r="AE19" s="347"/>
      <c r="AF19" s="347"/>
      <c r="AG19" s="347"/>
      <c r="AH19" s="347"/>
      <c r="AI19" s="347"/>
      <c r="AJ19" s="347"/>
      <c r="AK19" s="347"/>
      <c r="AL19" s="347"/>
      <c r="AM19" s="347"/>
      <c r="AN19" s="347"/>
      <c r="AO19" s="347"/>
      <c r="AP19" s="347"/>
      <c r="AQ19" s="347"/>
      <c r="AR19" s="347"/>
      <c r="AS19" s="352">
        <v>64</v>
      </c>
      <c r="AT19" s="347">
        <v>64</v>
      </c>
      <c r="AU19" s="347">
        <v>64</v>
      </c>
      <c r="AV19" s="347">
        <v>64</v>
      </c>
      <c r="AW19" s="347">
        <f t="shared" si="5"/>
        <v>256</v>
      </c>
      <c r="AX19" s="365">
        <f t="shared" si="6"/>
        <v>12.964608</v>
      </c>
      <c r="AY19" s="365">
        <f t="shared" si="7"/>
        <v>18.102</v>
      </c>
      <c r="AZ19" s="367"/>
      <c r="BC19" s="330"/>
      <c r="BD19" s="330"/>
      <c r="BE19" s="330">
        <f t="shared" si="8"/>
        <v>0</v>
      </c>
      <c r="BF19" s="330">
        <f t="shared" si="9"/>
        <v>0</v>
      </c>
      <c r="BG19" s="330">
        <f t="shared" si="10"/>
        <v>0</v>
      </c>
      <c r="BH19" s="330">
        <f t="shared" si="11"/>
        <v>0</v>
      </c>
      <c r="BI19" s="330"/>
      <c r="BJ19" s="370" cm="1">
        <f t="array" ref="BJ19:BM19">_xlfn.LET(_xlpm.data,$R19:$AV19,_xlpm.starts,{1,8,16,23},_xlpm.lengths,{7,7,8,9},_xlpm.arr,_xlfn.MAP(_xlpm.starts,_xlpm.lengths,_xlfn.LAMBDA(_xlpm.s,_xlpm.l,SUM(INDEX(_xlpm.data,,_xlfn.SEQUENCE(,_xlpm.l,_xlpm.s))))),ROUND(_xlpm.arr*$O19/1000,2))</f>
        <v>0</v>
      </c>
      <c r="BK19" s="330">
        <v>0</v>
      </c>
      <c r="BL19" s="330">
        <v>0</v>
      </c>
      <c r="BM19" s="330">
        <v>12.96</v>
      </c>
      <c r="BN19" s="258">
        <f t="shared" si="12"/>
        <v>12.96</v>
      </c>
      <c r="BO19" s="258">
        <v>0</v>
      </c>
      <c r="BP19" s="258">
        <v>0</v>
      </c>
      <c r="BQ19" s="258">
        <v>0</v>
      </c>
      <c r="BR19" s="258">
        <v>0</v>
      </c>
      <c r="BS19" s="115"/>
      <c r="BT19" s="258" cm="1">
        <f ca="1" t="array" ref="BT19:BW19">_xlfn.HSTACK(SUM(INDEX($R19:$AV19,1,1):INDEX($R19:$AV19,1,7)),SUM(INDEX($R19:$AV19,1,7):INDEX($R19:$AV19,1,13)),SUM(INDEX($R19:$AV19,1,16):INDEX($R19:$AV19,1,23)),SUM(INDEX($R19:$AV19,1,23):INDEX($R19:$AV19,1,31)))</f>
        <v>0</v>
      </c>
      <c r="BU19" s="258">
        <v>0</v>
      </c>
      <c r="BV19" s="258">
        <v>0</v>
      </c>
      <c r="BW19" s="258">
        <v>256</v>
      </c>
      <c r="BY19" s="258">
        <f t="shared" si="21"/>
        <v>0</v>
      </c>
      <c r="BZ19" s="258">
        <f t="shared" si="22"/>
        <v>0</v>
      </c>
      <c r="CA19" s="258">
        <f t="shared" si="23"/>
        <v>0</v>
      </c>
      <c r="CB19" s="258">
        <f t="shared" si="24"/>
        <v>256</v>
      </c>
      <c r="CD19" s="113"/>
      <c r="CE19" s="258">
        <f t="shared" ref="CE19:CH19" si="46">ROUND(BY19*$O19/1000,2)</f>
        <v>0</v>
      </c>
      <c r="CF19" s="258">
        <f t="shared" si="46"/>
        <v>0</v>
      </c>
      <c r="CG19" s="258">
        <f t="shared" si="46"/>
        <v>0</v>
      </c>
      <c r="CH19" s="258">
        <f t="shared" si="46"/>
        <v>12.96</v>
      </c>
      <c r="CI19" s="258">
        <f t="shared" si="16"/>
        <v>12.96</v>
      </c>
      <c r="CJ19" s="113"/>
      <c r="CK19" s="258">
        <f t="shared" ref="CK19:CN19" si="47">IFERROR(ROUND(BY19*$P19,2),"")</f>
        <v>0</v>
      </c>
      <c r="CL19" s="258">
        <f t="shared" si="47"/>
        <v>0</v>
      </c>
      <c r="CM19" s="258">
        <f t="shared" si="47"/>
        <v>0</v>
      </c>
      <c r="CN19" s="258">
        <f t="shared" si="47"/>
        <v>181023.91</v>
      </c>
      <c r="CO19" s="258">
        <f t="shared" si="18"/>
        <v>181023.91</v>
      </c>
      <c r="CP19" s="258" t="e">
        <f>VLOOKUP(G19,[2]Sheet1!$C$3:$G$310,5,0)</f>
        <v>#N/A</v>
      </c>
      <c r="CQ19" s="258">
        <f>VLOOKUP(G19,[3]KCBB0101!$C$3:$F$691,4,0)</f>
        <v>3317</v>
      </c>
    </row>
    <row r="20" s="258" customFormat="1" ht="17.6" spans="1:95">
      <c r="A20" s="330"/>
      <c r="B20" s="334" t="str">
        <f>_xlfn.XLOOKUP(G20,销售需求表!A:A,销售需求表!C:C)</f>
        <v>北美</v>
      </c>
      <c r="C20" s="335" t="str">
        <f t="shared" si="19"/>
        <v>22.5</v>
      </c>
      <c r="D20" s="334" t="str">
        <f t="shared" si="0"/>
        <v>北美22.5寸</v>
      </c>
      <c r="E20" s="339" t="str">
        <f t="shared" si="38"/>
        <v>11R22.5-16PR(146/143M)-KOBE APM</v>
      </c>
      <c r="F20" s="340" t="str">
        <f t="shared" si="2"/>
        <v>11R22.5-16PR-KOBE APM</v>
      </c>
      <c r="G20" s="341" t="s">
        <v>379</v>
      </c>
      <c r="H20" s="334">
        <v>750</v>
      </c>
      <c r="I20" s="345"/>
      <c r="J20" s="346" t="str">
        <f t="shared" ref="J20:J39" si="48">IFERROR(LEFT(F20,FIND("-",F20))&amp;MID(F20,FIND("PR",F20,FIND("-",F20))+3,LEN(F20)),F20)</f>
        <v>11R22.5-KOBE APM</v>
      </c>
      <c r="K20" s="347" t="str">
        <f>_xlfn.XLOOKUP(F20,投产规格!E:E,投产规格!D:D,"未投产")</f>
        <v>✔</v>
      </c>
      <c r="L20" s="347">
        <f>IFERROR(_xlfn.XLOOKUP(F20,硫化工艺!B:B,硫化工艺!C:C),"")</f>
        <v>36</v>
      </c>
      <c r="M20" s="349">
        <f t="shared" si="43"/>
        <v>0.860557768924303</v>
      </c>
      <c r="N20" s="347" t="str">
        <f t="shared" si="28"/>
        <v>22.5全钢</v>
      </c>
      <c r="O20" s="347">
        <f>IFERROR(_xlfn.XLOOKUP(F20,轮胎重量!J:J,轮胎重量!G:G),"")</f>
        <v>50.643</v>
      </c>
      <c r="P20" s="347">
        <f>IFERROR(_xlfn.XLOOKUP(G20,硫化工艺!I:I,硫化工艺!J:J),"")</f>
        <v>699.637057</v>
      </c>
      <c r="Q20" s="347">
        <f t="shared" si="4"/>
        <v>0</v>
      </c>
      <c r="R20" s="347"/>
      <c r="S20" s="347"/>
      <c r="T20" s="347"/>
      <c r="U20" s="347"/>
      <c r="V20" s="347"/>
      <c r="W20" s="347"/>
      <c r="X20" s="347"/>
      <c r="Y20" s="347"/>
      <c r="Z20" s="347"/>
      <c r="AA20" s="347"/>
      <c r="AB20" s="347"/>
      <c r="AC20" s="347"/>
      <c r="AD20" s="347"/>
      <c r="AE20" s="347"/>
      <c r="AF20" s="347"/>
      <c r="AG20" s="347"/>
      <c r="AH20" s="347"/>
      <c r="AI20" s="347"/>
      <c r="AJ20" s="347"/>
      <c r="AK20" s="353">
        <v>66</v>
      </c>
      <c r="AL20" s="347">
        <v>66</v>
      </c>
      <c r="AM20" s="347">
        <v>66</v>
      </c>
      <c r="AN20" s="347">
        <v>66</v>
      </c>
      <c r="AO20" s="347">
        <v>66</v>
      </c>
      <c r="AP20" s="347">
        <v>66</v>
      </c>
      <c r="AQ20" s="347">
        <v>66</v>
      </c>
      <c r="AR20" s="347">
        <v>66</v>
      </c>
      <c r="AS20" s="347">
        <v>66</v>
      </c>
      <c r="AT20" s="347">
        <v>66</v>
      </c>
      <c r="AU20" s="347">
        <v>66</v>
      </c>
      <c r="AV20" s="347">
        <v>66</v>
      </c>
      <c r="AW20" s="347">
        <f t="shared" si="5"/>
        <v>792</v>
      </c>
      <c r="AX20" s="365">
        <f t="shared" si="6"/>
        <v>40.109256</v>
      </c>
      <c r="AY20" s="365">
        <f t="shared" si="7"/>
        <v>55.411</v>
      </c>
      <c r="AZ20" s="367"/>
      <c r="BC20" s="330"/>
      <c r="BD20" s="330"/>
      <c r="BE20" s="330">
        <f t="shared" si="8"/>
        <v>0</v>
      </c>
      <c r="BF20" s="330">
        <f t="shared" si="9"/>
        <v>0</v>
      </c>
      <c r="BG20" s="330">
        <f t="shared" si="10"/>
        <v>0</v>
      </c>
      <c r="BH20" s="330">
        <f t="shared" si="11"/>
        <v>0</v>
      </c>
      <c r="BI20" s="330"/>
      <c r="BJ20" s="370" cm="1">
        <f t="array" ref="BJ20:BM20">_xlfn.LET(_xlpm.data,$R20:$AV20,_xlpm.starts,{1,8,16,23},_xlpm.lengths,{7,7,8,9},_xlpm.arr,_xlfn.MAP(_xlpm.starts,_xlpm.lengths,_xlfn.LAMBDA(_xlpm.s,_xlpm.l,SUM(INDEX(_xlpm.data,,_xlfn.SEQUENCE(,_xlpm.l,_xlpm.s))))),ROUND(_xlpm.arr*$O20/1000,2))</f>
        <v>0</v>
      </c>
      <c r="BK20" s="330">
        <v>0</v>
      </c>
      <c r="BL20" s="330">
        <v>13.37</v>
      </c>
      <c r="BM20" s="330">
        <v>30.08</v>
      </c>
      <c r="BN20" s="258">
        <f t="shared" si="12"/>
        <v>43.45</v>
      </c>
      <c r="BO20" s="258">
        <v>0</v>
      </c>
      <c r="BP20" s="258">
        <v>0</v>
      </c>
      <c r="BQ20" s="258">
        <v>0</v>
      </c>
      <c r="BR20" s="258">
        <v>0</v>
      </c>
      <c r="BS20" s="115"/>
      <c r="BT20" s="258" cm="1">
        <f ca="1" t="array" ref="BT20:BW20">_xlfn.HSTACK(SUM(INDEX($R20:$AV20,1,1):INDEX($R20:$AV20,1,7)),SUM(INDEX($R20:$AV20,1,7):INDEX($R20:$AV20,1,13)),SUM(INDEX($R20:$AV20,1,16):INDEX($R20:$AV20,1,23)),SUM(INDEX($R20:$AV20,1,23):INDEX($R20:$AV20,1,31)))</f>
        <v>0</v>
      </c>
      <c r="BU20" s="258">
        <v>0</v>
      </c>
      <c r="BV20" s="258">
        <v>264</v>
      </c>
      <c r="BW20" s="258">
        <v>594</v>
      </c>
      <c r="BY20" s="258">
        <f t="shared" si="21"/>
        <v>0</v>
      </c>
      <c r="BZ20" s="258">
        <f t="shared" si="22"/>
        <v>0</v>
      </c>
      <c r="CA20" s="258">
        <f t="shared" si="23"/>
        <v>198</v>
      </c>
      <c r="CB20" s="258">
        <f t="shared" si="24"/>
        <v>594</v>
      </c>
      <c r="CD20" s="113"/>
      <c r="CE20" s="258">
        <f t="shared" ref="CE20:CH20" si="49">ROUND(BY20*$O20/1000,2)</f>
        <v>0</v>
      </c>
      <c r="CF20" s="258">
        <f t="shared" si="49"/>
        <v>0</v>
      </c>
      <c r="CG20" s="258">
        <f t="shared" si="49"/>
        <v>10.03</v>
      </c>
      <c r="CH20" s="258">
        <f t="shared" si="49"/>
        <v>30.08</v>
      </c>
      <c r="CI20" s="258">
        <f t="shared" si="16"/>
        <v>40.11</v>
      </c>
      <c r="CJ20" s="113"/>
      <c r="CK20" s="258">
        <f t="shared" ref="CK20:CN20" si="50">IFERROR(ROUND(BY20*$P20,2),"")</f>
        <v>0</v>
      </c>
      <c r="CL20" s="258">
        <f t="shared" si="50"/>
        <v>0</v>
      </c>
      <c r="CM20" s="258">
        <f t="shared" si="50"/>
        <v>138528.14</v>
      </c>
      <c r="CN20" s="258">
        <f t="shared" si="50"/>
        <v>415584.41</v>
      </c>
      <c r="CO20" s="258">
        <f t="shared" si="18"/>
        <v>554112.55</v>
      </c>
      <c r="CP20" s="258" t="e">
        <f>VLOOKUP(G20,[2]Sheet1!$C$3:$G$310,5,0)</f>
        <v>#N/A</v>
      </c>
      <c r="CQ20" s="258">
        <f>VLOOKUP(G20,[3]KCBB0101!$C$3:$F$691,4,0)</f>
        <v>6321</v>
      </c>
    </row>
    <row r="21" s="258" customFormat="1" ht="17.6" spans="1:95">
      <c r="A21" s="330"/>
      <c r="B21" s="334" t="str">
        <f>_xlfn.XLOOKUP(G21,销售需求表!A:A,销售需求表!C:C)</f>
        <v>北美</v>
      </c>
      <c r="C21" s="335" t="str">
        <f t="shared" si="19"/>
        <v>22.5</v>
      </c>
      <c r="D21" s="334" t="str">
        <f t="shared" si="0"/>
        <v>北美22.5寸</v>
      </c>
      <c r="E21" s="339" t="str">
        <f t="shared" si="38"/>
        <v>11R22.5-16PR(148/145K)-Strong Guard H-MD</v>
      </c>
      <c r="F21" s="340" t="str">
        <f t="shared" si="2"/>
        <v>11R22.5-16PR-H-MD</v>
      </c>
      <c r="G21" s="341" t="s">
        <v>380</v>
      </c>
      <c r="H21" s="334">
        <v>1100</v>
      </c>
      <c r="I21" s="345">
        <v>2</v>
      </c>
      <c r="J21" s="346" t="str">
        <f t="shared" si="48"/>
        <v>11R22.5-H-MD</v>
      </c>
      <c r="K21" s="347" t="str">
        <f>_xlfn.XLOOKUP(F21,投产规格!E:E,投产规格!D:D,"未投产")</f>
        <v>✔</v>
      </c>
      <c r="L21" s="347">
        <f>IFERROR(_xlfn.XLOOKUP(F21,硫化工艺!B:B,硫化工艺!C:C),"")</f>
        <v>44</v>
      </c>
      <c r="M21" s="349">
        <f t="shared" si="43"/>
        <v>0.882943143812709</v>
      </c>
      <c r="N21" s="347" t="str">
        <f t="shared" si="28"/>
        <v>22.5全钢</v>
      </c>
      <c r="O21" s="347">
        <f>IFERROR(_xlfn.XLOOKUP(F21,轮胎重量!J:J,轮胎重量!G:G),"")</f>
        <v>60.324</v>
      </c>
      <c r="P21" s="347">
        <f>IFERROR(_xlfn.XLOOKUP(G21,硫化工艺!I:I,硫化工艺!J:J),"")</f>
        <v>869.122688</v>
      </c>
      <c r="Q21" s="347">
        <f t="shared" si="4"/>
        <v>58</v>
      </c>
      <c r="R21" s="347">
        <v>58</v>
      </c>
      <c r="S21" s="347">
        <v>58</v>
      </c>
      <c r="T21" s="347">
        <v>58</v>
      </c>
      <c r="U21" s="347">
        <v>58</v>
      </c>
      <c r="V21" s="347">
        <v>58</v>
      </c>
      <c r="W21" s="347">
        <v>58</v>
      </c>
      <c r="X21" s="347">
        <v>58</v>
      </c>
      <c r="Y21" s="347">
        <v>58</v>
      </c>
      <c r="Z21" s="347">
        <v>58</v>
      </c>
      <c r="AA21" s="347">
        <v>58</v>
      </c>
      <c r="AB21" s="347">
        <v>58</v>
      </c>
      <c r="AC21" s="347">
        <v>58</v>
      </c>
      <c r="AD21" s="347">
        <v>58</v>
      </c>
      <c r="AE21" s="347">
        <v>58</v>
      </c>
      <c r="AF21" s="347">
        <v>58</v>
      </c>
      <c r="AG21" s="354">
        <v>58</v>
      </c>
      <c r="AH21" s="347"/>
      <c r="AI21" s="347"/>
      <c r="AJ21" s="347"/>
      <c r="AK21" s="347"/>
      <c r="AL21" s="347"/>
      <c r="AM21" s="347"/>
      <c r="AN21" s="347"/>
      <c r="AO21" s="347"/>
      <c r="AP21" s="347"/>
      <c r="AQ21" s="347"/>
      <c r="AR21" s="347"/>
      <c r="AS21" s="347"/>
      <c r="AT21" s="347"/>
      <c r="AU21" s="347"/>
      <c r="AV21" s="347"/>
      <c r="AW21" s="347">
        <f t="shared" si="5"/>
        <v>928</v>
      </c>
      <c r="AX21" s="365">
        <f t="shared" si="6"/>
        <v>55.980672</v>
      </c>
      <c r="AY21" s="365">
        <f t="shared" si="7"/>
        <v>80.655</v>
      </c>
      <c r="AZ21" s="367"/>
      <c r="BC21" s="330"/>
      <c r="BD21" s="330"/>
      <c r="BE21" s="330">
        <f t="shared" si="8"/>
        <v>0</v>
      </c>
      <c r="BF21" s="330">
        <f t="shared" si="9"/>
        <v>0</v>
      </c>
      <c r="BG21" s="330">
        <f t="shared" si="10"/>
        <v>0</v>
      </c>
      <c r="BH21" s="330">
        <f t="shared" si="11"/>
        <v>0</v>
      </c>
      <c r="BI21" s="330"/>
      <c r="BJ21" s="370" cm="1">
        <f t="array" ref="BJ21:BM21">_xlfn.LET(_xlpm.data,$R21:$AV21,_xlpm.starts,{1,8,16,23},_xlpm.lengths,{7,7,8,9},_xlpm.arr,_xlfn.MAP(_xlpm.starts,_xlpm.lengths,_xlfn.LAMBDA(_xlpm.s,_xlpm.l,SUM(INDEX(_xlpm.data,,_xlfn.SEQUENCE(,_xlpm.l,_xlpm.s))))),ROUND(_xlpm.arr*$O21/1000,2))</f>
        <v>24.49</v>
      </c>
      <c r="BK21" s="330">
        <v>24.49</v>
      </c>
      <c r="BL21" s="330">
        <v>3.5</v>
      </c>
      <c r="BM21" s="330">
        <v>0</v>
      </c>
      <c r="BN21" s="258">
        <f t="shared" si="12"/>
        <v>52.48</v>
      </c>
      <c r="BO21" s="258">
        <v>0</v>
      </c>
      <c r="BP21" s="258">
        <v>0</v>
      </c>
      <c r="BQ21" s="258">
        <v>0</v>
      </c>
      <c r="BR21" s="258">
        <v>0</v>
      </c>
      <c r="BS21" s="115"/>
      <c r="BT21" s="258" cm="1">
        <f ca="1" t="array" ref="BT21:BW21">_xlfn.HSTACK(SUM(INDEX($R21:$AV21,1,1):INDEX($R21:$AV21,1,7)),SUM(INDEX($R21:$AV21,1,7):INDEX($R21:$AV21,1,13)),SUM(INDEX($R21:$AV21,1,16):INDEX($R21:$AV21,1,23)),SUM(INDEX($R21:$AV21,1,23):INDEX($R21:$AV21,1,31)))</f>
        <v>406</v>
      </c>
      <c r="BU21" s="258">
        <v>406</v>
      </c>
      <c r="BV21" s="258">
        <v>58</v>
      </c>
      <c r="BW21" s="258">
        <v>0</v>
      </c>
      <c r="BY21" s="258">
        <f t="shared" si="21"/>
        <v>406</v>
      </c>
      <c r="BZ21" s="258">
        <f t="shared" si="22"/>
        <v>406</v>
      </c>
      <c r="CA21" s="258">
        <f t="shared" si="23"/>
        <v>116</v>
      </c>
      <c r="CB21" s="258">
        <f t="shared" si="24"/>
        <v>0</v>
      </c>
      <c r="CD21" s="113"/>
      <c r="CE21" s="258">
        <f t="shared" ref="CE21:CH21" si="51">ROUND(BY21*$O21/1000,2)</f>
        <v>24.49</v>
      </c>
      <c r="CF21" s="258">
        <f t="shared" si="51"/>
        <v>24.49</v>
      </c>
      <c r="CG21" s="258">
        <f t="shared" si="51"/>
        <v>7</v>
      </c>
      <c r="CH21" s="258">
        <f t="shared" si="51"/>
        <v>0</v>
      </c>
      <c r="CI21" s="258">
        <f t="shared" si="16"/>
        <v>55.98</v>
      </c>
      <c r="CJ21" s="113"/>
      <c r="CK21" s="258">
        <f t="shared" ref="CK21:CN21" si="52">IFERROR(ROUND(BY21*$P21,2),"")</f>
        <v>352863.81</v>
      </c>
      <c r="CL21" s="258">
        <f t="shared" si="52"/>
        <v>352863.81</v>
      </c>
      <c r="CM21" s="258">
        <f t="shared" si="52"/>
        <v>100818.23</v>
      </c>
      <c r="CN21" s="258">
        <f t="shared" si="52"/>
        <v>0</v>
      </c>
      <c r="CO21" s="258">
        <f t="shared" si="18"/>
        <v>806545.85</v>
      </c>
      <c r="CP21" s="258">
        <f>VLOOKUP(G21,[2]Sheet1!$C$3:$G$310,5,0)</f>
        <v>9000</v>
      </c>
      <c r="CQ21" s="258" t="e">
        <f>VLOOKUP(G21,[3]KCBB0101!$C$3:$F$691,4,0)</f>
        <v>#N/A</v>
      </c>
    </row>
    <row r="22" s="258" customFormat="1" ht="17.6" spans="1:95">
      <c r="A22" s="330"/>
      <c r="B22" s="334" t="str">
        <f>_xlfn.XLOOKUP(G22,销售需求表!A:A,销售需求表!C:C)</f>
        <v>北美</v>
      </c>
      <c r="C22" s="335" t="str">
        <f t="shared" si="19"/>
        <v>22.5</v>
      </c>
      <c r="D22" s="334" t="str">
        <f t="shared" si="0"/>
        <v>北美22.5寸</v>
      </c>
      <c r="E22" s="339" t="str">
        <f t="shared" si="38"/>
        <v>11R22.5-16PR(148/145L)-AD716</v>
      </c>
      <c r="F22" s="340" t="str">
        <f t="shared" si="2"/>
        <v>11R22.5-16PR-AD716</v>
      </c>
      <c r="G22" s="341" t="s">
        <v>381</v>
      </c>
      <c r="H22" s="334">
        <v>280</v>
      </c>
      <c r="I22" s="345"/>
      <c r="J22" s="346" t="str">
        <f t="shared" si="48"/>
        <v>11R22.5-AD716</v>
      </c>
      <c r="K22" s="347" t="str">
        <f>_xlfn.XLOOKUP(F22,投产规格!E:E,投产规格!D:D,"未投产")</f>
        <v>✔</v>
      </c>
      <c r="L22" s="347">
        <f>IFERROR(_xlfn.XLOOKUP(F22,硫化工艺!B:B,硫化工艺!C:C),"")</f>
        <v>38.5</v>
      </c>
      <c r="M22" s="349">
        <f t="shared" si="43"/>
        <v>0.868421052631579</v>
      </c>
      <c r="N22" s="347" t="str">
        <f t="shared" ref="N22:N63" si="53">C22&amp;"全钢"</f>
        <v>22.5全钢</v>
      </c>
      <c r="O22" s="347">
        <f>IFERROR(_xlfn.XLOOKUP(F22,轮胎重量!J:J,轮胎重量!G:G),"")</f>
        <v>55.842</v>
      </c>
      <c r="P22" s="347">
        <f>IFERROR(_xlfn.XLOOKUP(G22,硫化工艺!I:I,硫化工艺!J:J),"")</f>
        <v>792.181334</v>
      </c>
      <c r="Q22" s="347">
        <f t="shared" si="4"/>
        <v>0</v>
      </c>
      <c r="R22" s="347"/>
      <c r="S22" s="347"/>
      <c r="T22" s="347"/>
      <c r="U22" s="347"/>
      <c r="V22" s="347"/>
      <c r="W22" s="347"/>
      <c r="X22" s="347"/>
      <c r="Y22" s="347"/>
      <c r="Z22" s="347"/>
      <c r="AA22" s="347"/>
      <c r="AB22" s="347"/>
      <c r="AC22" s="347"/>
      <c r="AD22" s="347"/>
      <c r="AE22" s="347"/>
      <c r="AF22" s="347"/>
      <c r="AG22" s="347"/>
      <c r="AH22" s="347"/>
      <c r="AI22" s="347"/>
      <c r="AJ22" s="347"/>
      <c r="AK22" s="347"/>
      <c r="AL22" s="347"/>
      <c r="AM22" s="347"/>
      <c r="AN22" s="347"/>
      <c r="AO22" s="347"/>
      <c r="AP22" s="347"/>
      <c r="AQ22" s="347"/>
      <c r="AR22" s="347"/>
      <c r="AS22" s="347"/>
      <c r="AT22" s="354">
        <v>60</v>
      </c>
      <c r="AU22" s="347">
        <v>60</v>
      </c>
      <c r="AV22" s="347">
        <v>60</v>
      </c>
      <c r="AW22" s="347">
        <f t="shared" si="5"/>
        <v>180</v>
      </c>
      <c r="AX22" s="365">
        <f t="shared" si="6"/>
        <v>10.05156</v>
      </c>
      <c r="AY22" s="365">
        <f t="shared" si="7"/>
        <v>14.259</v>
      </c>
      <c r="AZ22" s="367"/>
      <c r="BC22" s="330"/>
      <c r="BD22" s="330"/>
      <c r="BE22" s="330">
        <f t="shared" si="8"/>
        <v>0</v>
      </c>
      <c r="BF22" s="330">
        <f t="shared" si="9"/>
        <v>0</v>
      </c>
      <c r="BG22" s="330">
        <f t="shared" si="10"/>
        <v>0</v>
      </c>
      <c r="BH22" s="330">
        <f t="shared" si="11"/>
        <v>0</v>
      </c>
      <c r="BI22" s="330"/>
      <c r="BJ22" s="370" cm="1">
        <f t="array" ref="BJ22:BM22">_xlfn.LET(_xlpm.data,$R22:$AV22,_xlpm.starts,{1,8,16,23},_xlpm.lengths,{7,7,8,9},_xlpm.arr,_xlfn.MAP(_xlpm.starts,_xlpm.lengths,_xlfn.LAMBDA(_xlpm.s,_xlpm.l,SUM(INDEX(_xlpm.data,,_xlfn.SEQUENCE(,_xlpm.l,_xlpm.s))))),ROUND(_xlpm.arr*$O22/1000,2))</f>
        <v>0</v>
      </c>
      <c r="BK22" s="330">
        <v>0</v>
      </c>
      <c r="BL22" s="330">
        <v>0</v>
      </c>
      <c r="BM22" s="330">
        <v>10.05</v>
      </c>
      <c r="BN22" s="258">
        <f t="shared" si="12"/>
        <v>10.05</v>
      </c>
      <c r="BO22" s="258">
        <v>0</v>
      </c>
      <c r="BP22" s="258">
        <v>0</v>
      </c>
      <c r="BQ22" s="258">
        <v>0</v>
      </c>
      <c r="BR22" s="258">
        <v>0</v>
      </c>
      <c r="BS22" s="115"/>
      <c r="BT22" s="258" cm="1">
        <f ca="1" t="array" ref="BT22:BW22">_xlfn.HSTACK(SUM(INDEX($R22:$AV22,1,1):INDEX($R22:$AV22,1,7)),SUM(INDEX($R22:$AV22,1,7):INDEX($R22:$AV22,1,13)),SUM(INDEX($R22:$AV22,1,16):INDEX($R22:$AV22,1,23)),SUM(INDEX($R22:$AV22,1,23):INDEX($R22:$AV22,1,31)))</f>
        <v>0</v>
      </c>
      <c r="BU22" s="258">
        <v>0</v>
      </c>
      <c r="BV22" s="258">
        <v>0</v>
      </c>
      <c r="BW22" s="258">
        <v>180</v>
      </c>
      <c r="BY22" s="258">
        <f t="shared" si="21"/>
        <v>0</v>
      </c>
      <c r="BZ22" s="258">
        <f t="shared" si="22"/>
        <v>0</v>
      </c>
      <c r="CA22" s="258">
        <f t="shared" si="23"/>
        <v>0</v>
      </c>
      <c r="CB22" s="258">
        <f t="shared" si="24"/>
        <v>180</v>
      </c>
      <c r="CD22" s="113"/>
      <c r="CE22" s="258">
        <f t="shared" ref="CE22:CH22" si="54">ROUND(BY22*$O22/1000,2)</f>
        <v>0</v>
      </c>
      <c r="CF22" s="258">
        <f t="shared" si="54"/>
        <v>0</v>
      </c>
      <c r="CG22" s="258">
        <f t="shared" si="54"/>
        <v>0</v>
      </c>
      <c r="CH22" s="258">
        <f t="shared" si="54"/>
        <v>10.05</v>
      </c>
      <c r="CI22" s="258">
        <f t="shared" si="16"/>
        <v>10.05</v>
      </c>
      <c r="CJ22" s="113"/>
      <c r="CK22" s="258">
        <f t="shared" ref="CK22:CN22" si="55">IFERROR(ROUND(BY22*$P22,2),"")</f>
        <v>0</v>
      </c>
      <c r="CL22" s="258">
        <f t="shared" si="55"/>
        <v>0</v>
      </c>
      <c r="CM22" s="258">
        <f t="shared" si="55"/>
        <v>0</v>
      </c>
      <c r="CN22" s="258">
        <f t="shared" si="55"/>
        <v>142592.64</v>
      </c>
      <c r="CO22" s="258">
        <f t="shared" si="18"/>
        <v>142592.64</v>
      </c>
      <c r="CP22" s="258" t="e">
        <f>VLOOKUP(G22,[2]Sheet1!$C$3:$G$310,5,0)</f>
        <v>#N/A</v>
      </c>
      <c r="CQ22" s="258">
        <f>VLOOKUP(G22,[3]KCBB0101!$C$3:$F$691,4,0)</f>
        <v>4000</v>
      </c>
    </row>
    <row r="23" s="258" customFormat="1" ht="17.6" spans="1:95">
      <c r="A23" s="330"/>
      <c r="B23" s="334" t="str">
        <f>_xlfn.XLOOKUP(G23,销售需求表!A:A,销售需求表!C:C)</f>
        <v>亚</v>
      </c>
      <c r="C23" s="335" t="str">
        <f t="shared" si="19"/>
        <v>22.5</v>
      </c>
      <c r="D23" s="334" t="str">
        <f t="shared" si="0"/>
        <v>亚22.5寸</v>
      </c>
      <c r="E23" s="339" t="str">
        <f t="shared" si="38"/>
        <v>11R22.5-16PR(148/145L)-AS858</v>
      </c>
      <c r="F23" s="340" t="str">
        <f t="shared" si="2"/>
        <v>11R22.5-16PR-AS858</v>
      </c>
      <c r="G23" s="341" t="s">
        <v>382</v>
      </c>
      <c r="H23" s="334">
        <v>480</v>
      </c>
      <c r="I23" s="345"/>
      <c r="J23" s="346" t="str">
        <f t="shared" si="48"/>
        <v>11R22.5-AS858</v>
      </c>
      <c r="K23" s="347" t="str">
        <f>_xlfn.XLOOKUP(F23,投产规格!E:E,投产规格!D:D,"未投产")</f>
        <v>✔</v>
      </c>
      <c r="L23" s="347">
        <f>IFERROR(_xlfn.XLOOKUP(F23,硫化工艺!B:B,硫化工艺!C:C),"")</f>
        <v>41.5</v>
      </c>
      <c r="M23" s="349">
        <f t="shared" si="43"/>
        <v>0.876760563380282</v>
      </c>
      <c r="N23" s="347" t="str">
        <f t="shared" si="53"/>
        <v>22.5全钢</v>
      </c>
      <c r="O23" s="347">
        <f>IFERROR(_xlfn.XLOOKUP(F23,轮胎重量!J:J,轮胎重量!G:G),"")</f>
        <v>57.238</v>
      </c>
      <c r="P23" s="347">
        <f>IFERROR(_xlfn.XLOOKUP(G23,硫化工艺!I:I,硫化工艺!J:J),"")</f>
        <v>831.1317</v>
      </c>
      <c r="Q23" s="347">
        <f t="shared" si="4"/>
        <v>0</v>
      </c>
      <c r="R23" s="347"/>
      <c r="S23" s="347"/>
      <c r="T23" s="347"/>
      <c r="U23" s="347"/>
      <c r="V23" s="347"/>
      <c r="W23" s="347"/>
      <c r="X23" s="347"/>
      <c r="Y23" s="347"/>
      <c r="Z23" s="347"/>
      <c r="AA23" s="347"/>
      <c r="AB23" s="347"/>
      <c r="AC23" s="347"/>
      <c r="AD23" s="347"/>
      <c r="AE23" s="347"/>
      <c r="AF23" s="347"/>
      <c r="AG23" s="347"/>
      <c r="AH23" s="347"/>
      <c r="AI23" s="347"/>
      <c r="AJ23" s="347"/>
      <c r="AK23" s="347"/>
      <c r="AL23" s="347"/>
      <c r="AM23" s="347"/>
      <c r="AN23" s="354">
        <v>60</v>
      </c>
      <c r="AO23" s="354">
        <v>60</v>
      </c>
      <c r="AP23" s="354">
        <v>60</v>
      </c>
      <c r="AQ23" s="354">
        <v>60</v>
      </c>
      <c r="AR23" s="354">
        <v>60</v>
      </c>
      <c r="AS23" s="354">
        <v>60</v>
      </c>
      <c r="AT23" s="354">
        <v>60</v>
      </c>
      <c r="AU23" s="354">
        <v>60</v>
      </c>
      <c r="AV23" s="354">
        <v>60</v>
      </c>
      <c r="AW23" s="347">
        <f t="shared" si="5"/>
        <v>540</v>
      </c>
      <c r="AX23" s="365">
        <f t="shared" si="6"/>
        <v>30.90852</v>
      </c>
      <c r="AY23" s="365">
        <f t="shared" si="7"/>
        <v>44.881</v>
      </c>
      <c r="AZ23" s="367"/>
      <c r="BC23" s="330"/>
      <c r="BD23" s="330"/>
      <c r="BE23" s="330">
        <f t="shared" si="8"/>
        <v>0</v>
      </c>
      <c r="BF23" s="330">
        <f t="shared" si="9"/>
        <v>0</v>
      </c>
      <c r="BG23" s="330">
        <f t="shared" si="10"/>
        <v>0</v>
      </c>
      <c r="BH23" s="330">
        <f t="shared" si="11"/>
        <v>0</v>
      </c>
      <c r="BI23" s="330"/>
      <c r="BJ23" s="370" cm="1">
        <f t="array" ref="BJ23:BM23">_xlfn.LET(_xlpm.data,$R23:$AV23,_xlpm.starts,{1,8,16,23},_xlpm.lengths,{7,7,8,9},_xlpm.arr,_xlfn.MAP(_xlpm.starts,_xlpm.lengths,_xlfn.LAMBDA(_xlpm.s,_xlpm.l,SUM(INDEX(_xlpm.data,,_xlfn.SEQUENCE(,_xlpm.l,_xlpm.s))))),ROUND(_xlpm.arr*$O23/1000,2))</f>
        <v>0</v>
      </c>
      <c r="BK23" s="330">
        <v>0</v>
      </c>
      <c r="BL23" s="330">
        <v>3.43</v>
      </c>
      <c r="BM23" s="330">
        <v>30.91</v>
      </c>
      <c r="BN23" s="258">
        <f t="shared" si="12"/>
        <v>34.34</v>
      </c>
      <c r="BO23" s="258">
        <v>0</v>
      </c>
      <c r="BP23" s="258">
        <v>0</v>
      </c>
      <c r="BQ23" s="258">
        <v>0</v>
      </c>
      <c r="BR23" s="258">
        <v>0</v>
      </c>
      <c r="BS23" s="115"/>
      <c r="BT23" s="258" cm="1">
        <f ca="1" t="array" ref="BT23:BW23">_xlfn.HSTACK(SUM(INDEX($R23:$AV23,1,1):INDEX($R23:$AV23,1,7)),SUM(INDEX($R23:$AV23,1,7):INDEX($R23:$AV23,1,13)),SUM(INDEX($R23:$AV23,1,16):INDEX($R23:$AV23,1,23)),SUM(INDEX($R23:$AV23,1,23):INDEX($R23:$AV23,1,31)))</f>
        <v>0</v>
      </c>
      <c r="BU23" s="258">
        <v>0</v>
      </c>
      <c r="BV23" s="258">
        <v>60</v>
      </c>
      <c r="BW23" s="258">
        <v>540</v>
      </c>
      <c r="BY23" s="258">
        <f t="shared" si="21"/>
        <v>0</v>
      </c>
      <c r="BZ23" s="258">
        <f t="shared" si="22"/>
        <v>0</v>
      </c>
      <c r="CA23" s="258">
        <f t="shared" si="23"/>
        <v>0</v>
      </c>
      <c r="CB23" s="258">
        <f t="shared" si="24"/>
        <v>540</v>
      </c>
      <c r="CD23" s="113"/>
      <c r="CE23" s="258">
        <f t="shared" ref="CE23:CH23" si="56">ROUND(BY23*$O23/1000,2)</f>
        <v>0</v>
      </c>
      <c r="CF23" s="258">
        <f t="shared" si="56"/>
        <v>0</v>
      </c>
      <c r="CG23" s="258">
        <f t="shared" si="56"/>
        <v>0</v>
      </c>
      <c r="CH23" s="258">
        <f t="shared" si="56"/>
        <v>30.91</v>
      </c>
      <c r="CI23" s="258">
        <f t="shared" si="16"/>
        <v>30.91</v>
      </c>
      <c r="CJ23" s="113"/>
      <c r="CK23" s="258">
        <f t="shared" ref="CK23:CN23" si="57">IFERROR(ROUND(BY23*$P23,2),"")</f>
        <v>0</v>
      </c>
      <c r="CL23" s="258">
        <f t="shared" si="57"/>
        <v>0</v>
      </c>
      <c r="CM23" s="258">
        <f t="shared" si="57"/>
        <v>0</v>
      </c>
      <c r="CN23" s="258">
        <f t="shared" si="57"/>
        <v>448811.12</v>
      </c>
      <c r="CO23" s="258">
        <f t="shared" si="18"/>
        <v>448811.12</v>
      </c>
      <c r="CP23" s="258" t="e">
        <f>VLOOKUP(G23,[2]Sheet1!$C$3:$G$310,5,0)</f>
        <v>#N/A</v>
      </c>
      <c r="CQ23" s="258">
        <f>VLOOKUP(G23,[3]KCBB0101!$C$3:$F$691,4,0)</f>
        <v>6660</v>
      </c>
    </row>
    <row r="24" s="258" customFormat="1" ht="17.6" spans="1:95">
      <c r="A24" s="330"/>
      <c r="B24" s="334" t="str">
        <f>_xlfn.XLOOKUP(G24,销售需求表!A:A,销售需求表!C:C)</f>
        <v>亚</v>
      </c>
      <c r="C24" s="335" t="str">
        <f t="shared" si="19"/>
        <v>22.5</v>
      </c>
      <c r="D24" s="334" t="str">
        <f t="shared" si="0"/>
        <v>亚22.5寸</v>
      </c>
      <c r="E24" s="339" t="str">
        <f t="shared" si="38"/>
        <v>11R22.5-16PR(148/145L)-AS868</v>
      </c>
      <c r="F24" s="340" t="str">
        <f t="shared" si="2"/>
        <v>11R22.5-16PR-AS868</v>
      </c>
      <c r="G24" s="341" t="s">
        <v>383</v>
      </c>
      <c r="H24" s="334">
        <v>2600</v>
      </c>
      <c r="I24" s="345">
        <v>2</v>
      </c>
      <c r="J24" s="346" t="str">
        <f t="shared" si="48"/>
        <v>11R22.5-AS868</v>
      </c>
      <c r="K24" s="347" t="str">
        <f>_xlfn.XLOOKUP(F24,投产规格!E:E,投产规格!D:D,"未投产")</f>
        <v>✔</v>
      </c>
      <c r="L24" s="347">
        <f>IFERROR(_xlfn.XLOOKUP(F24,硫化工艺!B:B,硫化工艺!C:C),"")</f>
        <v>41.5</v>
      </c>
      <c r="M24" s="349">
        <f t="shared" si="3"/>
        <v>0.876760563380282</v>
      </c>
      <c r="N24" s="347" t="str">
        <f t="shared" si="53"/>
        <v>22.5全钢</v>
      </c>
      <c r="O24" s="347">
        <f>IFERROR(_xlfn.XLOOKUP(F24,轮胎重量!J:J,轮胎重量!G:G),"")</f>
        <v>57.238</v>
      </c>
      <c r="P24" s="347">
        <f>IFERROR(_xlfn.XLOOKUP(G24,硫化工艺!I:I,硫化工艺!J:J),"")</f>
        <v>830.771606</v>
      </c>
      <c r="Q24" s="347">
        <f t="shared" si="4"/>
        <v>61</v>
      </c>
      <c r="R24" s="347">
        <v>60</v>
      </c>
      <c r="S24" s="347">
        <v>60</v>
      </c>
      <c r="T24" s="347">
        <v>60</v>
      </c>
      <c r="U24" s="347">
        <v>60</v>
      </c>
      <c r="V24" s="347">
        <v>60</v>
      </c>
      <c r="W24" s="347">
        <v>60</v>
      </c>
      <c r="X24" s="347">
        <v>60</v>
      </c>
      <c r="Y24" s="347">
        <v>60</v>
      </c>
      <c r="Z24" s="347">
        <v>60</v>
      </c>
      <c r="AA24" s="347">
        <v>60</v>
      </c>
      <c r="AB24" s="347">
        <v>60</v>
      </c>
      <c r="AC24" s="347">
        <v>60</v>
      </c>
      <c r="AD24" s="347">
        <v>60</v>
      </c>
      <c r="AE24" s="347">
        <v>60</v>
      </c>
      <c r="AF24" s="347">
        <v>60</v>
      </c>
      <c r="AG24" s="347">
        <v>60</v>
      </c>
      <c r="AH24" s="347">
        <v>60</v>
      </c>
      <c r="AI24" s="347">
        <v>60</v>
      </c>
      <c r="AJ24" s="347">
        <v>60</v>
      </c>
      <c r="AK24" s="347">
        <v>60</v>
      </c>
      <c r="AL24" s="347">
        <v>60</v>
      </c>
      <c r="AM24" s="347">
        <v>60</v>
      </c>
      <c r="AN24" s="347">
        <v>60</v>
      </c>
      <c r="AO24" s="347">
        <v>60</v>
      </c>
      <c r="AP24" s="347">
        <v>60</v>
      </c>
      <c r="AQ24" s="347">
        <v>60</v>
      </c>
      <c r="AR24" s="347">
        <v>60</v>
      </c>
      <c r="AS24" s="347">
        <v>60</v>
      </c>
      <c r="AT24" s="347">
        <v>60</v>
      </c>
      <c r="AU24" s="347">
        <v>60</v>
      </c>
      <c r="AV24" s="347">
        <v>60</v>
      </c>
      <c r="AW24" s="347">
        <f t="shared" si="5"/>
        <v>1860</v>
      </c>
      <c r="AX24" s="365">
        <f t="shared" si="6"/>
        <v>106.46268</v>
      </c>
      <c r="AY24" s="365">
        <f t="shared" si="7"/>
        <v>154.524</v>
      </c>
      <c r="AZ24" s="367"/>
      <c r="BC24" s="330"/>
      <c r="BD24" s="330"/>
      <c r="BE24" s="330">
        <f t="shared" si="8"/>
        <v>0</v>
      </c>
      <c r="BF24" s="330">
        <f t="shared" si="9"/>
        <v>0</v>
      </c>
      <c r="BG24" s="330">
        <f t="shared" si="10"/>
        <v>0</v>
      </c>
      <c r="BH24" s="330">
        <f t="shared" si="11"/>
        <v>0</v>
      </c>
      <c r="BI24" s="330"/>
      <c r="BJ24" s="370" cm="1">
        <f t="array" ref="BJ24:BM24">_xlfn.LET(_xlpm.data,$R24:$AV24,_xlpm.starts,{1,8,16,23},_xlpm.lengths,{7,7,8,9},_xlpm.arr,_xlfn.MAP(_xlpm.starts,_xlpm.lengths,_xlfn.LAMBDA(_xlpm.s,_xlpm.l,SUM(INDEX(_xlpm.data,,_xlfn.SEQUENCE(,_xlpm.l,_xlpm.s))))),ROUND(_xlpm.arr*$O24/1000,2))</f>
        <v>24.04</v>
      </c>
      <c r="BK24" s="330">
        <v>24.04</v>
      </c>
      <c r="BL24" s="330">
        <v>27.47</v>
      </c>
      <c r="BM24" s="330">
        <v>30.91</v>
      </c>
      <c r="BN24" s="258">
        <f t="shared" si="12"/>
        <v>106.46</v>
      </c>
      <c r="BO24" s="258">
        <v>0</v>
      </c>
      <c r="BP24" s="258">
        <v>0</v>
      </c>
      <c r="BQ24" s="258">
        <v>0</v>
      </c>
      <c r="BR24" s="258">
        <v>0</v>
      </c>
      <c r="BS24" s="115"/>
      <c r="BT24" s="258" cm="1">
        <f ca="1" t="array" ref="BT24:BW24">_xlfn.HSTACK(SUM(INDEX($R24:$AV24,1,1):INDEX($R24:$AV24,1,7)),SUM(INDEX($R24:$AV24,1,7):INDEX($R24:$AV24,1,13)),SUM(INDEX($R24:$AV24,1,16):INDEX($R24:$AV24,1,23)),SUM(INDEX($R24:$AV24,1,23):INDEX($R24:$AV24,1,31)))</f>
        <v>420</v>
      </c>
      <c r="BU24" s="258">
        <v>420</v>
      </c>
      <c r="BV24" s="258">
        <v>480</v>
      </c>
      <c r="BW24" s="258">
        <v>540</v>
      </c>
      <c r="BY24" s="258">
        <f t="shared" si="21"/>
        <v>420</v>
      </c>
      <c r="BZ24" s="258">
        <f t="shared" si="22"/>
        <v>420</v>
      </c>
      <c r="CA24" s="258">
        <f t="shared" si="23"/>
        <v>480</v>
      </c>
      <c r="CB24" s="258">
        <f t="shared" si="24"/>
        <v>540</v>
      </c>
      <c r="CD24" s="113"/>
      <c r="CE24" s="258">
        <f t="shared" ref="CE24:CH24" si="58">ROUND(BY24*$O24/1000,2)</f>
        <v>24.04</v>
      </c>
      <c r="CF24" s="258">
        <f t="shared" si="58"/>
        <v>24.04</v>
      </c>
      <c r="CG24" s="258">
        <f t="shared" si="58"/>
        <v>27.47</v>
      </c>
      <c r="CH24" s="258">
        <f t="shared" si="58"/>
        <v>30.91</v>
      </c>
      <c r="CI24" s="258">
        <f t="shared" si="16"/>
        <v>106.46</v>
      </c>
      <c r="CJ24" s="113"/>
      <c r="CK24" s="258">
        <f t="shared" ref="CK24:CN24" si="59">IFERROR(ROUND(BY24*$P24,2),"")</f>
        <v>348924.07</v>
      </c>
      <c r="CL24" s="258">
        <f t="shared" si="59"/>
        <v>348924.07</v>
      </c>
      <c r="CM24" s="258">
        <f t="shared" si="59"/>
        <v>398770.37</v>
      </c>
      <c r="CN24" s="258">
        <f t="shared" si="59"/>
        <v>448616.67</v>
      </c>
      <c r="CO24" s="258">
        <f t="shared" si="18"/>
        <v>1545235.18</v>
      </c>
      <c r="CP24" s="258" t="e">
        <f>VLOOKUP(G24,[2]Sheet1!$C$3:$G$310,5,0)</f>
        <v>#N/A</v>
      </c>
      <c r="CQ24" s="258">
        <f>VLOOKUP(G24,[3]KCBB0101!$C$3:$F$691,4,0)</f>
        <v>6581</v>
      </c>
    </row>
    <row r="25" s="258" customFormat="1" ht="17.6" spans="1:95">
      <c r="A25" s="330"/>
      <c r="B25" s="334" t="str">
        <f>_xlfn.XLOOKUP(G25,销售需求表!A:A,销售需求表!C:C)</f>
        <v>北美</v>
      </c>
      <c r="C25" s="335" t="str">
        <f t="shared" si="19"/>
        <v>22.5</v>
      </c>
      <c r="D25" s="334" t="str">
        <f t="shared" si="0"/>
        <v>北美22.5寸</v>
      </c>
      <c r="E25" s="339" t="str">
        <f t="shared" si="38"/>
        <v>11R22.5-16PR(148/145L)-AZ599</v>
      </c>
      <c r="F25" s="340" t="str">
        <f t="shared" si="2"/>
        <v>11R22.5-16PR-AZ599</v>
      </c>
      <c r="G25" s="342" t="s">
        <v>95</v>
      </c>
      <c r="H25" s="334">
        <v>400</v>
      </c>
      <c r="I25" s="345"/>
      <c r="J25" s="346" t="str">
        <f t="shared" si="48"/>
        <v>11R22.5-AZ599</v>
      </c>
      <c r="K25" s="347" t="str">
        <f>_xlfn.XLOOKUP(F25,投产规格!E:E,投产规格!D:D,"未投产")</f>
        <v>✔</v>
      </c>
      <c r="L25" s="347">
        <f>IFERROR(_xlfn.XLOOKUP(F25,硫化工艺!B:B,硫化工艺!C:C),"")</f>
        <v>37.5</v>
      </c>
      <c r="M25" s="349">
        <f t="shared" si="3"/>
        <v>0.865384615384615</v>
      </c>
      <c r="N25" s="347" t="str">
        <f t="shared" si="53"/>
        <v>22.5全钢</v>
      </c>
      <c r="O25" s="347">
        <f>IFERROR(_xlfn.XLOOKUP(F25,轮胎重量!J:J,轮胎重量!G:G),"")</f>
        <v>52.059</v>
      </c>
      <c r="P25" s="347">
        <f>IFERROR(_xlfn.XLOOKUP(G25,硫化工艺!I:I,硫化工艺!J:J),"")</f>
        <v>747.865853</v>
      </c>
      <c r="Q25" s="347">
        <f t="shared" si="4"/>
        <v>0</v>
      </c>
      <c r="R25" s="347"/>
      <c r="S25" s="347"/>
      <c r="T25" s="347"/>
      <c r="U25" s="347"/>
      <c r="V25" s="347"/>
      <c r="W25" s="347"/>
      <c r="X25" s="347"/>
      <c r="Y25" s="347"/>
      <c r="Z25" s="347"/>
      <c r="AA25" s="347"/>
      <c r="AB25" s="347"/>
      <c r="AC25" s="347"/>
      <c r="AD25" s="347"/>
      <c r="AE25" s="347"/>
      <c r="AF25" s="347"/>
      <c r="AG25" s="347"/>
      <c r="AH25" s="347"/>
      <c r="AI25" s="347"/>
      <c r="AJ25" s="347"/>
      <c r="AK25" s="347"/>
      <c r="AL25" s="347"/>
      <c r="AM25" s="347"/>
      <c r="AN25" s="347"/>
      <c r="AO25" s="362">
        <v>60</v>
      </c>
      <c r="AP25" s="347">
        <v>60</v>
      </c>
      <c r="AQ25" s="347">
        <v>60</v>
      </c>
      <c r="AR25" s="347">
        <v>60</v>
      </c>
      <c r="AS25" s="347">
        <v>60</v>
      </c>
      <c r="AT25" s="347">
        <v>60</v>
      </c>
      <c r="AU25" s="347">
        <v>60</v>
      </c>
      <c r="AV25" s="347">
        <v>60</v>
      </c>
      <c r="AW25" s="347">
        <v>3000</v>
      </c>
      <c r="AX25" s="365">
        <f t="shared" si="6"/>
        <v>156.177</v>
      </c>
      <c r="AY25" s="365">
        <f t="shared" si="7"/>
        <v>224.36</v>
      </c>
      <c r="AZ25" s="367"/>
      <c r="BC25" s="330"/>
      <c r="BD25" s="330"/>
      <c r="BE25" s="330">
        <f t="shared" si="8"/>
        <v>0</v>
      </c>
      <c r="BF25" s="330">
        <f t="shared" si="9"/>
        <v>0</v>
      </c>
      <c r="BG25" s="330">
        <f t="shared" si="10"/>
        <v>0</v>
      </c>
      <c r="BH25" s="330">
        <f t="shared" si="11"/>
        <v>0</v>
      </c>
      <c r="BI25" s="330"/>
      <c r="BJ25" s="370" cm="1">
        <f t="array" ref="BJ25:BM25">_xlfn.LET(_xlpm.data,$R25:$AV25,_xlpm.starts,{1,8,16,23},_xlpm.lengths,{7,7,8,9},_xlpm.arr,_xlfn.MAP(_xlpm.starts,_xlpm.lengths,_xlfn.LAMBDA(_xlpm.s,_xlpm.l,SUM(INDEX(_xlpm.data,,_xlfn.SEQUENCE(,_xlpm.l,_xlpm.s))))),ROUND(_xlpm.arr*$O25/1000,2))</f>
        <v>0</v>
      </c>
      <c r="BK25" s="330">
        <v>0</v>
      </c>
      <c r="BL25" s="330">
        <v>0</v>
      </c>
      <c r="BM25" s="330">
        <v>24.99</v>
      </c>
      <c r="BN25" s="258">
        <f t="shared" si="12"/>
        <v>24.99</v>
      </c>
      <c r="BO25" s="258">
        <v>0</v>
      </c>
      <c r="BP25" s="258">
        <v>0</v>
      </c>
      <c r="BQ25" s="258">
        <v>0</v>
      </c>
      <c r="BR25" s="258">
        <v>0</v>
      </c>
      <c r="BS25" s="115"/>
      <c r="BT25" s="258" cm="1">
        <f ca="1" t="array" ref="BT25:BW25">_xlfn.HSTACK(SUM(INDEX($R25:$AV25,1,1):INDEX($R25:$AV25,1,7)),SUM(INDEX($R25:$AV25,1,7):INDEX($R25:$AV25,1,13)),SUM(INDEX($R25:$AV25,1,16):INDEX($R25:$AV25,1,23)),SUM(INDEX($R25:$AV25,1,23):INDEX($R25:$AV25,1,31)))</f>
        <v>0</v>
      </c>
      <c r="BU25" s="258">
        <v>0</v>
      </c>
      <c r="BV25" s="258">
        <v>0</v>
      </c>
      <c r="BW25" s="258">
        <v>480</v>
      </c>
      <c r="BY25" s="258">
        <f t="shared" si="21"/>
        <v>0</v>
      </c>
      <c r="BZ25" s="258">
        <f t="shared" si="22"/>
        <v>0</v>
      </c>
      <c r="CA25" s="258">
        <f t="shared" si="23"/>
        <v>0</v>
      </c>
      <c r="CB25" s="258">
        <f t="shared" si="24"/>
        <v>480</v>
      </c>
      <c r="CD25" s="113"/>
      <c r="CE25" s="258">
        <f t="shared" ref="CE25:CH25" si="60">ROUND(BY25*$O25/1000,2)</f>
        <v>0</v>
      </c>
      <c r="CF25" s="258">
        <f t="shared" si="60"/>
        <v>0</v>
      </c>
      <c r="CG25" s="258">
        <f t="shared" si="60"/>
        <v>0</v>
      </c>
      <c r="CH25" s="258">
        <f t="shared" si="60"/>
        <v>24.99</v>
      </c>
      <c r="CI25" s="258">
        <f t="shared" si="16"/>
        <v>24.99</v>
      </c>
      <c r="CJ25" s="113"/>
      <c r="CK25" s="258">
        <f t="shared" ref="CK25:CN25" si="61">IFERROR(ROUND(BY25*$P25,2),"")</f>
        <v>0</v>
      </c>
      <c r="CL25" s="258">
        <f t="shared" si="61"/>
        <v>0</v>
      </c>
      <c r="CM25" s="258">
        <f t="shared" si="61"/>
        <v>0</v>
      </c>
      <c r="CN25" s="258">
        <f t="shared" si="61"/>
        <v>358975.61</v>
      </c>
      <c r="CO25" s="258">
        <f t="shared" si="18"/>
        <v>358975.61</v>
      </c>
      <c r="CP25" s="258">
        <f>VLOOKUP(G25,[2]Sheet1!$C$3:$G$310,5,0)</f>
        <v>1740</v>
      </c>
      <c r="CQ25" s="258" t="e">
        <f>VLOOKUP(G25,[3]KCBB0101!$C$3:$F$691,4,0)</f>
        <v>#N/A</v>
      </c>
    </row>
    <row r="26" s="258" customFormat="1" ht="17.6" spans="1:93">
      <c r="A26" s="330"/>
      <c r="B26" s="334" t="str">
        <f>_xlfn.XLOOKUP(G26,销售需求表!A:A,销售需求表!C:C)</f>
        <v>北美</v>
      </c>
      <c r="C26" s="335" t="str">
        <f t="shared" si="19"/>
        <v>22.5</v>
      </c>
      <c r="D26" s="334" t="str">
        <f t="shared" si="0"/>
        <v>北美22.5寸</v>
      </c>
      <c r="E26" s="339" t="str">
        <f t="shared" si="38"/>
        <v>11R22.5-16PR(148/145L)-ECO-MILE CSD</v>
      </c>
      <c r="F26" s="340" t="str">
        <f t="shared" si="2"/>
        <v>11R22.5-16PR-ECO-MILE CSD</v>
      </c>
      <c r="G26" s="339" t="s">
        <v>384</v>
      </c>
      <c r="H26" s="334">
        <v>400</v>
      </c>
      <c r="I26" s="345"/>
      <c r="J26" s="346" t="str">
        <f t="shared" si="48"/>
        <v>11R22.5-ECO-MILE CSD</v>
      </c>
      <c r="K26" s="347" t="str">
        <f>_xlfn.XLOOKUP(F26,投产规格!E:E,投产规格!D:D,"未投产")</f>
        <v>✔</v>
      </c>
      <c r="L26" s="347">
        <f>IFERROR(_xlfn.XLOOKUP(F26,硫化工艺!B:B,硫化工艺!C:C),"")</f>
        <v>41.5</v>
      </c>
      <c r="M26" s="349">
        <f t="shared" si="3"/>
        <v>0.876760563380282</v>
      </c>
      <c r="N26" s="347" t="str">
        <f t="shared" si="53"/>
        <v>22.5全钢</v>
      </c>
      <c r="O26" s="347">
        <f>IFERROR(_xlfn.XLOOKUP(F26,轮胎重量!J:J,轮胎重量!G:G),"")</f>
        <v>59.57</v>
      </c>
      <c r="P26" s="350">
        <f>O26*13.9</f>
        <v>828.023</v>
      </c>
      <c r="Q26" s="347">
        <f t="shared" si="4"/>
        <v>0</v>
      </c>
      <c r="R26" s="347"/>
      <c r="S26" s="347"/>
      <c r="T26" s="347"/>
      <c r="U26" s="347"/>
      <c r="V26" s="347"/>
      <c r="W26" s="347"/>
      <c r="X26" s="347"/>
      <c r="Y26" s="347"/>
      <c r="Z26" s="347"/>
      <c r="AA26" s="347"/>
      <c r="AB26" s="347"/>
      <c r="AC26" s="347"/>
      <c r="AD26" s="347"/>
      <c r="AE26" s="347"/>
      <c r="AF26" s="347"/>
      <c r="AG26" s="347"/>
      <c r="AH26" s="347"/>
      <c r="AI26" s="347"/>
      <c r="AJ26" s="347"/>
      <c r="AK26" s="347"/>
      <c r="AL26" s="347"/>
      <c r="AM26" s="347"/>
      <c r="AN26" s="347"/>
      <c r="AO26" s="347"/>
      <c r="AP26" s="347"/>
      <c r="AQ26" s="347"/>
      <c r="AR26" s="347"/>
      <c r="AS26" s="347"/>
      <c r="AT26" s="347"/>
      <c r="AU26" s="347"/>
      <c r="AV26" s="347"/>
      <c r="AW26" s="347" t="str">
        <f t="shared" si="5"/>
        <v/>
      </c>
      <c r="AX26" s="365" t="str">
        <f t="shared" si="6"/>
        <v/>
      </c>
      <c r="AY26" s="365" t="str">
        <f t="shared" si="7"/>
        <v/>
      </c>
      <c r="AZ26" s="367"/>
      <c r="BC26" s="330"/>
      <c r="BD26" s="330"/>
      <c r="BE26" s="330" t="e">
        <f t="shared" si="8"/>
        <v>#VALUE!</v>
      </c>
      <c r="BF26" s="330" t="e">
        <f t="shared" si="9"/>
        <v>#VALUE!</v>
      </c>
      <c r="BG26" s="330" t="e">
        <f t="shared" si="10"/>
        <v>#VALUE!</v>
      </c>
      <c r="BH26" s="330" t="e">
        <f t="shared" si="11"/>
        <v>#VALUE!</v>
      </c>
      <c r="BI26" s="330"/>
      <c r="BJ26" s="370" cm="1">
        <f t="array" ref="BJ26:BM26">_xlfn.LET(_xlpm.data,$R26:$AV26,_xlpm.starts,{1,8,16,23},_xlpm.lengths,{7,7,8,9},_xlpm.arr,_xlfn.MAP(_xlpm.starts,_xlpm.lengths,_xlfn.LAMBDA(_xlpm.s,_xlpm.l,SUM(INDEX(_xlpm.data,,_xlfn.SEQUENCE(,_xlpm.l,_xlpm.s))))),ROUND(_xlpm.arr*$O26/1000,2))</f>
        <v>0</v>
      </c>
      <c r="BK26" s="330">
        <v>0</v>
      </c>
      <c r="BL26" s="330">
        <v>0</v>
      </c>
      <c r="BM26" s="330">
        <v>0</v>
      </c>
      <c r="BN26" s="258">
        <f t="shared" si="12"/>
        <v>0</v>
      </c>
      <c r="BO26" s="258">
        <v>0</v>
      </c>
      <c r="BP26" s="258">
        <v>0</v>
      </c>
      <c r="BQ26" s="258">
        <v>0</v>
      </c>
      <c r="BR26" s="258">
        <v>0</v>
      </c>
      <c r="BS26" s="115"/>
      <c r="BT26" s="258" cm="1">
        <f ca="1" t="array" ref="BT26:BW26">_xlfn.HSTACK(SUM(INDEX($R26:$AV26,1,1):INDEX($R26:$AV26,1,7)),SUM(INDEX($R26:$AV26,1,7):INDEX($R26:$AV26,1,13)),SUM(INDEX($R26:$AV26,1,16):INDEX($R26:$AV26,1,23)),SUM(INDEX($R26:$AV26,1,23):INDEX($R26:$AV26,1,31)))</f>
        <v>0</v>
      </c>
      <c r="BU26" s="258">
        <v>0</v>
      </c>
      <c r="BV26" s="258">
        <v>0</v>
      </c>
      <c r="BW26" s="258">
        <v>0</v>
      </c>
      <c r="BY26" s="258">
        <f t="shared" si="21"/>
        <v>0</v>
      </c>
      <c r="BZ26" s="258">
        <f t="shared" si="22"/>
        <v>0</v>
      </c>
      <c r="CA26" s="258">
        <f t="shared" si="23"/>
        <v>0</v>
      </c>
      <c r="CB26" s="258">
        <f t="shared" si="24"/>
        <v>0</v>
      </c>
      <c r="CD26" s="113"/>
      <c r="CE26" s="258">
        <f t="shared" ref="CE26:CH26" si="62">ROUND(BY26*$O26/1000,2)</f>
        <v>0</v>
      </c>
      <c r="CF26" s="258">
        <f t="shared" si="62"/>
        <v>0</v>
      </c>
      <c r="CG26" s="258">
        <f t="shared" si="62"/>
        <v>0</v>
      </c>
      <c r="CH26" s="258">
        <f t="shared" si="62"/>
        <v>0</v>
      </c>
      <c r="CI26" s="258">
        <f t="shared" si="16"/>
        <v>0</v>
      </c>
      <c r="CJ26" s="113"/>
      <c r="CK26" s="258">
        <f t="shared" ref="CK26:CN26" si="63">IFERROR(ROUND(BY26*$P26,2),"")</f>
        <v>0</v>
      </c>
      <c r="CL26" s="258">
        <f t="shared" si="63"/>
        <v>0</v>
      </c>
      <c r="CM26" s="258">
        <f t="shared" si="63"/>
        <v>0</v>
      </c>
      <c r="CN26" s="258">
        <f t="shared" si="63"/>
        <v>0</v>
      </c>
      <c r="CO26" s="258">
        <f t="shared" si="18"/>
        <v>0</v>
      </c>
    </row>
    <row r="27" s="258" customFormat="1" ht="17.6" spans="1:93">
      <c r="A27" s="330"/>
      <c r="B27" s="334" t="str">
        <f>_xlfn.XLOOKUP(G27,销售需求表!A:A,销售需求表!C:C)</f>
        <v>北美</v>
      </c>
      <c r="C27" s="335" t="str">
        <f t="shared" si="19"/>
        <v>22.5</v>
      </c>
      <c r="D27" s="334" t="str">
        <f t="shared" si="0"/>
        <v>北美22.5寸</v>
      </c>
      <c r="E27" s="339" t="str">
        <f t="shared" si="38"/>
        <v>11R22.5-16PR(148/145L)-HD1 Plus</v>
      </c>
      <c r="F27" s="340" t="str">
        <f t="shared" si="2"/>
        <v>11R22.5-16PR-HD1 Plus</v>
      </c>
      <c r="G27" s="339" t="s">
        <v>385</v>
      </c>
      <c r="H27" s="334">
        <v>300</v>
      </c>
      <c r="I27" s="345"/>
      <c r="J27" s="346" t="str">
        <f t="shared" si="48"/>
        <v>11R22.5-HD1 Plus</v>
      </c>
      <c r="K27" s="347" t="str">
        <f>_xlfn.XLOOKUP(F27,投产规格!E:E,投产规格!D:D,"未投产")</f>
        <v>✔</v>
      </c>
      <c r="L27" s="347">
        <f>IFERROR(_xlfn.XLOOKUP(F27,硫化工艺!B:B,硫化工艺!C:C),"")</f>
        <v>38.5</v>
      </c>
      <c r="M27" s="349">
        <f t="shared" si="3"/>
        <v>0.868421052631579</v>
      </c>
      <c r="N27" s="347" t="str">
        <f t="shared" si="53"/>
        <v>22.5全钢</v>
      </c>
      <c r="O27" s="347">
        <f>IFERROR(_xlfn.XLOOKUP(F27,轮胎重量!J:J,轮胎重量!G:G),"")</f>
        <v>55.842</v>
      </c>
      <c r="P27" s="347">
        <f>IFERROR(_xlfn.XLOOKUP(G27,硫化工艺!I:I,硫化工艺!J:J),"")</f>
        <v>792.181334</v>
      </c>
      <c r="Q27" s="347">
        <f t="shared" si="4"/>
        <v>0</v>
      </c>
      <c r="R27" s="347"/>
      <c r="S27" s="347"/>
      <c r="T27" s="347"/>
      <c r="U27" s="347"/>
      <c r="V27" s="347"/>
      <c r="W27" s="347"/>
      <c r="X27" s="347"/>
      <c r="Y27" s="347"/>
      <c r="Z27" s="347"/>
      <c r="AA27" s="347"/>
      <c r="AB27" s="347"/>
      <c r="AC27" s="347"/>
      <c r="AD27" s="347"/>
      <c r="AE27" s="347"/>
      <c r="AF27" s="347"/>
      <c r="AG27" s="347"/>
      <c r="AH27" s="347"/>
      <c r="AI27" s="347"/>
      <c r="AJ27" s="347"/>
      <c r="AK27" s="347"/>
      <c r="AL27" s="347"/>
      <c r="AM27" s="347"/>
      <c r="AN27" s="347"/>
      <c r="AO27" s="347"/>
      <c r="AP27" s="347"/>
      <c r="AQ27" s="347"/>
      <c r="AR27" s="347"/>
      <c r="AS27" s="357"/>
      <c r="AT27" s="347"/>
      <c r="AU27" s="347"/>
      <c r="AV27" s="347"/>
      <c r="AW27" s="347" t="str">
        <f t="shared" si="5"/>
        <v/>
      </c>
      <c r="AX27" s="365" t="str">
        <f t="shared" si="6"/>
        <v/>
      </c>
      <c r="AY27" s="365" t="str">
        <f t="shared" si="7"/>
        <v/>
      </c>
      <c r="AZ27" s="367"/>
      <c r="BC27" s="330"/>
      <c r="BD27" s="330"/>
      <c r="BE27" s="330" t="e">
        <f t="shared" si="8"/>
        <v>#VALUE!</v>
      </c>
      <c r="BF27" s="330" t="e">
        <f t="shared" si="9"/>
        <v>#VALUE!</v>
      </c>
      <c r="BG27" s="330" t="e">
        <f t="shared" si="10"/>
        <v>#VALUE!</v>
      </c>
      <c r="BH27" s="330" t="e">
        <f t="shared" si="11"/>
        <v>#VALUE!</v>
      </c>
      <c r="BI27" s="330"/>
      <c r="BJ27" s="370" cm="1">
        <f t="array" ref="BJ27:BM27">_xlfn.LET(_xlpm.data,$R27:$AV27,_xlpm.starts,{1,8,16,23},_xlpm.lengths,{7,7,8,9},_xlpm.arr,_xlfn.MAP(_xlpm.starts,_xlpm.lengths,_xlfn.LAMBDA(_xlpm.s,_xlpm.l,SUM(INDEX(_xlpm.data,,_xlfn.SEQUENCE(,_xlpm.l,_xlpm.s))))),ROUND(_xlpm.arr*$O27/1000,2))</f>
        <v>0</v>
      </c>
      <c r="BK27" s="330">
        <v>0</v>
      </c>
      <c r="BL27" s="330">
        <v>0</v>
      </c>
      <c r="BM27" s="330">
        <v>0</v>
      </c>
      <c r="BN27" s="258">
        <f t="shared" si="12"/>
        <v>0</v>
      </c>
      <c r="BO27" s="258">
        <v>0</v>
      </c>
      <c r="BP27" s="258">
        <v>0</v>
      </c>
      <c r="BQ27" s="258">
        <v>0</v>
      </c>
      <c r="BR27" s="258">
        <v>0</v>
      </c>
      <c r="BS27" s="115"/>
      <c r="BT27" s="258" cm="1">
        <f ca="1" t="array" ref="BT27:BW27">_xlfn.HSTACK(SUM(INDEX($R27:$AV27,1,1):INDEX($R27:$AV27,1,7)),SUM(INDEX($R27:$AV27,1,7):INDEX($R27:$AV27,1,13)),SUM(INDEX($R27:$AV27,1,16):INDEX($R27:$AV27,1,23)),SUM(INDEX($R27:$AV27,1,23):INDEX($R27:$AV27,1,31)))</f>
        <v>0</v>
      </c>
      <c r="BU27" s="258">
        <v>0</v>
      </c>
      <c r="BV27" s="258">
        <v>0</v>
      </c>
      <c r="BW27" s="258">
        <v>0</v>
      </c>
      <c r="BY27" s="258">
        <f t="shared" si="21"/>
        <v>0</v>
      </c>
      <c r="BZ27" s="258">
        <f t="shared" si="22"/>
        <v>0</v>
      </c>
      <c r="CA27" s="258">
        <f t="shared" si="23"/>
        <v>0</v>
      </c>
      <c r="CB27" s="258">
        <f t="shared" si="24"/>
        <v>0</v>
      </c>
      <c r="CD27" s="113"/>
      <c r="CE27" s="258">
        <f t="shared" ref="CE27:CH27" si="64">ROUND(BY27*$O27/1000,2)</f>
        <v>0</v>
      </c>
      <c r="CF27" s="258">
        <f t="shared" si="64"/>
        <v>0</v>
      </c>
      <c r="CG27" s="258">
        <f t="shared" si="64"/>
        <v>0</v>
      </c>
      <c r="CH27" s="258">
        <f t="shared" si="64"/>
        <v>0</v>
      </c>
      <c r="CI27" s="258">
        <f t="shared" si="16"/>
        <v>0</v>
      </c>
      <c r="CJ27" s="113"/>
      <c r="CK27" s="258">
        <f t="shared" ref="CK27:CN27" si="65">IFERROR(ROUND(BY27*$P27,2),"")</f>
        <v>0</v>
      </c>
      <c r="CL27" s="258">
        <f t="shared" si="65"/>
        <v>0</v>
      </c>
      <c r="CM27" s="258">
        <f t="shared" si="65"/>
        <v>0</v>
      </c>
      <c r="CN27" s="258">
        <f t="shared" si="65"/>
        <v>0</v>
      </c>
      <c r="CO27" s="258">
        <f t="shared" si="18"/>
        <v>0</v>
      </c>
    </row>
    <row r="28" s="258" customFormat="1" ht="17.6" spans="1:93">
      <c r="A28" s="330"/>
      <c r="B28" s="334" t="str">
        <f>_xlfn.XLOOKUP(G28,销售需求表!A:A,销售需求表!C:C)</f>
        <v>北美</v>
      </c>
      <c r="C28" s="335" t="str">
        <f t="shared" si="19"/>
        <v>22.5</v>
      </c>
      <c r="D28" s="334" t="str">
        <f t="shared" si="0"/>
        <v>北美22.5寸</v>
      </c>
      <c r="E28" s="339" t="str">
        <f t="shared" ref="E28:E54" si="66">LEFT(REPLACE(G28,1,2,""),FIND("[",REPLACE(G28,1,2,""))-1)&amp;"-"&amp;MID(REPLACE(G28,1,2,""),FIND("[",REPLACE(G28,1,2,""))+1,FIND("]",REPLACE(G28,1,2,""))-FIND("[",REPLACE(G28,1,2,""))-1)</f>
        <v>11R22.5-16PR(148/145L)-HF1 Plus</v>
      </c>
      <c r="F28" s="340" t="str">
        <f t="shared" si="2"/>
        <v>11R22.5-16PR-HF1 Plus</v>
      </c>
      <c r="G28" s="339" t="s">
        <v>386</v>
      </c>
      <c r="H28" s="334">
        <v>500</v>
      </c>
      <c r="I28" s="345"/>
      <c r="J28" s="346" t="str">
        <f t="shared" si="48"/>
        <v>11R22.5-HF1 Plus</v>
      </c>
      <c r="K28" s="347" t="str">
        <f>_xlfn.XLOOKUP(F28,投产规格!E:E,投产规格!D:D,"未投产")</f>
        <v>✔</v>
      </c>
      <c r="L28" s="347">
        <f>IFERROR(_xlfn.XLOOKUP(F28,硫化工艺!B:B,硫化工艺!C:C),"")</f>
        <v>37.5</v>
      </c>
      <c r="M28" s="349">
        <f t="shared" si="3"/>
        <v>0.865384615384615</v>
      </c>
      <c r="N28" s="347" t="str">
        <f t="shared" si="53"/>
        <v>22.5全钢</v>
      </c>
      <c r="O28" s="347">
        <f>IFERROR(_xlfn.XLOOKUP(F28,轮胎重量!J:J,轮胎重量!G:G),"")</f>
        <v>52.059</v>
      </c>
      <c r="P28" s="347">
        <f>IFERROR(_xlfn.XLOOKUP(G28,硫化工艺!I:I,硫化工艺!J:J),"")</f>
        <v>746.399654</v>
      </c>
      <c r="Q28" s="347">
        <f t="shared" si="4"/>
        <v>0</v>
      </c>
      <c r="R28" s="347"/>
      <c r="S28" s="347"/>
      <c r="T28" s="347"/>
      <c r="U28" s="347"/>
      <c r="V28" s="347"/>
      <c r="W28" s="347"/>
      <c r="X28" s="347"/>
      <c r="Y28" s="347"/>
      <c r="Z28" s="347"/>
      <c r="AA28" s="347"/>
      <c r="AB28" s="347"/>
      <c r="AC28" s="347"/>
      <c r="AD28" s="347"/>
      <c r="AE28" s="347"/>
      <c r="AF28" s="347"/>
      <c r="AG28" s="347"/>
      <c r="AH28" s="347"/>
      <c r="AI28" s="347"/>
      <c r="AJ28" s="347"/>
      <c r="AK28" s="347"/>
      <c r="AL28" s="347"/>
      <c r="AM28" s="347"/>
      <c r="AN28" s="347"/>
      <c r="AO28" s="347"/>
      <c r="AP28" s="347"/>
      <c r="AQ28" s="347"/>
      <c r="AR28" s="347"/>
      <c r="AS28" s="347"/>
      <c r="AT28" s="347"/>
      <c r="AU28" s="347"/>
      <c r="AV28" s="347"/>
      <c r="AW28" s="347" t="str">
        <f t="shared" si="5"/>
        <v/>
      </c>
      <c r="AX28" s="365" t="str">
        <f t="shared" si="6"/>
        <v/>
      </c>
      <c r="AY28" s="365" t="str">
        <f t="shared" si="7"/>
        <v/>
      </c>
      <c r="AZ28" s="367"/>
      <c r="BC28" s="330"/>
      <c r="BD28" s="330"/>
      <c r="BE28" s="330" t="e">
        <f t="shared" si="8"/>
        <v>#VALUE!</v>
      </c>
      <c r="BF28" s="330" t="e">
        <f t="shared" si="9"/>
        <v>#VALUE!</v>
      </c>
      <c r="BG28" s="330" t="e">
        <f t="shared" si="10"/>
        <v>#VALUE!</v>
      </c>
      <c r="BH28" s="330" t="e">
        <f t="shared" si="11"/>
        <v>#VALUE!</v>
      </c>
      <c r="BI28" s="330"/>
      <c r="BJ28" s="370" cm="1">
        <f t="array" ref="BJ28:BM28">_xlfn.LET(_xlpm.data,$R28:$AV28,_xlpm.starts,{1,8,16,23},_xlpm.lengths,{7,7,8,9},_xlpm.arr,_xlfn.MAP(_xlpm.starts,_xlpm.lengths,_xlfn.LAMBDA(_xlpm.s,_xlpm.l,SUM(INDEX(_xlpm.data,,_xlfn.SEQUENCE(,_xlpm.l,_xlpm.s))))),ROUND(_xlpm.arr*$O28/1000,2))</f>
        <v>0</v>
      </c>
      <c r="BK28" s="330">
        <v>0</v>
      </c>
      <c r="BL28" s="330">
        <v>0</v>
      </c>
      <c r="BM28" s="330">
        <v>0</v>
      </c>
      <c r="BN28" s="258">
        <f t="shared" si="12"/>
        <v>0</v>
      </c>
      <c r="BO28" s="258">
        <v>0</v>
      </c>
      <c r="BP28" s="258">
        <v>0</v>
      </c>
      <c r="BQ28" s="258">
        <v>0</v>
      </c>
      <c r="BR28" s="258">
        <v>0</v>
      </c>
      <c r="BS28" s="115"/>
      <c r="BT28" s="258" cm="1">
        <f ca="1" t="array" ref="BT28:BW28">_xlfn.HSTACK(SUM(INDEX($R28:$AV28,1,1):INDEX($R28:$AV28,1,7)),SUM(INDEX($R28:$AV28,1,7):INDEX($R28:$AV28,1,13)),SUM(INDEX($R28:$AV28,1,16):INDEX($R28:$AV28,1,23)),SUM(INDEX($R28:$AV28,1,23):INDEX($R28:$AV28,1,31)))</f>
        <v>0</v>
      </c>
      <c r="BU28" s="258">
        <v>0</v>
      </c>
      <c r="BV28" s="258">
        <v>0</v>
      </c>
      <c r="BW28" s="258">
        <v>0</v>
      </c>
      <c r="BY28" s="258">
        <f t="shared" si="21"/>
        <v>0</v>
      </c>
      <c r="BZ28" s="258">
        <f t="shared" si="22"/>
        <v>0</v>
      </c>
      <c r="CA28" s="258">
        <f t="shared" si="23"/>
        <v>0</v>
      </c>
      <c r="CB28" s="258">
        <f t="shared" si="24"/>
        <v>0</v>
      </c>
      <c r="CD28" s="113"/>
      <c r="CE28" s="258">
        <f t="shared" ref="CE28:CH28" si="67">ROUND(BY28*$O28/1000,2)</f>
        <v>0</v>
      </c>
      <c r="CF28" s="258">
        <f t="shared" si="67"/>
        <v>0</v>
      </c>
      <c r="CG28" s="258">
        <f t="shared" si="67"/>
        <v>0</v>
      </c>
      <c r="CH28" s="258">
        <f t="shared" si="67"/>
        <v>0</v>
      </c>
      <c r="CI28" s="258">
        <f t="shared" si="16"/>
        <v>0</v>
      </c>
      <c r="CJ28" s="113"/>
      <c r="CK28" s="258">
        <f t="shared" ref="CK28:CN28" si="68">IFERROR(ROUND(BY28*$P28,2),"")</f>
        <v>0</v>
      </c>
      <c r="CL28" s="258">
        <f t="shared" si="68"/>
        <v>0</v>
      </c>
      <c r="CM28" s="258">
        <f t="shared" si="68"/>
        <v>0</v>
      </c>
      <c r="CN28" s="258">
        <f t="shared" si="68"/>
        <v>0</v>
      </c>
      <c r="CO28" s="258">
        <f t="shared" si="18"/>
        <v>0</v>
      </c>
    </row>
    <row r="29" s="258" customFormat="1" ht="17.6" spans="1:95">
      <c r="A29" s="330"/>
      <c r="B29" s="334" t="str">
        <f>_xlfn.XLOOKUP(G29,销售需求表!A:A,销售需求表!C:C)</f>
        <v>北美</v>
      </c>
      <c r="C29" s="335" t="str">
        <f t="shared" si="19"/>
        <v>22.5</v>
      </c>
      <c r="D29" s="334" t="str">
        <f t="shared" si="0"/>
        <v>北美22.5寸</v>
      </c>
      <c r="E29" s="339" t="str">
        <f t="shared" si="66"/>
        <v>11R22.5-16PR(148/145L)-I-28D</v>
      </c>
      <c r="F29" s="340" t="str">
        <f t="shared" si="2"/>
        <v>11R22.5-16PR-I-28D</v>
      </c>
      <c r="G29" s="342" t="s">
        <v>100</v>
      </c>
      <c r="H29" s="334">
        <v>1900</v>
      </c>
      <c r="I29" s="345"/>
      <c r="J29" s="346" t="str">
        <f t="shared" si="48"/>
        <v>11R22.5-I-28D</v>
      </c>
      <c r="K29" s="347" t="str">
        <f>_xlfn.XLOOKUP(F29,投产规格!E:E,投产规格!D:D,"未投产")</f>
        <v>✔</v>
      </c>
      <c r="L29" s="347">
        <f>IFERROR(_xlfn.XLOOKUP(F29,硫化工艺!B:B,硫化工艺!C:C),"")</f>
        <v>41.2</v>
      </c>
      <c r="M29" s="349">
        <f t="shared" si="3"/>
        <v>0.875974486180014</v>
      </c>
      <c r="N29" s="347" t="str">
        <f t="shared" si="53"/>
        <v>22.5全钢</v>
      </c>
      <c r="O29" s="347">
        <f>IFERROR(_xlfn.XLOOKUP(F29,轮胎重量!J:J,轮胎重量!G:G),"")</f>
        <v>58.509</v>
      </c>
      <c r="P29" s="347">
        <f>IFERROR(_xlfn.XLOOKUP(G29,硫化工艺!I:I,硫化工艺!J:J),"")</f>
        <v>852.818617</v>
      </c>
      <c r="Q29" s="347">
        <f t="shared" si="4"/>
        <v>0</v>
      </c>
      <c r="R29" s="347"/>
      <c r="S29" s="347"/>
      <c r="T29" s="347"/>
      <c r="U29" s="347"/>
      <c r="V29" s="347"/>
      <c r="W29" s="347"/>
      <c r="X29" s="347"/>
      <c r="Y29" s="347"/>
      <c r="Z29" s="347"/>
      <c r="AA29" s="347"/>
      <c r="AB29" s="347"/>
      <c r="AC29" s="347"/>
      <c r="AD29" s="347"/>
      <c r="AE29" s="347"/>
      <c r="AF29" s="347"/>
      <c r="AG29" s="355">
        <v>120</v>
      </c>
      <c r="AH29" s="347">
        <v>120</v>
      </c>
      <c r="AI29" s="347">
        <v>120</v>
      </c>
      <c r="AJ29" s="347">
        <v>120</v>
      </c>
      <c r="AK29" s="347">
        <v>120</v>
      </c>
      <c r="AL29" s="347">
        <v>120</v>
      </c>
      <c r="AM29" s="347">
        <v>120</v>
      </c>
      <c r="AN29" s="347">
        <v>120</v>
      </c>
      <c r="AO29" s="347">
        <v>120</v>
      </c>
      <c r="AP29" s="347">
        <v>120</v>
      </c>
      <c r="AQ29" s="355">
        <v>120</v>
      </c>
      <c r="AR29" s="347"/>
      <c r="AS29" s="347"/>
      <c r="AT29" s="347"/>
      <c r="AU29" s="347"/>
      <c r="AV29" s="347"/>
      <c r="AW29" s="347">
        <v>3000</v>
      </c>
      <c r="AX29" s="365">
        <f t="shared" si="6"/>
        <v>175.527</v>
      </c>
      <c r="AY29" s="365">
        <f t="shared" si="7"/>
        <v>255.846</v>
      </c>
      <c r="AZ29" s="367"/>
      <c r="BC29" s="330"/>
      <c r="BD29" s="330"/>
      <c r="BE29" s="330">
        <f t="shared" si="8"/>
        <v>0</v>
      </c>
      <c r="BF29" s="330">
        <f t="shared" si="9"/>
        <v>0</v>
      </c>
      <c r="BG29" s="330">
        <f t="shared" si="10"/>
        <v>0</v>
      </c>
      <c r="BH29" s="330">
        <f t="shared" si="11"/>
        <v>0</v>
      </c>
      <c r="BI29" s="330"/>
      <c r="BJ29" s="370" cm="1">
        <f t="array" ref="BJ29:BM29">_xlfn.LET(_xlpm.data,$R29:$AV29,_xlpm.starts,{1,8,16,23},_xlpm.lengths,{7,7,8,9},_xlpm.arr,_xlfn.MAP(_xlpm.starts,_xlpm.lengths,_xlfn.LAMBDA(_xlpm.s,_xlpm.l,SUM(INDEX(_xlpm.data,,_xlfn.SEQUENCE(,_xlpm.l,_xlpm.s))))),ROUND(_xlpm.arr*$O29/1000,2))</f>
        <v>0</v>
      </c>
      <c r="BK29" s="330">
        <v>0</v>
      </c>
      <c r="BL29" s="330">
        <v>56.17</v>
      </c>
      <c r="BM29" s="330">
        <v>28.08</v>
      </c>
      <c r="BN29" s="258">
        <f t="shared" si="12"/>
        <v>84.25</v>
      </c>
      <c r="BO29" s="258">
        <v>0</v>
      </c>
      <c r="BP29" s="258">
        <v>0</v>
      </c>
      <c r="BQ29" s="258">
        <v>0</v>
      </c>
      <c r="BR29" s="258">
        <v>0</v>
      </c>
      <c r="BS29" s="115"/>
      <c r="BT29" s="258" cm="1">
        <f ca="1" t="array" ref="BT29:BW29">_xlfn.HSTACK(SUM(INDEX($R29:$AV29,1,1):INDEX($R29:$AV29,1,7)),SUM(INDEX($R29:$AV29,1,7):INDEX($R29:$AV29,1,13)),SUM(INDEX($R29:$AV29,1,16):INDEX($R29:$AV29,1,23)),SUM(INDEX($R29:$AV29,1,23):INDEX($R29:$AV29,1,31)))</f>
        <v>0</v>
      </c>
      <c r="BU29" s="258">
        <v>0</v>
      </c>
      <c r="BV29" s="258">
        <v>960</v>
      </c>
      <c r="BW29" s="258">
        <v>480</v>
      </c>
      <c r="BY29" s="258">
        <f t="shared" si="21"/>
        <v>0</v>
      </c>
      <c r="BZ29" s="258">
        <f t="shared" si="22"/>
        <v>0</v>
      </c>
      <c r="CA29" s="258">
        <f t="shared" si="23"/>
        <v>840</v>
      </c>
      <c r="CB29" s="258">
        <f t="shared" si="24"/>
        <v>480</v>
      </c>
      <c r="CD29" s="113"/>
      <c r="CE29" s="258">
        <f t="shared" ref="CE29:CH29" si="69">ROUND(BY29*$O29/1000,2)</f>
        <v>0</v>
      </c>
      <c r="CF29" s="258">
        <f t="shared" si="69"/>
        <v>0</v>
      </c>
      <c r="CG29" s="258">
        <f t="shared" si="69"/>
        <v>49.15</v>
      </c>
      <c r="CH29" s="258">
        <f t="shared" si="69"/>
        <v>28.08</v>
      </c>
      <c r="CI29" s="258">
        <f t="shared" si="16"/>
        <v>77.23</v>
      </c>
      <c r="CJ29" s="113"/>
      <c r="CK29" s="258">
        <f t="shared" ref="CK29:CN29" si="70">IFERROR(ROUND(BY29*$P29,2),"")</f>
        <v>0</v>
      </c>
      <c r="CL29" s="258">
        <f t="shared" si="70"/>
        <v>0</v>
      </c>
      <c r="CM29" s="258">
        <f t="shared" si="70"/>
        <v>716367.64</v>
      </c>
      <c r="CN29" s="258">
        <f t="shared" si="70"/>
        <v>409352.94</v>
      </c>
      <c r="CO29" s="258">
        <f t="shared" si="18"/>
        <v>1125720.58</v>
      </c>
      <c r="CP29" s="258">
        <f>VLOOKUP(G29,[2]Sheet1!$C$3:$G$310,5,0)</f>
        <v>2800</v>
      </c>
      <c r="CQ29" s="258" t="e">
        <f>VLOOKUP(G29,[3]KCBB0101!$C$3:$F$691,4,0)</f>
        <v>#N/A</v>
      </c>
    </row>
    <row r="30" s="258" customFormat="1" ht="17.6" spans="1:95">
      <c r="A30" s="330"/>
      <c r="B30" s="334" t="str">
        <f>_xlfn.XLOOKUP(G30,销售需求表!A:A,销售需求表!C:C)</f>
        <v>北美</v>
      </c>
      <c r="C30" s="335" t="str">
        <f t="shared" si="19"/>
        <v>22.5</v>
      </c>
      <c r="D30" s="334" t="str">
        <f t="shared" si="0"/>
        <v>北美22.5寸</v>
      </c>
      <c r="E30" s="339" t="str">
        <f t="shared" si="66"/>
        <v>11R22.5-16PR(148/145L)-I-31M</v>
      </c>
      <c r="F30" s="340" t="str">
        <f t="shared" si="2"/>
        <v>11R22.5-16PR-I-31M</v>
      </c>
      <c r="G30" s="341" t="s">
        <v>387</v>
      </c>
      <c r="H30" s="334">
        <v>1000</v>
      </c>
      <c r="I30" s="345"/>
      <c r="J30" s="346" t="str">
        <f t="shared" si="48"/>
        <v>11R22.5-I-31M</v>
      </c>
      <c r="K30" s="347" t="str">
        <f>_xlfn.XLOOKUP(F30,投产规格!E:E,投产规格!D:D,"未投产")</f>
        <v>✔</v>
      </c>
      <c r="L30" s="347">
        <f>IFERROR(_xlfn.XLOOKUP(F30,硫化工艺!B:B,硫化工艺!C:C),"")</f>
        <v>42.7</v>
      </c>
      <c r="M30" s="349">
        <f t="shared" si="3"/>
        <v>0.879807692307692</v>
      </c>
      <c r="N30" s="347" t="str">
        <f t="shared" si="53"/>
        <v>22.5全钢</v>
      </c>
      <c r="O30" s="347">
        <f>IFERROR(_xlfn.XLOOKUP(F30,轮胎重量!J:J,轮胎重量!G:G),"")</f>
        <v>56.761</v>
      </c>
      <c r="P30" s="347">
        <f>IFERROR(_xlfn.XLOOKUP(G30,硫化工艺!I:I,硫化工艺!J:J),"")</f>
        <v>822.770403</v>
      </c>
      <c r="Q30" s="347">
        <f t="shared" si="4"/>
        <v>0</v>
      </c>
      <c r="R30" s="347"/>
      <c r="S30" s="347"/>
      <c r="T30" s="347"/>
      <c r="U30" s="347"/>
      <c r="V30" s="347"/>
      <c r="W30" s="347"/>
      <c r="X30" s="347"/>
      <c r="Y30" s="347"/>
      <c r="Z30" s="347"/>
      <c r="AA30" s="347"/>
      <c r="AB30" s="347"/>
      <c r="AC30" s="347"/>
      <c r="AD30" s="347"/>
      <c r="AE30" s="347"/>
      <c r="AF30" s="356">
        <v>60</v>
      </c>
      <c r="AG30" s="347">
        <v>60</v>
      </c>
      <c r="AH30" s="347">
        <v>60</v>
      </c>
      <c r="AI30" s="347">
        <v>60</v>
      </c>
      <c r="AJ30" s="347">
        <v>60</v>
      </c>
      <c r="AK30" s="347">
        <v>60</v>
      </c>
      <c r="AL30" s="347">
        <v>60</v>
      </c>
      <c r="AM30" s="347">
        <v>60</v>
      </c>
      <c r="AN30" s="347">
        <v>60</v>
      </c>
      <c r="AO30" s="347">
        <v>60</v>
      </c>
      <c r="AP30" s="347">
        <v>60</v>
      </c>
      <c r="AQ30" s="347">
        <v>60</v>
      </c>
      <c r="AR30" s="347">
        <v>60</v>
      </c>
      <c r="AS30" s="347">
        <v>60</v>
      </c>
      <c r="AT30" s="347">
        <v>60</v>
      </c>
      <c r="AU30" s="347">
        <v>60</v>
      </c>
      <c r="AV30" s="347">
        <v>60</v>
      </c>
      <c r="AW30" s="347">
        <f t="shared" si="5"/>
        <v>1020</v>
      </c>
      <c r="AX30" s="365">
        <f t="shared" si="6"/>
        <v>57.89622</v>
      </c>
      <c r="AY30" s="365">
        <f t="shared" si="7"/>
        <v>83.923</v>
      </c>
      <c r="AZ30" s="367"/>
      <c r="BC30" s="330"/>
      <c r="BD30" s="330"/>
      <c r="BE30" s="330">
        <f t="shared" si="8"/>
        <v>0</v>
      </c>
      <c r="BF30" s="330">
        <f t="shared" si="9"/>
        <v>0</v>
      </c>
      <c r="BG30" s="330">
        <f t="shared" si="10"/>
        <v>0</v>
      </c>
      <c r="BH30" s="330">
        <f t="shared" si="11"/>
        <v>0</v>
      </c>
      <c r="BI30" s="330"/>
      <c r="BJ30" s="370" cm="1">
        <f t="array" ref="BJ30:BM30">_xlfn.LET(_xlpm.data,$R30:$AV30,_xlpm.starts,{1,8,16,23},_xlpm.lengths,{7,7,8,9},_xlpm.arr,_xlfn.MAP(_xlpm.starts,_xlpm.lengths,_xlfn.LAMBDA(_xlpm.s,_xlpm.l,SUM(INDEX(_xlpm.data,,_xlfn.SEQUENCE(,_xlpm.l,_xlpm.s))))),ROUND(_xlpm.arr*$O30/1000,2))</f>
        <v>0</v>
      </c>
      <c r="BK30" s="330">
        <v>0</v>
      </c>
      <c r="BL30" s="330">
        <v>27.25</v>
      </c>
      <c r="BM30" s="330">
        <v>30.65</v>
      </c>
      <c r="BN30" s="258">
        <f t="shared" si="12"/>
        <v>57.9</v>
      </c>
      <c r="BO30" s="258">
        <v>0</v>
      </c>
      <c r="BP30" s="258">
        <v>0</v>
      </c>
      <c r="BQ30" s="258">
        <v>0</v>
      </c>
      <c r="BR30" s="258">
        <v>0</v>
      </c>
      <c r="BS30" s="115"/>
      <c r="BT30" s="258" cm="1">
        <f ca="1" t="array" ref="BT30:BW30">_xlfn.HSTACK(SUM(INDEX($R30:$AV30,1,1):INDEX($R30:$AV30,1,7)),SUM(INDEX($R30:$AV30,1,7):INDEX($R30:$AV30,1,13)),SUM(INDEX($R30:$AV30,1,16):INDEX($R30:$AV30,1,23)),SUM(INDEX($R30:$AV30,1,23):INDEX($R30:$AV30,1,31)))</f>
        <v>0</v>
      </c>
      <c r="BU30" s="258">
        <v>0</v>
      </c>
      <c r="BV30" s="258">
        <v>480</v>
      </c>
      <c r="BW30" s="258">
        <v>540</v>
      </c>
      <c r="BY30" s="258">
        <f t="shared" si="21"/>
        <v>0</v>
      </c>
      <c r="BZ30" s="258">
        <f t="shared" si="22"/>
        <v>0</v>
      </c>
      <c r="CA30" s="258">
        <f t="shared" si="23"/>
        <v>480</v>
      </c>
      <c r="CB30" s="258">
        <f t="shared" si="24"/>
        <v>540</v>
      </c>
      <c r="CD30" s="113"/>
      <c r="CE30" s="258">
        <f t="shared" ref="CE30:CH30" si="71">ROUND(BY30*$O30/1000,2)</f>
        <v>0</v>
      </c>
      <c r="CF30" s="258">
        <f t="shared" si="71"/>
        <v>0</v>
      </c>
      <c r="CG30" s="258">
        <f t="shared" si="71"/>
        <v>27.25</v>
      </c>
      <c r="CH30" s="258">
        <f t="shared" si="71"/>
        <v>30.65</v>
      </c>
      <c r="CI30" s="258">
        <f t="shared" si="16"/>
        <v>57.9</v>
      </c>
      <c r="CJ30" s="113"/>
      <c r="CK30" s="258">
        <f t="shared" ref="CK30:CN30" si="72">IFERROR(ROUND(BY30*$P30,2),"")</f>
        <v>0</v>
      </c>
      <c r="CL30" s="258">
        <f t="shared" si="72"/>
        <v>0</v>
      </c>
      <c r="CM30" s="258">
        <f t="shared" si="72"/>
        <v>394929.79</v>
      </c>
      <c r="CN30" s="258">
        <f t="shared" si="72"/>
        <v>444296.02</v>
      </c>
      <c r="CO30" s="258">
        <f t="shared" si="18"/>
        <v>839225.81</v>
      </c>
      <c r="CP30" s="258">
        <f>VLOOKUP(G30,[2]Sheet1!$C$3:$G$310,5,0)</f>
        <v>13900</v>
      </c>
      <c r="CQ30" s="258" t="e">
        <f>VLOOKUP(G30,[3]KCBB0101!$C$3:$F$691,4,0)</f>
        <v>#N/A</v>
      </c>
    </row>
    <row r="31" s="258" customFormat="1" ht="17.6" spans="1:95">
      <c r="A31" s="330"/>
      <c r="B31" s="334" t="str">
        <f>_xlfn.XLOOKUP(G31,销售需求表!A:A,销售需求表!C:C)</f>
        <v>北美</v>
      </c>
      <c r="C31" s="335" t="str">
        <f t="shared" si="19"/>
        <v>22.5</v>
      </c>
      <c r="D31" s="334" t="str">
        <f t="shared" si="0"/>
        <v>北美22.5寸</v>
      </c>
      <c r="E31" s="339" t="str">
        <f t="shared" si="66"/>
        <v>11R22.5-16PR(148/145L)-I-37D</v>
      </c>
      <c r="F31" s="340" t="str">
        <f t="shared" si="2"/>
        <v>11R22.5-16PR-I-37D</v>
      </c>
      <c r="G31" s="341" t="s">
        <v>388</v>
      </c>
      <c r="H31" s="334">
        <v>1500</v>
      </c>
      <c r="I31" s="345">
        <v>2</v>
      </c>
      <c r="J31" s="346" t="str">
        <f t="shared" si="48"/>
        <v>11R22.5-I-37D</v>
      </c>
      <c r="K31" s="347" t="str">
        <f>_xlfn.XLOOKUP(F31,投产规格!E:E,投产规格!D:D,"未投产")</f>
        <v>✔</v>
      </c>
      <c r="L31" s="347">
        <f>IFERROR(_xlfn.XLOOKUP(F31,硫化工艺!B:B,硫化工艺!C:C),"")</f>
        <v>41.5</v>
      </c>
      <c r="M31" s="349">
        <f t="shared" si="3"/>
        <v>0.876760563380282</v>
      </c>
      <c r="N31" s="347" t="str">
        <f t="shared" si="53"/>
        <v>22.5全钢</v>
      </c>
      <c r="O31" s="347">
        <f>IFERROR(_xlfn.XLOOKUP(F31,轮胎重量!J:J,轮胎重量!G:G),"")</f>
        <v>56.877</v>
      </c>
      <c r="P31" s="347">
        <f>IFERROR(_xlfn.XLOOKUP(G31,硫化工艺!I:I,硫化工艺!J:J),"")</f>
        <v>833.2023</v>
      </c>
      <c r="Q31" s="347">
        <f t="shared" si="4"/>
        <v>61</v>
      </c>
      <c r="R31" s="347">
        <v>60</v>
      </c>
      <c r="S31" s="347">
        <v>60</v>
      </c>
      <c r="T31" s="347">
        <v>60</v>
      </c>
      <c r="U31" s="347">
        <v>60</v>
      </c>
      <c r="V31" s="347">
        <v>60</v>
      </c>
      <c r="W31" s="347">
        <v>60</v>
      </c>
      <c r="X31" s="347">
        <v>60</v>
      </c>
      <c r="Y31" s="347">
        <v>60</v>
      </c>
      <c r="Z31" s="347">
        <v>60</v>
      </c>
      <c r="AA31" s="347">
        <v>60</v>
      </c>
      <c r="AB31" s="347">
        <v>60</v>
      </c>
      <c r="AC31" s="347">
        <v>60</v>
      </c>
      <c r="AD31" s="347">
        <v>60</v>
      </c>
      <c r="AE31" s="347">
        <v>60</v>
      </c>
      <c r="AF31" s="347">
        <v>60</v>
      </c>
      <c r="AG31" s="347">
        <v>60</v>
      </c>
      <c r="AH31" s="347">
        <v>60</v>
      </c>
      <c r="AI31" s="347">
        <v>60</v>
      </c>
      <c r="AJ31" s="347">
        <v>60</v>
      </c>
      <c r="AK31" s="347">
        <v>60</v>
      </c>
      <c r="AL31" s="347">
        <v>60</v>
      </c>
      <c r="AM31" s="347">
        <v>60</v>
      </c>
      <c r="AN31" s="362">
        <v>60</v>
      </c>
      <c r="AO31" s="347"/>
      <c r="AP31" s="347"/>
      <c r="AQ31" s="347"/>
      <c r="AR31" s="347"/>
      <c r="AS31" s="347"/>
      <c r="AT31" s="347"/>
      <c r="AU31" s="347"/>
      <c r="AV31" s="347"/>
      <c r="AW31" s="347">
        <f t="shared" si="5"/>
        <v>1380</v>
      </c>
      <c r="AX31" s="365">
        <f t="shared" si="6"/>
        <v>78.49026</v>
      </c>
      <c r="AY31" s="365">
        <f t="shared" si="7"/>
        <v>114.982</v>
      </c>
      <c r="AZ31" s="367"/>
      <c r="BC31" s="330"/>
      <c r="BD31" s="330"/>
      <c r="BE31" s="330">
        <f t="shared" si="8"/>
        <v>0</v>
      </c>
      <c r="BF31" s="330">
        <f t="shared" si="9"/>
        <v>0</v>
      </c>
      <c r="BG31" s="330">
        <f t="shared" si="10"/>
        <v>0</v>
      </c>
      <c r="BH31" s="330">
        <f t="shared" si="11"/>
        <v>0</v>
      </c>
      <c r="BI31" s="330"/>
      <c r="BJ31" s="370" cm="1">
        <f t="array" ref="BJ31:BM31">_xlfn.LET(_xlpm.data,$R31:$AV31,_xlpm.starts,{1,8,16,23},_xlpm.lengths,{7,7,8,9},_xlpm.arr,_xlfn.MAP(_xlpm.starts,_xlpm.lengths,_xlfn.LAMBDA(_xlpm.s,_xlpm.l,SUM(INDEX(_xlpm.data,,_xlfn.SEQUENCE(,_xlpm.l,_xlpm.s))))),ROUND(_xlpm.arr*$O31/1000,2))</f>
        <v>23.89</v>
      </c>
      <c r="BK31" s="330">
        <v>23.89</v>
      </c>
      <c r="BL31" s="330">
        <v>27.3</v>
      </c>
      <c r="BM31" s="330">
        <v>3.41</v>
      </c>
      <c r="BN31" s="258">
        <f t="shared" si="12"/>
        <v>78.49</v>
      </c>
      <c r="BO31" s="258">
        <v>0</v>
      </c>
      <c r="BP31" s="258">
        <v>0</v>
      </c>
      <c r="BQ31" s="258">
        <v>0</v>
      </c>
      <c r="BR31" s="258">
        <v>0</v>
      </c>
      <c r="BS31" s="115"/>
      <c r="BT31" s="258" cm="1">
        <f ca="1" t="array" ref="BT31:BW31">_xlfn.HSTACK(SUM(INDEX($R31:$AV31,1,1):INDEX($R31:$AV31,1,7)),SUM(INDEX($R31:$AV31,1,7):INDEX($R31:$AV31,1,13)),SUM(INDEX($R31:$AV31,1,16):INDEX($R31:$AV31,1,23)),SUM(INDEX($R31:$AV31,1,23):INDEX($R31:$AV31,1,31)))</f>
        <v>420</v>
      </c>
      <c r="BU31" s="258">
        <v>420</v>
      </c>
      <c r="BV31" s="258">
        <v>480</v>
      </c>
      <c r="BW31" s="258">
        <v>60</v>
      </c>
      <c r="BY31" s="258">
        <f t="shared" si="21"/>
        <v>420</v>
      </c>
      <c r="BZ31" s="258">
        <f t="shared" si="22"/>
        <v>420</v>
      </c>
      <c r="CA31" s="258">
        <f t="shared" si="23"/>
        <v>480</v>
      </c>
      <c r="CB31" s="258">
        <f t="shared" si="24"/>
        <v>60</v>
      </c>
      <c r="CD31" s="113"/>
      <c r="CE31" s="258">
        <f t="shared" ref="CE31:CH31" si="73">ROUND(BY31*$O31/1000,2)</f>
        <v>23.89</v>
      </c>
      <c r="CF31" s="258">
        <f t="shared" si="73"/>
        <v>23.89</v>
      </c>
      <c r="CG31" s="258">
        <f t="shared" si="73"/>
        <v>27.3</v>
      </c>
      <c r="CH31" s="258">
        <f t="shared" si="73"/>
        <v>3.41</v>
      </c>
      <c r="CI31" s="258">
        <f t="shared" si="16"/>
        <v>78.49</v>
      </c>
      <c r="CJ31" s="113"/>
      <c r="CK31" s="258">
        <f t="shared" ref="CK31:CN31" si="74">IFERROR(ROUND(BY31*$P31,2),"")</f>
        <v>349944.97</v>
      </c>
      <c r="CL31" s="258">
        <f t="shared" si="74"/>
        <v>349944.97</v>
      </c>
      <c r="CM31" s="258">
        <f t="shared" si="74"/>
        <v>399937.1</v>
      </c>
      <c r="CN31" s="258">
        <f t="shared" si="74"/>
        <v>49992.14</v>
      </c>
      <c r="CO31" s="258">
        <f t="shared" si="18"/>
        <v>1149819.18</v>
      </c>
      <c r="CP31" s="258">
        <f>VLOOKUP(G31,[2]Sheet1!$C$3:$G$310,5,0)</f>
        <v>8500</v>
      </c>
      <c r="CQ31" s="258" t="e">
        <f>VLOOKUP(G31,[3]KCBB0101!$C$3:$F$691,4,0)</f>
        <v>#N/A</v>
      </c>
    </row>
    <row r="32" s="258" customFormat="1" ht="17.6" spans="1:95">
      <c r="A32" s="330"/>
      <c r="B32" s="334" t="str">
        <f>_xlfn.XLOOKUP(G32,销售需求表!A:A,销售需求表!C:C)</f>
        <v>北美</v>
      </c>
      <c r="C32" s="335" t="str">
        <f t="shared" si="19"/>
        <v>22.5</v>
      </c>
      <c r="D32" s="334" t="str">
        <f t="shared" si="0"/>
        <v>北美22.5寸</v>
      </c>
      <c r="E32" s="339" t="str">
        <f t="shared" si="66"/>
        <v>11R22.5-16PR(148/145L)-I-52A</v>
      </c>
      <c r="F32" s="340" t="str">
        <f t="shared" si="2"/>
        <v>11R22.5-16PR-I-52A</v>
      </c>
      <c r="G32" s="341" t="s">
        <v>389</v>
      </c>
      <c r="H32" s="334">
        <v>450</v>
      </c>
      <c r="I32" s="345">
        <v>2</v>
      </c>
      <c r="J32" s="346" t="str">
        <f t="shared" si="48"/>
        <v>11R22.5-I-52A</v>
      </c>
      <c r="K32" s="347" t="str">
        <f>_xlfn.XLOOKUP(F32,投产规格!E:E,投产规格!D:D,"未投产")</f>
        <v>✔</v>
      </c>
      <c r="L32" s="347">
        <f>IFERROR(_xlfn.XLOOKUP(F32,硫化工艺!B:B,硫化工艺!C:C),"")</f>
        <v>43</v>
      </c>
      <c r="M32" s="349">
        <f t="shared" si="3"/>
        <v>0.880546075085324</v>
      </c>
      <c r="N32" s="347" t="str">
        <f t="shared" si="53"/>
        <v>22.5全钢</v>
      </c>
      <c r="O32" s="347">
        <f>IFERROR(_xlfn.XLOOKUP(F32,轮胎重量!J:J,轮胎重量!G:G),"")</f>
        <v>56.433</v>
      </c>
      <c r="P32" s="347">
        <f>IFERROR(_xlfn.XLOOKUP(G32,硫化工艺!I:I,硫化工艺!J:J),"")</f>
        <v>830.7152</v>
      </c>
      <c r="Q32" s="347">
        <f t="shared" si="4"/>
        <v>59</v>
      </c>
      <c r="R32" s="347"/>
      <c r="S32" s="347"/>
      <c r="T32" s="347"/>
      <c r="U32" s="347"/>
      <c r="V32" s="347"/>
      <c r="W32" s="347"/>
      <c r="X32" s="347"/>
      <c r="Y32" s="347"/>
      <c r="Z32" s="347"/>
      <c r="AA32" s="354">
        <v>60</v>
      </c>
      <c r="AB32" s="354">
        <v>60</v>
      </c>
      <c r="AC32" s="354">
        <v>60</v>
      </c>
      <c r="AD32" s="354">
        <v>60</v>
      </c>
      <c r="AE32" s="354">
        <v>60</v>
      </c>
      <c r="AF32" s="354">
        <v>60</v>
      </c>
      <c r="AG32" s="354">
        <v>60</v>
      </c>
      <c r="AH32" s="354">
        <v>60</v>
      </c>
      <c r="AI32" s="354">
        <v>60</v>
      </c>
      <c r="AJ32" s="347"/>
      <c r="AK32" s="347"/>
      <c r="AL32" s="347"/>
      <c r="AM32" s="347"/>
      <c r="AN32" s="347"/>
      <c r="AO32" s="347"/>
      <c r="AP32" s="347"/>
      <c r="AQ32" s="347"/>
      <c r="AR32" s="347"/>
      <c r="AS32" s="347"/>
      <c r="AT32" s="347"/>
      <c r="AU32" s="347"/>
      <c r="AV32" s="347"/>
      <c r="AW32" s="347">
        <f t="shared" si="5"/>
        <v>540</v>
      </c>
      <c r="AX32" s="365">
        <f t="shared" si="6"/>
        <v>30.47382</v>
      </c>
      <c r="AY32" s="365">
        <f t="shared" si="7"/>
        <v>44.859</v>
      </c>
      <c r="AZ32" s="367"/>
      <c r="BC32" s="330"/>
      <c r="BD32" s="330"/>
      <c r="BE32" s="330">
        <f t="shared" si="8"/>
        <v>0</v>
      </c>
      <c r="BF32" s="330">
        <f t="shared" si="9"/>
        <v>0</v>
      </c>
      <c r="BG32" s="330">
        <f t="shared" si="10"/>
        <v>0</v>
      </c>
      <c r="BH32" s="330">
        <f t="shared" si="11"/>
        <v>0</v>
      </c>
      <c r="BI32" s="330"/>
      <c r="BJ32" s="370" cm="1">
        <f t="array" ref="BJ32:BM32">_xlfn.LET(_xlpm.data,$R32:$AV32,_xlpm.starts,{1,8,16,23},_xlpm.lengths,{7,7,8,9},_xlpm.arr,_xlfn.MAP(_xlpm.starts,_xlpm.lengths,_xlfn.LAMBDA(_xlpm.s,_xlpm.l,SUM(INDEX(_xlpm.data,,_xlfn.SEQUENCE(,_xlpm.l,_xlpm.s))))),ROUND(_xlpm.arr*$O32/1000,2))</f>
        <v>0</v>
      </c>
      <c r="BK32" s="330">
        <v>16.93</v>
      </c>
      <c r="BL32" s="330">
        <v>10.16</v>
      </c>
      <c r="BM32" s="330">
        <v>0</v>
      </c>
      <c r="BN32" s="258">
        <f t="shared" si="12"/>
        <v>27.09</v>
      </c>
      <c r="BO32" s="258">
        <v>0</v>
      </c>
      <c r="BP32" s="258">
        <v>0</v>
      </c>
      <c r="BQ32" s="258">
        <v>0</v>
      </c>
      <c r="BR32" s="258">
        <v>0</v>
      </c>
      <c r="BS32" s="115"/>
      <c r="BT32" s="258" cm="1">
        <f ca="1" t="array" ref="BT32:BW32">_xlfn.HSTACK(SUM(INDEX($R32:$AV32,1,1):INDEX($R32:$AV32,1,7)),SUM(INDEX($R32:$AV32,1,7):INDEX($R32:$AV32,1,13)),SUM(INDEX($R32:$AV32,1,16):INDEX($R32:$AV32,1,23)),SUM(INDEX($R32:$AV32,1,23):INDEX($R32:$AV32,1,31)))</f>
        <v>0</v>
      </c>
      <c r="BU32" s="258">
        <v>240</v>
      </c>
      <c r="BV32" s="258">
        <v>180</v>
      </c>
      <c r="BW32" s="258">
        <v>0</v>
      </c>
      <c r="BY32" s="258">
        <f t="shared" si="21"/>
        <v>0</v>
      </c>
      <c r="BZ32" s="258">
        <f t="shared" si="22"/>
        <v>300</v>
      </c>
      <c r="CA32" s="258">
        <f t="shared" si="23"/>
        <v>240</v>
      </c>
      <c r="CB32" s="258">
        <f t="shared" si="24"/>
        <v>0</v>
      </c>
      <c r="CD32" s="113"/>
      <c r="CE32" s="258">
        <f t="shared" ref="CE32:CH32" si="75">ROUND(BY32*$O32/1000,2)</f>
        <v>0</v>
      </c>
      <c r="CF32" s="258">
        <f t="shared" si="75"/>
        <v>16.93</v>
      </c>
      <c r="CG32" s="258">
        <f t="shared" si="75"/>
        <v>13.54</v>
      </c>
      <c r="CH32" s="258">
        <f t="shared" si="75"/>
        <v>0</v>
      </c>
      <c r="CI32" s="258">
        <f t="shared" si="16"/>
        <v>30.47</v>
      </c>
      <c r="CJ32" s="113"/>
      <c r="CK32" s="258">
        <f t="shared" ref="CK32:CN32" si="76">IFERROR(ROUND(BY32*$P32,2),"")</f>
        <v>0</v>
      </c>
      <c r="CL32" s="258">
        <f t="shared" si="76"/>
        <v>249214.56</v>
      </c>
      <c r="CM32" s="258">
        <f t="shared" si="76"/>
        <v>199371.65</v>
      </c>
      <c r="CN32" s="258">
        <f t="shared" si="76"/>
        <v>0</v>
      </c>
      <c r="CO32" s="258">
        <f t="shared" si="18"/>
        <v>448586.21</v>
      </c>
      <c r="CP32" s="258">
        <f>VLOOKUP(G32,[2]Sheet1!$C$3:$G$310,5,0)</f>
        <v>12462</v>
      </c>
      <c r="CQ32" s="258" t="e">
        <f>VLOOKUP(G32,[3]KCBB0101!$C$3:$F$691,4,0)</f>
        <v>#N/A</v>
      </c>
    </row>
    <row r="33" s="258" customFormat="1" ht="17.6" spans="1:95">
      <c r="A33" s="330"/>
      <c r="B33" s="334" t="str">
        <f>_xlfn.XLOOKUP(G33,销售需求表!A:A,销售需求表!C:C)</f>
        <v>北美</v>
      </c>
      <c r="C33" s="335" t="str">
        <f t="shared" si="19"/>
        <v>22.5</v>
      </c>
      <c r="D33" s="334" t="str">
        <f t="shared" si="0"/>
        <v>北美22.5寸</v>
      </c>
      <c r="E33" s="339" t="str">
        <f t="shared" si="66"/>
        <v>11R22.5-16PR(148/145L)-M-TRAC AP</v>
      </c>
      <c r="F33" s="340" t="str">
        <f t="shared" si="2"/>
        <v>11R22.5-16PR-M-TRAC AP</v>
      </c>
      <c r="G33" s="341" t="s">
        <v>390</v>
      </c>
      <c r="H33" s="334">
        <v>2000</v>
      </c>
      <c r="I33" s="345"/>
      <c r="J33" s="346" t="str">
        <f t="shared" si="48"/>
        <v>11R22.5-M-TRAC AP</v>
      </c>
      <c r="K33" s="347" t="str">
        <f>_xlfn.XLOOKUP(F33,投产规格!E:E,投产规格!D:D,"未投产")</f>
        <v>✔</v>
      </c>
      <c r="L33" s="347">
        <f>IFERROR(_xlfn.XLOOKUP(F33,硫化工艺!B:B,硫化工艺!C:C),"")</f>
        <v>37.5</v>
      </c>
      <c r="M33" s="349">
        <f t="shared" si="3"/>
        <v>0.865384615384615</v>
      </c>
      <c r="N33" s="347" t="str">
        <f t="shared" si="53"/>
        <v>22.5全钢</v>
      </c>
      <c r="O33" s="347">
        <f>IFERROR(_xlfn.XLOOKUP(F33,轮胎重量!J:J,轮胎重量!G:G),"")</f>
        <v>52.059</v>
      </c>
      <c r="P33" s="347">
        <f>IFERROR(_xlfn.XLOOKUP(G33,硫化工艺!I:I,硫化工艺!J:J),"")</f>
        <v>746.399654</v>
      </c>
      <c r="Q33" s="347">
        <f t="shared" si="4"/>
        <v>0</v>
      </c>
      <c r="R33" s="347"/>
      <c r="S33" s="347"/>
      <c r="T33" s="347"/>
      <c r="U33" s="347"/>
      <c r="V33" s="347"/>
      <c r="W33" s="347"/>
      <c r="X33" s="347"/>
      <c r="Y33" s="347"/>
      <c r="Z33" s="347"/>
      <c r="AA33" s="347"/>
      <c r="AB33" s="347"/>
      <c r="AC33" s="347"/>
      <c r="AD33" s="347"/>
      <c r="AE33" s="347"/>
      <c r="AF33" s="347"/>
      <c r="AG33" s="353">
        <v>130</v>
      </c>
      <c r="AH33" s="347">
        <v>130</v>
      </c>
      <c r="AI33" s="347">
        <v>130</v>
      </c>
      <c r="AJ33" s="347">
        <v>130</v>
      </c>
      <c r="AK33" s="347">
        <v>130</v>
      </c>
      <c r="AL33" s="347">
        <v>130</v>
      </c>
      <c r="AM33" s="347">
        <v>130</v>
      </c>
      <c r="AN33" s="353">
        <v>130</v>
      </c>
      <c r="AO33" s="347"/>
      <c r="AP33" s="347"/>
      <c r="AQ33" s="347"/>
      <c r="AR33" s="347"/>
      <c r="AS33" s="347"/>
      <c r="AT33" s="347"/>
      <c r="AU33" s="347"/>
      <c r="AV33" s="347"/>
      <c r="AW33" s="347">
        <f t="shared" si="5"/>
        <v>1040</v>
      </c>
      <c r="AX33" s="365">
        <f t="shared" si="6"/>
        <v>54.14136</v>
      </c>
      <c r="AY33" s="365">
        <f t="shared" si="7"/>
        <v>77.626</v>
      </c>
      <c r="AZ33" s="367"/>
      <c r="BC33" s="330"/>
      <c r="BD33" s="330"/>
      <c r="BE33" s="330">
        <f t="shared" si="8"/>
        <v>0</v>
      </c>
      <c r="BF33" s="330">
        <f t="shared" si="9"/>
        <v>0</v>
      </c>
      <c r="BG33" s="330">
        <f t="shared" si="10"/>
        <v>0</v>
      </c>
      <c r="BH33" s="330">
        <f t="shared" si="11"/>
        <v>0</v>
      </c>
      <c r="BI33" s="330"/>
      <c r="BJ33" s="370" cm="1">
        <f t="array" ref="BJ33:BM33">_xlfn.LET(_xlpm.data,$R33:$AV33,_xlpm.starts,{1,8,16,23},_xlpm.lengths,{7,7,8,9},_xlpm.arr,_xlfn.MAP(_xlpm.starts,_xlpm.lengths,_xlfn.LAMBDA(_xlpm.s,_xlpm.l,SUM(INDEX(_xlpm.data,,_xlfn.SEQUENCE(,_xlpm.l,_xlpm.s))))),ROUND(_xlpm.arr*$O33/1000,2))</f>
        <v>0</v>
      </c>
      <c r="BK33" s="330">
        <v>0</v>
      </c>
      <c r="BL33" s="330">
        <v>54.14</v>
      </c>
      <c r="BM33" s="330">
        <v>6.77</v>
      </c>
      <c r="BN33" s="258">
        <f t="shared" si="12"/>
        <v>60.91</v>
      </c>
      <c r="BO33" s="258">
        <v>0</v>
      </c>
      <c r="BP33" s="258">
        <v>0</v>
      </c>
      <c r="BQ33" s="258">
        <v>0</v>
      </c>
      <c r="BR33" s="258">
        <v>0</v>
      </c>
      <c r="BS33" s="115"/>
      <c r="BT33" s="258" cm="1">
        <f ca="1" t="array" ref="BT33:BW33">_xlfn.HSTACK(SUM(INDEX($R33:$AV33,1,1):INDEX($R33:$AV33,1,7)),SUM(INDEX($R33:$AV33,1,7):INDEX($R33:$AV33,1,13)),SUM(INDEX($R33:$AV33,1,16):INDEX($R33:$AV33,1,23)),SUM(INDEX($R33:$AV33,1,23):INDEX($R33:$AV33,1,31)))</f>
        <v>0</v>
      </c>
      <c r="BU33" s="258">
        <v>0</v>
      </c>
      <c r="BV33" s="258">
        <v>1040</v>
      </c>
      <c r="BW33" s="258">
        <v>130</v>
      </c>
      <c r="BY33" s="258">
        <f t="shared" si="21"/>
        <v>0</v>
      </c>
      <c r="BZ33" s="258">
        <f t="shared" si="22"/>
        <v>0</v>
      </c>
      <c r="CA33" s="258">
        <f t="shared" si="23"/>
        <v>910</v>
      </c>
      <c r="CB33" s="258">
        <f t="shared" si="24"/>
        <v>130</v>
      </c>
      <c r="CD33" s="113"/>
      <c r="CE33" s="258">
        <f t="shared" ref="CE33:CH33" si="77">ROUND(BY33*$O33/1000,2)</f>
        <v>0</v>
      </c>
      <c r="CF33" s="258">
        <f t="shared" si="77"/>
        <v>0</v>
      </c>
      <c r="CG33" s="258">
        <f t="shared" si="77"/>
        <v>47.37</v>
      </c>
      <c r="CH33" s="258">
        <f t="shared" si="77"/>
        <v>6.77</v>
      </c>
      <c r="CI33" s="258">
        <f t="shared" si="16"/>
        <v>54.14</v>
      </c>
      <c r="CJ33" s="113"/>
      <c r="CK33" s="258">
        <f t="shared" ref="CK33:CN33" si="78">IFERROR(ROUND(BY33*$P33,2),"")</f>
        <v>0</v>
      </c>
      <c r="CL33" s="258">
        <f t="shared" si="78"/>
        <v>0</v>
      </c>
      <c r="CM33" s="258">
        <f t="shared" si="78"/>
        <v>679223.69</v>
      </c>
      <c r="CN33" s="258">
        <f t="shared" si="78"/>
        <v>97031.96</v>
      </c>
      <c r="CO33" s="258">
        <f t="shared" si="18"/>
        <v>776255.65</v>
      </c>
      <c r="CP33" s="258" t="e">
        <f>VLOOKUP(G33,[2]Sheet1!$C$3:$G$310,5,0)</f>
        <v>#N/A</v>
      </c>
      <c r="CQ33" s="258">
        <f>VLOOKUP(G33,[3]KCBB0101!$C$3:$F$691,4,0)</f>
        <v>12240</v>
      </c>
    </row>
    <row r="34" s="258" customFormat="1" ht="17.6" spans="1:95">
      <c r="A34" s="330"/>
      <c r="B34" s="334" t="str">
        <f>_xlfn.XLOOKUP(G34,销售需求表!A:A,销售需求表!C:C)</f>
        <v>北美</v>
      </c>
      <c r="C34" s="335" t="str">
        <f t="shared" si="19"/>
        <v>22.5</v>
      </c>
      <c r="D34" s="334" t="str">
        <f t="shared" ref="D34:D56" si="79">B34&amp;C34&amp;"寸"</f>
        <v>北美22.5寸</v>
      </c>
      <c r="E34" s="339" t="str">
        <f t="shared" si="66"/>
        <v>11R22.5-16PR(148/145L)-M-TRAC CSD</v>
      </c>
      <c r="F34" s="340" t="str">
        <f t="shared" si="2"/>
        <v>11R22.5-16PR-M-TRAC CSD</v>
      </c>
      <c r="G34" s="341" t="s">
        <v>391</v>
      </c>
      <c r="H34" s="334">
        <v>1200</v>
      </c>
      <c r="I34" s="345"/>
      <c r="J34" s="346" t="str">
        <f t="shared" si="48"/>
        <v>11R22.5-M-TRAC CSD</v>
      </c>
      <c r="K34" s="347" t="str">
        <f>_xlfn.XLOOKUP(F34,投产规格!E:E,投产规格!D:D,"未投产")</f>
        <v>✔</v>
      </c>
      <c r="L34" s="347">
        <f>IFERROR(_xlfn.XLOOKUP(F34,硫化工艺!B:B,硫化工艺!C:C),"")</f>
        <v>38.5</v>
      </c>
      <c r="M34" s="349">
        <f t="shared" ref="M34:M56" si="80">IF(L34="","",L34/(L34+$L$1/60))</f>
        <v>0.868421052631579</v>
      </c>
      <c r="N34" s="347" t="str">
        <f t="shared" si="53"/>
        <v>22.5全钢</v>
      </c>
      <c r="O34" s="347">
        <f>IFERROR(_xlfn.XLOOKUP(F34,轮胎重量!J:J,轮胎重量!G:G),"")</f>
        <v>55.842</v>
      </c>
      <c r="P34" s="347">
        <f>IFERROR(_xlfn.XLOOKUP(G34,硫化工艺!I:I,硫化工艺!J:J),"")</f>
        <v>792.181334</v>
      </c>
      <c r="Q34" s="347">
        <f t="shared" ref="Q34:Q56" si="81">IFERROR(ROUND(1440/L34*(I34)*M34,0),"")</f>
        <v>0</v>
      </c>
      <c r="R34" s="347"/>
      <c r="S34" s="347"/>
      <c r="T34" s="347"/>
      <c r="U34" s="347"/>
      <c r="V34" s="347"/>
      <c r="W34" s="347"/>
      <c r="X34" s="347"/>
      <c r="Y34" s="347"/>
      <c r="Z34" s="347"/>
      <c r="AA34" s="347"/>
      <c r="AB34" s="347"/>
      <c r="AC34" s="347"/>
      <c r="AD34" s="347"/>
      <c r="AE34" s="347"/>
      <c r="AF34" s="347"/>
      <c r="AG34" s="347"/>
      <c r="AH34" s="347"/>
      <c r="AI34" s="347"/>
      <c r="AJ34" s="347"/>
      <c r="AK34" s="347"/>
      <c r="AL34" s="347"/>
      <c r="AM34" s="347"/>
      <c r="AN34" s="347"/>
      <c r="AO34" s="353">
        <v>130</v>
      </c>
      <c r="AP34" s="347">
        <v>130</v>
      </c>
      <c r="AQ34" s="347">
        <v>130</v>
      </c>
      <c r="AR34" s="347">
        <v>130</v>
      </c>
      <c r="AS34" s="347">
        <v>130</v>
      </c>
      <c r="AT34" s="347">
        <v>130</v>
      </c>
      <c r="AU34" s="347">
        <v>130</v>
      </c>
      <c r="AV34" s="347">
        <v>130</v>
      </c>
      <c r="AW34" s="347">
        <f t="shared" ref="AW34:AW56" si="82">IF(SUM(R34:AV34)=0,"",SUM(R34:AV34))</f>
        <v>1040</v>
      </c>
      <c r="AX34" s="365">
        <f t="shared" ref="AX34:AX56" si="83">IFERROR(AW34*O34/1000,"")</f>
        <v>58.07568</v>
      </c>
      <c r="AY34" s="365">
        <f t="shared" ref="AY34:AY56" si="84">IFERROR(ROUND(AW34*P34/10000,3),"")</f>
        <v>82.387</v>
      </c>
      <c r="AZ34" s="367"/>
      <c r="BC34" s="330"/>
      <c r="BD34" s="330"/>
      <c r="BE34" s="330">
        <f t="shared" ref="BE34:BE56" si="85">AZ34*AW34</f>
        <v>0</v>
      </c>
      <c r="BF34" s="330">
        <f t="shared" ref="BF34:BF56" si="86">BA34*AW34</f>
        <v>0</v>
      </c>
      <c r="BG34" s="330">
        <f t="shared" ref="BG34:BG56" si="87">BB34*AW34</f>
        <v>0</v>
      </c>
      <c r="BH34" s="330">
        <f t="shared" ref="BH34:BH56" si="88">BC34*AW34</f>
        <v>0</v>
      </c>
      <c r="BI34" s="330"/>
      <c r="BJ34" s="370" cm="1">
        <f t="array" ref="BJ34:BM34">_xlfn.LET(_xlpm.data,$R34:$AV34,_xlpm.starts,{1,8,16,23},_xlpm.lengths,{7,7,8,9},_xlpm.arr,_xlfn.MAP(_xlpm.starts,_xlpm.lengths,_xlfn.LAMBDA(_xlpm.s,_xlpm.l,SUM(INDEX(_xlpm.data,,_xlfn.SEQUENCE(,_xlpm.l,_xlpm.s))))),ROUND(_xlpm.arr*$O34/1000,2))</f>
        <v>0</v>
      </c>
      <c r="BK34" s="330">
        <v>0</v>
      </c>
      <c r="BL34" s="330">
        <v>0</v>
      </c>
      <c r="BM34" s="330">
        <v>58.08</v>
      </c>
      <c r="BN34" s="258">
        <f t="shared" ref="BN34:BN56" si="89">SUM(BJ34:BM34)</f>
        <v>58.08</v>
      </c>
      <c r="BO34" s="258">
        <v>0</v>
      </c>
      <c r="BP34" s="258">
        <v>0</v>
      </c>
      <c r="BQ34" s="258">
        <v>0</v>
      </c>
      <c r="BR34" s="258">
        <v>0</v>
      </c>
      <c r="BS34" s="115"/>
      <c r="BT34" s="258" cm="1">
        <f ca="1" t="array" ref="BT34:BW34">_xlfn.HSTACK(SUM(INDEX($R34:$AV34,1,1):INDEX($R34:$AV34,1,7)),SUM(INDEX($R34:$AV34,1,7):INDEX($R34:$AV34,1,13)),SUM(INDEX($R34:$AV34,1,16):INDEX($R34:$AV34,1,23)),SUM(INDEX($R34:$AV34,1,23):INDEX($R34:$AV34,1,31)))</f>
        <v>0</v>
      </c>
      <c r="BU34" s="258">
        <v>0</v>
      </c>
      <c r="BV34" s="258">
        <v>0</v>
      </c>
      <c r="BW34" s="258">
        <v>1040</v>
      </c>
      <c r="BY34" s="258">
        <f t="shared" si="21"/>
        <v>0</v>
      </c>
      <c r="BZ34" s="258">
        <f t="shared" si="22"/>
        <v>0</v>
      </c>
      <c r="CA34" s="258">
        <f t="shared" si="23"/>
        <v>0</v>
      </c>
      <c r="CB34" s="258">
        <f t="shared" si="24"/>
        <v>1040</v>
      </c>
      <c r="CD34" s="113"/>
      <c r="CE34" s="258">
        <f t="shared" ref="CE34:CH34" si="90">ROUND(BY34*$O34/1000,2)</f>
        <v>0</v>
      </c>
      <c r="CF34" s="258">
        <f t="shared" si="90"/>
        <v>0</v>
      </c>
      <c r="CG34" s="258">
        <f t="shared" si="90"/>
        <v>0</v>
      </c>
      <c r="CH34" s="258">
        <f t="shared" si="90"/>
        <v>58.08</v>
      </c>
      <c r="CI34" s="258">
        <f t="shared" ref="CI34:CI56" si="91">SUM(CE34:CH34)</f>
        <v>58.08</v>
      </c>
      <c r="CJ34" s="113"/>
      <c r="CK34" s="258">
        <f t="shared" ref="CK34:CN34" si="92">IFERROR(ROUND(BY34*$P34,2),"")</f>
        <v>0</v>
      </c>
      <c r="CL34" s="258">
        <f t="shared" si="92"/>
        <v>0</v>
      </c>
      <c r="CM34" s="258">
        <f t="shared" si="92"/>
        <v>0</v>
      </c>
      <c r="CN34" s="258">
        <f t="shared" si="92"/>
        <v>823868.59</v>
      </c>
      <c r="CO34" s="258">
        <f t="shared" si="18"/>
        <v>823868.59</v>
      </c>
      <c r="CP34" s="258" t="e">
        <f>VLOOKUP(G34,[2]Sheet1!$C$3:$G$310,5,0)</f>
        <v>#N/A</v>
      </c>
      <c r="CQ34" s="258">
        <f>VLOOKUP(G34,[3]KCBB0101!$C$3:$F$691,4,0)</f>
        <v>11167</v>
      </c>
    </row>
    <row r="35" s="258" customFormat="1" ht="17.6" spans="1:93">
      <c r="A35" s="330"/>
      <c r="B35" s="334" t="str">
        <f>_xlfn.XLOOKUP(G35,销售需求表!A:A,销售需求表!C:C)</f>
        <v>北美</v>
      </c>
      <c r="C35" s="335" t="str">
        <f t="shared" si="19"/>
        <v>22.5</v>
      </c>
      <c r="D35" s="334" t="str">
        <f t="shared" si="79"/>
        <v>北美22.5寸</v>
      </c>
      <c r="E35" s="339" t="str">
        <f t="shared" si="66"/>
        <v>11R22.5-16PR(148/145L)-ZM41</v>
      </c>
      <c r="F35" s="340" t="str">
        <f t="shared" ref="F35:F67" si="93">IFERROR(MID(G35,3,FIND("(",G35)-3)&amp;"-"&amp;SUBSTITUTE(MID(G35,FIND("[",G35)+1,FIND("]",G35)-FIND("[",G35)-1),"Strong Guard ",""),"")</f>
        <v>11R22.5-16PR-ZM41</v>
      </c>
      <c r="G35" s="339" t="s">
        <v>392</v>
      </c>
      <c r="H35" s="334">
        <v>300</v>
      </c>
      <c r="I35" s="345"/>
      <c r="J35" s="346" t="str">
        <f t="shared" si="48"/>
        <v>11R22.5-ZM41</v>
      </c>
      <c r="K35" s="347" t="str">
        <f>_xlfn.XLOOKUP(F35,投产规格!E:E,投产规格!D:D,"未投产")</f>
        <v>✔</v>
      </c>
      <c r="L35" s="347">
        <f>IFERROR(_xlfn.XLOOKUP(F35,硫化工艺!B:B,硫化工艺!C:C),"")</f>
        <v>44</v>
      </c>
      <c r="M35" s="349">
        <f t="shared" si="80"/>
        <v>0.882943143812709</v>
      </c>
      <c r="N35" s="347" t="str">
        <f t="shared" si="53"/>
        <v>22.5全钢</v>
      </c>
      <c r="O35" s="347">
        <f>IFERROR(_xlfn.XLOOKUP(F35,轮胎重量!J:J,轮胎重量!G:G),"")</f>
        <v>58.212</v>
      </c>
      <c r="P35" s="347">
        <f>IFERROR(_xlfn.XLOOKUP(G35,硫化工艺!I:I,硫化工艺!J:J),"")</f>
        <v>844.472822</v>
      </c>
      <c r="Q35" s="347">
        <f t="shared" si="81"/>
        <v>0</v>
      </c>
      <c r="R35" s="347"/>
      <c r="S35" s="347"/>
      <c r="T35" s="347"/>
      <c r="U35" s="347"/>
      <c r="V35" s="347"/>
      <c r="W35" s="347"/>
      <c r="X35" s="347"/>
      <c r="Y35" s="347"/>
      <c r="Z35" s="347"/>
      <c r="AA35" s="347"/>
      <c r="AB35" s="347"/>
      <c r="AC35" s="347"/>
      <c r="AD35" s="347"/>
      <c r="AE35" s="347"/>
      <c r="AF35" s="347"/>
      <c r="AG35" s="347"/>
      <c r="AH35" s="347"/>
      <c r="AI35" s="347"/>
      <c r="AJ35" s="347"/>
      <c r="AK35" s="347"/>
      <c r="AL35" s="347"/>
      <c r="AM35" s="347"/>
      <c r="AN35" s="347"/>
      <c r="AO35" s="347"/>
      <c r="AP35" s="347"/>
      <c r="AQ35" s="347"/>
      <c r="AR35" s="347"/>
      <c r="AS35" s="347"/>
      <c r="AT35" s="347"/>
      <c r="AU35" s="347"/>
      <c r="AV35" s="347"/>
      <c r="AW35" s="347" t="str">
        <f t="shared" si="82"/>
        <v/>
      </c>
      <c r="AX35" s="365" t="str">
        <f t="shared" si="83"/>
        <v/>
      </c>
      <c r="AY35" s="365" t="str">
        <f t="shared" si="84"/>
        <v/>
      </c>
      <c r="AZ35" s="367"/>
      <c r="BA35" s="258"/>
      <c r="BB35" s="258"/>
      <c r="BC35" s="330"/>
      <c r="BD35" s="330"/>
      <c r="BE35" s="330" t="e">
        <f t="shared" si="85"/>
        <v>#VALUE!</v>
      </c>
      <c r="BF35" s="330" t="e">
        <f t="shared" si="86"/>
        <v>#VALUE!</v>
      </c>
      <c r="BG35" s="330" t="e">
        <f t="shared" si="87"/>
        <v>#VALUE!</v>
      </c>
      <c r="BH35" s="330" t="e">
        <f t="shared" si="88"/>
        <v>#VALUE!</v>
      </c>
      <c r="BI35" s="330"/>
      <c r="BJ35" s="370" cm="1">
        <f t="array" ref="BJ35:BM35">_xlfn.LET(_xlpm.data,$R35:$AV35,_xlpm.starts,{1,8,16,23},_xlpm.lengths,{7,7,8,9},_xlpm.arr,_xlfn.MAP(_xlpm.starts,_xlpm.lengths,_xlfn.LAMBDA(_xlpm.s,_xlpm.l,SUM(INDEX(_xlpm.data,,_xlfn.SEQUENCE(,_xlpm.l,_xlpm.s))))),ROUND(_xlpm.arr*$O35/1000,2))</f>
        <v>0</v>
      </c>
      <c r="BK35" s="330">
        <v>0</v>
      </c>
      <c r="BL35" s="330">
        <v>0</v>
      </c>
      <c r="BM35" s="330">
        <v>0</v>
      </c>
      <c r="BN35" s="258">
        <f t="shared" si="89"/>
        <v>0</v>
      </c>
      <c r="BO35" s="258">
        <v>0</v>
      </c>
      <c r="BP35" s="258">
        <v>0</v>
      </c>
      <c r="BQ35" s="258">
        <v>0</v>
      </c>
      <c r="BR35" s="258">
        <v>0</v>
      </c>
      <c r="BS35" s="115"/>
      <c r="BT35" s="258" cm="1">
        <f ca="1" t="array" ref="BT35:BW35">_xlfn.HSTACK(SUM(INDEX($R35:$AV35,1,1):INDEX($R35:$AV35,1,7)),SUM(INDEX($R35:$AV35,1,7):INDEX($R35:$AV35,1,13)),SUM(INDEX($R35:$AV35,1,16):INDEX($R35:$AV35,1,23)),SUM(INDEX($R35:$AV35,1,23):INDEX($R35:$AV35,1,31)))</f>
        <v>0</v>
      </c>
      <c r="BU35" s="258">
        <v>0</v>
      </c>
      <c r="BV35" s="258">
        <v>0</v>
      </c>
      <c r="BW35" s="258">
        <v>0</v>
      </c>
      <c r="BY35" s="258">
        <f t="shared" si="21"/>
        <v>0</v>
      </c>
      <c r="BZ35" s="258">
        <f t="shared" si="22"/>
        <v>0</v>
      </c>
      <c r="CA35" s="258">
        <f t="shared" si="23"/>
        <v>0</v>
      </c>
      <c r="CB35" s="258">
        <f t="shared" si="24"/>
        <v>0</v>
      </c>
      <c r="CD35" s="113"/>
      <c r="CE35" s="258">
        <f t="shared" ref="CE35:CE55" si="94">ROUND(BY35*$O35/1000,2)</f>
        <v>0</v>
      </c>
      <c r="CF35" s="258">
        <f t="shared" ref="CF35:CF55" si="95">ROUND(BZ35*$O35/1000,2)</f>
        <v>0</v>
      </c>
      <c r="CG35" s="258">
        <f t="shared" ref="CG35:CG55" si="96">ROUND(CA35*$O35/1000,2)</f>
        <v>0</v>
      </c>
      <c r="CH35" s="258">
        <f t="shared" ref="CH35:CH55" si="97">ROUND(CB35*$O35/1000,2)</f>
        <v>0</v>
      </c>
      <c r="CI35" s="258">
        <f t="shared" si="91"/>
        <v>0</v>
      </c>
      <c r="CJ35" s="113"/>
      <c r="CK35" s="258">
        <f t="shared" ref="CK35:CN35" si="98">IFERROR(ROUND(BY35*$P35,2),"")</f>
        <v>0</v>
      </c>
      <c r="CL35" s="258">
        <f t="shared" si="98"/>
        <v>0</v>
      </c>
      <c r="CM35" s="258">
        <f t="shared" si="98"/>
        <v>0</v>
      </c>
      <c r="CN35" s="258">
        <f t="shared" si="98"/>
        <v>0</v>
      </c>
      <c r="CO35" s="258">
        <f t="shared" si="18"/>
        <v>0</v>
      </c>
    </row>
    <row r="36" s="258" customFormat="1" ht="17.6" spans="1:95">
      <c r="A36" s="330"/>
      <c r="B36" s="334" t="str">
        <f>_xlfn.XLOOKUP(G36,销售需求表!A:A,销售需求表!C:C)</f>
        <v>北美</v>
      </c>
      <c r="C36" s="335" t="str">
        <f t="shared" si="19"/>
        <v>22.5</v>
      </c>
      <c r="D36" s="334" t="str">
        <f t="shared" si="79"/>
        <v>北美22.5寸</v>
      </c>
      <c r="E36" s="339" t="str">
        <f t="shared" si="66"/>
        <v>11R22.5-16PR(148/145M)-I-19A</v>
      </c>
      <c r="F36" s="340" t="str">
        <f t="shared" si="93"/>
        <v>11R22.5-16PR-I-19A</v>
      </c>
      <c r="G36" s="341" t="s">
        <v>393</v>
      </c>
      <c r="H36" s="334">
        <v>2500</v>
      </c>
      <c r="I36" s="345"/>
      <c r="J36" s="346" t="str">
        <f t="shared" si="48"/>
        <v>11R22.5-I-19A</v>
      </c>
      <c r="K36" s="347" t="str">
        <f>_xlfn.XLOOKUP(F36,投产规格!E:E,投产规格!D:D,"未投产")</f>
        <v>✔</v>
      </c>
      <c r="L36" s="347">
        <f>IFERROR(_xlfn.XLOOKUP(F36,硫化工艺!B:B,硫化工艺!C:C),"")</f>
        <v>37</v>
      </c>
      <c r="M36" s="349">
        <f t="shared" si="80"/>
        <v>0.863813229571984</v>
      </c>
      <c r="N36" s="347" t="str">
        <f t="shared" si="53"/>
        <v>22.5全钢</v>
      </c>
      <c r="O36" s="347">
        <f>IFERROR(_xlfn.XLOOKUP(F36,轮胎重量!J:J,轮胎重量!G:G),"")</f>
        <v>52.44</v>
      </c>
      <c r="P36" s="347">
        <f>IFERROR(_xlfn.XLOOKUP(G36,硫化工艺!I:I,硫化工艺!J:J),"")</f>
        <v>767.7999</v>
      </c>
      <c r="Q36" s="347">
        <f t="shared" si="81"/>
        <v>0</v>
      </c>
      <c r="R36" s="347"/>
      <c r="S36" s="347"/>
      <c r="T36" s="347"/>
      <c r="U36" s="347"/>
      <c r="V36" s="347"/>
      <c r="W36" s="347"/>
      <c r="X36" s="347"/>
      <c r="Y36" s="347"/>
      <c r="Z36" s="347"/>
      <c r="AA36" s="347"/>
      <c r="AB36" s="347"/>
      <c r="AC36" s="347"/>
      <c r="AD36" s="347"/>
      <c r="AE36" s="347"/>
      <c r="AF36" s="347"/>
      <c r="AG36" s="357">
        <v>60</v>
      </c>
      <c r="AH36" s="347">
        <v>60</v>
      </c>
      <c r="AI36" s="347">
        <v>60</v>
      </c>
      <c r="AJ36" s="347">
        <v>60</v>
      </c>
      <c r="AK36" s="347">
        <v>60</v>
      </c>
      <c r="AL36" s="347">
        <v>60</v>
      </c>
      <c r="AM36" s="347">
        <v>60</v>
      </c>
      <c r="AN36" s="347">
        <v>60</v>
      </c>
      <c r="AO36" s="347">
        <v>120</v>
      </c>
      <c r="AP36" s="347">
        <v>120</v>
      </c>
      <c r="AQ36" s="347">
        <v>120</v>
      </c>
      <c r="AR36" s="347">
        <v>120</v>
      </c>
      <c r="AS36" s="347">
        <v>120</v>
      </c>
      <c r="AT36" s="347">
        <v>120</v>
      </c>
      <c r="AU36" s="347">
        <v>120</v>
      </c>
      <c r="AV36" s="347">
        <v>120</v>
      </c>
      <c r="AW36" s="347">
        <f t="shared" si="82"/>
        <v>1440</v>
      </c>
      <c r="AX36" s="365">
        <f t="shared" si="83"/>
        <v>75.5136</v>
      </c>
      <c r="AY36" s="365">
        <f t="shared" si="84"/>
        <v>110.563</v>
      </c>
      <c r="AZ36" s="367"/>
      <c r="BC36" s="330"/>
      <c r="BD36" s="330"/>
      <c r="BE36" s="330">
        <f t="shared" si="85"/>
        <v>0</v>
      </c>
      <c r="BF36" s="330">
        <f t="shared" si="86"/>
        <v>0</v>
      </c>
      <c r="BG36" s="330">
        <f t="shared" si="87"/>
        <v>0</v>
      </c>
      <c r="BH36" s="330">
        <f t="shared" si="88"/>
        <v>0</v>
      </c>
      <c r="BI36" s="330"/>
      <c r="BJ36" s="370" cm="1">
        <f t="array" ref="BJ36:BM36">_xlfn.LET(_xlpm.data,$R36:$AV36,_xlpm.starts,{1,8,16,23},_xlpm.lengths,{7,7,8,9},_xlpm.arr,_xlfn.MAP(_xlpm.starts,_xlpm.lengths,_xlfn.LAMBDA(_xlpm.s,_xlpm.l,SUM(INDEX(_xlpm.data,,_xlfn.SEQUENCE(,_xlpm.l,_xlpm.s))))),ROUND(_xlpm.arr*$O36/1000,2))</f>
        <v>0</v>
      </c>
      <c r="BK36" s="330">
        <v>0</v>
      </c>
      <c r="BL36" s="330">
        <v>25.17</v>
      </c>
      <c r="BM36" s="330">
        <v>53.49</v>
      </c>
      <c r="BN36" s="258">
        <f t="shared" si="89"/>
        <v>78.66</v>
      </c>
      <c r="BO36" s="258">
        <v>0</v>
      </c>
      <c r="BP36" s="258">
        <v>0</v>
      </c>
      <c r="BQ36" s="258">
        <v>0</v>
      </c>
      <c r="BR36" s="258">
        <v>0</v>
      </c>
      <c r="BS36" s="115"/>
      <c r="BT36" s="258" cm="1">
        <f ca="1" t="array" ref="BT36:BW36">_xlfn.HSTACK(SUM(INDEX($R36:$AV36,1,1):INDEX($R36:$AV36,1,7)),SUM(INDEX($R36:$AV36,1,7):INDEX($R36:$AV36,1,13)),SUM(INDEX($R36:$AV36,1,16):INDEX($R36:$AV36,1,23)),SUM(INDEX($R36:$AV36,1,23):INDEX($R36:$AV36,1,31)))</f>
        <v>0</v>
      </c>
      <c r="BU36" s="258">
        <v>0</v>
      </c>
      <c r="BV36" s="258">
        <v>480</v>
      </c>
      <c r="BW36" s="258">
        <v>1020</v>
      </c>
      <c r="BY36" s="258">
        <f t="shared" si="21"/>
        <v>0</v>
      </c>
      <c r="BZ36" s="258">
        <f t="shared" si="22"/>
        <v>0</v>
      </c>
      <c r="CA36" s="258">
        <f t="shared" si="23"/>
        <v>420</v>
      </c>
      <c r="CB36" s="258">
        <f t="shared" si="24"/>
        <v>1020</v>
      </c>
      <c r="CD36" s="113"/>
      <c r="CE36" s="258">
        <f t="shared" si="94"/>
        <v>0</v>
      </c>
      <c r="CF36" s="258">
        <f t="shared" si="95"/>
        <v>0</v>
      </c>
      <c r="CG36" s="258">
        <f t="shared" si="96"/>
        <v>22.02</v>
      </c>
      <c r="CH36" s="258">
        <f t="shared" si="97"/>
        <v>53.49</v>
      </c>
      <c r="CI36" s="258">
        <f t="shared" si="91"/>
        <v>75.51</v>
      </c>
      <c r="CJ36" s="113"/>
      <c r="CK36" s="258">
        <f t="shared" ref="CK36:CN36" si="99">IFERROR(ROUND(BY36*$P36,2),"")</f>
        <v>0</v>
      </c>
      <c r="CL36" s="258">
        <f t="shared" si="99"/>
        <v>0</v>
      </c>
      <c r="CM36" s="258">
        <f t="shared" si="99"/>
        <v>322475.96</v>
      </c>
      <c r="CN36" s="258">
        <f t="shared" si="99"/>
        <v>783155.9</v>
      </c>
      <c r="CO36" s="258">
        <f t="shared" si="18"/>
        <v>1105631.86</v>
      </c>
      <c r="CP36" s="258">
        <f>VLOOKUP(G36,[2]Sheet1!$C$3:$G$310,5,0)</f>
        <v>10500</v>
      </c>
      <c r="CQ36" s="258" t="e">
        <f>VLOOKUP(G36,[3]KCBB0101!$C$3:$F$691,4,0)</f>
        <v>#N/A</v>
      </c>
    </row>
    <row r="37" s="258" customFormat="1" ht="17.6" spans="1:93">
      <c r="A37" s="330"/>
      <c r="B37" s="334" t="str">
        <f>_xlfn.XLOOKUP(G37,销售需求表!A:A,销售需求表!C:C)</f>
        <v>北美</v>
      </c>
      <c r="C37" s="335" t="str">
        <f t="shared" si="19"/>
        <v>22.5</v>
      </c>
      <c r="D37" s="334" t="str">
        <f t="shared" si="79"/>
        <v>北美22.5寸</v>
      </c>
      <c r="E37" s="339" t="str">
        <f t="shared" si="66"/>
        <v>11R22.5-16PR(148/145M)-I-61S</v>
      </c>
      <c r="F37" s="340" t="str">
        <f t="shared" si="93"/>
        <v>11R22.5-16PR-I-61S</v>
      </c>
      <c r="G37" s="339" t="s">
        <v>394</v>
      </c>
      <c r="H37" s="334">
        <v>150</v>
      </c>
      <c r="I37" s="345"/>
      <c r="J37" s="346" t="str">
        <f t="shared" si="48"/>
        <v>11R22.5-I-61S</v>
      </c>
      <c r="K37" s="347" t="str">
        <f>_xlfn.XLOOKUP(F37,投产规格!E:E,投产规格!D:D,"未投产")</f>
        <v>✔</v>
      </c>
      <c r="L37" s="347">
        <f>IFERROR(_xlfn.XLOOKUP(F37,硫化工艺!B:B,硫化工艺!C:C),"")</f>
        <v>37</v>
      </c>
      <c r="M37" s="349">
        <f t="shared" si="80"/>
        <v>0.863813229571984</v>
      </c>
      <c r="N37" s="347" t="str">
        <f t="shared" si="53"/>
        <v>22.5全钢</v>
      </c>
      <c r="O37" s="347">
        <f>IFERROR(_xlfn.XLOOKUP(F37,轮胎重量!J:J,轮胎重量!G:G),"")</f>
        <v>52.44</v>
      </c>
      <c r="P37" s="347">
        <f>IFERROR(_xlfn.XLOOKUP(G37,硫化工艺!I:I,硫化工艺!J:J),"")</f>
        <v>766.4909</v>
      </c>
      <c r="Q37" s="347">
        <f t="shared" si="81"/>
        <v>0</v>
      </c>
      <c r="R37" s="347"/>
      <c r="S37" s="347"/>
      <c r="T37" s="347"/>
      <c r="U37" s="347"/>
      <c r="V37" s="347"/>
      <c r="W37" s="347"/>
      <c r="X37" s="347"/>
      <c r="Y37" s="347"/>
      <c r="Z37" s="347"/>
      <c r="AA37" s="347"/>
      <c r="AB37" s="347"/>
      <c r="AC37" s="347"/>
      <c r="AD37" s="347"/>
      <c r="AE37" s="347"/>
      <c r="AF37" s="347"/>
      <c r="AG37" s="347"/>
      <c r="AH37" s="347"/>
      <c r="AI37" s="347"/>
      <c r="AJ37" s="347"/>
      <c r="AK37" s="347"/>
      <c r="AL37" s="347"/>
      <c r="AM37" s="347"/>
      <c r="AN37" s="347"/>
      <c r="AO37" s="347"/>
      <c r="AP37" s="347"/>
      <c r="AQ37" s="347"/>
      <c r="AR37" s="347"/>
      <c r="AS37" s="347"/>
      <c r="AT37" s="347"/>
      <c r="AU37" s="347"/>
      <c r="AV37" s="347"/>
      <c r="AW37" s="347" t="str">
        <f t="shared" si="82"/>
        <v/>
      </c>
      <c r="AX37" s="365" t="str">
        <f t="shared" si="83"/>
        <v/>
      </c>
      <c r="AY37" s="365" t="str">
        <f t="shared" si="84"/>
        <v/>
      </c>
      <c r="AZ37" s="367"/>
      <c r="BC37" s="330"/>
      <c r="BD37" s="330"/>
      <c r="BE37" s="330" t="e">
        <f t="shared" si="85"/>
        <v>#VALUE!</v>
      </c>
      <c r="BF37" s="330" t="e">
        <f t="shared" si="86"/>
        <v>#VALUE!</v>
      </c>
      <c r="BG37" s="330" t="e">
        <f t="shared" si="87"/>
        <v>#VALUE!</v>
      </c>
      <c r="BH37" s="330" t="e">
        <f t="shared" si="88"/>
        <v>#VALUE!</v>
      </c>
      <c r="BI37" s="330"/>
      <c r="BJ37" s="370" cm="1">
        <f t="array" ref="BJ37:BM37">_xlfn.LET(_xlpm.data,$R37:$AV37,_xlpm.starts,{1,8,16,23},_xlpm.lengths,{7,7,8,9},_xlpm.arr,_xlfn.MAP(_xlpm.starts,_xlpm.lengths,_xlfn.LAMBDA(_xlpm.s,_xlpm.l,SUM(INDEX(_xlpm.data,,_xlfn.SEQUENCE(,_xlpm.l,_xlpm.s))))),ROUND(_xlpm.arr*$O37/1000,2))</f>
        <v>0</v>
      </c>
      <c r="BK37" s="330">
        <v>0</v>
      </c>
      <c r="BL37" s="330">
        <v>0</v>
      </c>
      <c r="BM37" s="330">
        <v>0</v>
      </c>
      <c r="BN37" s="258">
        <f t="shared" si="89"/>
        <v>0</v>
      </c>
      <c r="BO37" s="258">
        <v>0</v>
      </c>
      <c r="BP37" s="258">
        <v>0</v>
      </c>
      <c r="BQ37" s="258">
        <v>0</v>
      </c>
      <c r="BR37" s="258">
        <v>0</v>
      </c>
      <c r="BS37" s="115"/>
      <c r="BT37" s="258" cm="1">
        <f ca="1" t="array" ref="BT37:BW37">_xlfn.HSTACK(SUM(INDEX($R37:$AV37,1,1):INDEX($R37:$AV37,1,7)),SUM(INDEX($R37:$AV37,1,7):INDEX($R37:$AV37,1,13)),SUM(INDEX($R37:$AV37,1,16):INDEX($R37:$AV37,1,23)),SUM(INDEX($R37:$AV37,1,23):INDEX($R37:$AV37,1,31)))</f>
        <v>0</v>
      </c>
      <c r="BU37" s="258">
        <v>0</v>
      </c>
      <c r="BV37" s="258">
        <v>0</v>
      </c>
      <c r="BW37" s="258">
        <v>0</v>
      </c>
      <c r="BY37" s="258">
        <f t="shared" si="21"/>
        <v>0</v>
      </c>
      <c r="BZ37" s="258">
        <f t="shared" si="22"/>
        <v>0</v>
      </c>
      <c r="CA37" s="258">
        <f t="shared" si="23"/>
        <v>0</v>
      </c>
      <c r="CB37" s="258">
        <f t="shared" si="24"/>
        <v>0</v>
      </c>
      <c r="CD37" s="113"/>
      <c r="CE37" s="258">
        <f t="shared" si="94"/>
        <v>0</v>
      </c>
      <c r="CF37" s="258">
        <f t="shared" si="95"/>
        <v>0</v>
      </c>
      <c r="CG37" s="258">
        <f t="shared" si="96"/>
        <v>0</v>
      </c>
      <c r="CH37" s="258">
        <f t="shared" si="97"/>
        <v>0</v>
      </c>
      <c r="CI37" s="258">
        <f t="shared" si="91"/>
        <v>0</v>
      </c>
      <c r="CJ37" s="113"/>
      <c r="CK37" s="258">
        <f t="shared" ref="CK37:CN37" si="100">IFERROR(ROUND(BY37*$P37,2),"")</f>
        <v>0</v>
      </c>
      <c r="CL37" s="258">
        <f t="shared" si="100"/>
        <v>0</v>
      </c>
      <c r="CM37" s="258">
        <f t="shared" si="100"/>
        <v>0</v>
      </c>
      <c r="CN37" s="258">
        <f t="shared" si="100"/>
        <v>0</v>
      </c>
      <c r="CO37" s="258">
        <f t="shared" si="18"/>
        <v>0</v>
      </c>
    </row>
    <row r="38" s="258" customFormat="1" ht="17.6" spans="1:93">
      <c r="A38" s="330"/>
      <c r="B38" s="334" t="str">
        <f>_xlfn.XLOOKUP(G38,销售需求表!A:A,销售需求表!C:C)</f>
        <v>北美</v>
      </c>
      <c r="C38" s="335" t="str">
        <f t="shared" si="19"/>
        <v>22.5</v>
      </c>
      <c r="D38" s="334" t="str">
        <f t="shared" si="79"/>
        <v>北美22.5寸</v>
      </c>
      <c r="E38" s="339" t="str">
        <f t="shared" si="66"/>
        <v>11R22.5-16PR(148/145M)-M-TRAC MST</v>
      </c>
      <c r="F38" s="340" t="str">
        <f t="shared" si="93"/>
        <v>11R22.5-16PR-M-TRAC MST</v>
      </c>
      <c r="G38" s="339" t="s">
        <v>395</v>
      </c>
      <c r="H38" s="334">
        <v>200</v>
      </c>
      <c r="I38" s="345"/>
      <c r="J38" s="346" t="str">
        <f t="shared" si="48"/>
        <v>11R22.5-M-TRAC MST</v>
      </c>
      <c r="K38" s="347" t="str">
        <f>_xlfn.XLOOKUP(F38,投产规格!E:E,投产规格!D:D,"未投产")</f>
        <v>未投产</v>
      </c>
      <c r="L38" s="347">
        <f>IFERROR(_xlfn.XLOOKUP(F38,硫化工艺!B:B,硫化工艺!C:C),"")</f>
        <v>36.5</v>
      </c>
      <c r="M38" s="349">
        <f t="shared" si="80"/>
        <v>0.862204724409449</v>
      </c>
      <c r="N38" s="347" t="str">
        <f t="shared" si="53"/>
        <v>22.5全钢</v>
      </c>
      <c r="O38" s="347">
        <f>IFERROR(_xlfn.XLOOKUP(F38,轮胎重量!J:J,轮胎重量!G:G),"")</f>
        <v>59.57</v>
      </c>
      <c r="P38" s="350">
        <f>O38*13.9</f>
        <v>828.023</v>
      </c>
      <c r="Q38" s="347">
        <f t="shared" si="81"/>
        <v>0</v>
      </c>
      <c r="R38" s="347"/>
      <c r="S38" s="347"/>
      <c r="T38" s="347"/>
      <c r="U38" s="347"/>
      <c r="V38" s="347"/>
      <c r="W38" s="347"/>
      <c r="X38" s="347"/>
      <c r="Y38" s="347"/>
      <c r="Z38" s="347"/>
      <c r="AA38" s="347"/>
      <c r="AB38" s="347"/>
      <c r="AC38" s="347"/>
      <c r="AD38" s="347"/>
      <c r="AE38" s="347"/>
      <c r="AF38" s="347"/>
      <c r="AG38" s="347"/>
      <c r="AH38" s="347"/>
      <c r="AI38" s="347"/>
      <c r="AJ38" s="347"/>
      <c r="AK38" s="347"/>
      <c r="AL38" s="347"/>
      <c r="AM38" s="347"/>
      <c r="AN38" s="347"/>
      <c r="AO38" s="347"/>
      <c r="AP38" s="347"/>
      <c r="AQ38" s="347"/>
      <c r="AR38" s="347"/>
      <c r="AS38" s="347"/>
      <c r="AT38" s="347"/>
      <c r="AU38" s="347"/>
      <c r="AV38" s="347"/>
      <c r="AW38" s="347" t="str">
        <f t="shared" si="82"/>
        <v/>
      </c>
      <c r="AX38" s="365" t="str">
        <f t="shared" si="83"/>
        <v/>
      </c>
      <c r="AY38" s="365" t="str">
        <f t="shared" si="84"/>
        <v/>
      </c>
      <c r="AZ38" s="367"/>
      <c r="BA38" s="258"/>
      <c r="BB38" s="258"/>
      <c r="BC38" s="330"/>
      <c r="BD38" s="330"/>
      <c r="BE38" s="330" t="e">
        <f t="shared" si="85"/>
        <v>#VALUE!</v>
      </c>
      <c r="BF38" s="330" t="e">
        <f t="shared" si="86"/>
        <v>#VALUE!</v>
      </c>
      <c r="BG38" s="330" t="e">
        <f t="shared" si="87"/>
        <v>#VALUE!</v>
      </c>
      <c r="BH38" s="330" t="e">
        <f t="shared" si="88"/>
        <v>#VALUE!</v>
      </c>
      <c r="BI38" s="330"/>
      <c r="BJ38" s="370" cm="1">
        <f t="array" ref="BJ38:BM38">_xlfn.LET(_xlpm.data,$R38:$AV38,_xlpm.starts,{1,8,16,23},_xlpm.lengths,{7,7,8,9},_xlpm.arr,_xlfn.MAP(_xlpm.starts,_xlpm.lengths,_xlfn.LAMBDA(_xlpm.s,_xlpm.l,SUM(INDEX(_xlpm.data,,_xlfn.SEQUENCE(,_xlpm.l,_xlpm.s))))),ROUND(_xlpm.arr*$O38/1000,2))</f>
        <v>0</v>
      </c>
      <c r="BK38" s="330">
        <v>0</v>
      </c>
      <c r="BL38" s="330">
        <v>0</v>
      </c>
      <c r="BM38" s="330">
        <v>0</v>
      </c>
      <c r="BN38" s="258">
        <f t="shared" si="89"/>
        <v>0</v>
      </c>
      <c r="BO38" s="258">
        <v>0</v>
      </c>
      <c r="BP38" s="258">
        <v>0</v>
      </c>
      <c r="BQ38" s="258">
        <v>0</v>
      </c>
      <c r="BR38" s="258">
        <v>0</v>
      </c>
      <c r="BS38" s="115"/>
      <c r="BT38" s="258" cm="1">
        <f ca="1" t="array" ref="BT38:BW38">_xlfn.HSTACK(SUM(INDEX($R38:$AV38,1,1):INDEX($R38:$AV38,1,7)),SUM(INDEX($R38:$AV38,1,7):INDEX($R38:$AV38,1,13)),SUM(INDEX($R38:$AV38,1,16):INDEX($R38:$AV38,1,23)),SUM(INDEX($R38:$AV38,1,23):INDEX($R38:$AV38,1,31)))</f>
        <v>0</v>
      </c>
      <c r="BU38" s="258">
        <v>0</v>
      </c>
      <c r="BV38" s="258">
        <v>0</v>
      </c>
      <c r="BW38" s="258">
        <v>0</v>
      </c>
      <c r="BY38" s="258">
        <f t="shared" si="21"/>
        <v>0</v>
      </c>
      <c r="BZ38" s="258">
        <f t="shared" si="22"/>
        <v>0</v>
      </c>
      <c r="CA38" s="258">
        <f t="shared" si="23"/>
        <v>0</v>
      </c>
      <c r="CB38" s="258">
        <f t="shared" si="24"/>
        <v>0</v>
      </c>
      <c r="CD38" s="113"/>
      <c r="CE38" s="258">
        <f t="shared" si="94"/>
        <v>0</v>
      </c>
      <c r="CF38" s="258">
        <f t="shared" si="95"/>
        <v>0</v>
      </c>
      <c r="CG38" s="258">
        <f t="shared" si="96"/>
        <v>0</v>
      </c>
      <c r="CH38" s="258">
        <f t="shared" si="97"/>
        <v>0</v>
      </c>
      <c r="CI38" s="258">
        <f t="shared" si="91"/>
        <v>0</v>
      </c>
      <c r="CJ38" s="113"/>
      <c r="CK38" s="258">
        <f t="shared" ref="CK38:CN38" si="101">IFERROR(ROUND(BY38*$P38,2),"")</f>
        <v>0</v>
      </c>
      <c r="CL38" s="258">
        <f t="shared" si="101"/>
        <v>0</v>
      </c>
      <c r="CM38" s="258">
        <f t="shared" si="101"/>
        <v>0</v>
      </c>
      <c r="CN38" s="258">
        <f t="shared" si="101"/>
        <v>0</v>
      </c>
      <c r="CO38" s="258">
        <f t="shared" si="18"/>
        <v>0</v>
      </c>
    </row>
    <row r="39" s="258" customFormat="1" ht="17.6" spans="1:93">
      <c r="A39" s="330"/>
      <c r="B39" s="334" t="str">
        <f>_xlfn.XLOOKUP(G39,销售需求表!A:A,销售需求表!C:C)</f>
        <v>亚</v>
      </c>
      <c r="C39" s="335" t="str">
        <f t="shared" si="19"/>
        <v>22.5</v>
      </c>
      <c r="D39" s="334" t="str">
        <f t="shared" si="79"/>
        <v>亚22.5寸</v>
      </c>
      <c r="E39" s="339" t="str">
        <f t="shared" si="66"/>
        <v>11R22.5-18PR(149/146L)-AS858</v>
      </c>
      <c r="F39" s="340" t="str">
        <f t="shared" si="93"/>
        <v>11R22.5-18PR-AS858</v>
      </c>
      <c r="G39" s="339" t="s">
        <v>396</v>
      </c>
      <c r="H39" s="334">
        <v>780</v>
      </c>
      <c r="I39" s="345"/>
      <c r="J39" s="346" t="str">
        <f t="shared" si="48"/>
        <v>11R22.5-AS858</v>
      </c>
      <c r="K39" s="347" t="str">
        <f>_xlfn.XLOOKUP(F39,投产规格!E:E,投产规格!D:D,"未投产")</f>
        <v>✔</v>
      </c>
      <c r="L39" s="347">
        <f>IFERROR(_xlfn.XLOOKUP(F39,硫化工艺!B:B,硫化工艺!C:C),"")</f>
        <v>41.5</v>
      </c>
      <c r="M39" s="349">
        <f t="shared" si="80"/>
        <v>0.876760563380282</v>
      </c>
      <c r="N39" s="347" t="str">
        <f t="shared" si="53"/>
        <v>22.5全钢</v>
      </c>
      <c r="O39" s="347">
        <f>IFERROR(_xlfn.XLOOKUP(F39,轮胎重量!J:J,轮胎重量!G:G),"")</f>
        <v>58.955</v>
      </c>
      <c r="P39" s="347">
        <f>IFERROR(_xlfn.XLOOKUP(G39,硫化工艺!I:I,硫化工艺!J:J),"")</f>
        <v>850.447645</v>
      </c>
      <c r="Q39" s="347">
        <f t="shared" si="81"/>
        <v>0</v>
      </c>
      <c r="R39" s="347"/>
      <c r="S39" s="347"/>
      <c r="T39" s="347"/>
      <c r="U39" s="347"/>
      <c r="V39" s="347"/>
      <c r="W39" s="347"/>
      <c r="X39" s="347"/>
      <c r="Y39" s="347"/>
      <c r="Z39" s="347"/>
      <c r="AA39" s="347"/>
      <c r="AB39" s="347"/>
      <c r="AC39" s="347"/>
      <c r="AD39" s="347"/>
      <c r="AE39" s="347"/>
      <c r="AF39" s="347"/>
      <c r="AG39" s="347"/>
      <c r="AH39" s="347"/>
      <c r="AI39" s="347"/>
      <c r="AJ39" s="347"/>
      <c r="AK39" s="347"/>
      <c r="AL39" s="347"/>
      <c r="AM39" s="347"/>
      <c r="AN39" s="347"/>
      <c r="AO39" s="347"/>
      <c r="AP39" s="347"/>
      <c r="AQ39" s="347"/>
      <c r="AR39" s="347"/>
      <c r="AS39" s="347"/>
      <c r="AT39" s="347"/>
      <c r="AU39" s="347"/>
      <c r="AV39" s="347"/>
      <c r="AW39" s="347" t="str">
        <f t="shared" si="82"/>
        <v/>
      </c>
      <c r="AX39" s="365" t="str">
        <f t="shared" si="83"/>
        <v/>
      </c>
      <c r="AY39" s="365" t="str">
        <f t="shared" si="84"/>
        <v/>
      </c>
      <c r="AZ39" s="366">
        <v>459.15</v>
      </c>
      <c r="BA39" s="368">
        <v>29.49</v>
      </c>
      <c r="BB39" s="368">
        <v>50.29</v>
      </c>
      <c r="BC39" s="368">
        <v>52.01</v>
      </c>
      <c r="BD39" s="330"/>
      <c r="BE39" s="330" t="e">
        <f t="shared" si="85"/>
        <v>#VALUE!</v>
      </c>
      <c r="BF39" s="330" t="e">
        <f t="shared" si="86"/>
        <v>#VALUE!</v>
      </c>
      <c r="BG39" s="330" t="e">
        <f t="shared" si="87"/>
        <v>#VALUE!</v>
      </c>
      <c r="BH39" s="330" t="e">
        <f t="shared" si="88"/>
        <v>#VALUE!</v>
      </c>
      <c r="BI39" s="330"/>
      <c r="BJ39" s="370" cm="1">
        <f t="array" ref="BJ39:BM39">_xlfn.LET(_xlpm.data,$R39:$AV39,_xlpm.starts,{1,8,16,23},_xlpm.lengths,{7,7,8,9},_xlpm.arr,_xlfn.MAP(_xlpm.starts,_xlpm.lengths,_xlfn.LAMBDA(_xlpm.s,_xlpm.l,SUM(INDEX(_xlpm.data,,_xlfn.SEQUENCE(,_xlpm.l,_xlpm.s))))),ROUND(_xlpm.arr*$O39/1000,2))</f>
        <v>0</v>
      </c>
      <c r="BK39" s="330">
        <v>0</v>
      </c>
      <c r="BL39" s="330">
        <v>0</v>
      </c>
      <c r="BM39" s="330">
        <v>0</v>
      </c>
      <c r="BN39" s="258">
        <f t="shared" si="89"/>
        <v>0</v>
      </c>
      <c r="BO39" s="258">
        <v>0</v>
      </c>
      <c r="BP39" s="258">
        <v>0</v>
      </c>
      <c r="BQ39" s="258">
        <v>0</v>
      </c>
      <c r="BR39" s="258">
        <v>0</v>
      </c>
      <c r="BS39" s="115"/>
      <c r="BT39" s="258" cm="1">
        <f ca="1" t="array" ref="BT39:BW39">_xlfn.HSTACK(SUM(INDEX($R39:$AV39,1,1):INDEX($R39:$AV39,1,7)),SUM(INDEX($R39:$AV39,1,7):INDEX($R39:$AV39,1,13)),SUM(INDEX($R39:$AV39,1,16):INDEX($R39:$AV39,1,23)),SUM(INDEX($R39:$AV39,1,23):INDEX($R39:$AV39,1,31)))</f>
        <v>0</v>
      </c>
      <c r="BU39" s="258">
        <v>0</v>
      </c>
      <c r="BV39" s="258">
        <v>0</v>
      </c>
      <c r="BW39" s="258">
        <v>0</v>
      </c>
      <c r="BY39" s="258">
        <f t="shared" si="21"/>
        <v>0</v>
      </c>
      <c r="BZ39" s="258">
        <f t="shared" si="22"/>
        <v>0</v>
      </c>
      <c r="CA39" s="258">
        <f t="shared" si="23"/>
        <v>0</v>
      </c>
      <c r="CB39" s="258">
        <f t="shared" si="24"/>
        <v>0</v>
      </c>
      <c r="CD39" s="113"/>
      <c r="CE39" s="258">
        <f t="shared" si="94"/>
        <v>0</v>
      </c>
      <c r="CF39" s="258">
        <f t="shared" si="95"/>
        <v>0</v>
      </c>
      <c r="CG39" s="258">
        <f t="shared" si="96"/>
        <v>0</v>
      </c>
      <c r="CH39" s="258">
        <f t="shared" si="97"/>
        <v>0</v>
      </c>
      <c r="CI39" s="258">
        <f t="shared" si="91"/>
        <v>0</v>
      </c>
      <c r="CJ39" s="113"/>
      <c r="CK39" s="258">
        <f t="shared" ref="CK39:CN39" si="102">IFERROR(ROUND(BY39*$P39,2),"")</f>
        <v>0</v>
      </c>
      <c r="CL39" s="258">
        <f t="shared" si="102"/>
        <v>0</v>
      </c>
      <c r="CM39" s="258">
        <f t="shared" si="102"/>
        <v>0</v>
      </c>
      <c r="CN39" s="258">
        <f t="shared" si="102"/>
        <v>0</v>
      </c>
      <c r="CO39" s="258">
        <f t="shared" si="18"/>
        <v>0</v>
      </c>
    </row>
    <row r="40" s="258" customFormat="1" ht="17.6" spans="1:93">
      <c r="A40" s="330"/>
      <c r="B40" s="334" t="str">
        <f>_xlfn.XLOOKUP(G40,销售需求表!A:A,销售需求表!C:C)</f>
        <v>亚</v>
      </c>
      <c r="C40" s="335" t="str">
        <f t="shared" si="19"/>
        <v>22.5</v>
      </c>
      <c r="D40" s="334" t="str">
        <f t="shared" si="79"/>
        <v>亚22.5寸</v>
      </c>
      <c r="E40" s="339" t="str">
        <f t="shared" si="66"/>
        <v>11R22.5-18PR(149/146L)-AZ850</v>
      </c>
      <c r="F40" s="340" t="str">
        <f t="shared" si="93"/>
        <v>11R22.5-18PR-AZ850</v>
      </c>
      <c r="G40" s="339" t="s">
        <v>397</v>
      </c>
      <c r="H40" s="334">
        <v>600</v>
      </c>
      <c r="I40" s="345"/>
      <c r="J40" s="346" t="str">
        <f t="shared" ref="J40:J48" si="103">IFERROR(LEFT(F40,FIND("-",F40))&amp;MID(F40,FIND("PR",F40,FIND("-",F40))+3,LEN(F40)),F40)</f>
        <v>11R22.5-AZ850</v>
      </c>
      <c r="K40" s="347" t="str">
        <f>_xlfn.XLOOKUP(F40,投产规格!E:E,投产规格!D:D,"未投产")</f>
        <v>✔</v>
      </c>
      <c r="L40" s="347">
        <f>IFERROR(_xlfn.XLOOKUP(F40,硫化工艺!B:B,硫化工艺!C:C),"")</f>
        <v>38</v>
      </c>
      <c r="M40" s="349">
        <f t="shared" si="80"/>
        <v>0.866920152091255</v>
      </c>
      <c r="N40" s="347" t="str">
        <f t="shared" si="53"/>
        <v>22.5全钢</v>
      </c>
      <c r="O40" s="347">
        <f>IFERROR(_xlfn.XLOOKUP(F40,轮胎重量!J:J,轮胎重量!G:G),"")</f>
        <v>57.52</v>
      </c>
      <c r="P40" s="347">
        <f>IFERROR(_xlfn.XLOOKUP(G40,硫化工艺!I:I,硫化工艺!J:J),"")</f>
        <v>820.189174</v>
      </c>
      <c r="Q40" s="347">
        <f t="shared" si="81"/>
        <v>0</v>
      </c>
      <c r="R40" s="347"/>
      <c r="S40" s="347"/>
      <c r="T40" s="347"/>
      <c r="U40" s="347"/>
      <c r="V40" s="347"/>
      <c r="W40" s="347"/>
      <c r="X40" s="347"/>
      <c r="Y40" s="347"/>
      <c r="Z40" s="347"/>
      <c r="AA40" s="347"/>
      <c r="AB40" s="347"/>
      <c r="AC40" s="347"/>
      <c r="AD40" s="347"/>
      <c r="AE40" s="347"/>
      <c r="AF40" s="347"/>
      <c r="AG40" s="347"/>
      <c r="AH40" s="347"/>
      <c r="AI40" s="347"/>
      <c r="AJ40" s="347"/>
      <c r="AK40" s="347"/>
      <c r="AL40" s="347"/>
      <c r="AM40" s="347"/>
      <c r="AN40" s="347"/>
      <c r="AO40" s="347"/>
      <c r="AP40" s="347"/>
      <c r="AQ40" s="347"/>
      <c r="AR40" s="347"/>
      <c r="AS40" s="347"/>
      <c r="AT40" s="347"/>
      <c r="AU40" s="347"/>
      <c r="AV40" s="347"/>
      <c r="AW40" s="347" t="str">
        <f t="shared" si="82"/>
        <v/>
      </c>
      <c r="AX40" s="365" t="str">
        <f t="shared" si="83"/>
        <v/>
      </c>
      <c r="AY40" s="365" t="str">
        <f t="shared" si="84"/>
        <v/>
      </c>
      <c r="AZ40" s="366">
        <v>459.15</v>
      </c>
      <c r="BA40" s="368">
        <v>29.49</v>
      </c>
      <c r="BB40" s="368">
        <v>50.29</v>
      </c>
      <c r="BC40" s="368">
        <v>52.01</v>
      </c>
      <c r="BD40" s="330"/>
      <c r="BE40" s="330" t="e">
        <f t="shared" si="85"/>
        <v>#VALUE!</v>
      </c>
      <c r="BF40" s="330" t="e">
        <f t="shared" si="86"/>
        <v>#VALUE!</v>
      </c>
      <c r="BG40" s="330" t="e">
        <f t="shared" si="87"/>
        <v>#VALUE!</v>
      </c>
      <c r="BH40" s="330" t="e">
        <f t="shared" si="88"/>
        <v>#VALUE!</v>
      </c>
      <c r="BI40" s="330"/>
      <c r="BJ40" s="370" cm="1">
        <f t="array" ref="BJ40:BM40">_xlfn.LET(_xlpm.data,$R40:$AV40,_xlpm.starts,{1,8,16,23},_xlpm.lengths,{7,7,8,9},_xlpm.arr,_xlfn.MAP(_xlpm.starts,_xlpm.lengths,_xlfn.LAMBDA(_xlpm.s,_xlpm.l,SUM(INDEX(_xlpm.data,,_xlfn.SEQUENCE(,_xlpm.l,_xlpm.s))))),ROUND(_xlpm.arr*$O40/1000,2))</f>
        <v>0</v>
      </c>
      <c r="BK40" s="330">
        <v>0</v>
      </c>
      <c r="BL40" s="330">
        <v>0</v>
      </c>
      <c r="BM40" s="330">
        <v>0</v>
      </c>
      <c r="BN40" s="258">
        <f t="shared" si="89"/>
        <v>0</v>
      </c>
      <c r="BO40" s="258">
        <v>0</v>
      </c>
      <c r="BP40" s="258">
        <v>0</v>
      </c>
      <c r="BQ40" s="258">
        <v>0</v>
      </c>
      <c r="BR40" s="258">
        <v>0</v>
      </c>
      <c r="BS40" s="115"/>
      <c r="BT40" s="258" cm="1">
        <f ca="1" t="array" ref="BT40:BW40">_xlfn.HSTACK(SUM(INDEX($R40:$AV40,1,1):INDEX($R40:$AV40,1,7)),SUM(INDEX($R40:$AV40,1,7):INDEX($R40:$AV40,1,13)),SUM(INDEX($R40:$AV40,1,16):INDEX($R40:$AV40,1,23)),SUM(INDEX($R40:$AV40,1,23):INDEX($R40:$AV40,1,31)))</f>
        <v>0</v>
      </c>
      <c r="BU40" s="258">
        <v>0</v>
      </c>
      <c r="BV40" s="258">
        <v>0</v>
      </c>
      <c r="BW40" s="258">
        <v>0</v>
      </c>
      <c r="BY40" s="258">
        <f t="shared" si="21"/>
        <v>0</v>
      </c>
      <c r="BZ40" s="258">
        <f t="shared" si="22"/>
        <v>0</v>
      </c>
      <c r="CA40" s="258">
        <f t="shared" si="23"/>
        <v>0</v>
      </c>
      <c r="CB40" s="258">
        <f t="shared" si="24"/>
        <v>0</v>
      </c>
      <c r="CD40" s="113"/>
      <c r="CE40" s="258">
        <f t="shared" si="94"/>
        <v>0</v>
      </c>
      <c r="CF40" s="258">
        <f t="shared" si="95"/>
        <v>0</v>
      </c>
      <c r="CG40" s="258">
        <f t="shared" si="96"/>
        <v>0</v>
      </c>
      <c r="CH40" s="258">
        <f t="shared" si="97"/>
        <v>0</v>
      </c>
      <c r="CI40" s="258">
        <f t="shared" si="91"/>
        <v>0</v>
      </c>
      <c r="CJ40" s="113"/>
      <c r="CK40" s="258">
        <f t="shared" ref="CK40:CN40" si="104">IFERROR(ROUND(BY40*$P40,2),"")</f>
        <v>0</v>
      </c>
      <c r="CL40" s="258">
        <f t="shared" si="104"/>
        <v>0</v>
      </c>
      <c r="CM40" s="258">
        <f t="shared" si="104"/>
        <v>0</v>
      </c>
      <c r="CN40" s="258">
        <f t="shared" si="104"/>
        <v>0</v>
      </c>
      <c r="CO40" s="258">
        <f t="shared" si="18"/>
        <v>0</v>
      </c>
    </row>
    <row r="41" s="258" customFormat="1" ht="17.6" spans="1:93">
      <c r="A41" s="330"/>
      <c r="B41" s="334" t="str">
        <f>_xlfn.XLOOKUP(G41,销售需求表!A:A,销售需求表!C:C)</f>
        <v>亚</v>
      </c>
      <c r="C41" s="335" t="str">
        <f t="shared" si="19"/>
        <v>22.5</v>
      </c>
      <c r="D41" s="334" t="str">
        <f t="shared" si="79"/>
        <v>亚22.5寸</v>
      </c>
      <c r="E41" s="339" t="str">
        <f t="shared" si="66"/>
        <v>11R22.5-18PR(149/146L)-YTB-50</v>
      </c>
      <c r="F41" s="340" t="str">
        <f t="shared" si="93"/>
        <v>11R22.5-18PR-YTB-50</v>
      </c>
      <c r="G41" s="339" t="s">
        <v>398</v>
      </c>
      <c r="H41" s="334">
        <v>100</v>
      </c>
      <c r="I41" s="345"/>
      <c r="J41" s="346" t="str">
        <f t="shared" si="103"/>
        <v>11R22.5-YTB-50</v>
      </c>
      <c r="K41" s="347" t="str">
        <f>_xlfn.XLOOKUP(F41,投产规格!E:E,投产规格!D:D,"未投产")</f>
        <v>未投产</v>
      </c>
      <c r="L41" s="347">
        <f>IFERROR(_xlfn.XLOOKUP(F41,硫化工艺!B:B,硫化工艺!C:C),"")</f>
        <v>38</v>
      </c>
      <c r="M41" s="349">
        <f t="shared" si="80"/>
        <v>0.866920152091255</v>
      </c>
      <c r="N41" s="347" t="str">
        <f t="shared" si="53"/>
        <v>22.5全钢</v>
      </c>
      <c r="O41" s="347">
        <f>IFERROR(_xlfn.XLOOKUP(F41,轮胎重量!J:J,轮胎重量!G:G),"")</f>
        <v>59.57</v>
      </c>
      <c r="P41" s="350">
        <f>O41*13.9</f>
        <v>828.023</v>
      </c>
      <c r="Q41" s="347">
        <f t="shared" si="81"/>
        <v>0</v>
      </c>
      <c r="R41" s="347"/>
      <c r="S41" s="347"/>
      <c r="T41" s="347"/>
      <c r="U41" s="347"/>
      <c r="V41" s="347"/>
      <c r="W41" s="347"/>
      <c r="X41" s="347"/>
      <c r="Y41" s="347"/>
      <c r="Z41" s="347"/>
      <c r="AA41" s="347"/>
      <c r="AB41" s="347"/>
      <c r="AC41" s="347"/>
      <c r="AD41" s="347"/>
      <c r="AE41" s="347"/>
      <c r="AF41" s="347"/>
      <c r="AG41" s="347"/>
      <c r="AH41" s="347"/>
      <c r="AI41" s="347"/>
      <c r="AJ41" s="347"/>
      <c r="AK41" s="347"/>
      <c r="AL41" s="347"/>
      <c r="AM41" s="347"/>
      <c r="AN41" s="347"/>
      <c r="AO41" s="347"/>
      <c r="AP41" s="347"/>
      <c r="AQ41" s="347"/>
      <c r="AR41" s="347"/>
      <c r="AS41" s="347"/>
      <c r="AT41" s="347"/>
      <c r="AU41" s="347"/>
      <c r="AV41" s="347"/>
      <c r="AW41" s="347" t="str">
        <f t="shared" si="82"/>
        <v/>
      </c>
      <c r="AX41" s="365" t="str">
        <f t="shared" si="83"/>
        <v/>
      </c>
      <c r="AY41" s="365" t="str">
        <f t="shared" si="84"/>
        <v/>
      </c>
      <c r="AZ41" s="366">
        <v>449.18</v>
      </c>
      <c r="BA41" s="368">
        <v>29.42</v>
      </c>
      <c r="BB41" s="368">
        <v>49.09</v>
      </c>
      <c r="BC41" s="368">
        <v>52.13</v>
      </c>
      <c r="BD41" s="330"/>
      <c r="BE41" s="330" t="e">
        <f t="shared" si="85"/>
        <v>#VALUE!</v>
      </c>
      <c r="BF41" s="330" t="e">
        <f t="shared" si="86"/>
        <v>#VALUE!</v>
      </c>
      <c r="BG41" s="330" t="e">
        <f t="shared" si="87"/>
        <v>#VALUE!</v>
      </c>
      <c r="BH41" s="330" t="e">
        <f t="shared" si="88"/>
        <v>#VALUE!</v>
      </c>
      <c r="BI41" s="330"/>
      <c r="BJ41" s="370" cm="1">
        <f t="array" ref="BJ41:BM41">_xlfn.LET(_xlpm.data,$R41:$AV41,_xlpm.starts,{1,8,16,23},_xlpm.lengths,{7,7,8,9},_xlpm.arr,_xlfn.MAP(_xlpm.starts,_xlpm.lengths,_xlfn.LAMBDA(_xlpm.s,_xlpm.l,SUM(INDEX(_xlpm.data,,_xlfn.SEQUENCE(,_xlpm.l,_xlpm.s))))),ROUND(_xlpm.arr*$O41/1000,2))</f>
        <v>0</v>
      </c>
      <c r="BK41" s="330">
        <v>0</v>
      </c>
      <c r="BL41" s="330">
        <v>0</v>
      </c>
      <c r="BM41" s="330">
        <v>0</v>
      </c>
      <c r="BN41" s="258">
        <f t="shared" si="89"/>
        <v>0</v>
      </c>
      <c r="BO41" s="258">
        <v>0</v>
      </c>
      <c r="BP41" s="258">
        <v>0</v>
      </c>
      <c r="BQ41" s="258">
        <v>0</v>
      </c>
      <c r="BR41" s="258">
        <v>0</v>
      </c>
      <c r="BS41" s="115"/>
      <c r="BT41" s="258" cm="1">
        <f ca="1" t="array" ref="BT41:BW41">_xlfn.HSTACK(SUM(INDEX($R41:$AV41,1,1):INDEX($R41:$AV41,1,7)),SUM(INDEX($R41:$AV41,1,7):INDEX($R41:$AV41,1,13)),SUM(INDEX($R41:$AV41,1,16):INDEX($R41:$AV41,1,23)),SUM(INDEX($R41:$AV41,1,23):INDEX($R41:$AV41,1,31)))</f>
        <v>0</v>
      </c>
      <c r="BU41" s="258">
        <v>0</v>
      </c>
      <c r="BV41" s="258">
        <v>0</v>
      </c>
      <c r="BW41" s="258">
        <v>0</v>
      </c>
      <c r="BY41" s="258">
        <f t="shared" si="21"/>
        <v>0</v>
      </c>
      <c r="BZ41" s="258">
        <f t="shared" si="22"/>
        <v>0</v>
      </c>
      <c r="CA41" s="258">
        <f t="shared" si="23"/>
        <v>0</v>
      </c>
      <c r="CB41" s="258">
        <f t="shared" si="24"/>
        <v>0</v>
      </c>
      <c r="CD41" s="113"/>
      <c r="CE41" s="258">
        <f t="shared" si="94"/>
        <v>0</v>
      </c>
      <c r="CF41" s="258">
        <f t="shared" si="95"/>
        <v>0</v>
      </c>
      <c r="CG41" s="258">
        <f t="shared" si="96"/>
        <v>0</v>
      </c>
      <c r="CH41" s="258">
        <f t="shared" si="97"/>
        <v>0</v>
      </c>
      <c r="CI41" s="258">
        <f t="shared" si="91"/>
        <v>0</v>
      </c>
      <c r="CJ41" s="113"/>
      <c r="CK41" s="258">
        <f t="shared" ref="CK41:CN41" si="105">IFERROR(ROUND(BY41*$P41,2),"")</f>
        <v>0</v>
      </c>
      <c r="CL41" s="258">
        <f t="shared" si="105"/>
        <v>0</v>
      </c>
      <c r="CM41" s="258">
        <f t="shared" si="105"/>
        <v>0</v>
      </c>
      <c r="CN41" s="258">
        <f t="shared" si="105"/>
        <v>0</v>
      </c>
      <c r="CO41" s="258">
        <f t="shared" si="18"/>
        <v>0</v>
      </c>
    </row>
    <row r="42" customFormat="1" ht="17.6" spans="1:95">
      <c r="A42" s="330"/>
      <c r="B42" s="334" t="str">
        <f>_xlfn.XLOOKUP(G42,销售需求表!A:A,销售需求表!C:C)</f>
        <v>亚</v>
      </c>
      <c r="C42" s="335" t="str">
        <f t="shared" si="19"/>
        <v>22.5</v>
      </c>
      <c r="D42" s="334" t="str">
        <f t="shared" si="79"/>
        <v>亚22.5寸</v>
      </c>
      <c r="E42" s="339" t="str">
        <f t="shared" si="66"/>
        <v>11R22.5-16PR(146/143L)-VD998</v>
      </c>
      <c r="F42" s="340" t="str">
        <f t="shared" si="93"/>
        <v>11R22.5-16PR-VD998</v>
      </c>
      <c r="G42" s="341" t="s">
        <v>399</v>
      </c>
      <c r="H42" s="334">
        <v>1000</v>
      </c>
      <c r="I42" s="345">
        <v>2</v>
      </c>
      <c r="J42" s="346" t="str">
        <f t="shared" si="103"/>
        <v>11R22.5-VD998</v>
      </c>
      <c r="K42" s="347" t="str">
        <f>_xlfn.XLOOKUP(F42,投产规格!E:E,投产规格!D:D,"未投产")</f>
        <v>✔</v>
      </c>
      <c r="L42" s="347">
        <f>IFERROR(_xlfn.XLOOKUP(F42,硫化工艺!B:B,硫化工艺!C:C),"")</f>
        <v>46</v>
      </c>
      <c r="M42" s="349">
        <f t="shared" si="80"/>
        <v>0.887459807073955</v>
      </c>
      <c r="N42" s="347" t="str">
        <f t="shared" si="53"/>
        <v>22.5全钢</v>
      </c>
      <c r="O42" s="347">
        <f>IFERROR(_xlfn.XLOOKUP(F42,轮胎重量!J:J,轮胎重量!G:G),"")</f>
        <v>61.881</v>
      </c>
      <c r="P42" s="347">
        <f>IFERROR(_xlfn.XLOOKUP(G42,硫化工艺!I:I,硫化工艺!J:J),"")</f>
        <v>892.486315</v>
      </c>
      <c r="Q42" s="347">
        <f t="shared" si="81"/>
        <v>56</v>
      </c>
      <c r="R42" s="347">
        <v>56</v>
      </c>
      <c r="S42" s="347">
        <v>56</v>
      </c>
      <c r="T42" s="347">
        <v>56</v>
      </c>
      <c r="U42" s="347">
        <v>56</v>
      </c>
      <c r="V42" s="347">
        <v>56</v>
      </c>
      <c r="W42" s="347">
        <v>56</v>
      </c>
      <c r="X42" s="347">
        <v>56</v>
      </c>
      <c r="Y42" s="347">
        <v>56</v>
      </c>
      <c r="Z42" s="347">
        <v>56</v>
      </c>
      <c r="AA42" s="347">
        <v>56</v>
      </c>
      <c r="AB42" s="347">
        <v>56</v>
      </c>
      <c r="AC42" s="347">
        <v>56</v>
      </c>
      <c r="AD42" s="347">
        <v>56</v>
      </c>
      <c r="AE42" s="356">
        <v>56</v>
      </c>
      <c r="AF42" s="347"/>
      <c r="AG42" s="347"/>
      <c r="AH42" s="347"/>
      <c r="AI42" s="347"/>
      <c r="AJ42" s="347"/>
      <c r="AK42" s="347"/>
      <c r="AL42" s="347"/>
      <c r="AM42" s="347"/>
      <c r="AN42" s="347"/>
      <c r="AO42" s="347"/>
      <c r="AP42" s="347"/>
      <c r="AQ42" s="347"/>
      <c r="AR42" s="347"/>
      <c r="AS42" s="347"/>
      <c r="AT42" s="347"/>
      <c r="AU42" s="347"/>
      <c r="AV42" s="347"/>
      <c r="AW42" s="347">
        <f t="shared" si="82"/>
        <v>784</v>
      </c>
      <c r="AX42" s="365">
        <f t="shared" si="83"/>
        <v>48.514704</v>
      </c>
      <c r="AY42" s="365">
        <f t="shared" si="84"/>
        <v>69.971</v>
      </c>
      <c r="AZ42" s="366">
        <v>449.18</v>
      </c>
      <c r="BA42" s="368">
        <v>29.42</v>
      </c>
      <c r="BB42" s="368">
        <v>49.09</v>
      </c>
      <c r="BC42" s="368">
        <v>52.13</v>
      </c>
      <c r="BD42" s="330"/>
      <c r="BE42" s="330">
        <f t="shared" si="85"/>
        <v>352157.12</v>
      </c>
      <c r="BF42" s="330">
        <f t="shared" si="86"/>
        <v>23065.28</v>
      </c>
      <c r="BG42" s="330">
        <f t="shared" si="87"/>
        <v>38486.56</v>
      </c>
      <c r="BH42" s="330">
        <f t="shared" si="88"/>
        <v>40869.92</v>
      </c>
      <c r="BI42" s="330"/>
      <c r="BJ42" s="370" cm="1">
        <f t="array" ref="BJ42:BM42">_xlfn.LET(_xlpm.data,$R42:$AV42,_xlpm.starts,{1,8,16,23},_xlpm.lengths,{7,7,8,9},_xlpm.arr,_xlfn.MAP(_xlpm.starts,_xlpm.lengths,_xlfn.LAMBDA(_xlpm.s,_xlpm.l,SUM(INDEX(_xlpm.data,,_xlfn.SEQUENCE(,_xlpm.l,_xlpm.s))))),ROUND(_xlpm.arr*$O42/1000,2))</f>
        <v>24.26</v>
      </c>
      <c r="BK42" s="330">
        <v>24.26</v>
      </c>
      <c r="BL42" s="330">
        <v>0</v>
      </c>
      <c r="BM42" s="330">
        <v>0</v>
      </c>
      <c r="BN42" s="258">
        <f t="shared" si="89"/>
        <v>48.52</v>
      </c>
      <c r="BO42" s="258">
        <v>0</v>
      </c>
      <c r="BP42" s="258">
        <v>0</v>
      </c>
      <c r="BQ42" s="258">
        <v>0</v>
      </c>
      <c r="BR42" s="258">
        <v>0</v>
      </c>
      <c r="BS42" s="115"/>
      <c r="BT42" s="258" cm="1">
        <f ca="1" t="array" ref="BT42:BW42">_xlfn.HSTACK(SUM(INDEX($R42:$AV42,1,1):INDEX($R42:$AV42,1,7)),SUM(INDEX($R42:$AV42,1,7):INDEX($R42:$AV42,1,13)),SUM(INDEX($R42:$AV42,1,16):INDEX($R42:$AV42,1,23)),SUM(INDEX($R42:$AV42,1,23):INDEX($R42:$AV42,1,31)))</f>
        <v>392</v>
      </c>
      <c r="BU42" s="258">
        <v>392</v>
      </c>
      <c r="BV42" s="258">
        <v>0</v>
      </c>
      <c r="BW42" s="258">
        <v>0</v>
      </c>
      <c r="BY42" s="258">
        <f t="shared" si="21"/>
        <v>392</v>
      </c>
      <c r="BZ42" s="258">
        <f t="shared" si="22"/>
        <v>392</v>
      </c>
      <c r="CA42" s="258">
        <f t="shared" si="23"/>
        <v>0</v>
      </c>
      <c r="CB42" s="258">
        <f t="shared" si="24"/>
        <v>0</v>
      </c>
      <c r="CC42" s="258"/>
      <c r="CD42" s="113"/>
      <c r="CE42" s="258">
        <f t="shared" si="94"/>
        <v>24.26</v>
      </c>
      <c r="CF42" s="258">
        <f t="shared" si="95"/>
        <v>24.26</v>
      </c>
      <c r="CG42" s="258">
        <f t="shared" si="96"/>
        <v>0</v>
      </c>
      <c r="CH42" s="258">
        <f t="shared" si="97"/>
        <v>0</v>
      </c>
      <c r="CI42" s="258">
        <f t="shared" si="91"/>
        <v>48.52</v>
      </c>
      <c r="CJ42" s="113"/>
      <c r="CK42" s="258">
        <f t="shared" ref="CK42:CN42" si="106">IFERROR(ROUND(BY42*$P42,2),"")</f>
        <v>349854.64</v>
      </c>
      <c r="CL42" s="258">
        <f t="shared" si="106"/>
        <v>349854.64</v>
      </c>
      <c r="CM42" s="258">
        <f t="shared" si="106"/>
        <v>0</v>
      </c>
      <c r="CN42" s="258">
        <f t="shared" si="106"/>
        <v>0</v>
      </c>
      <c r="CO42" s="258">
        <f t="shared" si="18"/>
        <v>699709.28</v>
      </c>
      <c r="CP42" s="258">
        <f>VLOOKUP(G42,[2]Sheet1!$C$3:$G$310,5,0)</f>
        <v>4100</v>
      </c>
      <c r="CQ42" s="258" t="e">
        <f>VLOOKUP(G42,[3]KCBB0101!$C$3:$F$691,4,0)</f>
        <v>#N/A</v>
      </c>
    </row>
    <row r="43" customFormat="1" ht="17.6" spans="1:95">
      <c r="A43" s="330"/>
      <c r="B43" s="334" t="str">
        <f>_xlfn.XLOOKUP(G43,销售需求表!A:A,销售需求表!C:C)</f>
        <v>亚</v>
      </c>
      <c r="C43" s="335" t="str">
        <f t="shared" si="19"/>
        <v>22.5</v>
      </c>
      <c r="D43" s="334" t="str">
        <f t="shared" si="79"/>
        <v>亚22.5寸</v>
      </c>
      <c r="E43" s="339" t="str">
        <f t="shared" si="66"/>
        <v>11R22.5-16PR(146/143M)-VA996</v>
      </c>
      <c r="F43" s="340" t="str">
        <f t="shared" si="93"/>
        <v>11R22.5-16PR-VA996</v>
      </c>
      <c r="G43" s="341" t="s">
        <v>400</v>
      </c>
      <c r="H43" s="334">
        <v>1500</v>
      </c>
      <c r="I43" s="345">
        <v>2</v>
      </c>
      <c r="J43" s="346" t="str">
        <f t="shared" si="103"/>
        <v>11R22.5-VA996</v>
      </c>
      <c r="K43" s="347" t="str">
        <f>_xlfn.XLOOKUP(F43,投产规格!E:E,投产规格!D:D,"未投产")</f>
        <v>✔</v>
      </c>
      <c r="L43" s="347">
        <f>IFERROR(_xlfn.XLOOKUP(F43,硫化工艺!B:B,硫化工艺!C:C),"")</f>
        <v>37</v>
      </c>
      <c r="M43" s="349">
        <f t="shared" si="80"/>
        <v>0.863813229571984</v>
      </c>
      <c r="N43" s="347" t="str">
        <f t="shared" si="53"/>
        <v>22.5全钢</v>
      </c>
      <c r="O43" s="347">
        <f>IFERROR(_xlfn.XLOOKUP(F43,轮胎重量!J:J,轮胎重量!G:G),"")</f>
        <v>55.825</v>
      </c>
      <c r="P43" s="347">
        <f>IFERROR(_xlfn.XLOOKUP(G43,硫化工艺!I:I,硫化工艺!J:J),"")</f>
        <v>809.9616</v>
      </c>
      <c r="Q43" s="347">
        <f t="shared" si="81"/>
        <v>67</v>
      </c>
      <c r="R43" s="347">
        <v>66</v>
      </c>
      <c r="S43" s="347">
        <v>66</v>
      </c>
      <c r="T43" s="347">
        <v>66</v>
      </c>
      <c r="U43" s="347">
        <v>66</v>
      </c>
      <c r="V43" s="347">
        <v>66</v>
      </c>
      <c r="W43" s="347">
        <v>66</v>
      </c>
      <c r="X43" s="347">
        <v>66</v>
      </c>
      <c r="Y43" s="347">
        <v>66</v>
      </c>
      <c r="Z43" s="347">
        <v>66</v>
      </c>
      <c r="AA43" s="347">
        <v>66</v>
      </c>
      <c r="AB43" s="347">
        <v>66</v>
      </c>
      <c r="AC43" s="347">
        <v>66</v>
      </c>
      <c r="AD43" s="347">
        <v>66</v>
      </c>
      <c r="AE43" s="347">
        <v>66</v>
      </c>
      <c r="AF43" s="347">
        <v>66</v>
      </c>
      <c r="AG43" s="347">
        <v>66</v>
      </c>
      <c r="AH43" s="347">
        <v>66</v>
      </c>
      <c r="AI43" s="347">
        <v>66</v>
      </c>
      <c r="AJ43" s="358">
        <v>66</v>
      </c>
      <c r="AK43" s="347"/>
      <c r="AL43" s="347"/>
      <c r="AM43" s="347"/>
      <c r="AN43" s="347"/>
      <c r="AO43" s="347"/>
      <c r="AP43" s="347"/>
      <c r="AQ43" s="347"/>
      <c r="AR43" s="347"/>
      <c r="AS43" s="347"/>
      <c r="AT43" s="347"/>
      <c r="AU43" s="347"/>
      <c r="AV43" s="347"/>
      <c r="AW43" s="347">
        <f t="shared" si="82"/>
        <v>1254</v>
      </c>
      <c r="AX43" s="365">
        <f t="shared" si="83"/>
        <v>70.00455</v>
      </c>
      <c r="AY43" s="365">
        <f t="shared" si="84"/>
        <v>101.569</v>
      </c>
      <c r="AZ43" s="366">
        <v>449.18</v>
      </c>
      <c r="BA43" s="368">
        <v>29.42</v>
      </c>
      <c r="BB43" s="368">
        <v>49.09</v>
      </c>
      <c r="BC43" s="368">
        <v>52.13</v>
      </c>
      <c r="BD43" s="330"/>
      <c r="BE43" s="330">
        <f t="shared" si="85"/>
        <v>563271.72</v>
      </c>
      <c r="BF43" s="330">
        <f t="shared" si="86"/>
        <v>36892.68</v>
      </c>
      <c r="BG43" s="330">
        <f t="shared" si="87"/>
        <v>61558.86</v>
      </c>
      <c r="BH43" s="330">
        <f t="shared" si="88"/>
        <v>65371.02</v>
      </c>
      <c r="BI43" s="330"/>
      <c r="BJ43" s="370" cm="1">
        <f t="array" ref="BJ43:BM43">_xlfn.LET(_xlpm.data,$R43:$AV43,_xlpm.starts,{1,8,16,23},_xlpm.lengths,{7,7,8,9},_xlpm.arr,_xlfn.MAP(_xlpm.starts,_xlpm.lengths,_xlfn.LAMBDA(_xlpm.s,_xlpm.l,SUM(INDEX(_xlpm.data,,_xlfn.SEQUENCE(,_xlpm.l,_xlpm.s))))),ROUND(_xlpm.arr*$O43/1000,2))</f>
        <v>25.79</v>
      </c>
      <c r="BK43" s="330">
        <v>25.79</v>
      </c>
      <c r="BL43" s="330">
        <v>14.74</v>
      </c>
      <c r="BM43" s="330">
        <v>0</v>
      </c>
      <c r="BN43" s="258">
        <f t="shared" si="89"/>
        <v>66.32</v>
      </c>
      <c r="BO43" s="258">
        <v>0</v>
      </c>
      <c r="BP43" s="258">
        <v>0</v>
      </c>
      <c r="BQ43" s="258">
        <v>0</v>
      </c>
      <c r="BR43" s="258">
        <v>0</v>
      </c>
      <c r="BS43" s="115"/>
      <c r="BT43" s="258" cm="1">
        <f ca="1" t="array" ref="BT43:BW43">_xlfn.HSTACK(SUM(INDEX($R43:$AV43,1,1):INDEX($R43:$AV43,1,7)),SUM(INDEX($R43:$AV43,1,7):INDEX($R43:$AV43,1,13)),SUM(INDEX($R43:$AV43,1,16):INDEX($R43:$AV43,1,23)),SUM(INDEX($R43:$AV43,1,23):INDEX($R43:$AV43,1,31)))</f>
        <v>462</v>
      </c>
      <c r="BU43" s="258">
        <v>462</v>
      </c>
      <c r="BV43" s="258">
        <v>264</v>
      </c>
      <c r="BW43" s="258">
        <v>0</v>
      </c>
      <c r="BY43" s="258">
        <f t="shared" si="21"/>
        <v>462</v>
      </c>
      <c r="BZ43" s="258">
        <f t="shared" si="22"/>
        <v>462</v>
      </c>
      <c r="CA43" s="258">
        <f t="shared" si="23"/>
        <v>330</v>
      </c>
      <c r="CB43" s="258">
        <f t="shared" si="24"/>
        <v>0</v>
      </c>
      <c r="CC43" s="258"/>
      <c r="CD43" s="113"/>
      <c r="CE43" s="258">
        <f t="shared" si="94"/>
        <v>25.79</v>
      </c>
      <c r="CF43" s="258">
        <f t="shared" si="95"/>
        <v>25.79</v>
      </c>
      <c r="CG43" s="258">
        <f t="shared" si="96"/>
        <v>18.42</v>
      </c>
      <c r="CH43" s="258">
        <f t="shared" si="97"/>
        <v>0</v>
      </c>
      <c r="CI43" s="258">
        <f t="shared" si="91"/>
        <v>70</v>
      </c>
      <c r="CJ43" s="113"/>
      <c r="CK43" s="258">
        <f t="shared" ref="CK43:CN43" si="107">IFERROR(ROUND(BY43*$P43,2),"")</f>
        <v>374202.26</v>
      </c>
      <c r="CL43" s="258">
        <f t="shared" si="107"/>
        <v>374202.26</v>
      </c>
      <c r="CM43" s="258">
        <f t="shared" si="107"/>
        <v>267287.33</v>
      </c>
      <c r="CN43" s="258">
        <f t="shared" si="107"/>
        <v>0</v>
      </c>
      <c r="CO43" s="258">
        <f t="shared" si="18"/>
        <v>1015691.85</v>
      </c>
      <c r="CP43" s="258">
        <f>VLOOKUP(G43,[2]Sheet1!$C$3:$G$310,5,0)</f>
        <v>5700</v>
      </c>
      <c r="CQ43" s="258" t="e">
        <f>VLOOKUP(G43,[3]KCBB0101!$C$3:$F$691,4,0)</f>
        <v>#N/A</v>
      </c>
    </row>
    <row r="44" customFormat="1" ht="17.6" spans="1:93">
      <c r="A44" s="330"/>
      <c r="B44" s="334" t="str">
        <f>_xlfn.XLOOKUP(G44,销售需求表!A:A,销售需求表!C:C)</f>
        <v>亚</v>
      </c>
      <c r="C44" s="335" t="str">
        <f t="shared" si="19"/>
        <v>22.5</v>
      </c>
      <c r="D44" s="334" t="str">
        <f t="shared" si="79"/>
        <v>亚22.5寸</v>
      </c>
      <c r="E44" s="339" t="str">
        <f t="shared" si="66"/>
        <v>11R22.5-16PR(146/143L)-VA991</v>
      </c>
      <c r="F44" s="340" t="str">
        <f t="shared" si="93"/>
        <v>11R22.5-16PR-VA991</v>
      </c>
      <c r="G44" s="339" t="s">
        <v>401</v>
      </c>
      <c r="H44" s="334">
        <v>300</v>
      </c>
      <c r="I44" s="345"/>
      <c r="J44" s="346" t="str">
        <f t="shared" si="103"/>
        <v>11R22.5-VA991</v>
      </c>
      <c r="K44" s="347" t="str">
        <f>_xlfn.XLOOKUP(F44,投产规格!E:E,投产规格!D:D,"未投产")</f>
        <v>✔</v>
      </c>
      <c r="L44" s="347">
        <f>IFERROR(_xlfn.XLOOKUP(F44,硫化工艺!B:B,硫化工艺!C:C),"")</f>
        <v>38</v>
      </c>
      <c r="M44" s="349">
        <f t="shared" si="80"/>
        <v>0.866920152091255</v>
      </c>
      <c r="N44" s="347" t="str">
        <f t="shared" si="53"/>
        <v>22.5全钢</v>
      </c>
      <c r="O44" s="347">
        <f>IFERROR(_xlfn.XLOOKUP(F44,轮胎重量!J:J,轮胎重量!G:G),"")</f>
        <v>56.978</v>
      </c>
      <c r="P44" s="347">
        <f>IFERROR(_xlfn.XLOOKUP(G44,硫化工艺!I:I,硫化工艺!J:J),"")</f>
        <v>821.217096</v>
      </c>
      <c r="Q44" s="347">
        <f t="shared" si="81"/>
        <v>0</v>
      </c>
      <c r="R44" s="347"/>
      <c r="S44" s="347"/>
      <c r="T44" s="347"/>
      <c r="U44" s="347"/>
      <c r="V44" s="347"/>
      <c r="W44" s="347"/>
      <c r="X44" s="347"/>
      <c r="Y44" s="347"/>
      <c r="Z44" s="347"/>
      <c r="AA44" s="347"/>
      <c r="AB44" s="347"/>
      <c r="AC44" s="347"/>
      <c r="AD44" s="347"/>
      <c r="AE44" s="347"/>
      <c r="AF44" s="347"/>
      <c r="AG44" s="347"/>
      <c r="AH44" s="347"/>
      <c r="AI44" s="347"/>
      <c r="AJ44" s="347"/>
      <c r="AK44" s="347"/>
      <c r="AL44" s="347"/>
      <c r="AM44" s="347"/>
      <c r="AN44" s="347"/>
      <c r="AO44" s="347"/>
      <c r="AP44" s="347"/>
      <c r="AQ44" s="347"/>
      <c r="AR44" s="347"/>
      <c r="AS44" s="347"/>
      <c r="AT44" s="347"/>
      <c r="AU44" s="347"/>
      <c r="AV44" s="347"/>
      <c r="AW44" s="347" t="str">
        <f t="shared" si="82"/>
        <v/>
      </c>
      <c r="AX44" s="365" t="str">
        <f t="shared" si="83"/>
        <v/>
      </c>
      <c r="AY44" s="365" t="str">
        <f t="shared" si="84"/>
        <v/>
      </c>
      <c r="AZ44" s="366">
        <v>449.18</v>
      </c>
      <c r="BA44" s="368">
        <v>29.42</v>
      </c>
      <c r="BB44" s="368">
        <v>49.09</v>
      </c>
      <c r="BC44" s="368">
        <v>52.13</v>
      </c>
      <c r="BD44" s="330"/>
      <c r="BE44" s="330" t="e">
        <f t="shared" si="85"/>
        <v>#VALUE!</v>
      </c>
      <c r="BF44" s="330" t="e">
        <f t="shared" si="86"/>
        <v>#VALUE!</v>
      </c>
      <c r="BG44" s="330" t="e">
        <f t="shared" si="87"/>
        <v>#VALUE!</v>
      </c>
      <c r="BH44" s="330" t="e">
        <f t="shared" si="88"/>
        <v>#VALUE!</v>
      </c>
      <c r="BI44" s="330"/>
      <c r="BJ44" s="370" cm="1">
        <f t="array" ref="BJ44:BM44">_xlfn.LET(_xlpm.data,$R44:$AV44,_xlpm.starts,{1,8,16,23},_xlpm.lengths,{7,7,8,9},_xlpm.arr,_xlfn.MAP(_xlpm.starts,_xlpm.lengths,_xlfn.LAMBDA(_xlpm.s,_xlpm.l,SUM(INDEX(_xlpm.data,,_xlfn.SEQUENCE(,_xlpm.l,_xlpm.s))))),ROUND(_xlpm.arr*$O44/1000,2))</f>
        <v>0</v>
      </c>
      <c r="BK44" s="330">
        <v>0</v>
      </c>
      <c r="BL44" s="330">
        <v>0</v>
      </c>
      <c r="BM44" s="330">
        <v>0</v>
      </c>
      <c r="BN44" s="258">
        <f t="shared" si="89"/>
        <v>0</v>
      </c>
      <c r="BO44" s="258">
        <v>0</v>
      </c>
      <c r="BP44" s="258">
        <v>0</v>
      </c>
      <c r="BQ44" s="258">
        <v>0</v>
      </c>
      <c r="BR44" s="258">
        <v>0</v>
      </c>
      <c r="BS44" s="115"/>
      <c r="BT44" s="258" cm="1">
        <f ca="1" t="array" ref="BT44:BW44">_xlfn.HSTACK(SUM(INDEX($R44:$AV44,1,1):INDEX($R44:$AV44,1,7)),SUM(INDEX($R44:$AV44,1,7):INDEX($R44:$AV44,1,13)),SUM(INDEX($R44:$AV44,1,16):INDEX($R44:$AV44,1,23)),SUM(INDEX($R44:$AV44,1,23):INDEX($R44:$AV44,1,31)))</f>
        <v>0</v>
      </c>
      <c r="BU44" s="258">
        <v>0</v>
      </c>
      <c r="BV44" s="258">
        <v>0</v>
      </c>
      <c r="BW44" s="258">
        <v>0</v>
      </c>
      <c r="BY44" s="258">
        <f t="shared" si="21"/>
        <v>0</v>
      </c>
      <c r="BZ44" s="258">
        <f t="shared" si="22"/>
        <v>0</v>
      </c>
      <c r="CA44" s="258">
        <f t="shared" si="23"/>
        <v>0</v>
      </c>
      <c r="CB44" s="258">
        <f t="shared" si="24"/>
        <v>0</v>
      </c>
      <c r="CC44" s="258"/>
      <c r="CD44" s="113"/>
      <c r="CE44" s="258">
        <f t="shared" si="94"/>
        <v>0</v>
      </c>
      <c r="CF44" s="258">
        <f t="shared" si="95"/>
        <v>0</v>
      </c>
      <c r="CG44" s="258">
        <f t="shared" si="96"/>
        <v>0</v>
      </c>
      <c r="CH44" s="258">
        <f t="shared" si="97"/>
        <v>0</v>
      </c>
      <c r="CI44" s="258">
        <f t="shared" si="91"/>
        <v>0</v>
      </c>
      <c r="CJ44" s="113"/>
      <c r="CK44" s="258">
        <f t="shared" ref="CK44:CN44" si="108">IFERROR(ROUND(BY44*$P44,2),"")</f>
        <v>0</v>
      </c>
      <c r="CL44" s="258">
        <f t="shared" si="108"/>
        <v>0</v>
      </c>
      <c r="CM44" s="258">
        <f t="shared" si="108"/>
        <v>0</v>
      </c>
      <c r="CN44" s="258">
        <f t="shared" si="108"/>
        <v>0</v>
      </c>
      <c r="CO44" s="258">
        <f t="shared" si="18"/>
        <v>0</v>
      </c>
    </row>
    <row r="45" customFormat="1" ht="17.6" spans="1:95">
      <c r="A45" s="330"/>
      <c r="B45" s="334" t="str">
        <f>_xlfn.XLOOKUP(G45,销售需求表!A:A,销售需求表!C:C)</f>
        <v>亚</v>
      </c>
      <c r="C45" s="335" t="str">
        <f t="shared" si="19"/>
        <v>22.5</v>
      </c>
      <c r="D45" s="334" t="str">
        <f t="shared" si="79"/>
        <v>亚22.5寸</v>
      </c>
      <c r="E45" s="339" t="str">
        <f t="shared" si="66"/>
        <v>11R22.5-16PR(146/143L)-VD908</v>
      </c>
      <c r="F45" s="340" t="str">
        <f t="shared" si="93"/>
        <v>11R22.5-16PR-VD908</v>
      </c>
      <c r="G45" s="341" t="s">
        <v>402</v>
      </c>
      <c r="H45" s="334">
        <v>500</v>
      </c>
      <c r="I45" s="345">
        <v>2</v>
      </c>
      <c r="J45" s="346" t="str">
        <f t="shared" si="103"/>
        <v>11R22.5-VD908</v>
      </c>
      <c r="K45" s="347" t="str">
        <f>_xlfn.XLOOKUP(F45,投产规格!E:E,投产规格!D:D,"未投产")</f>
        <v>✔</v>
      </c>
      <c r="L45" s="347">
        <f>IFERROR(_xlfn.XLOOKUP(F45,硫化工艺!B:B,硫化工艺!C:C),"")</f>
        <v>46</v>
      </c>
      <c r="M45" s="349">
        <f t="shared" si="80"/>
        <v>0.887459807073955</v>
      </c>
      <c r="N45" s="347" t="str">
        <f t="shared" si="53"/>
        <v>22.5全钢</v>
      </c>
      <c r="O45" s="347">
        <f>IFERROR(_xlfn.XLOOKUP(F45,轮胎重量!J:J,轮胎重量!G:G),"")</f>
        <v>61.881</v>
      </c>
      <c r="P45" s="347">
        <f>IFERROR(_xlfn.XLOOKUP(G45,硫化工艺!I:I,硫化工艺!J:J),"")</f>
        <v>888.013819</v>
      </c>
      <c r="Q45" s="347">
        <f t="shared" si="81"/>
        <v>56</v>
      </c>
      <c r="R45" s="347">
        <v>56</v>
      </c>
      <c r="S45" s="347">
        <v>56</v>
      </c>
      <c r="T45" s="347">
        <v>56</v>
      </c>
      <c r="U45" s="347">
        <v>56</v>
      </c>
      <c r="V45" s="353">
        <v>56</v>
      </c>
      <c r="W45" s="347"/>
      <c r="X45" s="347"/>
      <c r="Y45" s="347"/>
      <c r="Z45" s="347"/>
      <c r="AA45" s="347"/>
      <c r="AB45" s="347"/>
      <c r="AC45" s="347"/>
      <c r="AD45" s="347"/>
      <c r="AE45" s="347"/>
      <c r="AF45" s="347"/>
      <c r="AG45" s="347"/>
      <c r="AH45" s="347"/>
      <c r="AI45" s="347"/>
      <c r="AJ45" s="347"/>
      <c r="AK45" s="347"/>
      <c r="AL45" s="347"/>
      <c r="AM45" s="347"/>
      <c r="AN45" s="347"/>
      <c r="AO45" s="347"/>
      <c r="AP45" s="347"/>
      <c r="AQ45" s="347"/>
      <c r="AR45" s="347"/>
      <c r="AS45" s="347"/>
      <c r="AT45" s="347"/>
      <c r="AU45" s="347"/>
      <c r="AV45" s="347"/>
      <c r="AW45" s="347">
        <f t="shared" si="82"/>
        <v>280</v>
      </c>
      <c r="AX45" s="365">
        <f t="shared" si="83"/>
        <v>17.32668</v>
      </c>
      <c r="AY45" s="365">
        <f t="shared" si="84"/>
        <v>24.864</v>
      </c>
      <c r="AZ45" s="366">
        <v>449.18</v>
      </c>
      <c r="BA45" s="368">
        <v>29.42</v>
      </c>
      <c r="BB45" s="368">
        <v>49.09</v>
      </c>
      <c r="BC45" s="368">
        <v>52.13</v>
      </c>
      <c r="BD45" s="330"/>
      <c r="BE45" s="330">
        <f t="shared" si="85"/>
        <v>125770.4</v>
      </c>
      <c r="BF45" s="330">
        <f t="shared" si="86"/>
        <v>8237.6</v>
      </c>
      <c r="BG45" s="330">
        <f t="shared" si="87"/>
        <v>13745.2</v>
      </c>
      <c r="BH45" s="330">
        <f t="shared" si="88"/>
        <v>14596.4</v>
      </c>
      <c r="BI45" s="330"/>
      <c r="BJ45" s="370" cm="1">
        <f t="array" ref="BJ45:BM45">_xlfn.LET(_xlpm.data,$R45:$AV45,_xlpm.starts,{1,8,16,23},_xlpm.lengths,{7,7,8,9},_xlpm.arr,_xlfn.MAP(_xlpm.starts,_xlpm.lengths,_xlfn.LAMBDA(_xlpm.s,_xlpm.l,SUM(INDEX(_xlpm.data,,_xlfn.SEQUENCE(,_xlpm.l,_xlpm.s))))),ROUND(_xlpm.arr*$O45/1000,2))</f>
        <v>17.33</v>
      </c>
      <c r="BK45" s="330">
        <v>0</v>
      </c>
      <c r="BL45" s="330">
        <v>0</v>
      </c>
      <c r="BM45" s="330">
        <v>0</v>
      </c>
      <c r="BN45" s="258">
        <f t="shared" si="89"/>
        <v>17.33</v>
      </c>
      <c r="BO45" s="258">
        <v>0</v>
      </c>
      <c r="BP45" s="258">
        <v>0</v>
      </c>
      <c r="BQ45" s="258">
        <v>0</v>
      </c>
      <c r="BR45" s="258">
        <v>0</v>
      </c>
      <c r="BS45" s="115"/>
      <c r="BT45" s="258" cm="1">
        <f ca="1" t="array" ref="BT45:BW45">_xlfn.HSTACK(SUM(INDEX($R45:$AV45,1,1):INDEX($R45:$AV45,1,7)),SUM(INDEX($R45:$AV45,1,7):INDEX($R45:$AV45,1,13)),SUM(INDEX($R45:$AV45,1,16):INDEX($R45:$AV45,1,23)),SUM(INDEX($R45:$AV45,1,23):INDEX($R45:$AV45,1,31)))</f>
        <v>280</v>
      </c>
      <c r="BU45" s="258">
        <v>0</v>
      </c>
      <c r="BV45" s="258">
        <v>0</v>
      </c>
      <c r="BW45" s="258">
        <v>0</v>
      </c>
      <c r="BY45" s="258">
        <f t="shared" si="21"/>
        <v>280</v>
      </c>
      <c r="BZ45" s="258">
        <f t="shared" si="22"/>
        <v>0</v>
      </c>
      <c r="CA45" s="258">
        <f t="shared" si="23"/>
        <v>0</v>
      </c>
      <c r="CB45" s="258">
        <f t="shared" si="24"/>
        <v>0</v>
      </c>
      <c r="CC45" s="258"/>
      <c r="CD45" s="113"/>
      <c r="CE45" s="258">
        <f t="shared" si="94"/>
        <v>17.33</v>
      </c>
      <c r="CF45" s="258">
        <f t="shared" si="95"/>
        <v>0</v>
      </c>
      <c r="CG45" s="258">
        <f t="shared" si="96"/>
        <v>0</v>
      </c>
      <c r="CH45" s="258">
        <f t="shared" si="97"/>
        <v>0</v>
      </c>
      <c r="CI45" s="258">
        <f t="shared" si="91"/>
        <v>17.33</v>
      </c>
      <c r="CJ45" s="113"/>
      <c r="CK45" s="258">
        <f t="shared" ref="CK45:CN45" si="109">IFERROR(ROUND(BY45*$P45,2),"")</f>
        <v>248643.87</v>
      </c>
      <c r="CL45" s="258">
        <f t="shared" si="109"/>
        <v>0</v>
      </c>
      <c r="CM45" s="258">
        <f t="shared" si="109"/>
        <v>0</v>
      </c>
      <c r="CN45" s="258">
        <f t="shared" si="109"/>
        <v>0</v>
      </c>
      <c r="CO45" s="258">
        <f t="shared" si="18"/>
        <v>248643.87</v>
      </c>
      <c r="CP45" s="258">
        <f>VLOOKUP(G45,[2]Sheet1!$C$3:$G$310,5,0)</f>
        <v>4800</v>
      </c>
      <c r="CQ45" s="258" t="e">
        <f>VLOOKUP(G45,[3]KCBB0101!$C$3:$F$691,4,0)</f>
        <v>#N/A</v>
      </c>
    </row>
    <row r="46" customFormat="1" ht="17.6" spans="1:95">
      <c r="A46" s="330"/>
      <c r="B46" s="334" t="str">
        <f>_xlfn.XLOOKUP(G46,销售需求表!A:A,销售需求表!C:C)</f>
        <v>亚</v>
      </c>
      <c r="C46" s="335" t="str">
        <f t="shared" si="19"/>
        <v>22.5</v>
      </c>
      <c r="D46" s="334" t="str">
        <f t="shared" si="79"/>
        <v>亚22.5寸</v>
      </c>
      <c r="E46" s="339" t="str">
        <f t="shared" si="66"/>
        <v>11R22.5-16PR(146/143L)-VXD932</v>
      </c>
      <c r="F46" s="340" t="str">
        <f t="shared" si="93"/>
        <v>11R22.5-16PR-VXD932</v>
      </c>
      <c r="G46" s="341" t="s">
        <v>403</v>
      </c>
      <c r="H46" s="334">
        <v>800</v>
      </c>
      <c r="I46" s="345"/>
      <c r="J46" s="346" t="str">
        <f t="shared" si="103"/>
        <v>11R22.5-VXD932</v>
      </c>
      <c r="K46" s="347" t="str">
        <f>_xlfn.XLOOKUP(F46,投产规格!E:E,投产规格!D:D,"未投产")</f>
        <v>✔</v>
      </c>
      <c r="L46" s="347">
        <f>IFERROR(_xlfn.XLOOKUP(F46,硫化工艺!B:B,硫化工艺!C:C),"")</f>
        <v>34</v>
      </c>
      <c r="M46" s="349">
        <f t="shared" si="80"/>
        <v>0.853556485355648</v>
      </c>
      <c r="N46" s="347" t="str">
        <f t="shared" si="53"/>
        <v>22.5全钢</v>
      </c>
      <c r="O46" s="347">
        <f>IFERROR(_xlfn.XLOOKUP(F46,轮胎重量!J:J,轮胎重量!G:G),"")</f>
        <v>61.154</v>
      </c>
      <c r="P46" s="347">
        <f>IFERROR(_xlfn.XLOOKUP(G46,硫化工艺!I:I,硫化工艺!J:J),"")</f>
        <v>892.3572</v>
      </c>
      <c r="Q46" s="347">
        <f t="shared" si="81"/>
        <v>0</v>
      </c>
      <c r="R46" s="347"/>
      <c r="S46" s="347"/>
      <c r="T46" s="347"/>
      <c r="U46" s="347"/>
      <c r="V46" s="347"/>
      <c r="W46" s="353">
        <v>60</v>
      </c>
      <c r="X46" s="347">
        <v>60</v>
      </c>
      <c r="Y46" s="347">
        <v>60</v>
      </c>
      <c r="Z46" s="347">
        <v>60</v>
      </c>
      <c r="AA46" s="347">
        <v>60</v>
      </c>
      <c r="AB46" s="347">
        <v>60</v>
      </c>
      <c r="AC46" s="347">
        <v>60</v>
      </c>
      <c r="AD46" s="347">
        <v>60</v>
      </c>
      <c r="AE46" s="347">
        <v>60</v>
      </c>
      <c r="AF46" s="347">
        <v>60</v>
      </c>
      <c r="AG46" s="347">
        <v>60</v>
      </c>
      <c r="AH46" s="347">
        <v>60</v>
      </c>
      <c r="AI46" s="347">
        <v>60</v>
      </c>
      <c r="AJ46" s="353">
        <v>60</v>
      </c>
      <c r="AK46" s="347"/>
      <c r="AL46" s="347"/>
      <c r="AM46" s="347"/>
      <c r="AN46" s="347"/>
      <c r="AO46" s="347"/>
      <c r="AP46" s="347"/>
      <c r="AQ46" s="347"/>
      <c r="AR46" s="347"/>
      <c r="AS46" s="347"/>
      <c r="AT46" s="347"/>
      <c r="AU46" s="347"/>
      <c r="AV46" s="347"/>
      <c r="AW46" s="347">
        <f t="shared" si="82"/>
        <v>840</v>
      </c>
      <c r="AX46" s="365">
        <f t="shared" si="83"/>
        <v>51.36936</v>
      </c>
      <c r="AY46" s="365">
        <f t="shared" si="84"/>
        <v>74.958</v>
      </c>
      <c r="AZ46" s="366">
        <v>449.18</v>
      </c>
      <c r="BA46" s="368">
        <v>29.42</v>
      </c>
      <c r="BB46" s="368">
        <v>49.09</v>
      </c>
      <c r="BC46" s="368">
        <v>52.13</v>
      </c>
      <c r="BD46" s="330"/>
      <c r="BE46" s="330">
        <f t="shared" si="85"/>
        <v>377311.2</v>
      </c>
      <c r="BF46" s="330">
        <f t="shared" si="86"/>
        <v>24712.8</v>
      </c>
      <c r="BG46" s="330">
        <f t="shared" si="87"/>
        <v>41235.6</v>
      </c>
      <c r="BH46" s="330">
        <f t="shared" si="88"/>
        <v>43789.2</v>
      </c>
      <c r="BI46" s="330"/>
      <c r="BJ46" s="370" cm="1">
        <f t="array" ref="BJ46:BM46">_xlfn.LET(_xlpm.data,$R46:$AV46,_xlpm.starts,{1,8,16,23},_xlpm.lengths,{7,7,8,9},_xlpm.arr,_xlfn.MAP(_xlpm.starts,_xlpm.lengths,_xlfn.LAMBDA(_xlpm.s,_xlpm.l,SUM(INDEX(_xlpm.data,,_xlfn.SEQUENCE(,_xlpm.l,_xlpm.s))))),ROUND(_xlpm.arr*$O46/1000,2))</f>
        <v>7.34</v>
      </c>
      <c r="BK46" s="330">
        <v>25.68</v>
      </c>
      <c r="BL46" s="330">
        <v>14.68</v>
      </c>
      <c r="BM46" s="330">
        <v>0</v>
      </c>
      <c r="BN46" s="258">
        <f t="shared" si="89"/>
        <v>47.7</v>
      </c>
      <c r="BO46" s="258">
        <v>0</v>
      </c>
      <c r="BP46" s="258">
        <v>0</v>
      </c>
      <c r="BQ46" s="258">
        <v>0</v>
      </c>
      <c r="BR46" s="258">
        <v>0</v>
      </c>
      <c r="BS46" s="115"/>
      <c r="BT46" s="258" cm="1">
        <f ca="1" t="array" ref="BT46:BW46">_xlfn.HSTACK(SUM(INDEX($R46:$AV46,1,1):INDEX($R46:$AV46,1,7)),SUM(INDEX($R46:$AV46,1,7):INDEX($R46:$AV46,1,13)),SUM(INDEX($R46:$AV46,1,16):INDEX($R46:$AV46,1,23)),SUM(INDEX($R46:$AV46,1,23):INDEX($R46:$AV46,1,31)))</f>
        <v>120</v>
      </c>
      <c r="BU46" s="258">
        <v>420</v>
      </c>
      <c r="BV46" s="258">
        <v>240</v>
      </c>
      <c r="BW46" s="258">
        <v>0</v>
      </c>
      <c r="BY46" s="258">
        <f t="shared" si="21"/>
        <v>120</v>
      </c>
      <c r="BZ46" s="258">
        <f t="shared" si="22"/>
        <v>420</v>
      </c>
      <c r="CA46" s="258">
        <f t="shared" si="23"/>
        <v>300</v>
      </c>
      <c r="CB46" s="258">
        <f t="shared" si="24"/>
        <v>0</v>
      </c>
      <c r="CC46" s="258"/>
      <c r="CD46" s="113"/>
      <c r="CE46" s="258">
        <f t="shared" si="94"/>
        <v>7.34</v>
      </c>
      <c r="CF46" s="258">
        <f t="shared" si="95"/>
        <v>25.68</v>
      </c>
      <c r="CG46" s="258">
        <f t="shared" si="96"/>
        <v>18.35</v>
      </c>
      <c r="CH46" s="258">
        <f t="shared" si="97"/>
        <v>0</v>
      </c>
      <c r="CI46" s="258">
        <f t="shared" si="91"/>
        <v>51.37</v>
      </c>
      <c r="CJ46" s="113"/>
      <c r="CK46" s="258">
        <f t="shared" ref="CK46:CN46" si="110">IFERROR(ROUND(BY46*$P46,2),"")</f>
        <v>107082.86</v>
      </c>
      <c r="CL46" s="258">
        <f t="shared" si="110"/>
        <v>374790.02</v>
      </c>
      <c r="CM46" s="258">
        <f t="shared" si="110"/>
        <v>267707.16</v>
      </c>
      <c r="CN46" s="258">
        <f t="shared" si="110"/>
        <v>0</v>
      </c>
      <c r="CO46" s="258">
        <f t="shared" si="18"/>
        <v>749580.04</v>
      </c>
      <c r="CP46" s="258">
        <f>VLOOKUP(G46,[2]Sheet1!$C$3:$G$310,5,0)</f>
        <v>4300</v>
      </c>
      <c r="CQ46" s="258" t="e">
        <f>VLOOKUP(G46,[3]KCBB0101!$C$3:$F$691,4,0)</f>
        <v>#N/A</v>
      </c>
    </row>
    <row r="47" customFormat="1" ht="17.6" spans="1:95">
      <c r="A47" s="330"/>
      <c r="B47" s="334" t="str">
        <f>_xlfn.XLOOKUP(G47,销售需求表!A:A,销售需求表!C:C)</f>
        <v>北美</v>
      </c>
      <c r="C47" s="335" t="str">
        <f t="shared" si="19"/>
        <v>24.5</v>
      </c>
      <c r="D47" s="334" t="str">
        <f t="shared" si="79"/>
        <v>北美24.5寸</v>
      </c>
      <c r="E47" s="339" t="str">
        <f t="shared" si="66"/>
        <v>11R24.5-14PR(146/143M)-I-48T</v>
      </c>
      <c r="F47" s="340" t="str">
        <f t="shared" si="93"/>
        <v>11R24.5-14PR-I-48T</v>
      </c>
      <c r="G47" s="341" t="s">
        <v>404</v>
      </c>
      <c r="H47" s="334">
        <v>680</v>
      </c>
      <c r="I47" s="345">
        <v>2</v>
      </c>
      <c r="J47" s="346" t="str">
        <f t="shared" si="103"/>
        <v>11R24.5-I-48T</v>
      </c>
      <c r="K47" s="347" t="str">
        <f>_xlfn.XLOOKUP(F47,投产规格!E:E,投产规格!D:D,"未投产")</f>
        <v>✔</v>
      </c>
      <c r="L47" s="347">
        <f>IFERROR(_xlfn.XLOOKUP(F47,硫化工艺!B:B,硫化工艺!C:C),"")</f>
        <v>34.5</v>
      </c>
      <c r="M47" s="349">
        <f t="shared" si="80"/>
        <v>0.855371900826446</v>
      </c>
      <c r="N47" s="347" t="str">
        <f t="shared" si="53"/>
        <v>24.5全钢</v>
      </c>
      <c r="O47" s="347">
        <f>IFERROR(_xlfn.XLOOKUP(F47,轮胎重量!J:J,轮胎重量!G:G),"")</f>
        <v>52.323</v>
      </c>
      <c r="P47" s="347">
        <f>IFERROR(_xlfn.XLOOKUP(G47,硫化工艺!I:I,硫化工艺!J:J),"")</f>
        <v>758.3513</v>
      </c>
      <c r="Q47" s="347">
        <f t="shared" si="81"/>
        <v>71</v>
      </c>
      <c r="R47" s="347">
        <v>60</v>
      </c>
      <c r="S47" s="347">
        <v>60</v>
      </c>
      <c r="T47" s="347">
        <v>60</v>
      </c>
      <c r="U47" s="347">
        <v>60</v>
      </c>
      <c r="V47" s="347">
        <v>60</v>
      </c>
      <c r="W47" s="347">
        <v>60</v>
      </c>
      <c r="X47" s="347">
        <v>60</v>
      </c>
      <c r="Y47" s="355">
        <v>60</v>
      </c>
      <c r="Z47" s="347"/>
      <c r="AA47" s="347"/>
      <c r="AB47" s="347"/>
      <c r="AC47" s="347"/>
      <c r="AD47" s="347"/>
      <c r="AE47" s="347"/>
      <c r="AF47" s="347"/>
      <c r="AG47" s="347"/>
      <c r="AH47" s="347"/>
      <c r="AI47" s="347"/>
      <c r="AJ47" s="347"/>
      <c r="AK47" s="347"/>
      <c r="AL47" s="347"/>
      <c r="AM47" s="347"/>
      <c r="AN47" s="347"/>
      <c r="AO47" s="347"/>
      <c r="AP47" s="347"/>
      <c r="AQ47" s="347"/>
      <c r="AR47" s="347"/>
      <c r="AS47" s="347"/>
      <c r="AT47" s="347"/>
      <c r="AU47" s="347"/>
      <c r="AV47" s="347"/>
      <c r="AW47" s="347">
        <f t="shared" si="82"/>
        <v>480</v>
      </c>
      <c r="AX47" s="365">
        <f t="shared" si="83"/>
        <v>25.11504</v>
      </c>
      <c r="AY47" s="365">
        <f t="shared" si="84"/>
        <v>36.401</v>
      </c>
      <c r="AZ47" s="366">
        <v>449.18</v>
      </c>
      <c r="BA47" s="368">
        <v>29.42</v>
      </c>
      <c r="BB47" s="368">
        <v>49.09</v>
      </c>
      <c r="BC47" s="368">
        <v>52.13</v>
      </c>
      <c r="BD47" s="330"/>
      <c r="BE47" s="330">
        <f t="shared" si="85"/>
        <v>215606.4</v>
      </c>
      <c r="BF47" s="330">
        <f t="shared" si="86"/>
        <v>14121.6</v>
      </c>
      <c r="BG47" s="330">
        <f t="shared" si="87"/>
        <v>23563.2</v>
      </c>
      <c r="BH47" s="330">
        <f t="shared" si="88"/>
        <v>25022.4</v>
      </c>
      <c r="BI47" s="330"/>
      <c r="BJ47" s="370" cm="1">
        <f t="array" ref="BJ47:BM47">_xlfn.LET(_xlpm.data,$R47:$AV47,_xlpm.starts,{1,8,16,23},_xlpm.lengths,{7,7,8,9},_xlpm.arr,_xlfn.MAP(_xlpm.starts,_xlpm.lengths,_xlfn.LAMBDA(_xlpm.s,_xlpm.l,SUM(INDEX(_xlpm.data,,_xlfn.SEQUENCE(,_xlpm.l,_xlpm.s))))),ROUND(_xlpm.arr*$O47/1000,2))</f>
        <v>21.98</v>
      </c>
      <c r="BK47" s="330">
        <v>3.14</v>
      </c>
      <c r="BL47" s="330">
        <v>0</v>
      </c>
      <c r="BM47" s="330">
        <v>0</v>
      </c>
      <c r="BN47" s="258">
        <f t="shared" si="89"/>
        <v>25.12</v>
      </c>
      <c r="BO47" s="258">
        <v>0</v>
      </c>
      <c r="BP47" s="258">
        <v>0</v>
      </c>
      <c r="BQ47" s="258">
        <v>0</v>
      </c>
      <c r="BR47" s="258">
        <v>0</v>
      </c>
      <c r="BS47" s="115"/>
      <c r="BT47" s="258" cm="1">
        <f ca="1" t="array" ref="BT47:BW47">_xlfn.HSTACK(SUM(INDEX($R47:$AV47,1,1):INDEX($R47:$AV47,1,7)),SUM(INDEX($R47:$AV47,1,7):INDEX($R47:$AV47,1,13)),SUM(INDEX($R47:$AV47,1,16):INDEX($R47:$AV47,1,23)),SUM(INDEX($R47:$AV47,1,23):INDEX($R47:$AV47,1,31)))</f>
        <v>420</v>
      </c>
      <c r="BU47" s="258">
        <v>120</v>
      </c>
      <c r="BV47" s="258">
        <v>0</v>
      </c>
      <c r="BW47" s="258">
        <v>0</v>
      </c>
      <c r="BY47" s="258">
        <f t="shared" si="21"/>
        <v>420</v>
      </c>
      <c r="BZ47" s="258">
        <f t="shared" si="22"/>
        <v>60</v>
      </c>
      <c r="CA47" s="258">
        <f t="shared" si="23"/>
        <v>0</v>
      </c>
      <c r="CB47" s="258">
        <f t="shared" si="24"/>
        <v>0</v>
      </c>
      <c r="CC47" s="258"/>
      <c r="CD47" s="113"/>
      <c r="CE47" s="258">
        <f t="shared" si="94"/>
        <v>21.98</v>
      </c>
      <c r="CF47" s="258">
        <f t="shared" si="95"/>
        <v>3.14</v>
      </c>
      <c r="CG47" s="258">
        <f t="shared" si="96"/>
        <v>0</v>
      </c>
      <c r="CH47" s="258">
        <f t="shared" si="97"/>
        <v>0</v>
      </c>
      <c r="CI47" s="258">
        <f t="shared" si="91"/>
        <v>25.12</v>
      </c>
      <c r="CJ47" s="113"/>
      <c r="CK47" s="258">
        <f t="shared" ref="CK47:CN47" si="111">IFERROR(ROUND(BY47*$P47,2),"")</f>
        <v>318507.55</v>
      </c>
      <c r="CL47" s="258">
        <f t="shared" si="111"/>
        <v>45501.08</v>
      </c>
      <c r="CM47" s="258">
        <f t="shared" si="111"/>
        <v>0</v>
      </c>
      <c r="CN47" s="258">
        <f t="shared" si="111"/>
        <v>0</v>
      </c>
      <c r="CO47" s="258">
        <f t="shared" si="18"/>
        <v>364008.63</v>
      </c>
      <c r="CP47" s="258">
        <f>VLOOKUP(G47,[2]Sheet1!$C$3:$G$310,5,0)</f>
        <v>9600</v>
      </c>
      <c r="CQ47" s="258" t="e">
        <f>VLOOKUP(G47,[3]KCBB0101!$C$3:$F$691,4,0)</f>
        <v>#N/A</v>
      </c>
    </row>
    <row r="48" customFormat="1" ht="17.6" spans="1:95">
      <c r="A48" s="330"/>
      <c r="B48" s="334" t="str">
        <f>_xlfn.XLOOKUP(G48,销售需求表!A:A,销售需求表!C:C)</f>
        <v>北美</v>
      </c>
      <c r="C48" s="335" t="str">
        <f t="shared" si="19"/>
        <v>24.5</v>
      </c>
      <c r="D48" s="334" t="str">
        <f t="shared" si="79"/>
        <v>北美24.5寸</v>
      </c>
      <c r="E48" s="339" t="str">
        <f t="shared" si="66"/>
        <v>11R24.5-14PR(146/143M)-Strong Guard H-TL</v>
      </c>
      <c r="F48" s="340" t="str">
        <f t="shared" si="93"/>
        <v>11R24.5-14PR-H-TL</v>
      </c>
      <c r="G48" s="341" t="s">
        <v>405</v>
      </c>
      <c r="H48" s="334">
        <v>200</v>
      </c>
      <c r="I48" s="345"/>
      <c r="J48" s="346" t="str">
        <f t="shared" si="103"/>
        <v>11R24.5-H-TL</v>
      </c>
      <c r="K48" s="347" t="str">
        <f>_xlfn.XLOOKUP(F48,投产规格!E:E,投产规格!D:D,"未投产")</f>
        <v>✔</v>
      </c>
      <c r="L48" s="347">
        <f>IFERROR(_xlfn.XLOOKUP(F48,硫化工艺!B:B,硫化工艺!C:C),"")</f>
        <v>36</v>
      </c>
      <c r="M48" s="349">
        <f t="shared" si="80"/>
        <v>0.860557768924303</v>
      </c>
      <c r="N48" s="347" t="str">
        <f t="shared" si="53"/>
        <v>24.5全钢</v>
      </c>
      <c r="O48" s="347">
        <f>IFERROR(_xlfn.XLOOKUP(F48,轮胎重量!J:J,轮胎重量!G:G),"")</f>
        <v>53.228</v>
      </c>
      <c r="P48" s="347">
        <f>IFERROR(_xlfn.XLOOKUP(G48,硫化工艺!I:I,硫化工艺!J:J),"")</f>
        <v>769.168519</v>
      </c>
      <c r="Q48" s="347">
        <f t="shared" si="81"/>
        <v>0</v>
      </c>
      <c r="R48" s="347"/>
      <c r="S48" s="347"/>
      <c r="T48" s="347"/>
      <c r="U48" s="347"/>
      <c r="V48" s="347"/>
      <c r="W48" s="347"/>
      <c r="X48" s="347"/>
      <c r="Y48" s="347"/>
      <c r="Z48" s="347">
        <v>60</v>
      </c>
      <c r="AA48" s="347">
        <v>60</v>
      </c>
      <c r="AB48" s="347">
        <v>60</v>
      </c>
      <c r="AC48" s="347"/>
      <c r="AD48" s="347"/>
      <c r="AE48" s="347"/>
      <c r="AF48" s="347"/>
      <c r="AG48" s="347"/>
      <c r="AH48" s="347"/>
      <c r="AI48" s="347"/>
      <c r="AJ48" s="347"/>
      <c r="AK48" s="347"/>
      <c r="AL48" s="347"/>
      <c r="AM48" s="347"/>
      <c r="AN48" s="347"/>
      <c r="AO48" s="347"/>
      <c r="AP48" s="347"/>
      <c r="AQ48" s="347"/>
      <c r="AR48" s="347"/>
      <c r="AS48" s="347"/>
      <c r="AT48" s="347"/>
      <c r="AU48" s="347"/>
      <c r="AV48" s="347"/>
      <c r="AW48" s="347">
        <f t="shared" si="82"/>
        <v>180</v>
      </c>
      <c r="AX48" s="365">
        <f t="shared" si="83"/>
        <v>9.58104</v>
      </c>
      <c r="AY48" s="365">
        <f t="shared" si="84"/>
        <v>13.845</v>
      </c>
      <c r="AZ48" s="366">
        <v>449.18</v>
      </c>
      <c r="BA48" s="368">
        <v>29.42</v>
      </c>
      <c r="BB48" s="368">
        <v>49.09</v>
      </c>
      <c r="BC48" s="368">
        <v>52.13</v>
      </c>
      <c r="BD48" s="330"/>
      <c r="BE48" s="330">
        <f t="shared" si="85"/>
        <v>80852.4</v>
      </c>
      <c r="BF48" s="330">
        <f t="shared" si="86"/>
        <v>5295.6</v>
      </c>
      <c r="BG48" s="330">
        <f t="shared" si="87"/>
        <v>8836.2</v>
      </c>
      <c r="BH48" s="330">
        <f t="shared" si="88"/>
        <v>9383.4</v>
      </c>
      <c r="BI48" s="330"/>
      <c r="BJ48" s="370" cm="1">
        <f t="array" ref="BJ48:BM48">_xlfn.LET(_xlpm.data,$R48:$AV48,_xlpm.starts,{1,8,16,23},_xlpm.lengths,{7,7,8,9},_xlpm.arr,_xlfn.MAP(_xlpm.starts,_xlpm.lengths,_xlfn.LAMBDA(_xlpm.s,_xlpm.l,SUM(INDEX(_xlpm.data,,_xlfn.SEQUENCE(,_xlpm.l,_xlpm.s))))),ROUND(_xlpm.arr*$O48/1000,2))</f>
        <v>0</v>
      </c>
      <c r="BK48" s="330">
        <v>9.58</v>
      </c>
      <c r="BL48" s="330">
        <v>0</v>
      </c>
      <c r="BM48" s="330">
        <v>0</v>
      </c>
      <c r="BN48" s="258">
        <f t="shared" si="89"/>
        <v>9.58</v>
      </c>
      <c r="BO48" s="258">
        <v>0</v>
      </c>
      <c r="BP48" s="258">
        <v>0</v>
      </c>
      <c r="BQ48" s="258">
        <v>0</v>
      </c>
      <c r="BR48" s="258">
        <v>0</v>
      </c>
      <c r="BS48" s="115"/>
      <c r="BT48" s="258" cm="1">
        <f ca="1" t="array" ref="BT48:BW48">_xlfn.HSTACK(SUM(INDEX($R48:$AV48,1,1):INDEX($R48:$AV48,1,7)),SUM(INDEX($R48:$AV48,1,7):INDEX($R48:$AV48,1,13)),SUM(INDEX($R48:$AV48,1,16):INDEX($R48:$AV48,1,23)),SUM(INDEX($R48:$AV48,1,23):INDEX($R48:$AV48,1,31)))</f>
        <v>0</v>
      </c>
      <c r="BU48" s="258">
        <v>180</v>
      </c>
      <c r="BV48" s="258">
        <v>0</v>
      </c>
      <c r="BW48" s="258">
        <v>0</v>
      </c>
      <c r="BY48" s="258">
        <f t="shared" si="21"/>
        <v>0</v>
      </c>
      <c r="BZ48" s="258">
        <f t="shared" si="22"/>
        <v>180</v>
      </c>
      <c r="CA48" s="258">
        <f t="shared" si="23"/>
        <v>0</v>
      </c>
      <c r="CB48" s="258">
        <f t="shared" si="24"/>
        <v>0</v>
      </c>
      <c r="CC48" s="258"/>
      <c r="CD48" s="113"/>
      <c r="CE48" s="258">
        <f t="shared" si="94"/>
        <v>0</v>
      </c>
      <c r="CF48" s="258">
        <f t="shared" si="95"/>
        <v>9.58</v>
      </c>
      <c r="CG48" s="258">
        <f t="shared" si="96"/>
        <v>0</v>
      </c>
      <c r="CH48" s="258">
        <f t="shared" si="97"/>
        <v>0</v>
      </c>
      <c r="CI48" s="258">
        <f t="shared" si="91"/>
        <v>9.58</v>
      </c>
      <c r="CJ48" s="113"/>
      <c r="CK48" s="258">
        <f t="shared" ref="CK48:CN48" si="112">IFERROR(ROUND(BY48*$P48,2),"")</f>
        <v>0</v>
      </c>
      <c r="CL48" s="258">
        <f t="shared" si="112"/>
        <v>138450.33</v>
      </c>
      <c r="CM48" s="258">
        <f t="shared" si="112"/>
        <v>0</v>
      </c>
      <c r="CN48" s="258">
        <f t="shared" si="112"/>
        <v>0</v>
      </c>
      <c r="CO48" s="258">
        <f t="shared" si="18"/>
        <v>138450.33</v>
      </c>
      <c r="CP48" s="258">
        <f>VLOOKUP(G48,[2]Sheet1!$C$3:$G$310,5,0)</f>
        <v>7900</v>
      </c>
      <c r="CQ48" s="258" t="e">
        <f>VLOOKUP(G48,[3]KCBB0101!$C$3:$F$691,4,0)</f>
        <v>#N/A</v>
      </c>
    </row>
    <row r="49" s="258" customFormat="1" ht="17.6" spans="1:95">
      <c r="A49" s="330"/>
      <c r="B49" s="334" t="str">
        <f>_xlfn.XLOOKUP(G49,销售需求表!A:A,销售需求表!C:C)</f>
        <v>北美</v>
      </c>
      <c r="C49" s="335" t="str">
        <f t="shared" si="19"/>
        <v>24.5</v>
      </c>
      <c r="D49" s="334" t="str">
        <f t="shared" si="79"/>
        <v>北美24.5寸</v>
      </c>
      <c r="E49" s="339" t="str">
        <f t="shared" si="66"/>
        <v>11R24.5-16PR(149/146K)-Strong Guard H-MD</v>
      </c>
      <c r="F49" s="340" t="str">
        <f t="shared" si="93"/>
        <v>11R24.5-16PR-H-MD</v>
      </c>
      <c r="G49" s="341" t="s">
        <v>406</v>
      </c>
      <c r="H49" s="334">
        <v>350</v>
      </c>
      <c r="I49" s="345"/>
      <c r="J49" s="346" t="str">
        <f t="shared" ref="J49:J54" si="113">IFERROR(LEFT(F49,FIND("-",F49))&amp;MID(F49,FIND("PR",F49,FIND("-",F49))+3,LEN(F49)),F49)</f>
        <v>11R24.5-H-MD</v>
      </c>
      <c r="K49" s="347" t="str">
        <f>_xlfn.XLOOKUP(F49,投产规格!E:E,投产规格!D:D,"未投产")</f>
        <v>✔</v>
      </c>
      <c r="L49" s="347">
        <f>IFERROR(_xlfn.XLOOKUP(F49,硫化工艺!B:B,硫化工艺!C:C),"")</f>
        <v>42.5</v>
      </c>
      <c r="M49" s="349">
        <f t="shared" si="80"/>
        <v>0.879310344827586</v>
      </c>
      <c r="N49" s="347" t="str">
        <f t="shared" si="53"/>
        <v>24.5全钢</v>
      </c>
      <c r="O49" s="347">
        <f>IFERROR(_xlfn.XLOOKUP(F49,轮胎重量!J:J,轮胎重量!G:G),"")</f>
        <v>64.868</v>
      </c>
      <c r="P49" s="347">
        <f>IFERROR(_xlfn.XLOOKUP(G49,硫化工艺!I:I,硫化工艺!J:J),"")</f>
        <v>926.057854</v>
      </c>
      <c r="Q49" s="347">
        <f t="shared" si="81"/>
        <v>0</v>
      </c>
      <c r="R49" s="347"/>
      <c r="S49" s="347"/>
      <c r="T49" s="347"/>
      <c r="U49" s="347"/>
      <c r="V49" s="347"/>
      <c r="W49" s="347"/>
      <c r="X49" s="347"/>
      <c r="Y49" s="347"/>
      <c r="Z49" s="347"/>
      <c r="AA49" s="347">
        <v>60</v>
      </c>
      <c r="AB49" s="347">
        <v>60</v>
      </c>
      <c r="AC49" s="347">
        <v>60</v>
      </c>
      <c r="AD49" s="347">
        <v>60</v>
      </c>
      <c r="AE49" s="347">
        <v>60</v>
      </c>
      <c r="AF49" s="347">
        <v>60</v>
      </c>
      <c r="AG49" s="347"/>
      <c r="AH49" s="347"/>
      <c r="AI49" s="347"/>
      <c r="AJ49" s="359"/>
      <c r="AK49" s="347"/>
      <c r="AL49" s="347"/>
      <c r="AM49" s="347"/>
      <c r="AN49" s="347"/>
      <c r="AO49" s="347"/>
      <c r="AP49" s="347"/>
      <c r="AQ49" s="347"/>
      <c r="AR49" s="347"/>
      <c r="AS49" s="347"/>
      <c r="AT49" s="347"/>
      <c r="AU49" s="347"/>
      <c r="AV49" s="347"/>
      <c r="AW49" s="347">
        <f t="shared" si="82"/>
        <v>360</v>
      </c>
      <c r="AX49" s="365">
        <f t="shared" si="83"/>
        <v>23.35248</v>
      </c>
      <c r="AY49" s="365">
        <f t="shared" si="84"/>
        <v>33.338</v>
      </c>
      <c r="AZ49" s="366">
        <v>449.18</v>
      </c>
      <c r="BA49" s="368">
        <v>29.42</v>
      </c>
      <c r="BB49" s="368">
        <v>49.09</v>
      </c>
      <c r="BC49" s="368">
        <v>52.13</v>
      </c>
      <c r="BD49" s="330"/>
      <c r="BE49" s="330">
        <f t="shared" si="85"/>
        <v>161704.8</v>
      </c>
      <c r="BF49" s="330">
        <f t="shared" si="86"/>
        <v>10591.2</v>
      </c>
      <c r="BG49" s="330">
        <f t="shared" si="87"/>
        <v>17672.4</v>
      </c>
      <c r="BH49" s="330">
        <f t="shared" si="88"/>
        <v>18766.8</v>
      </c>
      <c r="BI49" s="330"/>
      <c r="BJ49" s="370" cm="1">
        <f t="array" ref="BJ49:BM49">_xlfn.LET(_xlpm.data,$R49:$AV49,_xlpm.starts,{1,8,16,23},_xlpm.lengths,{7,7,8,9},_xlpm.arr,_xlfn.MAP(_xlpm.starts,_xlpm.lengths,_xlfn.LAMBDA(_xlpm.s,_xlpm.l,SUM(INDEX(_xlpm.data,,_xlfn.SEQUENCE(,_xlpm.l,_xlpm.s))))),ROUND(_xlpm.arr*$O49/1000,2))</f>
        <v>0</v>
      </c>
      <c r="BK49" s="330">
        <v>19.46</v>
      </c>
      <c r="BL49" s="330">
        <v>0</v>
      </c>
      <c r="BM49" s="330">
        <v>0</v>
      </c>
      <c r="BN49" s="258">
        <f t="shared" si="89"/>
        <v>19.46</v>
      </c>
      <c r="BO49" s="258">
        <v>22.41</v>
      </c>
      <c r="BP49" s="258">
        <v>22.41</v>
      </c>
      <c r="BQ49" s="258">
        <v>25.62</v>
      </c>
      <c r="BR49" s="258">
        <v>28.82</v>
      </c>
      <c r="BS49" s="115"/>
      <c r="BT49" s="258" cm="1">
        <f ca="1" t="array" ref="BT49:BW49">_xlfn.HSTACK(SUM(INDEX($R49:$AV49,1,1):INDEX($R49:$AV49,1,7)),SUM(INDEX($R49:$AV49,1,7):INDEX($R49:$AV49,1,13)),SUM(INDEX($R49:$AV49,1,16):INDEX($R49:$AV49,1,23)),SUM(INDEX($R49:$AV49,1,23):INDEX($R49:$AV49,1,31)))</f>
        <v>0</v>
      </c>
      <c r="BU49" s="258">
        <v>240</v>
      </c>
      <c r="BV49" s="258">
        <v>0</v>
      </c>
      <c r="BW49" s="258">
        <v>0</v>
      </c>
      <c r="BY49" s="258">
        <f t="shared" si="21"/>
        <v>0</v>
      </c>
      <c r="BZ49" s="258">
        <f t="shared" si="22"/>
        <v>300</v>
      </c>
      <c r="CA49" s="258">
        <f t="shared" si="23"/>
        <v>60</v>
      </c>
      <c r="CB49" s="258">
        <f t="shared" si="24"/>
        <v>0</v>
      </c>
      <c r="CD49" s="113"/>
      <c r="CE49" s="258">
        <f t="shared" si="94"/>
        <v>0</v>
      </c>
      <c r="CF49" s="258">
        <f t="shared" si="95"/>
        <v>19.46</v>
      </c>
      <c r="CG49" s="258">
        <f t="shared" si="96"/>
        <v>3.89</v>
      </c>
      <c r="CH49" s="258">
        <f t="shared" si="97"/>
        <v>0</v>
      </c>
      <c r="CI49" s="258">
        <f t="shared" si="91"/>
        <v>23.35</v>
      </c>
      <c r="CJ49" s="113"/>
      <c r="CK49" s="258">
        <f t="shared" ref="CK49:CN49" si="114">IFERROR(ROUND(BY49*$P49,2),"")</f>
        <v>0</v>
      </c>
      <c r="CL49" s="258">
        <f t="shared" si="114"/>
        <v>277817.36</v>
      </c>
      <c r="CM49" s="258">
        <f t="shared" si="114"/>
        <v>55563.47</v>
      </c>
      <c r="CN49" s="258">
        <f t="shared" si="114"/>
        <v>0</v>
      </c>
      <c r="CO49" s="258">
        <f t="shared" si="18"/>
        <v>333380.83</v>
      </c>
      <c r="CP49" s="258">
        <f>VLOOKUP(G49,[2]Sheet1!$C$3:$G$310,5,0)</f>
        <v>8400</v>
      </c>
      <c r="CQ49" s="258" t="e">
        <f>VLOOKUP(G49,[3]KCBB0101!$C$3:$F$691,4,0)</f>
        <v>#N/A</v>
      </c>
    </row>
    <row r="50" s="258" customFormat="1" ht="17.6" spans="1:93">
      <c r="A50" s="330"/>
      <c r="B50" s="334" t="str">
        <f>_xlfn.XLOOKUP(G50,销售需求表!A:A,销售需求表!C:C)</f>
        <v>北美</v>
      </c>
      <c r="C50" s="335" t="str">
        <f t="shared" si="19"/>
        <v>24.5</v>
      </c>
      <c r="D50" s="334" t="str">
        <f t="shared" si="79"/>
        <v>北美24.5寸</v>
      </c>
      <c r="E50" s="339" t="str">
        <f t="shared" si="66"/>
        <v>11R24.5-16PR(149/146L)-DOMINATE D01</v>
      </c>
      <c r="F50" s="340" t="str">
        <f t="shared" si="93"/>
        <v>11R24.5-16PR-DOMINATE D01</v>
      </c>
      <c r="G50" s="343" t="s">
        <v>407</v>
      </c>
      <c r="H50" s="334">
        <v>250</v>
      </c>
      <c r="I50" s="345"/>
      <c r="J50" s="346" t="str">
        <f t="shared" si="113"/>
        <v>11R24.5-DOMINATE D01</v>
      </c>
      <c r="K50" s="347" t="str">
        <f>_xlfn.XLOOKUP(F50,投产规格!E:E,投产规格!D:D,"未投产")</f>
        <v>未投产</v>
      </c>
      <c r="L50" s="347">
        <f>IFERROR(_xlfn.XLOOKUP(F50,硫化工艺!B:B,硫化工艺!C:C),"")</f>
        <v>37</v>
      </c>
      <c r="M50" s="349">
        <f t="shared" si="80"/>
        <v>0.863813229571984</v>
      </c>
      <c r="N50" s="347" t="str">
        <f t="shared" si="53"/>
        <v>24.5全钢</v>
      </c>
      <c r="O50" s="347">
        <f>IFERROR(_xlfn.XLOOKUP(F50,轮胎重量!J:J,轮胎重量!G:G),"")</f>
        <v>62.766</v>
      </c>
      <c r="P50" s="350">
        <f>O50*13.9</f>
        <v>872.4474</v>
      </c>
      <c r="Q50" s="347">
        <f t="shared" si="81"/>
        <v>0</v>
      </c>
      <c r="R50" s="347"/>
      <c r="S50" s="347"/>
      <c r="T50" s="347"/>
      <c r="U50" s="347"/>
      <c r="V50" s="347"/>
      <c r="W50" s="347"/>
      <c r="X50" s="347"/>
      <c r="Y50" s="347"/>
      <c r="Z50" s="347"/>
      <c r="AA50" s="347"/>
      <c r="AB50" s="347"/>
      <c r="AC50" s="347"/>
      <c r="AD50" s="347"/>
      <c r="AE50" s="347"/>
      <c r="AF50" s="347"/>
      <c r="AG50" s="347"/>
      <c r="AH50" s="347"/>
      <c r="AI50" s="347"/>
      <c r="AJ50" s="347"/>
      <c r="AK50" s="347"/>
      <c r="AL50" s="347"/>
      <c r="AM50" s="347"/>
      <c r="AN50" s="347"/>
      <c r="AO50" s="347"/>
      <c r="AP50" s="347"/>
      <c r="AQ50" s="347"/>
      <c r="AR50" s="347"/>
      <c r="AS50" s="347"/>
      <c r="AT50" s="347"/>
      <c r="AU50" s="347"/>
      <c r="AV50" s="347"/>
      <c r="AW50" s="347" t="str">
        <f t="shared" si="82"/>
        <v/>
      </c>
      <c r="AX50" s="365" t="str">
        <f t="shared" si="83"/>
        <v/>
      </c>
      <c r="AY50" s="365" t="str">
        <f t="shared" si="84"/>
        <v/>
      </c>
      <c r="AZ50" s="367"/>
      <c r="BA50" s="258"/>
      <c r="BB50" s="258"/>
      <c r="BC50" s="330"/>
      <c r="BD50" s="330"/>
      <c r="BE50" s="330" t="e">
        <f t="shared" si="85"/>
        <v>#VALUE!</v>
      </c>
      <c r="BF50" s="330" t="e">
        <f t="shared" si="86"/>
        <v>#VALUE!</v>
      </c>
      <c r="BG50" s="330" t="e">
        <f t="shared" si="87"/>
        <v>#VALUE!</v>
      </c>
      <c r="BH50" s="330" t="e">
        <f t="shared" si="88"/>
        <v>#VALUE!</v>
      </c>
      <c r="BI50" s="330"/>
      <c r="BJ50" s="370" cm="1">
        <f t="array" ref="BJ50:BM50">_xlfn.LET(_xlpm.data,$R50:$AV50,_xlpm.starts,{1,8,16,23},_xlpm.lengths,{7,7,8,9},_xlpm.arr,_xlfn.MAP(_xlpm.starts,_xlpm.lengths,_xlfn.LAMBDA(_xlpm.s,_xlpm.l,SUM(INDEX(_xlpm.data,,_xlfn.SEQUENCE(,_xlpm.l,_xlpm.s))))),ROUND(_xlpm.arr*$O50/1000,2))</f>
        <v>0</v>
      </c>
      <c r="BK50" s="330">
        <v>0</v>
      </c>
      <c r="BL50" s="330">
        <v>0</v>
      </c>
      <c r="BM50" s="330">
        <v>0</v>
      </c>
      <c r="BN50" s="258">
        <f t="shared" si="89"/>
        <v>0</v>
      </c>
      <c r="BO50" s="258">
        <v>21.08</v>
      </c>
      <c r="BP50" s="258">
        <v>21.08</v>
      </c>
      <c r="BQ50" s="258">
        <v>24.09</v>
      </c>
      <c r="BR50" s="258">
        <v>27.1</v>
      </c>
      <c r="BS50" s="115"/>
      <c r="BT50" s="258" cm="1">
        <f ca="1" t="array" ref="BT50:BW50">_xlfn.HSTACK(SUM(INDEX($R50:$AV50,1,1):INDEX($R50:$AV50,1,7)),SUM(INDEX($R50:$AV50,1,7):INDEX($R50:$AV50,1,13)),SUM(INDEX($R50:$AV50,1,16):INDEX($R50:$AV50,1,23)),SUM(INDEX($R50:$AV50,1,23):INDEX($R50:$AV50,1,31)))</f>
        <v>0</v>
      </c>
      <c r="BU50" s="258">
        <v>0</v>
      </c>
      <c r="BV50" s="258">
        <v>0</v>
      </c>
      <c r="BW50" s="258">
        <v>0</v>
      </c>
      <c r="BY50" s="258">
        <f t="shared" si="21"/>
        <v>0</v>
      </c>
      <c r="BZ50" s="258">
        <f t="shared" si="22"/>
        <v>0</v>
      </c>
      <c r="CA50" s="258">
        <f t="shared" si="23"/>
        <v>0</v>
      </c>
      <c r="CB50" s="258">
        <f t="shared" si="24"/>
        <v>0</v>
      </c>
      <c r="CD50" s="113"/>
      <c r="CE50" s="258">
        <f t="shared" si="94"/>
        <v>0</v>
      </c>
      <c r="CF50" s="258">
        <f t="shared" si="95"/>
        <v>0</v>
      </c>
      <c r="CG50" s="258">
        <f t="shared" si="96"/>
        <v>0</v>
      </c>
      <c r="CH50" s="258">
        <f t="shared" si="97"/>
        <v>0</v>
      </c>
      <c r="CI50" s="258">
        <f t="shared" si="91"/>
        <v>0</v>
      </c>
      <c r="CJ50" s="113"/>
      <c r="CK50" s="258">
        <f t="shared" ref="CK50:CN50" si="115">IFERROR(ROUND(BY50*$P50,2),"")</f>
        <v>0</v>
      </c>
      <c r="CL50" s="258">
        <f t="shared" si="115"/>
        <v>0</v>
      </c>
      <c r="CM50" s="258">
        <f t="shared" si="115"/>
        <v>0</v>
      </c>
      <c r="CN50" s="258">
        <f t="shared" si="115"/>
        <v>0</v>
      </c>
      <c r="CO50" s="258">
        <f t="shared" si="18"/>
        <v>0</v>
      </c>
    </row>
    <row r="51" s="258" customFormat="1" ht="17.6" spans="1:93">
      <c r="A51" s="330"/>
      <c r="B51" s="334" t="str">
        <f>_xlfn.XLOOKUP(G51,销售需求表!A:A,销售需求表!C:C)</f>
        <v>北美</v>
      </c>
      <c r="C51" s="335" t="str">
        <f t="shared" si="19"/>
        <v>24.5</v>
      </c>
      <c r="D51" s="334" t="str">
        <f t="shared" si="79"/>
        <v>北美24.5寸</v>
      </c>
      <c r="E51" s="339" t="str">
        <f t="shared" si="66"/>
        <v>11R24.5-16PR(149/146L)-HF1 Plus</v>
      </c>
      <c r="F51" s="340" t="str">
        <f t="shared" si="93"/>
        <v>11R24.5-16PR-HF1 Plus</v>
      </c>
      <c r="G51" s="343" t="s">
        <v>408</v>
      </c>
      <c r="H51" s="334">
        <v>700</v>
      </c>
      <c r="I51" s="345"/>
      <c r="J51" s="346" t="str">
        <f t="shared" si="113"/>
        <v>11R24.5-HF1 Plus</v>
      </c>
      <c r="K51" s="347" t="str">
        <f>_xlfn.XLOOKUP(F51,投产规格!E:E,投产规格!D:D,"未投产")</f>
        <v>✔</v>
      </c>
      <c r="L51" s="347">
        <f>IFERROR(_xlfn.XLOOKUP(F51,硫化工艺!B:B,硫化工艺!C:C),"")</f>
        <v>37</v>
      </c>
      <c r="M51" s="349">
        <f t="shared" si="80"/>
        <v>0.863813229571984</v>
      </c>
      <c r="N51" s="347" t="str">
        <f t="shared" si="53"/>
        <v>24.5全钢</v>
      </c>
      <c r="O51" s="347">
        <f>IFERROR(_xlfn.XLOOKUP(F51,轮胎重量!J:J,轮胎重量!G:G),"")</f>
        <v>56.01</v>
      </c>
      <c r="P51" s="347">
        <f>IFERROR(_xlfn.XLOOKUP(G51,硫化工艺!I:I,硫化工艺!J:J),"")</f>
        <v>795.46383</v>
      </c>
      <c r="Q51" s="347">
        <f t="shared" si="81"/>
        <v>0</v>
      </c>
      <c r="R51" s="347"/>
      <c r="S51" s="347"/>
      <c r="T51" s="347"/>
      <c r="U51" s="347"/>
      <c r="V51" s="347"/>
      <c r="W51" s="347"/>
      <c r="X51" s="347"/>
      <c r="Y51" s="347"/>
      <c r="Z51" s="347"/>
      <c r="AA51" s="347"/>
      <c r="AB51" s="347"/>
      <c r="AC51" s="347"/>
      <c r="AD51" s="347"/>
      <c r="AE51" s="347"/>
      <c r="AF51" s="347"/>
      <c r="AG51" s="347"/>
      <c r="AH51" s="347"/>
      <c r="AI51" s="347"/>
      <c r="AJ51" s="347"/>
      <c r="AK51" s="347"/>
      <c r="AL51" s="347"/>
      <c r="AM51" s="347"/>
      <c r="AN51" s="347"/>
      <c r="AO51" s="347"/>
      <c r="AP51" s="347"/>
      <c r="AQ51" s="347"/>
      <c r="AR51" s="347"/>
      <c r="AS51" s="347"/>
      <c r="AT51" s="347"/>
      <c r="AU51" s="347"/>
      <c r="AV51" s="347"/>
      <c r="AW51" s="347" t="str">
        <f t="shared" si="82"/>
        <v/>
      </c>
      <c r="AX51" s="365" t="str">
        <f t="shared" si="83"/>
        <v/>
      </c>
      <c r="AY51" s="365" t="str">
        <f t="shared" si="84"/>
        <v/>
      </c>
      <c r="AZ51" s="367"/>
      <c r="BA51" s="258"/>
      <c r="BB51" s="258"/>
      <c r="BC51" s="330"/>
      <c r="BD51" s="330"/>
      <c r="BE51" s="330" t="e">
        <f t="shared" si="85"/>
        <v>#VALUE!</v>
      </c>
      <c r="BF51" s="330" t="e">
        <f t="shared" si="86"/>
        <v>#VALUE!</v>
      </c>
      <c r="BG51" s="330" t="e">
        <f t="shared" si="87"/>
        <v>#VALUE!</v>
      </c>
      <c r="BH51" s="330" t="e">
        <f t="shared" si="88"/>
        <v>#VALUE!</v>
      </c>
      <c r="BI51" s="330"/>
      <c r="BJ51" s="370" cm="1">
        <f t="array" ref="BJ51:BM51">_xlfn.LET(_xlpm.data,$R51:$AV51,_xlpm.starts,{1,8,16,23},_xlpm.lengths,{7,7,8,9},_xlpm.arr,_xlfn.MAP(_xlpm.starts,_xlpm.lengths,_xlfn.LAMBDA(_xlpm.s,_xlpm.l,SUM(INDEX(_xlpm.data,,_xlfn.SEQUENCE(,_xlpm.l,_xlpm.s))))),ROUND(_xlpm.arr*$O51/1000,2))</f>
        <v>0</v>
      </c>
      <c r="BK51" s="330">
        <v>0</v>
      </c>
      <c r="BL51" s="330">
        <v>0</v>
      </c>
      <c r="BM51" s="330">
        <v>0</v>
      </c>
      <c r="BN51" s="258">
        <f t="shared" si="89"/>
        <v>0</v>
      </c>
      <c r="BO51" s="258">
        <v>0</v>
      </c>
      <c r="BP51" s="258">
        <v>0</v>
      </c>
      <c r="BQ51" s="258">
        <v>0</v>
      </c>
      <c r="BR51" s="258">
        <v>0</v>
      </c>
      <c r="BS51" s="115"/>
      <c r="BT51" s="258" cm="1">
        <f ca="1" t="array" ref="BT51:BW51">_xlfn.HSTACK(SUM(INDEX($R51:$AV51,1,1):INDEX($R51:$AV51,1,7)),SUM(INDEX($R51:$AV51,1,7):INDEX($R51:$AV51,1,13)),SUM(INDEX($R51:$AV51,1,16):INDEX($R51:$AV51,1,23)),SUM(INDEX($R51:$AV51,1,23):INDEX($R51:$AV51,1,31)))</f>
        <v>0</v>
      </c>
      <c r="BU51" s="258">
        <v>0</v>
      </c>
      <c r="BV51" s="258">
        <v>0</v>
      </c>
      <c r="BW51" s="258">
        <v>0</v>
      </c>
      <c r="BY51" s="258">
        <f t="shared" si="21"/>
        <v>0</v>
      </c>
      <c r="BZ51" s="258">
        <f t="shared" si="22"/>
        <v>0</v>
      </c>
      <c r="CA51" s="258">
        <f t="shared" si="23"/>
        <v>0</v>
      </c>
      <c r="CB51" s="258">
        <f t="shared" si="24"/>
        <v>0</v>
      </c>
      <c r="CD51" s="113"/>
      <c r="CE51" s="258">
        <f t="shared" si="94"/>
        <v>0</v>
      </c>
      <c r="CF51" s="258">
        <f t="shared" si="95"/>
        <v>0</v>
      </c>
      <c r="CG51" s="258">
        <f t="shared" si="96"/>
        <v>0</v>
      </c>
      <c r="CH51" s="258">
        <f t="shared" si="97"/>
        <v>0</v>
      </c>
      <c r="CI51" s="258">
        <f t="shared" si="91"/>
        <v>0</v>
      </c>
      <c r="CJ51" s="113"/>
      <c r="CK51" s="258">
        <f t="shared" ref="CK51:CN51" si="116">IFERROR(ROUND(BY51*$P51,2),"")</f>
        <v>0</v>
      </c>
      <c r="CL51" s="258">
        <f t="shared" si="116"/>
        <v>0</v>
      </c>
      <c r="CM51" s="258">
        <f t="shared" si="116"/>
        <v>0</v>
      </c>
      <c r="CN51" s="258">
        <f t="shared" si="116"/>
        <v>0</v>
      </c>
      <c r="CO51" s="258">
        <f t="shared" si="18"/>
        <v>0</v>
      </c>
    </row>
    <row r="52" customFormat="1" ht="17.6" spans="1:95">
      <c r="A52" s="330"/>
      <c r="B52" s="334" t="str">
        <f>_xlfn.XLOOKUP(G52,销售需求表!A:A,销售需求表!C:C)</f>
        <v>北美</v>
      </c>
      <c r="C52" s="335" t="str">
        <f t="shared" si="19"/>
        <v>24.5</v>
      </c>
      <c r="D52" s="334" t="str">
        <f t="shared" si="79"/>
        <v>北美24.5寸</v>
      </c>
      <c r="E52" s="339" t="str">
        <f t="shared" si="66"/>
        <v>11R24.5-16PR(149/146L)-HF1 PlusX</v>
      </c>
      <c r="F52" s="340" t="str">
        <f t="shared" si="93"/>
        <v>11R24.5-16PR-HF1 PlusX</v>
      </c>
      <c r="G52" s="341" t="s">
        <v>409</v>
      </c>
      <c r="H52" s="334">
        <v>300</v>
      </c>
      <c r="I52" s="345"/>
      <c r="J52" s="346" t="str">
        <f t="shared" si="113"/>
        <v>11R24.5-HF1 PlusX</v>
      </c>
      <c r="K52" s="347" t="str">
        <f>_xlfn.XLOOKUP(F52,投产规格!E:E,投产规格!D:D,"未投产")</f>
        <v>✔</v>
      </c>
      <c r="L52" s="347">
        <f>IFERROR(_xlfn.XLOOKUP(F52,硫化工艺!B:B,硫化工艺!C:C),"")</f>
        <v>36</v>
      </c>
      <c r="M52" s="349">
        <f t="shared" si="80"/>
        <v>0.860557768924303</v>
      </c>
      <c r="N52" s="347" t="str">
        <f t="shared" si="53"/>
        <v>24.5全钢</v>
      </c>
      <c r="O52" s="347">
        <f>IFERROR(_xlfn.XLOOKUP(F52,轮胎重量!J:J,轮胎重量!G:G),"")</f>
        <v>54.577</v>
      </c>
      <c r="P52" s="350">
        <f>O52*13.9</f>
        <v>758.6203</v>
      </c>
      <c r="Q52" s="347">
        <f t="shared" si="81"/>
        <v>0</v>
      </c>
      <c r="R52" s="347"/>
      <c r="S52" s="347"/>
      <c r="T52" s="347"/>
      <c r="U52" s="347"/>
      <c r="V52" s="347"/>
      <c r="W52" s="347"/>
      <c r="X52" s="347"/>
      <c r="Y52" s="347"/>
      <c r="Z52" s="347"/>
      <c r="AA52" s="347">
        <v>60</v>
      </c>
      <c r="AB52" s="347">
        <v>60</v>
      </c>
      <c r="AC52" s="347">
        <v>60</v>
      </c>
      <c r="AD52" s="347">
        <v>60</v>
      </c>
      <c r="AE52" s="347">
        <v>60</v>
      </c>
      <c r="AF52" s="347">
        <v>60</v>
      </c>
      <c r="AG52" s="347"/>
      <c r="AH52" s="347"/>
      <c r="AI52" s="347"/>
      <c r="AJ52" s="347"/>
      <c r="AK52" s="347"/>
      <c r="AL52" s="347"/>
      <c r="AM52" s="347"/>
      <c r="AN52" s="347"/>
      <c r="AO52" s="347"/>
      <c r="AP52" s="347"/>
      <c r="AQ52" s="347"/>
      <c r="AR52" s="347"/>
      <c r="AS52" s="347"/>
      <c r="AT52" s="347"/>
      <c r="AU52" s="347"/>
      <c r="AV52" s="347"/>
      <c r="AW52" s="347">
        <f t="shared" si="82"/>
        <v>360</v>
      </c>
      <c r="AX52" s="365">
        <f t="shared" si="83"/>
        <v>19.64772</v>
      </c>
      <c r="AY52" s="365">
        <f t="shared" si="84"/>
        <v>27.31</v>
      </c>
      <c r="AZ52" s="367"/>
      <c r="BA52" s="258"/>
      <c r="BB52" s="258"/>
      <c r="BC52" s="330"/>
      <c r="BD52" s="330"/>
      <c r="BE52" s="330">
        <f t="shared" si="85"/>
        <v>0</v>
      </c>
      <c r="BF52" s="330">
        <f t="shared" si="86"/>
        <v>0</v>
      </c>
      <c r="BG52" s="330">
        <f t="shared" si="87"/>
        <v>0</v>
      </c>
      <c r="BH52" s="330">
        <f t="shared" si="88"/>
        <v>0</v>
      </c>
      <c r="BI52" s="330"/>
      <c r="BJ52" s="370" cm="1">
        <f t="array" ref="BJ52:BM52">_xlfn.LET(_xlpm.data,$R52:$AV52,_xlpm.starts,{1,8,16,23},_xlpm.lengths,{7,7,8,9},_xlpm.arr,_xlfn.MAP(_xlpm.starts,_xlpm.lengths,_xlfn.LAMBDA(_xlpm.s,_xlpm.l,SUM(INDEX(_xlpm.data,,_xlfn.SEQUENCE(,_xlpm.l,_xlpm.s))))),ROUND(_xlpm.arr*$O52/1000,2))</f>
        <v>0</v>
      </c>
      <c r="BK52" s="330">
        <v>16.37</v>
      </c>
      <c r="BL52" s="330">
        <v>0</v>
      </c>
      <c r="BM52" s="330">
        <v>0</v>
      </c>
      <c r="BN52" s="258">
        <f t="shared" si="89"/>
        <v>16.37</v>
      </c>
      <c r="BO52" s="258">
        <v>0</v>
      </c>
      <c r="BP52" s="258">
        <v>0</v>
      </c>
      <c r="BQ52" s="258">
        <v>0</v>
      </c>
      <c r="BR52" s="258">
        <v>0</v>
      </c>
      <c r="BS52" s="115"/>
      <c r="BT52" s="258" cm="1">
        <f ca="1" t="array" ref="BT52:BW52">_xlfn.HSTACK(SUM(INDEX($R52:$AV52,1,1):INDEX($R52:$AV52,1,7)),SUM(INDEX($R52:$AV52,1,7):INDEX($R52:$AV52,1,13)),SUM(INDEX($R52:$AV52,1,16):INDEX($R52:$AV52,1,23)),SUM(INDEX($R52:$AV52,1,23):INDEX($R52:$AV52,1,31)))</f>
        <v>0</v>
      </c>
      <c r="BU52" s="258">
        <v>240</v>
      </c>
      <c r="BV52" s="258">
        <v>0</v>
      </c>
      <c r="BW52" s="258">
        <v>0</v>
      </c>
      <c r="BY52" s="258">
        <f t="shared" si="21"/>
        <v>0</v>
      </c>
      <c r="BZ52" s="258">
        <f t="shared" si="22"/>
        <v>300</v>
      </c>
      <c r="CA52" s="258">
        <f t="shared" si="23"/>
        <v>60</v>
      </c>
      <c r="CB52" s="258">
        <f t="shared" si="24"/>
        <v>0</v>
      </c>
      <c r="CC52" s="258"/>
      <c r="CD52" s="113"/>
      <c r="CE52" s="258">
        <f t="shared" si="94"/>
        <v>0</v>
      </c>
      <c r="CF52" s="258">
        <f t="shared" si="95"/>
        <v>16.37</v>
      </c>
      <c r="CG52" s="258">
        <f t="shared" si="96"/>
        <v>3.27</v>
      </c>
      <c r="CH52" s="258">
        <f t="shared" si="97"/>
        <v>0</v>
      </c>
      <c r="CI52" s="258">
        <f t="shared" si="91"/>
        <v>19.64</v>
      </c>
      <c r="CJ52" s="113"/>
      <c r="CK52" s="258">
        <f t="shared" ref="CK52:CN52" si="117">IFERROR(ROUND(BY52*$P52,2),"")</f>
        <v>0</v>
      </c>
      <c r="CL52" s="258">
        <f t="shared" si="117"/>
        <v>227586.09</v>
      </c>
      <c r="CM52" s="258">
        <f t="shared" si="117"/>
        <v>45517.22</v>
      </c>
      <c r="CN52" s="258">
        <f t="shared" si="117"/>
        <v>0</v>
      </c>
      <c r="CO52" s="258">
        <f t="shared" si="18"/>
        <v>273103.31</v>
      </c>
      <c r="CP52" s="258" t="e">
        <f>VLOOKUP(G52,[2]Sheet1!$C$3:$G$310,5,0)</f>
        <v>#N/A</v>
      </c>
      <c r="CQ52" s="258">
        <f>VLOOKUP(G52,[3]KCBB0101!$C$3:$F$691,4,0)</f>
        <v>4200</v>
      </c>
    </row>
    <row r="53" ht="17.6" spans="2:95">
      <c r="B53" s="334" t="str">
        <f>_xlfn.XLOOKUP(G53,销售需求表!A:A,销售需求表!C:C)</f>
        <v>北美</v>
      </c>
      <c r="C53" s="335" t="str">
        <f t="shared" si="19"/>
        <v>24.5</v>
      </c>
      <c r="D53" s="334" t="str">
        <f t="shared" si="79"/>
        <v>北美24.5寸</v>
      </c>
      <c r="E53" s="339" t="str">
        <f t="shared" si="66"/>
        <v>11R24.5-16PR(149/146L)-I-37D</v>
      </c>
      <c r="F53" s="340" t="str">
        <f t="shared" si="93"/>
        <v>11R24.5-16PR-I-37D</v>
      </c>
      <c r="G53" s="341" t="s">
        <v>410</v>
      </c>
      <c r="H53" s="334">
        <v>280</v>
      </c>
      <c r="I53" s="345"/>
      <c r="J53" s="346" t="str">
        <f t="shared" si="113"/>
        <v>11R24.5-I-37D</v>
      </c>
      <c r="K53" s="347" t="str">
        <f>_xlfn.XLOOKUP(F53,投产规格!E:E,投产规格!D:D,"未投产")</f>
        <v>✔</v>
      </c>
      <c r="L53" s="347">
        <f>IFERROR(_xlfn.XLOOKUP(F53,硫化工艺!B:B,硫化工艺!C:C),"")</f>
        <v>44</v>
      </c>
      <c r="M53" s="349">
        <f t="shared" si="80"/>
        <v>0.882943143812709</v>
      </c>
      <c r="N53" s="347" t="str">
        <f t="shared" si="53"/>
        <v>24.5全钢</v>
      </c>
      <c r="O53" s="347">
        <f>IFERROR(_xlfn.XLOOKUP(F53,轮胎重量!J:J,轮胎重量!G:G),"")</f>
        <v>61.058</v>
      </c>
      <c r="P53" s="347">
        <f>IFERROR(_xlfn.XLOOKUP(G53,硫化工艺!I:I,硫化工艺!J:J),"")</f>
        <v>890.6436</v>
      </c>
      <c r="Q53" s="347">
        <f t="shared" si="81"/>
        <v>0</v>
      </c>
      <c r="R53" s="347"/>
      <c r="S53" s="347"/>
      <c r="T53" s="347"/>
      <c r="U53" s="347"/>
      <c r="V53" s="347"/>
      <c r="W53" s="347"/>
      <c r="X53" s="347"/>
      <c r="Y53" s="347"/>
      <c r="Z53" s="347"/>
      <c r="AA53" s="347"/>
      <c r="AB53" s="347"/>
      <c r="AC53" s="347">
        <v>60</v>
      </c>
      <c r="AD53" s="347">
        <v>60</v>
      </c>
      <c r="AE53" s="347">
        <v>60</v>
      </c>
      <c r="AF53" s="347">
        <v>60</v>
      </c>
      <c r="AG53" s="347"/>
      <c r="AH53" s="347"/>
      <c r="AI53" s="347"/>
      <c r="AJ53" s="347"/>
      <c r="AK53" s="347"/>
      <c r="AL53" s="347"/>
      <c r="AM53" s="347"/>
      <c r="AN53" s="347"/>
      <c r="AO53" s="347"/>
      <c r="AP53" s="347"/>
      <c r="AQ53" s="347"/>
      <c r="AR53" s="347"/>
      <c r="AS53" s="347"/>
      <c r="AT53" s="347"/>
      <c r="AU53" s="347"/>
      <c r="AV53" s="347"/>
      <c r="AW53" s="347">
        <f t="shared" si="82"/>
        <v>240</v>
      </c>
      <c r="AX53" s="365">
        <f t="shared" si="83"/>
        <v>14.65392</v>
      </c>
      <c r="AY53" s="365">
        <f t="shared" si="84"/>
        <v>21.375</v>
      </c>
      <c r="AZ53" s="366">
        <v>459.15</v>
      </c>
      <c r="BA53" s="368">
        <v>29.49</v>
      </c>
      <c r="BB53" s="368">
        <v>50.29</v>
      </c>
      <c r="BC53" s="368">
        <v>52.01</v>
      </c>
      <c r="BE53" s="330">
        <f t="shared" si="85"/>
        <v>110196</v>
      </c>
      <c r="BF53" s="330">
        <f t="shared" si="86"/>
        <v>7077.6</v>
      </c>
      <c r="BG53" s="330">
        <f t="shared" si="87"/>
        <v>12069.6</v>
      </c>
      <c r="BH53" s="330">
        <f t="shared" si="88"/>
        <v>12482.4</v>
      </c>
      <c r="BJ53" s="370" cm="1">
        <f t="array" ref="BJ53:BM53">_xlfn.LET(_xlpm.data,$R53:$AV53,_xlpm.starts,{1,8,16,23},_xlpm.lengths,{7,7,8,9},_xlpm.arr,_xlfn.MAP(_xlpm.starts,_xlpm.lengths,_xlfn.LAMBDA(_xlpm.s,_xlpm.l,SUM(INDEX(_xlpm.data,,_xlfn.SEQUENCE(,_xlpm.l,_xlpm.s))))),ROUND(_xlpm.arr*$O53/1000,2))</f>
        <v>0</v>
      </c>
      <c r="BK53" s="330">
        <v>10.99</v>
      </c>
      <c r="BL53" s="330">
        <v>0</v>
      </c>
      <c r="BM53" s="330">
        <v>0</v>
      </c>
      <c r="BN53" s="258">
        <f t="shared" si="89"/>
        <v>10.99</v>
      </c>
      <c r="BO53" s="258">
        <v>0</v>
      </c>
      <c r="BP53" s="258">
        <v>0</v>
      </c>
      <c r="BQ53" s="258">
        <v>0</v>
      </c>
      <c r="BR53" s="258">
        <v>0</v>
      </c>
      <c r="BT53" s="258" cm="1">
        <f ca="1" t="array" ref="BT53:BW53">_xlfn.HSTACK(SUM(INDEX($R53:$AV53,1,1):INDEX($R53:$AV53,1,7)),SUM(INDEX($R53:$AV53,1,7):INDEX($R53:$AV53,1,13)),SUM(INDEX($R53:$AV53,1,16):INDEX($R53:$AV53,1,23)),SUM(INDEX($R53:$AV53,1,23):INDEX($R53:$AV53,1,31)))</f>
        <v>0</v>
      </c>
      <c r="BU53" s="258">
        <v>120</v>
      </c>
      <c r="BV53" s="258">
        <v>0</v>
      </c>
      <c r="BW53" s="258">
        <v>0</v>
      </c>
      <c r="BY53" s="258">
        <f t="shared" si="21"/>
        <v>0</v>
      </c>
      <c r="BZ53" s="258">
        <f t="shared" si="22"/>
        <v>180</v>
      </c>
      <c r="CA53" s="258">
        <f t="shared" si="23"/>
        <v>60</v>
      </c>
      <c r="CB53" s="258">
        <f t="shared" si="24"/>
        <v>0</v>
      </c>
      <c r="CE53" s="258">
        <f t="shared" si="94"/>
        <v>0</v>
      </c>
      <c r="CF53" s="258">
        <f t="shared" si="95"/>
        <v>10.99</v>
      </c>
      <c r="CG53" s="258">
        <f t="shared" si="96"/>
        <v>3.66</v>
      </c>
      <c r="CH53" s="258">
        <f t="shared" si="97"/>
        <v>0</v>
      </c>
      <c r="CI53" s="258">
        <f t="shared" si="91"/>
        <v>14.65</v>
      </c>
      <c r="CK53" s="258">
        <f t="shared" ref="CK53:CN53" si="118">IFERROR(ROUND(BY53*$P53,2),"")</f>
        <v>0</v>
      </c>
      <c r="CL53" s="258">
        <f t="shared" si="118"/>
        <v>160315.85</v>
      </c>
      <c r="CM53" s="258">
        <f t="shared" si="118"/>
        <v>53438.62</v>
      </c>
      <c r="CN53" s="258">
        <f t="shared" si="118"/>
        <v>0</v>
      </c>
      <c r="CO53" s="258">
        <f t="shared" si="18"/>
        <v>213754.47</v>
      </c>
      <c r="CP53" s="258">
        <f>VLOOKUP(G53,[2]Sheet1!$C$3:$G$310,5,0)</f>
        <v>13000</v>
      </c>
      <c r="CQ53" s="258" t="e">
        <f>VLOOKUP(G53,[3]KCBB0101!$C$3:$F$691,4,0)</f>
        <v>#N/A</v>
      </c>
    </row>
    <row r="54" ht="17.6" spans="2:95">
      <c r="B54" s="334" t="str">
        <f>_xlfn.XLOOKUP(G54,销售需求表!A:A,销售需求表!C:C)</f>
        <v>北美</v>
      </c>
      <c r="C54" s="335" t="str">
        <f t="shared" si="19"/>
        <v>24.5</v>
      </c>
      <c r="D54" s="334" t="str">
        <f t="shared" si="79"/>
        <v>北美24.5寸</v>
      </c>
      <c r="E54" s="339" t="str">
        <f t="shared" si="66"/>
        <v>11R24.5-16PR(149/146L)-KOBE APM</v>
      </c>
      <c r="F54" s="340" t="str">
        <f t="shared" si="93"/>
        <v>11R24.5-16PR-KOBE APM</v>
      </c>
      <c r="G54" s="341" t="s">
        <v>665</v>
      </c>
      <c r="H54" s="334">
        <v>380</v>
      </c>
      <c r="I54" s="345"/>
      <c r="J54" s="346" t="str">
        <f t="shared" si="113"/>
        <v>11R24.5-KOBE APM</v>
      </c>
      <c r="K54" s="347" t="str">
        <f>_xlfn.XLOOKUP(F54,投产规格!E:E,投产规格!D:D,"未投产")</f>
        <v>✔</v>
      </c>
      <c r="L54" s="347">
        <f>IFERROR(_xlfn.XLOOKUP(F54,硫化工艺!B:B,硫化工艺!C:C),"")</f>
        <v>36</v>
      </c>
      <c r="M54" s="349">
        <f t="shared" si="80"/>
        <v>0.860557768924303</v>
      </c>
      <c r="N54" s="347" t="str">
        <f t="shared" si="53"/>
        <v>24.5全钢</v>
      </c>
      <c r="O54" s="347">
        <f>IFERROR(_xlfn.XLOOKUP(F54,轮胎重量!J:J,轮胎重量!G:G),"")</f>
        <v>54.577</v>
      </c>
      <c r="P54" s="347">
        <f>IFERROR(_xlfn.XLOOKUP(G54,硫化工艺!I:I,硫化工艺!J:J),"")</f>
        <v>750.293096</v>
      </c>
      <c r="Q54" s="347">
        <f t="shared" si="81"/>
        <v>0</v>
      </c>
      <c r="R54" s="347"/>
      <c r="S54" s="347"/>
      <c r="T54" s="347"/>
      <c r="U54" s="347"/>
      <c r="V54" s="347"/>
      <c r="W54" s="347">
        <v>130</v>
      </c>
      <c r="X54" s="347">
        <v>130</v>
      </c>
      <c r="Y54" s="347">
        <v>130</v>
      </c>
      <c r="Z54" s="347">
        <v>130</v>
      </c>
      <c r="AA54" s="347"/>
      <c r="AB54" s="347"/>
      <c r="AC54" s="347"/>
      <c r="AD54" s="347"/>
      <c r="AE54" s="347"/>
      <c r="AF54" s="347"/>
      <c r="AG54" s="347"/>
      <c r="AH54" s="347"/>
      <c r="AI54" s="347"/>
      <c r="AJ54" s="347"/>
      <c r="AK54" s="347"/>
      <c r="AL54" s="347"/>
      <c r="AM54" s="347"/>
      <c r="AN54" s="347"/>
      <c r="AO54" s="347"/>
      <c r="AP54" s="347"/>
      <c r="AQ54" s="347"/>
      <c r="AR54" s="347"/>
      <c r="AS54" s="347"/>
      <c r="AT54" s="347"/>
      <c r="AU54" s="347"/>
      <c r="AV54" s="347"/>
      <c r="AW54" s="347">
        <f t="shared" si="82"/>
        <v>520</v>
      </c>
      <c r="AX54" s="365">
        <f t="shared" si="83"/>
        <v>28.38004</v>
      </c>
      <c r="AY54" s="365">
        <f t="shared" si="84"/>
        <v>39.015</v>
      </c>
      <c r="AZ54" s="366">
        <v>459.15</v>
      </c>
      <c r="BA54" s="368">
        <v>29.49</v>
      </c>
      <c r="BB54" s="368">
        <v>50.29</v>
      </c>
      <c r="BC54" s="368">
        <v>52.01</v>
      </c>
      <c r="BE54" s="330">
        <f t="shared" si="85"/>
        <v>238758</v>
      </c>
      <c r="BF54" s="330">
        <f t="shared" si="86"/>
        <v>15334.8</v>
      </c>
      <c r="BG54" s="330">
        <f t="shared" si="87"/>
        <v>26150.8</v>
      </c>
      <c r="BH54" s="330">
        <f t="shared" si="88"/>
        <v>27045.2</v>
      </c>
      <c r="BJ54" s="370" cm="1">
        <f t="array" ref="BJ54:BM54">_xlfn.LET(_xlpm.data,$R54:$AV54,_xlpm.starts,{1,8,16,23},_xlpm.lengths,{7,7,8,9},_xlpm.arr,_xlfn.MAP(_xlpm.starts,_xlpm.lengths,_xlfn.LAMBDA(_xlpm.s,_xlpm.l,SUM(INDEX(_xlpm.data,,_xlfn.SEQUENCE(,_xlpm.l,_xlpm.s))))),ROUND(_xlpm.arr*$O54/1000,2))</f>
        <v>14.19</v>
      </c>
      <c r="BK54" s="330">
        <v>14.19</v>
      </c>
      <c r="BL54" s="330">
        <v>0</v>
      </c>
      <c r="BM54" s="330">
        <v>0</v>
      </c>
      <c r="BN54" s="258">
        <f t="shared" si="89"/>
        <v>28.38</v>
      </c>
      <c r="BO54" s="258">
        <v>0</v>
      </c>
      <c r="BP54" s="258">
        <v>0</v>
      </c>
      <c r="BQ54" s="258">
        <v>0</v>
      </c>
      <c r="BR54" s="258">
        <v>0</v>
      </c>
      <c r="BT54" s="258" cm="1">
        <f ca="1" t="array" ref="BT54:BW54">_xlfn.HSTACK(SUM(INDEX($R54:$AV54,1,1):INDEX($R54:$AV54,1,7)),SUM(INDEX($R54:$AV54,1,7):INDEX($R54:$AV54,1,13)),SUM(INDEX($R54:$AV54,1,16):INDEX($R54:$AV54,1,23)),SUM(INDEX($R54:$AV54,1,23):INDEX($R54:$AV54,1,31)))</f>
        <v>260</v>
      </c>
      <c r="BU54" s="258">
        <v>390</v>
      </c>
      <c r="BV54" s="258">
        <v>0</v>
      </c>
      <c r="BW54" s="258">
        <v>0</v>
      </c>
      <c r="BY54" s="258">
        <f t="shared" si="21"/>
        <v>260</v>
      </c>
      <c r="BZ54" s="258">
        <f t="shared" si="22"/>
        <v>260</v>
      </c>
      <c r="CA54" s="258">
        <f t="shared" si="23"/>
        <v>0</v>
      </c>
      <c r="CB54" s="258">
        <f t="shared" si="24"/>
        <v>0</v>
      </c>
      <c r="CE54" s="258">
        <f t="shared" si="94"/>
        <v>14.19</v>
      </c>
      <c r="CF54" s="258">
        <f t="shared" si="95"/>
        <v>14.19</v>
      </c>
      <c r="CG54" s="258">
        <f t="shared" si="96"/>
        <v>0</v>
      </c>
      <c r="CH54" s="258">
        <f t="shared" si="97"/>
        <v>0</v>
      </c>
      <c r="CI54" s="258">
        <f t="shared" si="91"/>
        <v>28.38</v>
      </c>
      <c r="CK54" s="258">
        <f t="shared" ref="CK54:CN54" si="119">IFERROR(ROUND(BY54*$P54,2),"")</f>
        <v>195076.2</v>
      </c>
      <c r="CL54" s="258">
        <f t="shared" si="119"/>
        <v>195076.2</v>
      </c>
      <c r="CM54" s="258">
        <f t="shared" si="119"/>
        <v>0</v>
      </c>
      <c r="CN54" s="258">
        <f t="shared" si="119"/>
        <v>0</v>
      </c>
      <c r="CO54" s="258">
        <f t="shared" si="18"/>
        <v>390152.4</v>
      </c>
      <c r="CP54" s="258" t="e">
        <f>VLOOKUP(G54,[2]Sheet1!$C$3:$G$310,5,0)</f>
        <v>#N/A</v>
      </c>
      <c r="CQ54" s="258">
        <f>VLOOKUP(G54,[3]KCBB0101!$C$3:$F$691,4,0)</f>
        <v>3251</v>
      </c>
    </row>
    <row r="55" ht="17.6" spans="2:95">
      <c r="B55" s="334" t="str">
        <f>_xlfn.XLOOKUP(G55,销售需求表!A:A,销售需求表!C:C)</f>
        <v>北美</v>
      </c>
      <c r="C55" s="335" t="str">
        <f t="shared" si="19"/>
        <v>24.5</v>
      </c>
      <c r="D55" s="334" t="str">
        <f t="shared" si="79"/>
        <v>北美24.5寸</v>
      </c>
      <c r="E55" s="339" t="str">
        <f t="shared" ref="E55:E77" si="120">LEFT(REPLACE(G55,1,2,""),FIND("[",REPLACE(G55,1,2,""))-1)&amp;"-"&amp;MID(REPLACE(G55,1,2,""),FIND("[",REPLACE(G55,1,2,""))+1,FIND("]",REPLACE(G55,1,2,""))-FIND("[",REPLACE(G55,1,2,""))-1)</f>
        <v>11R24.5-16PR(149/146L)-KOBE DPM</v>
      </c>
      <c r="F55" s="340" t="str">
        <f t="shared" si="93"/>
        <v>11R24.5-16PR-KOBE DPM</v>
      </c>
      <c r="G55" s="341" t="s">
        <v>411</v>
      </c>
      <c r="H55" s="334">
        <v>1900</v>
      </c>
      <c r="I55" s="345">
        <v>4</v>
      </c>
      <c r="J55" s="346" t="str">
        <f t="shared" ref="J55:J66" si="121">IFERROR(LEFT(F55,FIND("-",F55))&amp;MID(F55,FIND("PR",F55,FIND("-",F55))+3,LEN(F55)),F55)</f>
        <v>11R24.5-KOBE DPM</v>
      </c>
      <c r="K55" s="347" t="str">
        <f>_xlfn.XLOOKUP(F55,投产规格!E:E,投产规格!D:D,"未投产")</f>
        <v>✔</v>
      </c>
      <c r="L55" s="347">
        <f>IFERROR(_xlfn.XLOOKUP(F55,硫化工艺!B:B,硫化工艺!C:C),"")</f>
        <v>36</v>
      </c>
      <c r="M55" s="349">
        <f t="shared" si="80"/>
        <v>0.860557768924303</v>
      </c>
      <c r="N55" s="347" t="str">
        <f t="shared" si="53"/>
        <v>24.5全钢</v>
      </c>
      <c r="O55" s="347">
        <f>IFERROR(_xlfn.XLOOKUP(F55,轮胎重量!J:J,轮胎重量!G:G),"")</f>
        <v>58.563</v>
      </c>
      <c r="P55" s="347">
        <f>IFERROR(_xlfn.XLOOKUP(G55,硫化工艺!I:I,硫化工艺!J:J),"")</f>
        <v>800.68198</v>
      </c>
      <c r="Q55" s="347">
        <f t="shared" si="81"/>
        <v>138</v>
      </c>
      <c r="R55" s="347">
        <v>130</v>
      </c>
      <c r="S55" s="347">
        <v>130</v>
      </c>
      <c r="T55" s="347">
        <v>130</v>
      </c>
      <c r="U55" s="347">
        <v>130</v>
      </c>
      <c r="V55" s="347">
        <v>130</v>
      </c>
      <c r="W55" s="347">
        <v>130</v>
      </c>
      <c r="X55" s="347">
        <v>130</v>
      </c>
      <c r="Y55" s="347">
        <v>130</v>
      </c>
      <c r="Z55" s="347">
        <v>130</v>
      </c>
      <c r="AA55" s="347">
        <v>130</v>
      </c>
      <c r="AB55" s="347">
        <v>130</v>
      </c>
      <c r="AC55" s="347">
        <v>130</v>
      </c>
      <c r="AD55" s="347">
        <v>130</v>
      </c>
      <c r="AE55" s="347">
        <v>130</v>
      </c>
      <c r="AF55" s="347">
        <v>130</v>
      </c>
      <c r="AG55" s="347"/>
      <c r="AH55" s="347"/>
      <c r="AI55" s="347"/>
      <c r="AJ55" s="347"/>
      <c r="AK55" s="347"/>
      <c r="AL55" s="347"/>
      <c r="AM55" s="347"/>
      <c r="AN55" s="347"/>
      <c r="AO55" s="347"/>
      <c r="AP55" s="347"/>
      <c r="AQ55" s="347"/>
      <c r="AR55" s="347"/>
      <c r="AS55" s="347"/>
      <c r="AT55" s="347"/>
      <c r="AU55" s="347"/>
      <c r="AV55" s="347"/>
      <c r="AW55" s="347">
        <f t="shared" si="82"/>
        <v>1950</v>
      </c>
      <c r="AX55" s="365">
        <f t="shared" si="83"/>
        <v>114.19785</v>
      </c>
      <c r="AY55" s="365">
        <f t="shared" si="84"/>
        <v>156.133</v>
      </c>
      <c r="AZ55" s="366">
        <v>459.15</v>
      </c>
      <c r="BA55" s="368">
        <v>29.49</v>
      </c>
      <c r="BB55" s="368">
        <v>50.29</v>
      </c>
      <c r="BC55" s="368">
        <v>52.01</v>
      </c>
      <c r="BE55" s="330">
        <f t="shared" si="85"/>
        <v>895342.5</v>
      </c>
      <c r="BF55" s="330">
        <f t="shared" si="86"/>
        <v>57505.5</v>
      </c>
      <c r="BG55" s="330">
        <f t="shared" si="87"/>
        <v>98065.5</v>
      </c>
      <c r="BH55" s="330">
        <f t="shared" si="88"/>
        <v>101419.5</v>
      </c>
      <c r="BJ55" s="370" cm="1">
        <f t="array" ref="BJ55:BM55">_xlfn.LET(_xlpm.data,$R55:$AV55,_xlpm.starts,{1,8,16,23},_xlpm.lengths,{7,7,8,9},_xlpm.arr,_xlfn.MAP(_xlpm.starts,_xlpm.lengths,_xlfn.LAMBDA(_xlpm.s,_xlpm.l,SUM(INDEX(_xlpm.data,,_xlfn.SEQUENCE(,_xlpm.l,_xlpm.s))))),ROUND(_xlpm.arr*$O55/1000,2))</f>
        <v>53.29</v>
      </c>
      <c r="BK55" s="330">
        <v>53.29</v>
      </c>
      <c r="BL55" s="330">
        <v>0</v>
      </c>
      <c r="BM55" s="330">
        <v>0</v>
      </c>
      <c r="BN55" s="258">
        <f t="shared" si="89"/>
        <v>106.58</v>
      </c>
      <c r="BO55" s="258">
        <v>0</v>
      </c>
      <c r="BP55" s="258">
        <v>0</v>
      </c>
      <c r="BQ55" s="258">
        <v>0</v>
      </c>
      <c r="BR55" s="258">
        <v>0</v>
      </c>
      <c r="BT55" s="258" cm="1">
        <f ca="1" t="array" ref="BT55:BW55">_xlfn.HSTACK(SUM(INDEX($R55:$AV55,1,1):INDEX($R55:$AV55,1,7)),SUM(INDEX($R55:$AV55,1,7):INDEX($R55:$AV55,1,13)),SUM(INDEX($R55:$AV55,1,16):INDEX($R55:$AV55,1,23)),SUM(INDEX($R55:$AV55,1,23):INDEX($R55:$AV55,1,31)))</f>
        <v>910</v>
      </c>
      <c r="BU55" s="258">
        <v>910</v>
      </c>
      <c r="BV55" s="258">
        <v>0</v>
      </c>
      <c r="BW55" s="258">
        <v>0</v>
      </c>
      <c r="BY55" s="258">
        <f t="shared" si="21"/>
        <v>910</v>
      </c>
      <c r="BZ55" s="258">
        <f t="shared" si="22"/>
        <v>910</v>
      </c>
      <c r="CA55" s="258">
        <f t="shared" si="23"/>
        <v>130</v>
      </c>
      <c r="CB55" s="258">
        <f t="shared" si="24"/>
        <v>0</v>
      </c>
      <c r="CE55" s="258">
        <f t="shared" si="94"/>
        <v>53.29</v>
      </c>
      <c r="CF55" s="258">
        <f t="shared" si="95"/>
        <v>53.29</v>
      </c>
      <c r="CG55" s="258">
        <f t="shared" si="96"/>
        <v>7.61</v>
      </c>
      <c r="CH55" s="258">
        <f t="shared" si="97"/>
        <v>0</v>
      </c>
      <c r="CI55" s="258">
        <f t="shared" si="91"/>
        <v>114.19</v>
      </c>
      <c r="CK55" s="258">
        <f t="shared" ref="CK55:CN55" si="122">IFERROR(ROUND(BY55*$P55,2),"")</f>
        <v>728620.6</v>
      </c>
      <c r="CL55" s="258">
        <f t="shared" si="122"/>
        <v>728620.6</v>
      </c>
      <c r="CM55" s="258">
        <f t="shared" si="122"/>
        <v>104088.66</v>
      </c>
      <c r="CN55" s="258">
        <f t="shared" si="122"/>
        <v>0</v>
      </c>
      <c r="CO55" s="258">
        <f t="shared" si="18"/>
        <v>1561329.86</v>
      </c>
      <c r="CP55" s="258" t="e">
        <f>VLOOKUP(G55,[2]Sheet1!$C$3:$G$310,5,0)</f>
        <v>#N/A</v>
      </c>
      <c r="CQ55" s="258">
        <f>VLOOKUP(G55,[3]KCBB0101!$C$3:$F$691,4,0)</f>
        <v>4308</v>
      </c>
    </row>
    <row r="56" ht="17.6" spans="2:95">
      <c r="B56" s="334" t="str">
        <f>_xlfn.XLOOKUP(G56,销售需求表!A:A,销售需求表!C:C)</f>
        <v>北美</v>
      </c>
      <c r="C56" s="335" t="str">
        <f t="shared" si="19"/>
        <v>24.5</v>
      </c>
      <c r="D56" s="334" t="str">
        <f t="shared" si="79"/>
        <v>北美24.5寸</v>
      </c>
      <c r="E56" s="339" t="str">
        <f t="shared" si="120"/>
        <v>11R24.5-16PR(149/146L)-M-TRAC AP</v>
      </c>
      <c r="F56" s="340" t="str">
        <f t="shared" si="93"/>
        <v>11R24.5-16PR-M-TRAC AP</v>
      </c>
      <c r="G56" s="341" t="s">
        <v>412</v>
      </c>
      <c r="H56" s="334">
        <v>2300</v>
      </c>
      <c r="I56" s="345">
        <v>2</v>
      </c>
      <c r="J56" s="346" t="str">
        <f t="shared" si="121"/>
        <v>11R24.5-M-TRAC AP</v>
      </c>
      <c r="K56" s="347" t="str">
        <f>_xlfn.XLOOKUP(F56,投产规格!E:E,投产规格!D:D,"未投产")</f>
        <v>✔</v>
      </c>
      <c r="L56" s="347">
        <f>IFERROR(_xlfn.XLOOKUP(F56,硫化工艺!B:B,硫化工艺!C:C),"")</f>
        <v>37</v>
      </c>
      <c r="M56" s="349">
        <f t="shared" si="80"/>
        <v>0.863813229571984</v>
      </c>
      <c r="N56" s="347" t="str">
        <f t="shared" si="53"/>
        <v>24.5全钢</v>
      </c>
      <c r="O56" s="347">
        <f>IFERROR(_xlfn.XLOOKUP(F56,轮胎重量!J:J,轮胎重量!G:G),"")</f>
        <v>61.2</v>
      </c>
      <c r="P56" s="350">
        <f t="shared" ref="P55:P60" si="123">O56*13.9</f>
        <v>850.68</v>
      </c>
      <c r="Q56" s="347">
        <f t="shared" si="81"/>
        <v>67</v>
      </c>
      <c r="R56" s="347">
        <v>60</v>
      </c>
      <c r="S56" s="347">
        <v>60</v>
      </c>
      <c r="T56" s="347">
        <v>60</v>
      </c>
      <c r="U56" s="347">
        <v>60</v>
      </c>
      <c r="V56" s="347">
        <v>60</v>
      </c>
      <c r="W56" s="347">
        <v>60</v>
      </c>
      <c r="X56" s="347">
        <v>60</v>
      </c>
      <c r="Y56" s="347">
        <v>60</v>
      </c>
      <c r="Z56" s="347">
        <v>60</v>
      </c>
      <c r="AA56" s="347">
        <v>60</v>
      </c>
      <c r="AB56" s="347">
        <v>60</v>
      </c>
      <c r="AC56" s="347">
        <v>60</v>
      </c>
      <c r="AD56" s="347">
        <v>60</v>
      </c>
      <c r="AE56" s="347">
        <v>60</v>
      </c>
      <c r="AF56" s="347">
        <v>60</v>
      </c>
      <c r="AG56" s="347">
        <v>60</v>
      </c>
      <c r="AH56" s="347">
        <v>60</v>
      </c>
      <c r="AI56" s="347">
        <v>60</v>
      </c>
      <c r="AJ56" s="360">
        <v>60</v>
      </c>
      <c r="AK56" s="347"/>
      <c r="AL56" s="347"/>
      <c r="AM56" s="347"/>
      <c r="AN56" s="347"/>
      <c r="AO56" s="347"/>
      <c r="AP56" s="347"/>
      <c r="AQ56" s="347"/>
      <c r="AR56" s="347"/>
      <c r="AS56" s="347"/>
      <c r="AT56" s="347"/>
      <c r="AU56" s="347"/>
      <c r="AV56" s="347"/>
      <c r="AW56" s="347">
        <f t="shared" si="82"/>
        <v>1140</v>
      </c>
      <c r="AX56" s="365">
        <f t="shared" si="83"/>
        <v>69.768</v>
      </c>
      <c r="AY56" s="365">
        <f t="shared" si="84"/>
        <v>96.978</v>
      </c>
      <c r="AZ56" s="366">
        <v>449.18</v>
      </c>
      <c r="BA56" s="368">
        <v>29.42</v>
      </c>
      <c r="BB56" s="368">
        <v>49.09</v>
      </c>
      <c r="BC56" s="368">
        <v>52.13</v>
      </c>
      <c r="BE56" s="330">
        <f t="shared" si="85"/>
        <v>512065.2</v>
      </c>
      <c r="BF56" s="330">
        <f t="shared" si="86"/>
        <v>33538.8</v>
      </c>
      <c r="BG56" s="330">
        <f t="shared" si="87"/>
        <v>55962.6</v>
      </c>
      <c r="BH56" s="330">
        <f t="shared" si="88"/>
        <v>59428.2</v>
      </c>
      <c r="BJ56" s="370" cm="1">
        <f t="array" ref="BJ56:BM56">_xlfn.LET(_xlpm.data,$R56:$AV56,_xlpm.starts,{1,8,16,23},_xlpm.lengths,{7,7,8,9},_xlpm.arr,_xlfn.MAP(_xlpm.starts,_xlpm.lengths,_xlfn.LAMBDA(_xlpm.s,_xlpm.l,SUM(INDEX(_xlpm.data,,_xlfn.SEQUENCE(,_xlpm.l,_xlpm.s))))),ROUND(_xlpm.arr*$O56/1000,2))</f>
        <v>25.7</v>
      </c>
      <c r="BK56" s="330">
        <v>25.7</v>
      </c>
      <c r="BL56" s="330">
        <v>14.69</v>
      </c>
      <c r="BM56" s="330">
        <v>0</v>
      </c>
      <c r="BN56" s="258">
        <f t="shared" si="89"/>
        <v>66.09</v>
      </c>
      <c r="BO56" s="258">
        <v>0</v>
      </c>
      <c r="BP56" s="258">
        <v>0</v>
      </c>
      <c r="BQ56" s="258">
        <v>0</v>
      </c>
      <c r="BR56" s="258">
        <v>0</v>
      </c>
      <c r="BT56" s="258" cm="1">
        <f ca="1" t="array" ref="BT56:BW56">_xlfn.HSTACK(SUM(INDEX($R56:$AV56,1,1):INDEX($R56:$AV56,1,7)),SUM(INDEX($R56:$AV56,1,7):INDEX($R56:$AV56,1,13)),SUM(INDEX($R56:$AV56,1,16):INDEX($R56:$AV56,1,23)),SUM(INDEX($R56:$AV56,1,23):INDEX($R56:$AV56,1,31)))</f>
        <v>420</v>
      </c>
      <c r="BU56" s="258">
        <v>420</v>
      </c>
      <c r="BV56" s="258">
        <v>240</v>
      </c>
      <c r="BW56" s="258">
        <v>0</v>
      </c>
      <c r="BY56" s="258">
        <f t="shared" si="21"/>
        <v>420</v>
      </c>
      <c r="BZ56" s="258">
        <f t="shared" si="22"/>
        <v>420</v>
      </c>
      <c r="CA56" s="258">
        <f t="shared" si="23"/>
        <v>300</v>
      </c>
      <c r="CB56" s="258">
        <f t="shared" si="24"/>
        <v>0</v>
      </c>
      <c r="CE56" s="258">
        <f t="shared" ref="CE56:CE61" si="124">ROUND(BY56*$O56/1000,2)</f>
        <v>25.7</v>
      </c>
      <c r="CF56" s="258">
        <f t="shared" ref="CF56:CF61" si="125">ROUND(BZ56*$O56/1000,2)</f>
        <v>25.7</v>
      </c>
      <c r="CG56" s="258">
        <f t="shared" ref="CG56:CG61" si="126">ROUND(CA56*$O56/1000,2)</f>
        <v>18.36</v>
      </c>
      <c r="CH56" s="258">
        <f t="shared" ref="CH56:CH61" si="127">ROUND(CB56*$O56/1000,2)</f>
        <v>0</v>
      </c>
      <c r="CI56" s="258">
        <f t="shared" si="91"/>
        <v>69.76</v>
      </c>
      <c r="CK56" s="258">
        <f t="shared" ref="CK56:CN56" si="128">IFERROR(ROUND(BY56*$P56,2),"")</f>
        <v>357285.6</v>
      </c>
      <c r="CL56" s="258">
        <f t="shared" si="128"/>
        <v>357285.6</v>
      </c>
      <c r="CM56" s="258">
        <f t="shared" si="128"/>
        <v>255204</v>
      </c>
      <c r="CN56" s="258">
        <f t="shared" si="128"/>
        <v>0</v>
      </c>
      <c r="CO56" s="258">
        <f t="shared" si="18"/>
        <v>969775.2</v>
      </c>
      <c r="CP56" s="258" t="e">
        <f>VLOOKUP(G56,[2]Sheet1!$C$3:$G$310,5,0)</f>
        <v>#N/A</v>
      </c>
      <c r="CQ56" s="258">
        <f>VLOOKUP(G56,[3]KCBB0101!$C$3:$F$691,4,0)</f>
        <v>11000</v>
      </c>
    </row>
    <row r="57" customFormat="1" ht="17.6" spans="1:95">
      <c r="A57" s="330"/>
      <c r="B57" s="334" t="str">
        <f>_xlfn.XLOOKUP(G57,销售需求表!A:A,销售需求表!C:C)</f>
        <v>北美</v>
      </c>
      <c r="C57" s="335" t="str">
        <f t="shared" si="19"/>
        <v>24.5</v>
      </c>
      <c r="D57" s="334" t="str">
        <f t="shared" ref="D57:D63" si="129">B57&amp;C57&amp;"寸"</f>
        <v>北美24.5寸</v>
      </c>
      <c r="E57" s="339" t="str">
        <f t="shared" si="120"/>
        <v>11R24.5-16PR(149/146L)-M-TRAC CSD</v>
      </c>
      <c r="F57" s="340" t="str">
        <f t="shared" si="93"/>
        <v>11R24.5-16PR-M-TRAC CSD</v>
      </c>
      <c r="G57" s="341" t="s">
        <v>413</v>
      </c>
      <c r="H57" s="334">
        <v>2200</v>
      </c>
      <c r="I57" s="345">
        <v>2</v>
      </c>
      <c r="J57" s="346" t="str">
        <f t="shared" si="121"/>
        <v>11R24.5-M-TRAC CSD</v>
      </c>
      <c r="K57" s="347" t="str">
        <f>_xlfn.XLOOKUP(F57,投产规格!E:E,投产规格!D:D,"未投产")</f>
        <v>✔</v>
      </c>
      <c r="L57" s="347">
        <f>IFERROR(_xlfn.XLOOKUP(F57,硫化工艺!B:B,硫化工艺!C:C),"")</f>
        <v>42</v>
      </c>
      <c r="M57" s="349">
        <f t="shared" ref="M57:M63" si="130">IF(L57="","",L57/(L57+$L$1/60))</f>
        <v>0.878048780487805</v>
      </c>
      <c r="N57" s="347" t="str">
        <f t="shared" si="53"/>
        <v>24.5全钢</v>
      </c>
      <c r="O57" s="347">
        <f>IFERROR(_xlfn.XLOOKUP(F57,轮胎重量!J:J,轮胎重量!G:G),"")</f>
        <v>61.2</v>
      </c>
      <c r="P57" s="350">
        <f t="shared" si="123"/>
        <v>850.68</v>
      </c>
      <c r="Q57" s="347">
        <f t="shared" ref="Q57:Q63" si="131">IFERROR(ROUND(1440/L57*(I57)*M57,0),"")</f>
        <v>60</v>
      </c>
      <c r="R57" s="347">
        <v>60</v>
      </c>
      <c r="S57" s="347">
        <v>60</v>
      </c>
      <c r="T57" s="347">
        <v>60</v>
      </c>
      <c r="U57" s="347">
        <v>60</v>
      </c>
      <c r="V57" s="347">
        <v>60</v>
      </c>
      <c r="W57" s="347">
        <v>60</v>
      </c>
      <c r="X57" s="347">
        <v>60</v>
      </c>
      <c r="Y57" s="347">
        <v>60</v>
      </c>
      <c r="Z57" s="347">
        <v>60</v>
      </c>
      <c r="AA57" s="347">
        <v>60</v>
      </c>
      <c r="AB57" s="347">
        <v>60</v>
      </c>
      <c r="AC57" s="347">
        <v>60</v>
      </c>
      <c r="AD57" s="347">
        <v>60</v>
      </c>
      <c r="AE57" s="347">
        <v>60</v>
      </c>
      <c r="AF57" s="347">
        <v>60</v>
      </c>
      <c r="AG57" s="347">
        <v>60</v>
      </c>
      <c r="AH57" s="347">
        <v>60</v>
      </c>
      <c r="AI57" s="347">
        <v>60</v>
      </c>
      <c r="AJ57" s="360">
        <v>60</v>
      </c>
      <c r="AK57" s="347"/>
      <c r="AL57" s="347"/>
      <c r="AM57" s="347"/>
      <c r="AN57" s="347"/>
      <c r="AO57" s="347"/>
      <c r="AP57" s="347"/>
      <c r="AQ57" s="347"/>
      <c r="AR57" s="347"/>
      <c r="AS57" s="347"/>
      <c r="AT57" s="347"/>
      <c r="AU57" s="347"/>
      <c r="AV57" s="347"/>
      <c r="AW57" s="347">
        <f t="shared" ref="AW57:AW63" si="132">IF(SUM(R57:AV57)=0,"",SUM(R57:AV57))</f>
        <v>1140</v>
      </c>
      <c r="AX57" s="365">
        <f t="shared" ref="AX57:AX63" si="133">IFERROR(AW57*O57/1000,"")</f>
        <v>69.768</v>
      </c>
      <c r="AY57" s="365">
        <f t="shared" ref="AY57:AY63" si="134">IFERROR(ROUND(AW57*P57/10000,3),"")</f>
        <v>96.978</v>
      </c>
      <c r="AZ57" s="366">
        <v>449.18</v>
      </c>
      <c r="BA57" s="368">
        <v>29.42</v>
      </c>
      <c r="BB57" s="368">
        <v>49.09</v>
      </c>
      <c r="BC57" s="368">
        <v>52.13</v>
      </c>
      <c r="BD57" s="330"/>
      <c r="BE57" s="330">
        <f t="shared" ref="BE57:BE61" si="135">AZ57*AW57</f>
        <v>512065.2</v>
      </c>
      <c r="BF57" s="330">
        <f t="shared" ref="BF57:BF61" si="136">BA57*AW57</f>
        <v>33538.8</v>
      </c>
      <c r="BG57" s="330">
        <f t="shared" ref="BG57:BG61" si="137">BB57*AW57</f>
        <v>55962.6</v>
      </c>
      <c r="BH57" s="330">
        <f t="shared" ref="BH57:BH61" si="138">BC57*AW57</f>
        <v>59428.2</v>
      </c>
      <c r="BI57" s="330"/>
      <c r="BJ57" s="370" cm="1">
        <f t="array" ref="BJ57:BM57">_xlfn.LET(_xlpm.data,$R57:$AV57,_xlpm.starts,{1,8,16,23},_xlpm.lengths,{7,7,8,9},_xlpm.arr,_xlfn.MAP(_xlpm.starts,_xlpm.lengths,_xlfn.LAMBDA(_xlpm.s,_xlpm.l,SUM(INDEX(_xlpm.data,,_xlfn.SEQUENCE(,_xlpm.l,_xlpm.s))))),ROUND(_xlpm.arr*$O57/1000,2))</f>
        <v>25.7</v>
      </c>
      <c r="BK57" s="330">
        <v>25.7</v>
      </c>
      <c r="BL57" s="330">
        <v>14.69</v>
      </c>
      <c r="BM57" s="330">
        <v>0</v>
      </c>
      <c r="BN57" s="258">
        <f t="shared" ref="BN57:BN63" si="139">SUM(BJ57:BM57)</f>
        <v>66.09</v>
      </c>
      <c r="BO57" s="258">
        <v>0</v>
      </c>
      <c r="BP57" s="258">
        <v>0</v>
      </c>
      <c r="BQ57" s="258">
        <v>0</v>
      </c>
      <c r="BR57" s="258">
        <v>0</v>
      </c>
      <c r="BS57" s="115"/>
      <c r="BT57" s="258" cm="1">
        <f ca="1" t="array" ref="BT57:BW57">_xlfn.HSTACK(SUM(INDEX($R57:$AV57,1,1):INDEX($R57:$AV57,1,7)),SUM(INDEX($R57:$AV57,1,7):INDEX($R57:$AV57,1,13)),SUM(INDEX($R57:$AV57,1,16):INDEX($R57:$AV57,1,23)),SUM(INDEX($R57:$AV57,1,23):INDEX($R57:$AV57,1,31)))</f>
        <v>420</v>
      </c>
      <c r="BU57" s="258">
        <v>420</v>
      </c>
      <c r="BV57" s="258">
        <v>240</v>
      </c>
      <c r="BW57" s="258">
        <v>0</v>
      </c>
      <c r="BY57" s="258">
        <f t="shared" si="21"/>
        <v>420</v>
      </c>
      <c r="BZ57" s="258">
        <f t="shared" si="22"/>
        <v>420</v>
      </c>
      <c r="CA57" s="258">
        <f t="shared" si="23"/>
        <v>300</v>
      </c>
      <c r="CB57" s="258">
        <f t="shared" si="24"/>
        <v>0</v>
      </c>
      <c r="CC57" s="258"/>
      <c r="CD57" s="113"/>
      <c r="CE57" s="258">
        <f t="shared" si="124"/>
        <v>25.7</v>
      </c>
      <c r="CF57" s="258">
        <f t="shared" si="125"/>
        <v>25.7</v>
      </c>
      <c r="CG57" s="258">
        <f t="shared" si="126"/>
        <v>18.36</v>
      </c>
      <c r="CH57" s="258">
        <f t="shared" si="127"/>
        <v>0</v>
      </c>
      <c r="CI57" s="258">
        <f t="shared" ref="CI57:CI63" si="140">SUM(CE57:CH57)</f>
        <v>69.76</v>
      </c>
      <c r="CJ57" s="113"/>
      <c r="CK57" s="258">
        <f t="shared" ref="CK57:CN57" si="141">IFERROR(ROUND(BY57*$P57,2),"")</f>
        <v>357285.6</v>
      </c>
      <c r="CL57" s="258">
        <f t="shared" si="141"/>
        <v>357285.6</v>
      </c>
      <c r="CM57" s="258">
        <f t="shared" si="141"/>
        <v>255204</v>
      </c>
      <c r="CN57" s="258">
        <f t="shared" si="141"/>
        <v>0</v>
      </c>
      <c r="CO57" s="258">
        <f t="shared" si="18"/>
        <v>969775.2</v>
      </c>
      <c r="CP57" s="258" t="e">
        <f>VLOOKUP(G57,[2]Sheet1!$C$3:$G$310,5,0)</f>
        <v>#N/A</v>
      </c>
      <c r="CQ57" s="258">
        <f>VLOOKUP(G57,[3]KCBB0101!$C$3:$F$691,4,0)</f>
        <v>8000</v>
      </c>
    </row>
    <row r="58" customFormat="1" ht="17.6" spans="1:93">
      <c r="A58" s="330"/>
      <c r="B58" s="334" t="str">
        <f>_xlfn.XLOOKUP(G58,销售需求表!A:A,销售需求表!C:C)</f>
        <v>北美</v>
      </c>
      <c r="C58" s="335" t="str">
        <f t="shared" si="19"/>
        <v>24.5</v>
      </c>
      <c r="D58" s="334" t="str">
        <f t="shared" si="129"/>
        <v>北美24.5寸</v>
      </c>
      <c r="E58" s="339" t="str">
        <f t="shared" si="120"/>
        <v>11R24.5-16PR(149/146L)-M-TRAC MS</v>
      </c>
      <c r="F58" s="340" t="str">
        <f t="shared" si="93"/>
        <v>11R24.5-16PR-M-TRAC MS</v>
      </c>
      <c r="G58" s="343" t="s">
        <v>414</v>
      </c>
      <c r="H58" s="334">
        <v>350</v>
      </c>
      <c r="I58" s="345"/>
      <c r="J58" s="346" t="str">
        <f t="shared" si="121"/>
        <v>11R24.5-M-TRAC MS</v>
      </c>
      <c r="K58" s="347" t="str">
        <f>_xlfn.XLOOKUP(F58,投产规格!E:E,投产规格!D:D,"未投产")</f>
        <v>✔</v>
      </c>
      <c r="L58" s="347">
        <f>IFERROR(_xlfn.XLOOKUP(F58,硫化工艺!B:B,硫化工艺!C:C),"")</f>
        <v>40</v>
      </c>
      <c r="M58" s="349">
        <f t="shared" si="130"/>
        <v>0.872727272727273</v>
      </c>
      <c r="N58" s="347" t="str">
        <f t="shared" si="53"/>
        <v>24.5全钢</v>
      </c>
      <c r="O58" s="347">
        <f>IFERROR(_xlfn.XLOOKUP(F58,轮胎重量!J:J,轮胎重量!G:G),"")</f>
        <v>61.2</v>
      </c>
      <c r="P58" s="350">
        <f t="shared" si="123"/>
        <v>850.68</v>
      </c>
      <c r="Q58" s="347">
        <f t="shared" si="131"/>
        <v>0</v>
      </c>
      <c r="R58" s="347"/>
      <c r="S58" s="347"/>
      <c r="T58" s="347"/>
      <c r="U58" s="347"/>
      <c r="V58" s="347"/>
      <c r="W58" s="347"/>
      <c r="X58" s="347"/>
      <c r="Y58" s="347"/>
      <c r="Z58" s="347"/>
      <c r="AA58" s="347"/>
      <c r="AB58" s="347"/>
      <c r="AC58" s="347"/>
      <c r="AD58" s="347"/>
      <c r="AE58" s="347"/>
      <c r="AF58" s="347"/>
      <c r="AG58" s="347"/>
      <c r="AH58" s="347"/>
      <c r="AI58" s="347"/>
      <c r="AJ58" s="347"/>
      <c r="AK58" s="347"/>
      <c r="AL58" s="347"/>
      <c r="AM58" s="347"/>
      <c r="AN58" s="347"/>
      <c r="AO58" s="347"/>
      <c r="AP58" s="347"/>
      <c r="AQ58" s="347"/>
      <c r="AR58" s="347"/>
      <c r="AS58" s="347"/>
      <c r="AT58" s="347"/>
      <c r="AU58" s="347"/>
      <c r="AV58" s="347"/>
      <c r="AW58" s="347" t="str">
        <f t="shared" si="132"/>
        <v/>
      </c>
      <c r="AX58" s="365" t="str">
        <f t="shared" si="133"/>
        <v/>
      </c>
      <c r="AY58" s="365" t="str">
        <f t="shared" si="134"/>
        <v/>
      </c>
      <c r="AZ58" s="366">
        <v>449.18</v>
      </c>
      <c r="BA58" s="368">
        <v>29.42</v>
      </c>
      <c r="BB58" s="368">
        <v>49.09</v>
      </c>
      <c r="BC58" s="368">
        <v>52.13</v>
      </c>
      <c r="BD58" s="330"/>
      <c r="BE58" s="330" t="e">
        <f t="shared" si="135"/>
        <v>#VALUE!</v>
      </c>
      <c r="BF58" s="330" t="e">
        <f t="shared" si="136"/>
        <v>#VALUE!</v>
      </c>
      <c r="BG58" s="330" t="e">
        <f t="shared" si="137"/>
        <v>#VALUE!</v>
      </c>
      <c r="BH58" s="330" t="e">
        <f t="shared" si="138"/>
        <v>#VALUE!</v>
      </c>
      <c r="BI58" s="330"/>
      <c r="BJ58" s="370" cm="1">
        <f t="array" ref="BJ58:BM58">_xlfn.LET(_xlpm.data,$R58:$AV58,_xlpm.starts,{1,8,16,23},_xlpm.lengths,{7,7,8,9},_xlpm.arr,_xlfn.MAP(_xlpm.starts,_xlpm.lengths,_xlfn.LAMBDA(_xlpm.s,_xlpm.l,SUM(INDEX(_xlpm.data,,_xlfn.SEQUENCE(,_xlpm.l,_xlpm.s))))),ROUND(_xlpm.arr*$O58/1000,2))</f>
        <v>0</v>
      </c>
      <c r="BK58" s="330">
        <v>0</v>
      </c>
      <c r="BL58" s="330">
        <v>0</v>
      </c>
      <c r="BM58" s="330">
        <v>0</v>
      </c>
      <c r="BN58" s="258">
        <f t="shared" si="139"/>
        <v>0</v>
      </c>
      <c r="BO58" s="258">
        <v>0</v>
      </c>
      <c r="BP58" s="258">
        <v>0</v>
      </c>
      <c r="BQ58" s="258">
        <v>0</v>
      </c>
      <c r="BR58" s="258">
        <v>0</v>
      </c>
      <c r="BS58" s="115"/>
      <c r="BT58" s="258" cm="1">
        <f ca="1" t="array" ref="BT58:BW58">_xlfn.HSTACK(SUM(INDEX($R58:$AV58,1,1):INDEX($R58:$AV58,1,7)),SUM(INDEX($R58:$AV58,1,7):INDEX($R58:$AV58,1,13)),SUM(INDEX($R58:$AV58,1,16):INDEX($R58:$AV58,1,23)),SUM(INDEX($R58:$AV58,1,23):INDEX($R58:$AV58,1,31)))</f>
        <v>0</v>
      </c>
      <c r="BU58" s="258">
        <v>0</v>
      </c>
      <c r="BV58" s="258">
        <v>0</v>
      </c>
      <c r="BW58" s="258">
        <v>0</v>
      </c>
      <c r="BY58" s="258">
        <f t="shared" si="21"/>
        <v>0</v>
      </c>
      <c r="BZ58" s="258">
        <f t="shared" si="22"/>
        <v>0</v>
      </c>
      <c r="CA58" s="258">
        <f t="shared" si="23"/>
        <v>0</v>
      </c>
      <c r="CB58" s="258">
        <f t="shared" si="24"/>
        <v>0</v>
      </c>
      <c r="CC58" s="258"/>
      <c r="CD58" s="113"/>
      <c r="CE58" s="258">
        <f t="shared" si="124"/>
        <v>0</v>
      </c>
      <c r="CF58" s="258">
        <f t="shared" si="125"/>
        <v>0</v>
      </c>
      <c r="CG58" s="258">
        <f t="shared" si="126"/>
        <v>0</v>
      </c>
      <c r="CH58" s="258">
        <f t="shared" si="127"/>
        <v>0</v>
      </c>
      <c r="CI58" s="258">
        <f t="shared" si="140"/>
        <v>0</v>
      </c>
      <c r="CJ58" s="113"/>
      <c r="CK58" s="258">
        <f t="shared" ref="CK58:CN58" si="142">IFERROR(ROUND(BY58*$P58,2),"")</f>
        <v>0</v>
      </c>
      <c r="CL58" s="258">
        <f t="shared" si="142"/>
        <v>0</v>
      </c>
      <c r="CM58" s="258">
        <f t="shared" si="142"/>
        <v>0</v>
      </c>
      <c r="CN58" s="258">
        <f t="shared" si="142"/>
        <v>0</v>
      </c>
      <c r="CO58" s="258">
        <f t="shared" si="18"/>
        <v>0</v>
      </c>
    </row>
    <row r="59" customFormat="1" ht="17.6" spans="1:93">
      <c r="A59" s="330"/>
      <c r="B59" s="334" t="str">
        <f>_xlfn.XLOOKUP(G59,销售需求表!A:A,销售需求表!C:C)</f>
        <v>北美</v>
      </c>
      <c r="C59" s="335" t="str">
        <f t="shared" si="19"/>
        <v>24.5</v>
      </c>
      <c r="D59" s="334" t="str">
        <f t="shared" si="129"/>
        <v>北美24.5寸</v>
      </c>
      <c r="E59" s="339" t="str">
        <f t="shared" si="120"/>
        <v>11R24.5-16PR(149/146L)-M-TRAC MST</v>
      </c>
      <c r="F59" s="340" t="str">
        <f t="shared" si="93"/>
        <v>11R24.5-16PR-M-TRAC MST</v>
      </c>
      <c r="G59" s="343" t="s">
        <v>415</v>
      </c>
      <c r="H59" s="334">
        <v>150</v>
      </c>
      <c r="I59" s="345"/>
      <c r="J59" s="346" t="str">
        <f t="shared" si="121"/>
        <v>11R24.5-M-TRAC MST</v>
      </c>
      <c r="K59" s="347" t="str">
        <f>_xlfn.XLOOKUP(F59,投产规格!E:E,投产规格!D:D,"未投产")</f>
        <v>未投产</v>
      </c>
      <c r="L59" s="347">
        <f>IFERROR(_xlfn.XLOOKUP(F59,硫化工艺!B:B,硫化工艺!C:C),"")</f>
        <v>36.5</v>
      </c>
      <c r="M59" s="349">
        <f t="shared" si="130"/>
        <v>0.862204724409449</v>
      </c>
      <c r="N59" s="347" t="str">
        <f t="shared" si="53"/>
        <v>24.5全钢</v>
      </c>
      <c r="O59" s="347">
        <f>IFERROR(_xlfn.XLOOKUP(F59,轮胎重量!J:J,轮胎重量!G:G),"")</f>
        <v>61.2</v>
      </c>
      <c r="P59" s="350">
        <f t="shared" si="123"/>
        <v>850.68</v>
      </c>
      <c r="Q59" s="347">
        <f t="shared" si="131"/>
        <v>0</v>
      </c>
      <c r="R59" s="347"/>
      <c r="S59" s="347"/>
      <c r="T59" s="347"/>
      <c r="U59" s="347"/>
      <c r="V59" s="347"/>
      <c r="W59" s="347"/>
      <c r="X59" s="347"/>
      <c r="Y59" s="347"/>
      <c r="Z59" s="347"/>
      <c r="AA59" s="347"/>
      <c r="AB59" s="347"/>
      <c r="AC59" s="347"/>
      <c r="AD59" s="347"/>
      <c r="AE59" s="347"/>
      <c r="AF59" s="347"/>
      <c r="AG59" s="347"/>
      <c r="AH59" s="347"/>
      <c r="AI59" s="347"/>
      <c r="AJ59" s="347"/>
      <c r="AK59" s="347"/>
      <c r="AL59" s="347"/>
      <c r="AM59" s="347"/>
      <c r="AN59" s="347"/>
      <c r="AO59" s="347"/>
      <c r="AP59" s="347"/>
      <c r="AQ59" s="347"/>
      <c r="AR59" s="347"/>
      <c r="AS59" s="347"/>
      <c r="AT59" s="347"/>
      <c r="AU59" s="347"/>
      <c r="AV59" s="347"/>
      <c r="AW59" s="347" t="str">
        <f t="shared" si="132"/>
        <v/>
      </c>
      <c r="AX59" s="365" t="str">
        <f t="shared" si="133"/>
        <v/>
      </c>
      <c r="AY59" s="365" t="str">
        <f t="shared" si="134"/>
        <v/>
      </c>
      <c r="AZ59" s="366">
        <v>449.18</v>
      </c>
      <c r="BA59" s="368">
        <v>29.42</v>
      </c>
      <c r="BB59" s="368">
        <v>49.09</v>
      </c>
      <c r="BC59" s="368">
        <v>52.13</v>
      </c>
      <c r="BD59" s="330"/>
      <c r="BE59" s="330" t="e">
        <f t="shared" si="135"/>
        <v>#VALUE!</v>
      </c>
      <c r="BF59" s="330" t="e">
        <f t="shared" si="136"/>
        <v>#VALUE!</v>
      </c>
      <c r="BG59" s="330" t="e">
        <f t="shared" si="137"/>
        <v>#VALUE!</v>
      </c>
      <c r="BH59" s="330" t="e">
        <f t="shared" si="138"/>
        <v>#VALUE!</v>
      </c>
      <c r="BI59" s="330"/>
      <c r="BJ59" s="370" cm="1">
        <f t="array" ref="BJ59:BM59">_xlfn.LET(_xlpm.data,$R59:$AV59,_xlpm.starts,{1,8,16,23},_xlpm.lengths,{7,7,8,9},_xlpm.arr,_xlfn.MAP(_xlpm.starts,_xlpm.lengths,_xlfn.LAMBDA(_xlpm.s,_xlpm.l,SUM(INDEX(_xlpm.data,,_xlfn.SEQUENCE(,_xlpm.l,_xlpm.s))))),ROUND(_xlpm.arr*$O59/1000,2))</f>
        <v>0</v>
      </c>
      <c r="BK59" s="330">
        <v>0</v>
      </c>
      <c r="BL59" s="330">
        <v>0</v>
      </c>
      <c r="BM59" s="330">
        <v>0</v>
      </c>
      <c r="BN59" s="258">
        <f t="shared" si="139"/>
        <v>0</v>
      </c>
      <c r="BO59" s="258">
        <v>0</v>
      </c>
      <c r="BP59" s="258">
        <v>0</v>
      </c>
      <c r="BQ59" s="258">
        <v>0</v>
      </c>
      <c r="BR59" s="258">
        <v>0</v>
      </c>
      <c r="BS59" s="115"/>
      <c r="BT59" s="258" cm="1">
        <f ca="1" t="array" ref="BT59:BW59">_xlfn.HSTACK(SUM(INDEX($R59:$AV59,1,1):INDEX($R59:$AV59,1,7)),SUM(INDEX($R59:$AV59,1,7):INDEX($R59:$AV59,1,13)),SUM(INDEX($R59:$AV59,1,16):INDEX($R59:$AV59,1,23)),SUM(INDEX($R59:$AV59,1,23):INDEX($R59:$AV59,1,31)))</f>
        <v>0</v>
      </c>
      <c r="BU59" s="258">
        <v>0</v>
      </c>
      <c r="BV59" s="258">
        <v>0</v>
      </c>
      <c r="BW59" s="258">
        <v>0</v>
      </c>
      <c r="BY59" s="258">
        <f t="shared" si="21"/>
        <v>0</v>
      </c>
      <c r="BZ59" s="258">
        <f t="shared" si="22"/>
        <v>0</v>
      </c>
      <c r="CA59" s="258">
        <f t="shared" si="23"/>
        <v>0</v>
      </c>
      <c r="CB59" s="258">
        <f t="shared" si="24"/>
        <v>0</v>
      </c>
      <c r="CC59" s="258"/>
      <c r="CD59" s="113"/>
      <c r="CE59" s="258">
        <f t="shared" si="124"/>
        <v>0</v>
      </c>
      <c r="CF59" s="258">
        <f t="shared" si="125"/>
        <v>0</v>
      </c>
      <c r="CG59" s="258">
        <f t="shared" si="126"/>
        <v>0</v>
      </c>
      <c r="CH59" s="258">
        <f t="shared" si="127"/>
        <v>0</v>
      </c>
      <c r="CI59" s="258">
        <f t="shared" si="140"/>
        <v>0</v>
      </c>
      <c r="CJ59" s="113"/>
      <c r="CK59" s="258">
        <f t="shared" ref="CK59:CN59" si="143">IFERROR(ROUND(BY59*$P59,2),"")</f>
        <v>0</v>
      </c>
      <c r="CL59" s="258">
        <f t="shared" si="143"/>
        <v>0</v>
      </c>
      <c r="CM59" s="258">
        <f t="shared" si="143"/>
        <v>0</v>
      </c>
      <c r="CN59" s="258">
        <f t="shared" si="143"/>
        <v>0</v>
      </c>
      <c r="CO59" s="258">
        <f t="shared" si="18"/>
        <v>0</v>
      </c>
    </row>
    <row r="60" customFormat="1" ht="17.6" spans="1:95">
      <c r="A60" s="330"/>
      <c r="B60" s="334" t="str">
        <f>_xlfn.XLOOKUP(G60,销售需求表!A:A,销售需求表!C:C)</f>
        <v>北美</v>
      </c>
      <c r="C60" s="335" t="str">
        <f t="shared" si="19"/>
        <v>24.5</v>
      </c>
      <c r="D60" s="334" t="str">
        <f t="shared" si="129"/>
        <v>北美24.5寸</v>
      </c>
      <c r="E60" s="339" t="str">
        <f t="shared" si="120"/>
        <v>11R24.5-16PR(149/146L)-M-TRAC OSD</v>
      </c>
      <c r="F60" s="340" t="str">
        <f t="shared" si="93"/>
        <v>11R24.5-16PR-M-TRAC OSD</v>
      </c>
      <c r="G60" s="341" t="s">
        <v>416</v>
      </c>
      <c r="H60" s="334">
        <v>1200</v>
      </c>
      <c r="I60" s="345">
        <v>2</v>
      </c>
      <c r="J60" s="346" t="str">
        <f t="shared" si="121"/>
        <v>11R24.5-M-TRAC OSD</v>
      </c>
      <c r="K60" s="347" t="str">
        <f>_xlfn.XLOOKUP(F60,投产规格!E:E,投产规格!D:D,"未投产")</f>
        <v>✔</v>
      </c>
      <c r="L60" s="347">
        <f>IFERROR(_xlfn.XLOOKUP(F60,硫化工艺!B:B,硫化工艺!C:C),"")</f>
        <v>44</v>
      </c>
      <c r="M60" s="349">
        <f t="shared" si="130"/>
        <v>0.882943143812709</v>
      </c>
      <c r="N60" s="347" t="str">
        <f t="shared" si="53"/>
        <v>24.5全钢</v>
      </c>
      <c r="O60" s="347">
        <f>IFERROR(_xlfn.XLOOKUP(F60,轮胎重量!J:J,轮胎重量!G:G),"")</f>
        <v>61.2</v>
      </c>
      <c r="P60" s="350">
        <f t="shared" si="123"/>
        <v>850.68</v>
      </c>
      <c r="Q60" s="347">
        <f t="shared" si="131"/>
        <v>58</v>
      </c>
      <c r="R60" s="347">
        <v>58</v>
      </c>
      <c r="S60" s="347">
        <v>58</v>
      </c>
      <c r="T60" s="347">
        <v>58</v>
      </c>
      <c r="U60" s="347">
        <v>58</v>
      </c>
      <c r="V60" s="347">
        <v>58</v>
      </c>
      <c r="W60" s="347">
        <v>58</v>
      </c>
      <c r="X60" s="347">
        <v>58</v>
      </c>
      <c r="Y60" s="347">
        <v>58</v>
      </c>
      <c r="Z60" s="347">
        <v>58</v>
      </c>
      <c r="AA60" s="347">
        <v>58</v>
      </c>
      <c r="AB60" s="347">
        <v>58</v>
      </c>
      <c r="AC60" s="347">
        <v>58</v>
      </c>
      <c r="AD60" s="347">
        <v>58</v>
      </c>
      <c r="AE60" s="347">
        <v>58</v>
      </c>
      <c r="AF60" s="347">
        <v>58</v>
      </c>
      <c r="AG60" s="347">
        <v>58</v>
      </c>
      <c r="AH60" s="347">
        <v>58</v>
      </c>
      <c r="AI60" s="347">
        <v>58</v>
      </c>
      <c r="AJ60" s="361">
        <v>58</v>
      </c>
      <c r="AK60" s="347"/>
      <c r="AL60" s="347"/>
      <c r="AM60" s="347"/>
      <c r="AN60" s="347"/>
      <c r="AO60" s="347"/>
      <c r="AP60" s="347"/>
      <c r="AQ60" s="347"/>
      <c r="AR60" s="347"/>
      <c r="AS60" s="347"/>
      <c r="AT60" s="347"/>
      <c r="AU60" s="347"/>
      <c r="AV60" s="347"/>
      <c r="AW60" s="347">
        <f t="shared" si="132"/>
        <v>1102</v>
      </c>
      <c r="AX60" s="365">
        <f t="shared" si="133"/>
        <v>67.4424</v>
      </c>
      <c r="AY60" s="365">
        <f t="shared" si="134"/>
        <v>93.745</v>
      </c>
      <c r="AZ60" s="366">
        <v>449.18</v>
      </c>
      <c r="BA60" s="368">
        <v>29.42</v>
      </c>
      <c r="BB60" s="368">
        <v>49.09</v>
      </c>
      <c r="BC60" s="368">
        <v>52.13</v>
      </c>
      <c r="BD60" s="330"/>
      <c r="BE60" s="330">
        <f t="shared" si="135"/>
        <v>494996.36</v>
      </c>
      <c r="BF60" s="330">
        <f t="shared" si="136"/>
        <v>32420.84</v>
      </c>
      <c r="BG60" s="330">
        <f t="shared" si="137"/>
        <v>54097.18</v>
      </c>
      <c r="BH60" s="330">
        <f t="shared" si="138"/>
        <v>57447.26</v>
      </c>
      <c r="BI60" s="330"/>
      <c r="BJ60" s="370" cm="1">
        <f t="array" ref="BJ60:BM60">_xlfn.LET(_xlpm.data,$R60:$AV60,_xlpm.starts,{1,8,16,23},_xlpm.lengths,{7,7,8,9},_xlpm.arr,_xlfn.MAP(_xlpm.starts,_xlpm.lengths,_xlfn.LAMBDA(_xlpm.s,_xlpm.l,SUM(INDEX(_xlpm.data,,_xlfn.SEQUENCE(,_xlpm.l,_xlpm.s))))),ROUND(_xlpm.arr*$O60/1000,2))</f>
        <v>24.85</v>
      </c>
      <c r="BK60" s="330">
        <v>24.85</v>
      </c>
      <c r="BL60" s="330">
        <v>14.2</v>
      </c>
      <c r="BM60" s="330">
        <v>0</v>
      </c>
      <c r="BN60" s="258">
        <f t="shared" si="139"/>
        <v>63.9</v>
      </c>
      <c r="BO60" s="258">
        <v>0</v>
      </c>
      <c r="BP60" s="258">
        <v>0</v>
      </c>
      <c r="BQ60" s="258">
        <v>0</v>
      </c>
      <c r="BR60" s="258">
        <v>0</v>
      </c>
      <c r="BS60" s="115"/>
      <c r="BT60" s="258" cm="1">
        <f ca="1" t="array" ref="BT60:BW60">_xlfn.HSTACK(SUM(INDEX($R60:$AV60,1,1):INDEX($R60:$AV60,1,7)),SUM(INDEX($R60:$AV60,1,7):INDEX($R60:$AV60,1,13)),SUM(INDEX($R60:$AV60,1,16):INDEX($R60:$AV60,1,23)),SUM(INDEX($R60:$AV60,1,23):INDEX($R60:$AV60,1,31)))</f>
        <v>406</v>
      </c>
      <c r="BU60" s="258">
        <v>406</v>
      </c>
      <c r="BV60" s="258">
        <v>232</v>
      </c>
      <c r="BW60" s="258">
        <v>0</v>
      </c>
      <c r="BY60" s="258">
        <f t="shared" si="21"/>
        <v>406</v>
      </c>
      <c r="BZ60" s="258">
        <f t="shared" si="22"/>
        <v>406</v>
      </c>
      <c r="CA60" s="258">
        <f t="shared" si="23"/>
        <v>290</v>
      </c>
      <c r="CB60" s="258">
        <f t="shared" si="24"/>
        <v>0</v>
      </c>
      <c r="CC60" s="258"/>
      <c r="CD60" s="113"/>
      <c r="CE60" s="258">
        <f t="shared" si="124"/>
        <v>24.85</v>
      </c>
      <c r="CF60" s="258">
        <f t="shared" si="125"/>
        <v>24.85</v>
      </c>
      <c r="CG60" s="258">
        <f t="shared" si="126"/>
        <v>17.75</v>
      </c>
      <c r="CH60" s="258">
        <f t="shared" si="127"/>
        <v>0</v>
      </c>
      <c r="CI60" s="258">
        <f t="shared" si="140"/>
        <v>67.45</v>
      </c>
      <c r="CJ60" s="113"/>
      <c r="CK60" s="258">
        <f t="shared" ref="CK60:CN60" si="144">IFERROR(ROUND(BY60*$P60,2),"")</f>
        <v>345376.08</v>
      </c>
      <c r="CL60" s="258">
        <f t="shared" si="144"/>
        <v>345376.08</v>
      </c>
      <c r="CM60" s="258">
        <f t="shared" si="144"/>
        <v>246697.2</v>
      </c>
      <c r="CN60" s="258">
        <f t="shared" si="144"/>
        <v>0</v>
      </c>
      <c r="CO60" s="258">
        <f t="shared" si="18"/>
        <v>937449.36</v>
      </c>
      <c r="CP60" s="258" t="e">
        <f>VLOOKUP(G60,[2]Sheet1!$C$3:$G$310,5,0)</f>
        <v>#N/A</v>
      </c>
      <c r="CQ60" s="258">
        <f>VLOOKUP(G60,[3]KCBB0101!$C$3:$F$691,4,0)</f>
        <v>11000</v>
      </c>
    </row>
    <row r="61" customFormat="1" ht="17.6" spans="1:95">
      <c r="A61" s="330"/>
      <c r="B61" s="334" t="str">
        <f>_xlfn.XLOOKUP(G61,销售需求表!A:A,销售需求表!C:C)</f>
        <v>北美</v>
      </c>
      <c r="C61" s="335" t="str">
        <f t="shared" si="19"/>
        <v>24.5</v>
      </c>
      <c r="D61" s="334" t="str">
        <f t="shared" si="129"/>
        <v>北美24.5寸</v>
      </c>
      <c r="E61" s="339" t="str">
        <f t="shared" si="120"/>
        <v>11R24.5-16PR(149/146M)-I-19A</v>
      </c>
      <c r="F61" s="340" t="str">
        <f t="shared" si="93"/>
        <v>11R24.5-16PR-I-19A</v>
      </c>
      <c r="G61" s="341" t="s">
        <v>417</v>
      </c>
      <c r="H61" s="334">
        <v>680</v>
      </c>
      <c r="I61" s="345">
        <v>4</v>
      </c>
      <c r="J61" s="346" t="str">
        <f t="shared" si="121"/>
        <v>11R24.5-I-19A</v>
      </c>
      <c r="K61" s="347" t="str">
        <f>_xlfn.XLOOKUP(F61,投产规格!E:E,投产规格!D:D,"未投产")</f>
        <v>✔</v>
      </c>
      <c r="L61" s="347">
        <f>IFERROR(_xlfn.XLOOKUP(F61,硫化工艺!B:B,硫化工艺!C:C),"")</f>
        <v>37</v>
      </c>
      <c r="M61" s="349">
        <f t="shared" si="130"/>
        <v>0.863813229571984</v>
      </c>
      <c r="N61" s="347" t="str">
        <f t="shared" si="53"/>
        <v>24.5全钢</v>
      </c>
      <c r="O61" s="347">
        <f>IFERROR(_xlfn.XLOOKUP(F61,轮胎重量!J:J,轮胎重量!G:G),"")</f>
        <v>56.529</v>
      </c>
      <c r="P61" s="347">
        <f>IFERROR(_xlfn.XLOOKUP(G61,硫化工艺!I:I,硫化工艺!J:J),"")</f>
        <v>821.7783</v>
      </c>
      <c r="Q61" s="347">
        <f t="shared" si="131"/>
        <v>134</v>
      </c>
      <c r="R61" s="347">
        <v>130</v>
      </c>
      <c r="S61" s="347">
        <v>130</v>
      </c>
      <c r="T61" s="347">
        <v>130</v>
      </c>
      <c r="U61" s="347">
        <v>130</v>
      </c>
      <c r="V61" s="347">
        <v>130</v>
      </c>
      <c r="W61" s="347"/>
      <c r="X61" s="347"/>
      <c r="Y61" s="353"/>
      <c r="Z61" s="347"/>
      <c r="AA61" s="347"/>
      <c r="AB61" s="347"/>
      <c r="AC61" s="347"/>
      <c r="AD61" s="347"/>
      <c r="AE61" s="347"/>
      <c r="AF61" s="347"/>
      <c r="AG61" s="347"/>
      <c r="AH61" s="347"/>
      <c r="AI61" s="347"/>
      <c r="AJ61" s="347"/>
      <c r="AK61" s="347"/>
      <c r="AL61" s="347"/>
      <c r="AM61" s="347"/>
      <c r="AN61" s="347"/>
      <c r="AO61" s="347"/>
      <c r="AP61" s="347"/>
      <c r="AQ61" s="347"/>
      <c r="AR61" s="347"/>
      <c r="AS61" s="347"/>
      <c r="AT61" s="347"/>
      <c r="AU61" s="347"/>
      <c r="AV61" s="347"/>
      <c r="AW61" s="347">
        <f t="shared" si="132"/>
        <v>650</v>
      </c>
      <c r="AX61" s="365">
        <f t="shared" si="133"/>
        <v>36.74385</v>
      </c>
      <c r="AY61" s="365">
        <f t="shared" si="134"/>
        <v>53.416</v>
      </c>
      <c r="AZ61" s="366">
        <v>449.18</v>
      </c>
      <c r="BA61" s="368">
        <v>29.42</v>
      </c>
      <c r="BB61" s="368">
        <v>49.09</v>
      </c>
      <c r="BC61" s="368">
        <v>52.13</v>
      </c>
      <c r="BD61" s="330"/>
      <c r="BE61" s="330">
        <f t="shared" si="135"/>
        <v>291967</v>
      </c>
      <c r="BF61" s="330">
        <f t="shared" si="136"/>
        <v>19123</v>
      </c>
      <c r="BG61" s="330">
        <f t="shared" si="137"/>
        <v>31908.5</v>
      </c>
      <c r="BH61" s="330">
        <f t="shared" si="138"/>
        <v>33884.5</v>
      </c>
      <c r="BI61" s="330"/>
      <c r="BJ61" s="370" cm="1">
        <f t="array" ref="BJ61:BM61">_xlfn.LET(_xlpm.data,$R61:$AV61,_xlpm.starts,{1,8,16,23},_xlpm.lengths,{7,7,8,9},_xlpm.arr,_xlfn.MAP(_xlpm.starts,_xlpm.lengths,_xlfn.LAMBDA(_xlpm.s,_xlpm.l,SUM(INDEX(_xlpm.data,,_xlfn.SEQUENCE(,_xlpm.l,_xlpm.s))))),ROUND(_xlpm.arr*$O61/1000,2))</f>
        <v>36.74</v>
      </c>
      <c r="BK61" s="330">
        <v>0</v>
      </c>
      <c r="BL61" s="330">
        <v>0</v>
      </c>
      <c r="BM61" s="330">
        <v>0</v>
      </c>
      <c r="BN61" s="258">
        <f t="shared" si="139"/>
        <v>36.74</v>
      </c>
      <c r="BO61" s="258">
        <v>0</v>
      </c>
      <c r="BP61" s="258">
        <v>0</v>
      </c>
      <c r="BQ61" s="258">
        <v>0</v>
      </c>
      <c r="BR61" s="258">
        <v>0</v>
      </c>
      <c r="BS61" s="115"/>
      <c r="BT61" s="258" cm="1">
        <f ca="1" t="array" ref="BT61:BW61">_xlfn.HSTACK(SUM(INDEX($R61:$AV61,1,1):INDEX($R61:$AV61,1,7)),SUM(INDEX($R61:$AV61,1,7):INDEX($R61:$AV61,1,13)),SUM(INDEX($R61:$AV61,1,16):INDEX($R61:$AV61,1,23)),SUM(INDEX($R61:$AV61,1,23):INDEX($R61:$AV61,1,31)))</f>
        <v>650</v>
      </c>
      <c r="BU61" s="258">
        <v>0</v>
      </c>
      <c r="BV61" s="258">
        <v>0</v>
      </c>
      <c r="BW61" s="258">
        <v>0</v>
      </c>
      <c r="BY61" s="258">
        <f t="shared" si="21"/>
        <v>650</v>
      </c>
      <c r="BZ61" s="258">
        <f t="shared" si="22"/>
        <v>0</v>
      </c>
      <c r="CA61" s="258">
        <f t="shared" si="23"/>
        <v>0</v>
      </c>
      <c r="CB61" s="258">
        <f t="shared" si="24"/>
        <v>0</v>
      </c>
      <c r="CC61" s="258"/>
      <c r="CD61" s="113"/>
      <c r="CE61" s="258">
        <f t="shared" si="124"/>
        <v>36.74</v>
      </c>
      <c r="CF61" s="258">
        <f t="shared" si="125"/>
        <v>0</v>
      </c>
      <c r="CG61" s="258">
        <f t="shared" si="126"/>
        <v>0</v>
      </c>
      <c r="CH61" s="258">
        <f t="shared" si="127"/>
        <v>0</v>
      </c>
      <c r="CI61" s="258">
        <f t="shared" si="140"/>
        <v>36.74</v>
      </c>
      <c r="CJ61" s="113"/>
      <c r="CK61" s="258">
        <f t="shared" ref="CK61:CN61" si="145">IFERROR(ROUND(BY61*$P61,2),"")</f>
        <v>534155.9</v>
      </c>
      <c r="CL61" s="258">
        <f t="shared" si="145"/>
        <v>0</v>
      </c>
      <c r="CM61" s="258">
        <f t="shared" si="145"/>
        <v>0</v>
      </c>
      <c r="CN61" s="258">
        <f t="shared" si="145"/>
        <v>0</v>
      </c>
      <c r="CO61" s="258">
        <f t="shared" si="18"/>
        <v>534155.9</v>
      </c>
      <c r="CP61" s="258">
        <f>VLOOKUP(G61,[2]Sheet1!$C$3:$G$310,5,0)</f>
        <v>17100</v>
      </c>
      <c r="CQ61" s="258" t="e">
        <f>VLOOKUP(G61,[3]KCBB0101!$C$3:$F$691,4,0)</f>
        <v>#N/A</v>
      </c>
    </row>
    <row r="62" customFormat="1" ht="17.6" spans="1:95">
      <c r="A62" s="330"/>
      <c r="B62" s="334" t="str">
        <f>_xlfn.XLOOKUP(G62,销售需求表!A:A,销售需求表!C:C)</f>
        <v>亚</v>
      </c>
      <c r="C62" s="335" t="str">
        <f t="shared" si="19"/>
        <v>24.5</v>
      </c>
      <c r="D62" s="334" t="str">
        <f t="shared" si="129"/>
        <v>亚24.5寸</v>
      </c>
      <c r="E62" s="339" t="str">
        <f t="shared" si="120"/>
        <v>11R24.5-16PR(149/146L)-VD998</v>
      </c>
      <c r="F62" s="340" t="str">
        <f t="shared" si="93"/>
        <v>11R24.5-16PR-VD998</v>
      </c>
      <c r="G62" s="341" t="s">
        <v>418</v>
      </c>
      <c r="H62" s="334">
        <v>500</v>
      </c>
      <c r="I62" s="345">
        <v>2</v>
      </c>
      <c r="J62" s="346" t="str">
        <f t="shared" si="121"/>
        <v>11R24.5-VD998</v>
      </c>
      <c r="K62" s="347" t="str">
        <f>_xlfn.XLOOKUP(F62,投产规格!E:E,投产规格!D:D,"未投产")</f>
        <v>✔</v>
      </c>
      <c r="L62" s="347">
        <f>IFERROR(_xlfn.XLOOKUP(F62,硫化工艺!B:B,硫化工艺!C:C),"")</f>
        <v>46</v>
      </c>
      <c r="M62" s="349">
        <f t="shared" si="130"/>
        <v>0.887459807073955</v>
      </c>
      <c r="N62" s="347" t="str">
        <f t="shared" si="53"/>
        <v>24.5全钢</v>
      </c>
      <c r="O62" s="347">
        <f>IFERROR(_xlfn.XLOOKUP(F62,轮胎重量!J:J,轮胎重量!G:G),"")</f>
        <v>66.348</v>
      </c>
      <c r="P62" s="347">
        <f>IFERROR(_xlfn.XLOOKUP(G62,硫化工艺!I:I,硫化工艺!J:J),"")</f>
        <v>936.642455</v>
      </c>
      <c r="Q62" s="347">
        <f t="shared" si="131"/>
        <v>56</v>
      </c>
      <c r="R62" s="347">
        <v>56</v>
      </c>
      <c r="S62" s="347">
        <v>56</v>
      </c>
      <c r="T62" s="347">
        <v>56</v>
      </c>
      <c r="U62" s="347">
        <v>56</v>
      </c>
      <c r="V62" s="347">
        <v>56</v>
      </c>
      <c r="W62" s="347">
        <v>56</v>
      </c>
      <c r="X62" s="347">
        <v>56</v>
      </c>
      <c r="Y62" s="347">
        <v>56</v>
      </c>
      <c r="Z62" s="355">
        <v>56</v>
      </c>
      <c r="AA62" s="347"/>
      <c r="AB62" s="347"/>
      <c r="AC62" s="347"/>
      <c r="AD62" s="347"/>
      <c r="AE62" s="347"/>
      <c r="AF62" s="347"/>
      <c r="AG62" s="347"/>
      <c r="AH62" s="347"/>
      <c r="AI62" s="347"/>
      <c r="AJ62" s="347"/>
      <c r="AK62" s="347"/>
      <c r="AL62" s="347"/>
      <c r="AM62" s="347"/>
      <c r="AN62" s="347"/>
      <c r="AO62" s="347"/>
      <c r="AP62" s="347"/>
      <c r="AQ62" s="347"/>
      <c r="AR62" s="347"/>
      <c r="AS62" s="347"/>
      <c r="AT62" s="347"/>
      <c r="AU62" s="347"/>
      <c r="AV62" s="347"/>
      <c r="AW62" s="347">
        <f t="shared" si="132"/>
        <v>504</v>
      </c>
      <c r="AX62" s="365">
        <f t="shared" si="133"/>
        <v>33.439392</v>
      </c>
      <c r="AY62" s="365">
        <f t="shared" si="134"/>
        <v>47.207</v>
      </c>
      <c r="AZ62" s="366">
        <v>449.18</v>
      </c>
      <c r="BA62" s="368">
        <v>29.42</v>
      </c>
      <c r="BB62" s="368">
        <v>49.09</v>
      </c>
      <c r="BC62" s="368">
        <v>52.13</v>
      </c>
      <c r="BD62" s="330"/>
      <c r="BE62" s="330">
        <f t="shared" ref="BE62:BE73" si="146">AZ62*AW62</f>
        <v>226386.72</v>
      </c>
      <c r="BF62" s="330">
        <f t="shared" ref="BF62:BF73" si="147">BA62*AW62</f>
        <v>14827.68</v>
      </c>
      <c r="BG62" s="330">
        <f t="shared" ref="BG62:BG73" si="148">BB62*AW62</f>
        <v>24741.36</v>
      </c>
      <c r="BH62" s="330">
        <f t="shared" ref="BH62:BH73" si="149">BC62*AW62</f>
        <v>26273.52</v>
      </c>
      <c r="BI62" s="330"/>
      <c r="BJ62" s="370" cm="1">
        <f t="array" ref="BJ62:BM62">_xlfn.LET(_xlpm.data,$R62:$AV62,_xlpm.starts,{1,8,16,23},_xlpm.lengths,{7,7,8,9},_xlpm.arr,_xlfn.MAP(_xlpm.starts,_xlpm.lengths,_xlfn.LAMBDA(_xlpm.s,_xlpm.l,SUM(INDEX(_xlpm.data,,_xlfn.SEQUENCE(,_xlpm.l,_xlpm.s))))),ROUND(_xlpm.arr*$O62/1000,2))</f>
        <v>26.01</v>
      </c>
      <c r="BK62" s="330">
        <v>7.43</v>
      </c>
      <c r="BL62" s="330">
        <v>0</v>
      </c>
      <c r="BM62" s="330">
        <v>0</v>
      </c>
      <c r="BN62" s="258">
        <f t="shared" si="139"/>
        <v>33.44</v>
      </c>
      <c r="BO62" s="258">
        <v>0</v>
      </c>
      <c r="BP62" s="258">
        <v>0</v>
      </c>
      <c r="BQ62" s="258">
        <v>0</v>
      </c>
      <c r="BR62" s="258">
        <v>0</v>
      </c>
      <c r="BS62" s="115"/>
      <c r="BT62" s="258" cm="1">
        <f ca="1" t="array" ref="BT62:BW62">_xlfn.HSTACK(SUM(INDEX($R62:$AV62,1,1):INDEX($R62:$AV62,1,7)),SUM(INDEX($R62:$AV62,1,7):INDEX($R62:$AV62,1,13)),SUM(INDEX($R62:$AV62,1,16):INDEX($R62:$AV62,1,23)),SUM(INDEX($R62:$AV62,1,23):INDEX($R62:$AV62,1,31)))</f>
        <v>392</v>
      </c>
      <c r="BU62" s="258">
        <v>168</v>
      </c>
      <c r="BV62" s="258">
        <v>0</v>
      </c>
      <c r="BW62" s="258">
        <v>0</v>
      </c>
      <c r="BY62" s="258">
        <f t="shared" si="21"/>
        <v>392</v>
      </c>
      <c r="BZ62" s="258">
        <f t="shared" si="22"/>
        <v>112</v>
      </c>
      <c r="CA62" s="258">
        <f t="shared" si="23"/>
        <v>0</v>
      </c>
      <c r="CB62" s="258">
        <f t="shared" si="24"/>
        <v>0</v>
      </c>
      <c r="CC62" s="258"/>
      <c r="CD62" s="113"/>
      <c r="CE62" s="258">
        <f t="shared" ref="CE62:CH62" si="150">ROUND(BY62*$O62/1000,2)</f>
        <v>26.01</v>
      </c>
      <c r="CF62" s="258">
        <f t="shared" si="150"/>
        <v>7.43</v>
      </c>
      <c r="CG62" s="258">
        <f t="shared" si="150"/>
        <v>0</v>
      </c>
      <c r="CH62" s="258">
        <f t="shared" si="150"/>
        <v>0</v>
      </c>
      <c r="CI62" s="258">
        <f t="shared" si="140"/>
        <v>33.44</v>
      </c>
      <c r="CJ62" s="113"/>
      <c r="CK62" s="258">
        <f t="shared" ref="CK62:CN62" si="151">IFERROR(ROUND(BY62*$P62,2),"")</f>
        <v>367163.84</v>
      </c>
      <c r="CL62" s="258">
        <f t="shared" si="151"/>
        <v>104903.95</v>
      </c>
      <c r="CM62" s="258">
        <f t="shared" si="151"/>
        <v>0</v>
      </c>
      <c r="CN62" s="258">
        <f t="shared" si="151"/>
        <v>0</v>
      </c>
      <c r="CO62" s="258">
        <f t="shared" si="18"/>
        <v>472067.79</v>
      </c>
      <c r="CP62" s="258">
        <f>VLOOKUP(G62,[2]Sheet1!$C$3:$G$310,5,0)</f>
        <v>5000</v>
      </c>
      <c r="CQ62" s="258" t="e">
        <f>VLOOKUP(G62,[3]KCBB0101!$C$3:$F$691,4,0)</f>
        <v>#N/A</v>
      </c>
    </row>
    <row r="63" customFormat="1" ht="17.6" spans="1:95">
      <c r="A63" s="330"/>
      <c r="B63" s="334" t="str">
        <f>_xlfn.XLOOKUP(G63,销售需求表!A:A,销售需求表!C:C)</f>
        <v>亚</v>
      </c>
      <c r="C63" s="335" t="str">
        <f t="shared" si="19"/>
        <v>24.5</v>
      </c>
      <c r="D63" s="334" t="str">
        <f t="shared" si="129"/>
        <v>亚24.5寸</v>
      </c>
      <c r="E63" s="339" t="str">
        <f t="shared" si="120"/>
        <v>11R24.5-16PR(149/146M)-VA996</v>
      </c>
      <c r="F63" s="340" t="str">
        <f t="shared" si="93"/>
        <v>11R24.5-16PR-VA996</v>
      </c>
      <c r="G63" s="341" t="s">
        <v>419</v>
      </c>
      <c r="H63" s="334">
        <v>800</v>
      </c>
      <c r="I63" s="345"/>
      <c r="J63" s="346" t="str">
        <f t="shared" si="121"/>
        <v>11R24.5-VA996</v>
      </c>
      <c r="K63" s="347" t="str">
        <f>_xlfn.XLOOKUP(F63,投产规格!E:E,投产规格!D:D,"未投产")</f>
        <v>✔</v>
      </c>
      <c r="L63" s="347">
        <f>IFERROR(_xlfn.XLOOKUP(F63,硫化工艺!B:B,硫化工艺!C:C),"")</f>
        <v>37</v>
      </c>
      <c r="M63" s="349">
        <f t="shared" si="130"/>
        <v>0.863813229571984</v>
      </c>
      <c r="N63" s="347" t="str">
        <f t="shared" si="53"/>
        <v>24.5全钢</v>
      </c>
      <c r="O63" s="347">
        <f>IFERROR(_xlfn.XLOOKUP(F63,轮胎重量!J:J,轮胎重量!G:G),"")</f>
        <v>59.983</v>
      </c>
      <c r="P63" s="347">
        <f>IFERROR(_xlfn.XLOOKUP(G63,硫化工艺!I:I,硫化工艺!J:J),"")</f>
        <v>864.465385</v>
      </c>
      <c r="Q63" s="347">
        <f t="shared" si="131"/>
        <v>0</v>
      </c>
      <c r="R63" s="347"/>
      <c r="S63" s="347"/>
      <c r="T63" s="347"/>
      <c r="U63" s="347"/>
      <c r="V63" s="347"/>
      <c r="W63" s="347"/>
      <c r="X63" s="347"/>
      <c r="Y63" s="347"/>
      <c r="Z63" s="347"/>
      <c r="AA63" s="355">
        <v>56</v>
      </c>
      <c r="AB63" s="347">
        <v>56</v>
      </c>
      <c r="AC63" s="347">
        <v>56</v>
      </c>
      <c r="AD63" s="347">
        <v>56</v>
      </c>
      <c r="AE63" s="347">
        <v>56</v>
      </c>
      <c r="AF63" s="347">
        <v>56</v>
      </c>
      <c r="AG63" s="347">
        <v>56</v>
      </c>
      <c r="AH63" s="347">
        <v>56</v>
      </c>
      <c r="AI63" s="347">
        <v>56</v>
      </c>
      <c r="AJ63" s="355">
        <v>56</v>
      </c>
      <c r="AK63" s="347"/>
      <c r="AL63" s="347"/>
      <c r="AM63" s="347"/>
      <c r="AN63" s="347"/>
      <c r="AO63" s="347"/>
      <c r="AP63" s="347"/>
      <c r="AQ63" s="347"/>
      <c r="AR63" s="347"/>
      <c r="AS63" s="347"/>
      <c r="AT63" s="347"/>
      <c r="AU63" s="347"/>
      <c r="AV63" s="347"/>
      <c r="AW63" s="347">
        <f t="shared" si="132"/>
        <v>560</v>
      </c>
      <c r="AX63" s="365">
        <f t="shared" si="133"/>
        <v>33.59048</v>
      </c>
      <c r="AY63" s="365">
        <f t="shared" si="134"/>
        <v>48.41</v>
      </c>
      <c r="AZ63" s="366">
        <v>449.18</v>
      </c>
      <c r="BA63" s="368">
        <v>29.42</v>
      </c>
      <c r="BB63" s="368">
        <v>49.09</v>
      </c>
      <c r="BC63" s="368">
        <v>52.13</v>
      </c>
      <c r="BD63" s="330"/>
      <c r="BE63" s="330">
        <f t="shared" si="146"/>
        <v>251540.8</v>
      </c>
      <c r="BF63" s="330">
        <f t="shared" si="147"/>
        <v>16475.2</v>
      </c>
      <c r="BG63" s="330">
        <f t="shared" si="148"/>
        <v>27490.4</v>
      </c>
      <c r="BH63" s="330">
        <f t="shared" si="149"/>
        <v>29192.8</v>
      </c>
      <c r="BI63" s="330"/>
      <c r="BJ63" s="370" cm="1">
        <f t="array" ref="BJ63:BM63">_xlfn.LET(_xlpm.data,$R63:$AV63,_xlpm.starts,{1,8,16,23},_xlpm.lengths,{7,7,8,9},_xlpm.arr,_xlfn.MAP(_xlpm.starts,_xlpm.lengths,_xlfn.LAMBDA(_xlpm.s,_xlpm.l,SUM(INDEX(_xlpm.data,,_xlfn.SEQUENCE(,_xlpm.l,_xlpm.s))))),ROUND(_xlpm.arr*$O63/1000,2))</f>
        <v>0</v>
      </c>
      <c r="BK63" s="330">
        <v>16.8</v>
      </c>
      <c r="BL63" s="330">
        <v>13.44</v>
      </c>
      <c r="BM63" s="330">
        <v>0</v>
      </c>
      <c r="BN63" s="258">
        <f t="shared" si="139"/>
        <v>30.24</v>
      </c>
      <c r="BO63" s="258">
        <v>0</v>
      </c>
      <c r="BP63" s="258">
        <v>0</v>
      </c>
      <c r="BQ63" s="258">
        <v>0</v>
      </c>
      <c r="BR63" s="258">
        <v>0</v>
      </c>
      <c r="BS63" s="115"/>
      <c r="BT63" s="258" cm="1">
        <f ca="1" t="array" ref="BT63:BW63">_xlfn.HSTACK(SUM(INDEX($R63:$AV63,1,1):INDEX($R63:$AV63,1,7)),SUM(INDEX($R63:$AV63,1,7):INDEX($R63:$AV63,1,13)),SUM(INDEX($R63:$AV63,1,16):INDEX($R63:$AV63,1,23)),SUM(INDEX($R63:$AV63,1,23):INDEX($R63:$AV63,1,31)))</f>
        <v>0</v>
      </c>
      <c r="BU63" s="258">
        <v>224</v>
      </c>
      <c r="BV63" s="258">
        <v>224</v>
      </c>
      <c r="BW63" s="258">
        <v>0</v>
      </c>
      <c r="BY63" s="258">
        <f t="shared" si="21"/>
        <v>0</v>
      </c>
      <c r="BZ63" s="258">
        <f t="shared" si="22"/>
        <v>280</v>
      </c>
      <c r="CA63" s="258">
        <f t="shared" si="23"/>
        <v>280</v>
      </c>
      <c r="CB63" s="258">
        <f t="shared" si="24"/>
        <v>0</v>
      </c>
      <c r="CC63" s="258"/>
      <c r="CD63" s="113"/>
      <c r="CE63" s="258">
        <f t="shared" ref="CE63:CH63" si="152">ROUND(BY63*$O63/1000,2)</f>
        <v>0</v>
      </c>
      <c r="CF63" s="258">
        <f t="shared" si="152"/>
        <v>16.8</v>
      </c>
      <c r="CG63" s="258">
        <f t="shared" si="152"/>
        <v>16.8</v>
      </c>
      <c r="CH63" s="258">
        <f t="shared" si="152"/>
        <v>0</v>
      </c>
      <c r="CI63" s="258">
        <f t="shared" si="140"/>
        <v>33.6</v>
      </c>
      <c r="CJ63" s="113"/>
      <c r="CK63" s="258">
        <f t="shared" ref="CK63:CN63" si="153">IFERROR(ROUND(BY63*$P63,2),"")</f>
        <v>0</v>
      </c>
      <c r="CL63" s="258">
        <f t="shared" si="153"/>
        <v>242050.31</v>
      </c>
      <c r="CM63" s="258">
        <f t="shared" si="153"/>
        <v>242050.31</v>
      </c>
      <c r="CN63" s="258">
        <f t="shared" si="153"/>
        <v>0</v>
      </c>
      <c r="CO63" s="258">
        <f t="shared" si="18"/>
        <v>484100.62</v>
      </c>
      <c r="CP63" s="258">
        <f>VLOOKUP(G63,[2]Sheet1!$C$3:$G$310,5,0)</f>
        <v>6500</v>
      </c>
      <c r="CQ63" s="258" t="e">
        <f>VLOOKUP(G63,[3]KCBB0101!$C$3:$F$691,4,0)</f>
        <v>#N/A</v>
      </c>
    </row>
    <row r="64" customFormat="1" ht="17.6" spans="1:93">
      <c r="A64" s="330"/>
      <c r="B64" s="334" t="str">
        <f>_xlfn.XLOOKUP(G64,销售需求表!A:A,销售需求表!C:C)</f>
        <v>亚</v>
      </c>
      <c r="C64" s="335" t="str">
        <f t="shared" si="19"/>
        <v>24.5</v>
      </c>
      <c r="D64" s="334" t="str">
        <f t="shared" ref="D64:D69" si="154">B64&amp;C64&amp;"寸"</f>
        <v>亚24.5寸</v>
      </c>
      <c r="E64" s="339" t="str">
        <f t="shared" si="120"/>
        <v>11R24.5-16PR(149/146L)-VA991</v>
      </c>
      <c r="F64" s="340" t="str">
        <f t="shared" si="93"/>
        <v>11R24.5-16PR-VA991</v>
      </c>
      <c r="G64" s="343" t="s">
        <v>420</v>
      </c>
      <c r="H64" s="334">
        <v>300</v>
      </c>
      <c r="I64" s="345"/>
      <c r="J64" s="346" t="str">
        <f t="shared" si="121"/>
        <v>11R24.5-VA991</v>
      </c>
      <c r="K64" s="347" t="str">
        <f>_xlfn.XLOOKUP(F64,投产规格!E:E,投产规格!D:D,"未投产")</f>
        <v>✔</v>
      </c>
      <c r="L64" s="347">
        <f>IFERROR(_xlfn.XLOOKUP(F64,硫化工艺!B:B,硫化工艺!C:C),"")</f>
        <v>40</v>
      </c>
      <c r="M64" s="349">
        <f t="shared" ref="M64:M69" si="155">IF(L64="","",L64/(L64+$L$1/60))</f>
        <v>0.872727272727273</v>
      </c>
      <c r="N64" s="347" t="str">
        <f t="shared" ref="N64:N74" si="156">C64&amp;"全钢"</f>
        <v>24.5全钢</v>
      </c>
      <c r="O64" s="347">
        <f>IFERROR(_xlfn.XLOOKUP(F64,轮胎重量!J:J,轮胎重量!G:G),"")</f>
        <v>61.195</v>
      </c>
      <c r="P64" s="347">
        <f>IFERROR(_xlfn.XLOOKUP(G64,硫化工艺!I:I,硫化工艺!J:J),"")</f>
        <v>875.580104</v>
      </c>
      <c r="Q64" s="347">
        <f t="shared" ref="Q64:Q69" si="157">IFERROR(ROUND(1440/L64*(I64)*M64,0),"")</f>
        <v>0</v>
      </c>
      <c r="R64" s="347"/>
      <c r="S64" s="347"/>
      <c r="T64" s="347"/>
      <c r="U64" s="347"/>
      <c r="V64" s="347"/>
      <c r="W64" s="347"/>
      <c r="X64" s="347"/>
      <c r="Y64" s="347"/>
      <c r="Z64" s="347"/>
      <c r="AA64" s="347"/>
      <c r="AB64" s="347"/>
      <c r="AC64" s="347"/>
      <c r="AD64" s="347"/>
      <c r="AE64" s="347"/>
      <c r="AF64" s="347"/>
      <c r="AG64" s="347"/>
      <c r="AH64" s="347"/>
      <c r="AI64" s="347"/>
      <c r="AJ64" s="347"/>
      <c r="AK64" s="347"/>
      <c r="AL64" s="347"/>
      <c r="AM64" s="347"/>
      <c r="AN64" s="347"/>
      <c r="AO64" s="347"/>
      <c r="AP64" s="347"/>
      <c r="AQ64" s="347"/>
      <c r="AR64" s="347"/>
      <c r="AS64" s="347"/>
      <c r="AT64" s="347"/>
      <c r="AU64" s="347"/>
      <c r="AV64" s="347"/>
      <c r="AW64" s="347" t="str">
        <f t="shared" ref="AW64:AW69" si="158">IF(SUM(R64:AV64)=0,"",SUM(R64:AV64))</f>
        <v/>
      </c>
      <c r="AX64" s="365" t="str">
        <f t="shared" ref="AX64:AX69" si="159">IFERROR(AW64*O64/1000,"")</f>
        <v/>
      </c>
      <c r="AY64" s="365" t="str">
        <f t="shared" ref="AY64:AY69" si="160">IFERROR(ROUND(AW64*P64/10000,3),"")</f>
        <v/>
      </c>
      <c r="AZ64" s="366">
        <v>449.18</v>
      </c>
      <c r="BA64" s="368">
        <v>29.42</v>
      </c>
      <c r="BB64" s="368">
        <v>49.09</v>
      </c>
      <c r="BC64" s="368">
        <v>52.13</v>
      </c>
      <c r="BD64" s="330"/>
      <c r="BE64" s="330" t="e">
        <f t="shared" si="146"/>
        <v>#VALUE!</v>
      </c>
      <c r="BF64" s="330" t="e">
        <f t="shared" si="147"/>
        <v>#VALUE!</v>
      </c>
      <c r="BG64" s="330" t="e">
        <f t="shared" si="148"/>
        <v>#VALUE!</v>
      </c>
      <c r="BH64" s="330" t="e">
        <f t="shared" si="149"/>
        <v>#VALUE!</v>
      </c>
      <c r="BI64" s="330"/>
      <c r="BJ64" s="370" cm="1">
        <f t="array" ref="BJ64:BM64">_xlfn.LET(_xlpm.data,$R64:$AV64,_xlpm.starts,{1,8,16,23},_xlpm.lengths,{7,7,8,9},_xlpm.arr,_xlfn.MAP(_xlpm.starts,_xlpm.lengths,_xlfn.LAMBDA(_xlpm.s,_xlpm.l,SUM(INDEX(_xlpm.data,,_xlfn.SEQUENCE(,_xlpm.l,_xlpm.s))))),ROUND(_xlpm.arr*$O64/1000,2))</f>
        <v>0</v>
      </c>
      <c r="BK64" s="330">
        <v>0</v>
      </c>
      <c r="BL64" s="330">
        <v>0</v>
      </c>
      <c r="BM64" s="330">
        <v>0</v>
      </c>
      <c r="BN64" s="258">
        <f t="shared" ref="BN64:BN69" si="161">SUM(BJ64:BM64)</f>
        <v>0</v>
      </c>
      <c r="BO64" s="258">
        <v>0</v>
      </c>
      <c r="BP64" s="258">
        <v>0</v>
      </c>
      <c r="BQ64" s="258">
        <v>0</v>
      </c>
      <c r="BR64" s="258">
        <v>0</v>
      </c>
      <c r="BS64" s="115"/>
      <c r="BT64" s="258" cm="1">
        <f ca="1" t="array" ref="BT64:BW64">_xlfn.HSTACK(SUM(INDEX($R64:$AV64,1,1):INDEX($R64:$AV64,1,7)),SUM(INDEX($R64:$AV64,1,7):INDEX($R64:$AV64,1,13)),SUM(INDEX($R64:$AV64,1,16):INDEX($R64:$AV64,1,23)),SUM(INDEX($R64:$AV64,1,23):INDEX($R64:$AV64,1,31)))</f>
        <v>0</v>
      </c>
      <c r="BU64" s="258">
        <v>0</v>
      </c>
      <c r="BV64" s="258">
        <v>0</v>
      </c>
      <c r="BW64" s="258">
        <v>0</v>
      </c>
      <c r="BY64" s="258">
        <f t="shared" si="21"/>
        <v>0</v>
      </c>
      <c r="BZ64" s="258">
        <f t="shared" si="22"/>
        <v>0</v>
      </c>
      <c r="CA64" s="258">
        <f t="shared" si="23"/>
        <v>0</v>
      </c>
      <c r="CB64" s="258">
        <f t="shared" si="24"/>
        <v>0</v>
      </c>
      <c r="CC64" s="258"/>
      <c r="CD64" s="113"/>
      <c r="CE64" s="258">
        <f t="shared" ref="CE64:CE69" si="162">ROUND(BY64*$O64/1000,2)</f>
        <v>0</v>
      </c>
      <c r="CF64" s="258">
        <f t="shared" ref="CF64:CF69" si="163">ROUND(BZ64*$O64/1000,2)</f>
        <v>0</v>
      </c>
      <c r="CG64" s="258">
        <f t="shared" ref="CG64:CG69" si="164">ROUND(CA64*$O64/1000,2)</f>
        <v>0</v>
      </c>
      <c r="CH64" s="258">
        <f t="shared" ref="CH64:CH69" si="165">ROUND(CB64*$O64/1000,2)</f>
        <v>0</v>
      </c>
      <c r="CI64" s="258">
        <f t="shared" ref="CI64:CI69" si="166">SUM(CE64:CH64)</f>
        <v>0</v>
      </c>
      <c r="CJ64" s="113"/>
      <c r="CK64" s="258">
        <f t="shared" ref="CK64:CN64" si="167">IFERROR(ROUND(BY64*$P64,2),"")</f>
        <v>0</v>
      </c>
      <c r="CL64" s="258">
        <f t="shared" si="167"/>
        <v>0</v>
      </c>
      <c r="CM64" s="258">
        <f t="shared" si="167"/>
        <v>0</v>
      </c>
      <c r="CN64" s="258">
        <f t="shared" si="167"/>
        <v>0</v>
      </c>
      <c r="CO64" s="258">
        <f t="shared" si="18"/>
        <v>0</v>
      </c>
    </row>
    <row r="65" customFormat="1" ht="17.6" spans="1:93">
      <c r="A65" s="330"/>
      <c r="B65" s="334" t="str">
        <f>_xlfn.XLOOKUP(G65,销售需求表!A:A,销售需求表!C:C)</f>
        <v>北美</v>
      </c>
      <c r="C65" s="335" t="str">
        <f t="shared" si="19"/>
        <v>24.5</v>
      </c>
      <c r="D65" s="334" t="str">
        <f t="shared" si="154"/>
        <v>北美24.5寸</v>
      </c>
      <c r="E65" s="339" t="str">
        <f t="shared" si="120"/>
        <v>285/75R24.5-14PR(144/141L)-HD1 Plus</v>
      </c>
      <c r="F65" s="340" t="str">
        <f t="shared" si="93"/>
        <v>285/75R24.5-14PR-HD1 Plus</v>
      </c>
      <c r="G65" s="339" t="s">
        <v>483</v>
      </c>
      <c r="H65" s="334">
        <v>200</v>
      </c>
      <c r="I65" s="345"/>
      <c r="J65" s="346" t="str">
        <f t="shared" si="121"/>
        <v>285/75R24.5-HD1 Plus</v>
      </c>
      <c r="K65" s="347" t="str">
        <f>_xlfn.XLOOKUP(F65,投产规格!E:E,投产规格!D:D,"未投产")</f>
        <v>✔</v>
      </c>
      <c r="L65" s="347">
        <f>IFERROR(_xlfn.XLOOKUP(F65,硫化工艺!B:B,硫化工艺!C:C),"")</f>
        <v>38.5</v>
      </c>
      <c r="M65" s="349">
        <f t="shared" si="155"/>
        <v>0.868421052631579</v>
      </c>
      <c r="N65" s="347" t="str">
        <f t="shared" si="156"/>
        <v>24.5全钢</v>
      </c>
      <c r="O65" s="347">
        <f>IFERROR(_xlfn.XLOOKUP(F65,轮胎重量!J:J,轮胎重量!G:G),"")</f>
        <v>57.158</v>
      </c>
      <c r="P65" s="347">
        <f>IFERROR(_xlfn.XLOOKUP(G65,硫化工艺!I:I,硫化工艺!J:J),"")</f>
        <v>821.488416</v>
      </c>
      <c r="Q65" s="347">
        <f t="shared" si="157"/>
        <v>0</v>
      </c>
      <c r="R65" s="347"/>
      <c r="S65" s="347"/>
      <c r="T65" s="347"/>
      <c r="U65" s="347"/>
      <c r="V65" s="347"/>
      <c r="W65" s="347"/>
      <c r="X65" s="347"/>
      <c r="Y65" s="347"/>
      <c r="Z65" s="347"/>
      <c r="AA65" s="347"/>
      <c r="AB65" s="347"/>
      <c r="AC65" s="347"/>
      <c r="AD65" s="347"/>
      <c r="AE65" s="347"/>
      <c r="AF65" s="347"/>
      <c r="AG65" s="347"/>
      <c r="AH65" s="347"/>
      <c r="AI65" s="347"/>
      <c r="AJ65" s="347"/>
      <c r="AK65" s="347"/>
      <c r="AL65" s="347"/>
      <c r="AM65" s="347"/>
      <c r="AN65" s="347"/>
      <c r="AO65" s="347"/>
      <c r="AP65" s="347"/>
      <c r="AQ65" s="347"/>
      <c r="AR65" s="347"/>
      <c r="AS65" s="347"/>
      <c r="AT65" s="347"/>
      <c r="AU65" s="347"/>
      <c r="AV65" s="347"/>
      <c r="AW65" s="347" t="str">
        <f t="shared" si="158"/>
        <v/>
      </c>
      <c r="AX65" s="365" t="str">
        <f t="shared" si="159"/>
        <v/>
      </c>
      <c r="AY65" s="365" t="str">
        <f t="shared" si="160"/>
        <v/>
      </c>
      <c r="AZ65" s="366">
        <v>449.18</v>
      </c>
      <c r="BA65" s="368">
        <v>29.42</v>
      </c>
      <c r="BB65" s="368">
        <v>49.09</v>
      </c>
      <c r="BC65" s="368">
        <v>52.13</v>
      </c>
      <c r="BD65" s="330"/>
      <c r="BE65" s="330" t="e">
        <f t="shared" si="146"/>
        <v>#VALUE!</v>
      </c>
      <c r="BF65" s="330" t="e">
        <f t="shared" si="147"/>
        <v>#VALUE!</v>
      </c>
      <c r="BG65" s="330" t="e">
        <f t="shared" si="148"/>
        <v>#VALUE!</v>
      </c>
      <c r="BH65" s="330" t="e">
        <f t="shared" si="149"/>
        <v>#VALUE!</v>
      </c>
      <c r="BI65" s="330"/>
      <c r="BJ65" s="370" cm="1">
        <f t="array" ref="BJ65:BM65">_xlfn.LET(_xlpm.data,$R65:$AV65,_xlpm.starts,{1,8,16,23},_xlpm.lengths,{7,7,8,9},_xlpm.arr,_xlfn.MAP(_xlpm.starts,_xlpm.lengths,_xlfn.LAMBDA(_xlpm.s,_xlpm.l,SUM(INDEX(_xlpm.data,,_xlfn.SEQUENCE(,_xlpm.l,_xlpm.s))))),ROUND(_xlpm.arr*$O65/1000,2))</f>
        <v>0</v>
      </c>
      <c r="BK65" s="330">
        <v>0</v>
      </c>
      <c r="BL65" s="330">
        <v>0</v>
      </c>
      <c r="BM65" s="330">
        <v>0</v>
      </c>
      <c r="BN65" s="258">
        <f t="shared" si="161"/>
        <v>0</v>
      </c>
      <c r="BO65" s="258">
        <v>0</v>
      </c>
      <c r="BP65" s="258">
        <v>0</v>
      </c>
      <c r="BQ65" s="258">
        <v>0</v>
      </c>
      <c r="BR65" s="258">
        <v>0</v>
      </c>
      <c r="BS65" s="115"/>
      <c r="BT65" s="258" cm="1">
        <f ca="1" t="array" ref="BT65:BW65">_xlfn.HSTACK(SUM(INDEX($R65:$AV65,1,1):INDEX($R65:$AV65,1,7)),SUM(INDEX($R65:$AV65,1,7):INDEX($R65:$AV65,1,13)),SUM(INDEX($R65:$AV65,1,16):INDEX($R65:$AV65,1,23)),SUM(INDEX($R65:$AV65,1,23):INDEX($R65:$AV65,1,31)))</f>
        <v>0</v>
      </c>
      <c r="BU65" s="258">
        <v>0</v>
      </c>
      <c r="BV65" s="258">
        <v>0</v>
      </c>
      <c r="BW65" s="258">
        <v>0</v>
      </c>
      <c r="BY65" s="258">
        <f t="shared" si="21"/>
        <v>0</v>
      </c>
      <c r="BZ65" s="258">
        <f t="shared" si="22"/>
        <v>0</v>
      </c>
      <c r="CA65" s="258">
        <f t="shared" si="23"/>
        <v>0</v>
      </c>
      <c r="CB65" s="258">
        <f t="shared" si="24"/>
        <v>0</v>
      </c>
      <c r="CC65" s="258"/>
      <c r="CD65" s="113"/>
      <c r="CE65" s="258">
        <f t="shared" si="162"/>
        <v>0</v>
      </c>
      <c r="CF65" s="258">
        <f t="shared" si="163"/>
        <v>0</v>
      </c>
      <c r="CG65" s="258">
        <f t="shared" si="164"/>
        <v>0</v>
      </c>
      <c r="CH65" s="258">
        <f t="shared" si="165"/>
        <v>0</v>
      </c>
      <c r="CI65" s="258">
        <f t="shared" si="166"/>
        <v>0</v>
      </c>
      <c r="CJ65" s="113"/>
      <c r="CK65" s="258">
        <f t="shared" ref="CK65:CN65" si="168">IFERROR(ROUND(BY65*$P65,2),"")</f>
        <v>0</v>
      </c>
      <c r="CL65" s="258">
        <f t="shared" si="168"/>
        <v>0</v>
      </c>
      <c r="CM65" s="258">
        <f t="shared" si="168"/>
        <v>0</v>
      </c>
      <c r="CN65" s="258">
        <f t="shared" si="168"/>
        <v>0</v>
      </c>
      <c r="CO65" s="258">
        <f t="shared" si="18"/>
        <v>0</v>
      </c>
    </row>
    <row r="66" s="258" customFormat="1" ht="17.6" spans="1:93">
      <c r="A66" s="330"/>
      <c r="B66" s="334" t="str">
        <f>_xlfn.XLOOKUP(G66,销售需求表!A:A,销售需求表!C:C)</f>
        <v>北美</v>
      </c>
      <c r="C66" s="335" t="str">
        <f t="shared" si="19"/>
        <v>24.5</v>
      </c>
      <c r="D66" s="334" t="str">
        <f t="shared" si="154"/>
        <v>北美24.5寸</v>
      </c>
      <c r="E66" s="339" t="str">
        <f t="shared" si="120"/>
        <v>285/75R24.5-14PR(144/141L)-HF1 Plus</v>
      </c>
      <c r="F66" s="340" t="str">
        <f t="shared" si="93"/>
        <v>285/75R24.5-14PR-HF1 Plus</v>
      </c>
      <c r="G66" s="339" t="s">
        <v>484</v>
      </c>
      <c r="H66" s="334">
        <v>300</v>
      </c>
      <c r="I66" s="345"/>
      <c r="J66" s="346" t="str">
        <f t="shared" si="121"/>
        <v>285/75R24.5-HF1 Plus</v>
      </c>
      <c r="K66" s="347" t="str">
        <f>_xlfn.XLOOKUP(F66,投产规格!E:E,投产规格!D:D,"未投产")</f>
        <v>✔</v>
      </c>
      <c r="L66" s="347">
        <f>IFERROR(_xlfn.XLOOKUP(F66,硫化工艺!B:B,硫化工艺!C:C),"")</f>
        <v>37</v>
      </c>
      <c r="M66" s="349">
        <f t="shared" si="155"/>
        <v>0.863813229571984</v>
      </c>
      <c r="N66" s="347" t="str">
        <f t="shared" si="156"/>
        <v>24.5全钢</v>
      </c>
      <c r="O66" s="347">
        <f>IFERROR(_xlfn.XLOOKUP(F66,轮胎重量!J:J,轮胎重量!G:G),"")</f>
        <v>52.82</v>
      </c>
      <c r="P66" s="347">
        <f>IFERROR(_xlfn.XLOOKUP(G66,硫化工艺!I:I,硫化工艺!J:J),"")</f>
        <v>762.18548</v>
      </c>
      <c r="Q66" s="347">
        <f t="shared" si="157"/>
        <v>0</v>
      </c>
      <c r="R66" s="347"/>
      <c r="S66" s="347"/>
      <c r="T66" s="347"/>
      <c r="U66" s="347"/>
      <c r="V66" s="347"/>
      <c r="W66" s="347"/>
      <c r="X66" s="347"/>
      <c r="Y66" s="347"/>
      <c r="Z66" s="347"/>
      <c r="AA66" s="347"/>
      <c r="AB66" s="347"/>
      <c r="AC66" s="347"/>
      <c r="AD66" s="347"/>
      <c r="AE66" s="347"/>
      <c r="AF66" s="347"/>
      <c r="AG66" s="347"/>
      <c r="AH66" s="347"/>
      <c r="AI66" s="347"/>
      <c r="AJ66" s="347"/>
      <c r="AK66" s="347"/>
      <c r="AL66" s="347"/>
      <c r="AM66" s="347"/>
      <c r="AN66" s="347"/>
      <c r="AO66" s="347"/>
      <c r="AP66" s="347"/>
      <c r="AQ66" s="347"/>
      <c r="AR66" s="347"/>
      <c r="AS66" s="347"/>
      <c r="AT66" s="347"/>
      <c r="AU66" s="347"/>
      <c r="AV66" s="347"/>
      <c r="AW66" s="347" t="str">
        <f t="shared" si="158"/>
        <v/>
      </c>
      <c r="AX66" s="365" t="str">
        <f t="shared" si="159"/>
        <v/>
      </c>
      <c r="AY66" s="365" t="str">
        <f t="shared" si="160"/>
        <v/>
      </c>
      <c r="AZ66" s="366">
        <v>449.18</v>
      </c>
      <c r="BA66" s="368">
        <v>29.42</v>
      </c>
      <c r="BB66" s="368">
        <v>49.09</v>
      </c>
      <c r="BC66" s="368">
        <v>52.13</v>
      </c>
      <c r="BD66" s="330"/>
      <c r="BE66" s="330" t="e">
        <f t="shared" si="146"/>
        <v>#VALUE!</v>
      </c>
      <c r="BF66" s="330" t="e">
        <f t="shared" si="147"/>
        <v>#VALUE!</v>
      </c>
      <c r="BG66" s="330" t="e">
        <f t="shared" si="148"/>
        <v>#VALUE!</v>
      </c>
      <c r="BH66" s="330" t="e">
        <f t="shared" si="149"/>
        <v>#VALUE!</v>
      </c>
      <c r="BI66" s="330"/>
      <c r="BJ66" s="370" cm="1">
        <f t="array" ref="BJ66:BM66">_xlfn.LET(_xlpm.data,$R66:$AV66,_xlpm.starts,{1,8,16,23},_xlpm.lengths,{7,7,8,9},_xlpm.arr,_xlfn.MAP(_xlpm.starts,_xlpm.lengths,_xlfn.LAMBDA(_xlpm.s,_xlpm.l,SUM(INDEX(_xlpm.data,,_xlfn.SEQUENCE(,_xlpm.l,_xlpm.s))))),ROUND(_xlpm.arr*$O66/1000,2))</f>
        <v>0</v>
      </c>
      <c r="BK66" s="330">
        <v>0</v>
      </c>
      <c r="BL66" s="330">
        <v>0</v>
      </c>
      <c r="BM66" s="330">
        <v>0</v>
      </c>
      <c r="BN66" s="258">
        <f t="shared" si="161"/>
        <v>0</v>
      </c>
      <c r="BO66" s="258">
        <v>22.41</v>
      </c>
      <c r="BP66" s="258">
        <v>22.41</v>
      </c>
      <c r="BQ66" s="258">
        <v>25.62</v>
      </c>
      <c r="BR66" s="258">
        <v>28.82</v>
      </c>
      <c r="BS66" s="115"/>
      <c r="BT66" s="258" cm="1">
        <f ca="1" t="array" ref="BT66:BW66">_xlfn.HSTACK(SUM(INDEX($R66:$AV66,1,1):INDEX($R66:$AV66,1,7)),SUM(INDEX($R66:$AV66,1,7):INDEX($R66:$AV66,1,13)),SUM(INDEX($R66:$AV66,1,16):INDEX($R66:$AV66,1,23)),SUM(INDEX($R66:$AV66,1,23):INDEX($R66:$AV66,1,31)))</f>
        <v>0</v>
      </c>
      <c r="BU66" s="258">
        <v>0</v>
      </c>
      <c r="BV66" s="258">
        <v>0</v>
      </c>
      <c r="BW66" s="258">
        <v>0</v>
      </c>
      <c r="BY66" s="258">
        <f t="shared" si="21"/>
        <v>0</v>
      </c>
      <c r="BZ66" s="258">
        <f t="shared" si="22"/>
        <v>0</v>
      </c>
      <c r="CA66" s="258">
        <f t="shared" si="23"/>
        <v>0</v>
      </c>
      <c r="CB66" s="258">
        <f t="shared" si="24"/>
        <v>0</v>
      </c>
      <c r="CD66" s="113"/>
      <c r="CE66" s="258">
        <f t="shared" si="162"/>
        <v>0</v>
      </c>
      <c r="CF66" s="258">
        <f t="shared" si="163"/>
        <v>0</v>
      </c>
      <c r="CG66" s="258">
        <f t="shared" si="164"/>
        <v>0</v>
      </c>
      <c r="CH66" s="258">
        <f t="shared" si="165"/>
        <v>0</v>
      </c>
      <c r="CI66" s="258">
        <f t="shared" si="166"/>
        <v>0</v>
      </c>
      <c r="CJ66" s="113"/>
      <c r="CK66" s="258">
        <f t="shared" ref="CK66:CN66" si="169">IFERROR(ROUND(BY66*$P66,2),"")</f>
        <v>0</v>
      </c>
      <c r="CL66" s="258">
        <f t="shared" si="169"/>
        <v>0</v>
      </c>
      <c r="CM66" s="258">
        <f t="shared" si="169"/>
        <v>0</v>
      </c>
      <c r="CN66" s="258">
        <f t="shared" si="169"/>
        <v>0</v>
      </c>
      <c r="CO66" s="258">
        <f t="shared" si="18"/>
        <v>0</v>
      </c>
    </row>
    <row r="67" customFormat="1" ht="17.6" spans="1:95">
      <c r="A67" s="330"/>
      <c r="B67" s="334" t="str">
        <f>_xlfn.XLOOKUP(G67,销售需求表!A:A,销售需求表!C:C)</f>
        <v>北美</v>
      </c>
      <c r="C67" s="335" t="str">
        <f t="shared" si="19"/>
        <v>24.5</v>
      </c>
      <c r="D67" s="334" t="str">
        <f t="shared" si="154"/>
        <v>北美24.5寸</v>
      </c>
      <c r="E67" s="339" t="str">
        <f t="shared" si="120"/>
        <v>285/75R24.5-14PR(144/141L)-I-28D</v>
      </c>
      <c r="F67" s="340" t="str">
        <f t="shared" si="93"/>
        <v>285/75R24.5-14PR-I-28D</v>
      </c>
      <c r="G67" s="341" t="s">
        <v>485</v>
      </c>
      <c r="H67" s="334">
        <v>1000</v>
      </c>
      <c r="I67" s="345"/>
      <c r="J67" s="346" t="str">
        <f t="shared" ref="J67:J74" si="170">IFERROR(LEFT(F67,FIND("-",F67))&amp;MID(F67,FIND("PR",F67,FIND("-",F67))+3,LEN(F67)),F67)</f>
        <v>285/75R24.5-I-28D</v>
      </c>
      <c r="K67" s="347" t="str">
        <f>_xlfn.XLOOKUP(F67,投产规格!E:E,投产规格!D:D,"未投产")</f>
        <v>✔</v>
      </c>
      <c r="L67" s="347">
        <f>IFERROR(_xlfn.XLOOKUP(F67,硫化工艺!B:B,硫化工艺!C:C),"")</f>
        <v>38</v>
      </c>
      <c r="M67" s="349">
        <f t="shared" si="155"/>
        <v>0.866920152091255</v>
      </c>
      <c r="N67" s="347" t="str">
        <f t="shared" si="156"/>
        <v>24.5全钢</v>
      </c>
      <c r="O67" s="347">
        <f>IFERROR(_xlfn.XLOOKUP(F67,轮胎重量!J:J,轮胎重量!G:G),"")</f>
        <v>59.61</v>
      </c>
      <c r="P67" s="347">
        <f>IFERROR(_xlfn.XLOOKUP(G67,硫化工艺!I:I,硫化工艺!J:J),"")</f>
        <v>860.674521</v>
      </c>
      <c r="Q67" s="347">
        <f t="shared" si="157"/>
        <v>0</v>
      </c>
      <c r="R67" s="347"/>
      <c r="S67" s="347"/>
      <c r="T67" s="347"/>
      <c r="U67" s="347"/>
      <c r="V67" s="347"/>
      <c r="W67" s="347"/>
      <c r="X67" s="347"/>
      <c r="Y67" s="347"/>
      <c r="Z67" s="347"/>
      <c r="AA67" s="347"/>
      <c r="AB67" s="347"/>
      <c r="AC67" s="347"/>
      <c r="AD67" s="347"/>
      <c r="AE67" s="347"/>
      <c r="AF67" s="347"/>
      <c r="AG67" s="347"/>
      <c r="AH67" s="347"/>
      <c r="AI67" s="347"/>
      <c r="AJ67" s="347"/>
      <c r="AK67" s="359">
        <v>60</v>
      </c>
      <c r="AL67" s="347">
        <v>60</v>
      </c>
      <c r="AM67" s="347">
        <v>60</v>
      </c>
      <c r="AN67" s="347">
        <v>60</v>
      </c>
      <c r="AO67" s="347">
        <v>60</v>
      </c>
      <c r="AP67" s="347">
        <v>60</v>
      </c>
      <c r="AQ67" s="347">
        <v>60</v>
      </c>
      <c r="AR67" s="347">
        <v>60</v>
      </c>
      <c r="AS67" s="347">
        <v>60</v>
      </c>
      <c r="AT67" s="347">
        <v>60</v>
      </c>
      <c r="AU67" s="347">
        <v>60</v>
      </c>
      <c r="AV67" s="347">
        <v>60</v>
      </c>
      <c r="AW67" s="347">
        <f t="shared" si="158"/>
        <v>720</v>
      </c>
      <c r="AX67" s="365">
        <f t="shared" si="159"/>
        <v>42.9192</v>
      </c>
      <c r="AY67" s="365">
        <f t="shared" si="160"/>
        <v>61.969</v>
      </c>
      <c r="AZ67" s="367"/>
      <c r="BA67" s="258"/>
      <c r="BB67" s="258"/>
      <c r="BC67" s="330"/>
      <c r="BD67" s="330"/>
      <c r="BE67" s="330">
        <f t="shared" si="146"/>
        <v>0</v>
      </c>
      <c r="BF67" s="330">
        <f t="shared" si="147"/>
        <v>0</v>
      </c>
      <c r="BG67" s="330">
        <f t="shared" si="148"/>
        <v>0</v>
      </c>
      <c r="BH67" s="330">
        <f t="shared" si="149"/>
        <v>0</v>
      </c>
      <c r="BI67" s="330"/>
      <c r="BJ67" s="370" cm="1">
        <f t="array" ref="BJ67:BM67">_xlfn.LET(_xlpm.data,$R67:$AV67,_xlpm.starts,{1,8,16,23},_xlpm.lengths,{7,7,8,9},_xlpm.arr,_xlfn.MAP(_xlpm.starts,_xlpm.lengths,_xlfn.LAMBDA(_xlpm.s,_xlpm.l,SUM(INDEX(_xlpm.data,,_xlfn.SEQUENCE(,_xlpm.l,_xlpm.s))))),ROUND(_xlpm.arr*$O67/1000,2))</f>
        <v>0</v>
      </c>
      <c r="BK67" s="330">
        <v>0</v>
      </c>
      <c r="BL67" s="330">
        <v>14.31</v>
      </c>
      <c r="BM67" s="330">
        <v>32.19</v>
      </c>
      <c r="BN67" s="258">
        <f t="shared" si="161"/>
        <v>46.5</v>
      </c>
      <c r="BO67" s="258">
        <v>21.08</v>
      </c>
      <c r="BP67" s="258">
        <v>21.08</v>
      </c>
      <c r="BQ67" s="258">
        <v>24.09</v>
      </c>
      <c r="BR67" s="258">
        <v>27.1</v>
      </c>
      <c r="BS67" s="115"/>
      <c r="BT67" s="258" cm="1">
        <f ca="1" t="array" ref="BT67:BW67">_xlfn.HSTACK(SUM(INDEX($R67:$AV67,1,1):INDEX($R67:$AV67,1,7)),SUM(INDEX($R67:$AV67,1,7):INDEX($R67:$AV67,1,13)),SUM(INDEX($R67:$AV67,1,16):INDEX($R67:$AV67,1,23)),SUM(INDEX($R67:$AV67,1,23):INDEX($R67:$AV67,1,31)))</f>
        <v>0</v>
      </c>
      <c r="BU67" s="258">
        <v>0</v>
      </c>
      <c r="BV67" s="258">
        <v>240</v>
      </c>
      <c r="BW67" s="258">
        <v>540</v>
      </c>
      <c r="BY67" s="258">
        <f t="shared" si="21"/>
        <v>0</v>
      </c>
      <c r="BZ67" s="258">
        <f t="shared" si="22"/>
        <v>0</v>
      </c>
      <c r="CA67" s="258">
        <f t="shared" si="23"/>
        <v>180</v>
      </c>
      <c r="CB67" s="258">
        <f t="shared" si="24"/>
        <v>540</v>
      </c>
      <c r="CC67" s="258"/>
      <c r="CD67" s="113"/>
      <c r="CE67" s="258">
        <f t="shared" si="162"/>
        <v>0</v>
      </c>
      <c r="CF67" s="258">
        <f t="shared" si="163"/>
        <v>0</v>
      </c>
      <c r="CG67" s="258">
        <f t="shared" si="164"/>
        <v>10.73</v>
      </c>
      <c r="CH67" s="258">
        <f t="shared" si="165"/>
        <v>32.19</v>
      </c>
      <c r="CI67" s="258">
        <f t="shared" si="166"/>
        <v>42.92</v>
      </c>
      <c r="CJ67" s="113"/>
      <c r="CK67" s="258">
        <f t="shared" ref="CK67:CN67" si="171">IFERROR(ROUND(BY67*$P67,2),"")</f>
        <v>0</v>
      </c>
      <c r="CL67" s="258">
        <f t="shared" si="171"/>
        <v>0</v>
      </c>
      <c r="CM67" s="258">
        <f t="shared" si="171"/>
        <v>154921.41</v>
      </c>
      <c r="CN67" s="258">
        <f t="shared" si="171"/>
        <v>464764.24</v>
      </c>
      <c r="CO67" s="258">
        <f>SUM(CK67:CN67)</f>
        <v>619685.65</v>
      </c>
      <c r="CP67" s="258">
        <f>VLOOKUP(G67,[2]Sheet1!$C$3:$G$310,5,0)</f>
        <v>4550</v>
      </c>
      <c r="CQ67" s="258" t="e">
        <f>VLOOKUP(G67,[3]KCBB0101!$C$3:$F$691,4,0)</f>
        <v>#N/A</v>
      </c>
    </row>
    <row r="68" customFormat="1" ht="17.6" spans="1:93">
      <c r="A68" s="330"/>
      <c r="B68" s="334" t="str">
        <f>_xlfn.XLOOKUP(G68,销售需求表!A:A,销售需求表!C:C)</f>
        <v>北美</v>
      </c>
      <c r="C68" s="335" t="str">
        <f>IFERROR(MID(F68,FIND("R",F68)+1,4),"")</f>
        <v>24.5</v>
      </c>
      <c r="D68" s="334" t="str">
        <f t="shared" si="154"/>
        <v>北美24.5寸</v>
      </c>
      <c r="E68" s="339" t="str">
        <f t="shared" si="120"/>
        <v>285/75R24.5-14PR(144/141L)-I-37D</v>
      </c>
      <c r="F68" s="340" t="str">
        <f t="shared" ref="F68:F94" si="172">IFERROR(MID(G68,3,FIND("(",G68)-3)&amp;"-"&amp;SUBSTITUTE(MID(G68,FIND("[",G68)+1,FIND("]",G68)-FIND("[",G68)-1),"Strong Guard ",""),"")</f>
        <v>285/75R24.5-14PR-I-37D</v>
      </c>
      <c r="G68" s="339" t="s">
        <v>486</v>
      </c>
      <c r="H68" s="334">
        <v>250</v>
      </c>
      <c r="I68" s="345"/>
      <c r="J68" s="346" t="str">
        <f t="shared" si="170"/>
        <v>285/75R24.5-I-37D</v>
      </c>
      <c r="K68" s="347" t="str">
        <f>_xlfn.XLOOKUP(F68,投产规格!E:E,投产规格!D:D,"未投产")</f>
        <v>✔</v>
      </c>
      <c r="L68" s="347">
        <f>IFERROR(_xlfn.XLOOKUP(F68,硫化工艺!B:B,硫化工艺!C:C),"")</f>
        <v>38</v>
      </c>
      <c r="M68" s="349">
        <f t="shared" si="155"/>
        <v>0.866920152091255</v>
      </c>
      <c r="N68" s="347" t="str">
        <f t="shared" si="156"/>
        <v>24.5全钢</v>
      </c>
      <c r="O68" s="347">
        <f>IFERROR(_xlfn.XLOOKUP(F68,轮胎重量!J:J,轮胎重量!G:G),"")</f>
        <v>56.71</v>
      </c>
      <c r="P68" s="347">
        <f>IFERROR(_xlfn.XLOOKUP(G68,硫化工艺!I:I,硫化工艺!J:J),"")</f>
        <v>819.179578</v>
      </c>
      <c r="Q68" s="347">
        <f t="shared" si="157"/>
        <v>0</v>
      </c>
      <c r="R68" s="347"/>
      <c r="S68" s="347"/>
      <c r="T68" s="347"/>
      <c r="U68" s="347"/>
      <c r="V68" s="347"/>
      <c r="W68" s="347"/>
      <c r="X68" s="347"/>
      <c r="Y68" s="347"/>
      <c r="Z68" s="347"/>
      <c r="AA68" s="347"/>
      <c r="AB68" s="347"/>
      <c r="AC68" s="347"/>
      <c r="AD68" s="347"/>
      <c r="AE68" s="347"/>
      <c r="AF68" s="347"/>
      <c r="AG68" s="347"/>
      <c r="AH68" s="347"/>
      <c r="AI68" s="347"/>
      <c r="AJ68" s="347"/>
      <c r="AK68" s="347"/>
      <c r="AL68" s="347"/>
      <c r="AM68" s="347"/>
      <c r="AN68" s="347"/>
      <c r="AO68" s="347"/>
      <c r="AP68" s="347"/>
      <c r="AQ68" s="347"/>
      <c r="AR68" s="347"/>
      <c r="AS68" s="347"/>
      <c r="AT68" s="347"/>
      <c r="AU68" s="347"/>
      <c r="AV68" s="347"/>
      <c r="AW68" s="347" t="str">
        <f t="shared" si="158"/>
        <v/>
      </c>
      <c r="AX68" s="365" t="str">
        <f t="shared" si="159"/>
        <v/>
      </c>
      <c r="AY68" s="365" t="str">
        <f t="shared" si="160"/>
        <v/>
      </c>
      <c r="AZ68" s="367"/>
      <c r="BA68" s="258"/>
      <c r="BB68" s="258"/>
      <c r="BC68" s="330"/>
      <c r="BD68" s="330"/>
      <c r="BE68" s="330" t="e">
        <f t="shared" si="146"/>
        <v>#VALUE!</v>
      </c>
      <c r="BF68" s="330" t="e">
        <f t="shared" si="147"/>
        <v>#VALUE!</v>
      </c>
      <c r="BG68" s="330" t="e">
        <f t="shared" si="148"/>
        <v>#VALUE!</v>
      </c>
      <c r="BH68" s="330" t="e">
        <f t="shared" si="149"/>
        <v>#VALUE!</v>
      </c>
      <c r="BI68" s="330"/>
      <c r="BJ68" s="370" cm="1">
        <f t="array" ref="BJ68:BM68">_xlfn.LET(_xlpm.data,$R68:$AV68,_xlpm.starts,{1,8,16,23},_xlpm.lengths,{7,7,8,9},_xlpm.arr,_xlfn.MAP(_xlpm.starts,_xlpm.lengths,_xlfn.LAMBDA(_xlpm.s,_xlpm.l,SUM(INDEX(_xlpm.data,,_xlfn.SEQUENCE(,_xlpm.l,_xlpm.s))))),ROUND(_xlpm.arr*$O68/1000,2))</f>
        <v>0</v>
      </c>
      <c r="BK68" s="330">
        <v>0</v>
      </c>
      <c r="BL68" s="330">
        <v>0</v>
      </c>
      <c r="BM68" s="330">
        <v>0</v>
      </c>
      <c r="BN68" s="258">
        <f t="shared" si="161"/>
        <v>0</v>
      </c>
      <c r="BO68" s="258">
        <v>0</v>
      </c>
      <c r="BP68" s="258">
        <v>0</v>
      </c>
      <c r="BQ68" s="258">
        <v>0</v>
      </c>
      <c r="BR68" s="258">
        <v>0</v>
      </c>
      <c r="BS68" s="115"/>
      <c r="BT68" s="258" cm="1">
        <f ca="1" t="array" ref="BT68:BW68">_xlfn.HSTACK(SUM(INDEX($R68:$AV68,1,1):INDEX($R68:$AV68,1,7)),SUM(INDEX($R68:$AV68,1,7):INDEX($R68:$AV68,1,13)),SUM(INDEX($R68:$AV68,1,16):INDEX($R68:$AV68,1,23)),SUM(INDEX($R68:$AV68,1,23):INDEX($R68:$AV68,1,31)))</f>
        <v>0</v>
      </c>
      <c r="BU68" s="258">
        <v>0</v>
      </c>
      <c r="BV68" s="258">
        <v>0</v>
      </c>
      <c r="BW68" s="258">
        <v>0</v>
      </c>
      <c r="BY68" s="258">
        <f>SUM(R68:X68)</f>
        <v>0</v>
      </c>
      <c r="BZ68" s="258">
        <f>SUM(Y68:AE68)</f>
        <v>0</v>
      </c>
      <c r="CA68" s="258">
        <f>SUM(AF68:AM68)</f>
        <v>0</v>
      </c>
      <c r="CB68" s="258">
        <f>SUM(AN68:AV68)</f>
        <v>0</v>
      </c>
      <c r="CC68" s="258"/>
      <c r="CD68" s="113"/>
      <c r="CE68" s="258">
        <f t="shared" si="162"/>
        <v>0</v>
      </c>
      <c r="CF68" s="258">
        <f t="shared" si="163"/>
        <v>0</v>
      </c>
      <c r="CG68" s="258">
        <f t="shared" si="164"/>
        <v>0</v>
      </c>
      <c r="CH68" s="258">
        <f t="shared" si="165"/>
        <v>0</v>
      </c>
      <c r="CI68" s="258">
        <f t="shared" si="166"/>
        <v>0</v>
      </c>
      <c r="CJ68" s="113"/>
      <c r="CK68" s="258">
        <f t="shared" ref="CK68:CN68" si="173">IFERROR(ROUND(BY68*$P68,2),"")</f>
        <v>0</v>
      </c>
      <c r="CL68" s="258">
        <f t="shared" si="173"/>
        <v>0</v>
      </c>
      <c r="CM68" s="258">
        <f t="shared" si="173"/>
        <v>0</v>
      </c>
      <c r="CN68" s="258">
        <f t="shared" si="173"/>
        <v>0</v>
      </c>
      <c r="CO68" s="258">
        <f t="shared" ref="CO68:CO74" si="174">SUM(CK68:CN68)</f>
        <v>0</v>
      </c>
    </row>
    <row r="69" customFormat="1" ht="17.6" spans="1:93">
      <c r="A69" s="330"/>
      <c r="B69" s="334" t="str">
        <f>_xlfn.XLOOKUP(G69,销售需求表!A:A,销售需求表!C:C)</f>
        <v>北美</v>
      </c>
      <c r="C69" s="335" t="str">
        <f t="shared" ref="C69:C74" si="175">IFERROR(MID(F69,FIND("R",F69)+1,4),"")</f>
        <v>24.5</v>
      </c>
      <c r="D69" s="334" t="str">
        <f t="shared" si="154"/>
        <v>北美24.5寸</v>
      </c>
      <c r="E69" s="339" t="str">
        <f t="shared" si="120"/>
        <v>285/75R24.5-14PR(144/141L)-Strong Guard H-TL</v>
      </c>
      <c r="F69" s="340" t="str">
        <f t="shared" si="172"/>
        <v>285/75R24.5-14PR-H-TL</v>
      </c>
      <c r="G69" s="339" t="s">
        <v>487</v>
      </c>
      <c r="H69" s="334">
        <v>180</v>
      </c>
      <c r="I69" s="345"/>
      <c r="J69" s="346" t="str">
        <f t="shared" si="170"/>
        <v>285/75R24.5-H-TL</v>
      </c>
      <c r="K69" s="347" t="str">
        <f>_xlfn.XLOOKUP(F69,投产规格!E:E,投产规格!D:D,"未投产")</f>
        <v>✔</v>
      </c>
      <c r="L69" s="347">
        <f>IFERROR(_xlfn.XLOOKUP(F69,硫化工艺!B:B,硫化工艺!C:C),"")</f>
        <v>36</v>
      </c>
      <c r="M69" s="349">
        <f t="shared" si="155"/>
        <v>0.860557768924303</v>
      </c>
      <c r="N69" s="347" t="str">
        <f t="shared" si="156"/>
        <v>24.5全钢</v>
      </c>
      <c r="O69" s="347">
        <f>IFERROR(_xlfn.XLOOKUP(F69,轮胎重量!J:J,轮胎重量!G:G),"")</f>
        <v>49.12</v>
      </c>
      <c r="P69" s="347">
        <f>IFERROR(_xlfn.XLOOKUP(G69,硫化工艺!I:I,硫化工艺!J:J),"")</f>
        <v>713.801016</v>
      </c>
      <c r="Q69" s="347">
        <f t="shared" si="157"/>
        <v>0</v>
      </c>
      <c r="R69" s="347"/>
      <c r="S69" s="347"/>
      <c r="T69" s="347"/>
      <c r="U69" s="347"/>
      <c r="V69" s="347"/>
      <c r="W69" s="347"/>
      <c r="X69" s="347"/>
      <c r="Y69" s="347"/>
      <c r="Z69" s="347"/>
      <c r="AA69" s="347"/>
      <c r="AB69" s="347"/>
      <c r="AC69" s="347"/>
      <c r="AD69" s="347"/>
      <c r="AE69" s="347"/>
      <c r="AF69" s="347"/>
      <c r="AG69" s="347"/>
      <c r="AH69" s="347"/>
      <c r="AI69" s="347"/>
      <c r="AJ69" s="347"/>
      <c r="AK69" s="347"/>
      <c r="AL69" s="347"/>
      <c r="AM69" s="347"/>
      <c r="AN69" s="347"/>
      <c r="AO69" s="347"/>
      <c r="AP69" s="347"/>
      <c r="AQ69" s="347"/>
      <c r="AR69" s="347"/>
      <c r="AS69" s="347"/>
      <c r="AT69" s="347"/>
      <c r="AU69" s="347"/>
      <c r="AV69" s="347"/>
      <c r="AW69" s="347" t="str">
        <f t="shared" si="158"/>
        <v/>
      </c>
      <c r="AX69" s="365" t="str">
        <f t="shared" si="159"/>
        <v/>
      </c>
      <c r="AY69" s="365" t="str">
        <f t="shared" si="160"/>
        <v/>
      </c>
      <c r="AZ69" s="367"/>
      <c r="BA69" s="258"/>
      <c r="BB69" s="258"/>
      <c r="BC69" s="330"/>
      <c r="BD69" s="330"/>
      <c r="BE69" s="330" t="e">
        <f t="shared" si="146"/>
        <v>#VALUE!</v>
      </c>
      <c r="BF69" s="330" t="e">
        <f t="shared" si="147"/>
        <v>#VALUE!</v>
      </c>
      <c r="BG69" s="330" t="e">
        <f t="shared" si="148"/>
        <v>#VALUE!</v>
      </c>
      <c r="BH69" s="330" t="e">
        <f t="shared" si="149"/>
        <v>#VALUE!</v>
      </c>
      <c r="BI69" s="330"/>
      <c r="BJ69" s="370" cm="1">
        <f t="array" ref="BJ69:BM69">_xlfn.LET(_xlpm.data,$R69:$AV69,_xlpm.starts,{1,8,16,23},_xlpm.lengths,{7,7,8,9},_xlpm.arr,_xlfn.MAP(_xlpm.starts,_xlpm.lengths,_xlfn.LAMBDA(_xlpm.s,_xlpm.l,SUM(INDEX(_xlpm.data,,_xlfn.SEQUENCE(,_xlpm.l,_xlpm.s))))),ROUND(_xlpm.arr*$O69/1000,2))</f>
        <v>0</v>
      </c>
      <c r="BK69" s="330">
        <v>0</v>
      </c>
      <c r="BL69" s="330">
        <v>0</v>
      </c>
      <c r="BM69" s="330">
        <v>0</v>
      </c>
      <c r="BN69" s="258">
        <f t="shared" si="161"/>
        <v>0</v>
      </c>
      <c r="BO69" s="258">
        <v>0</v>
      </c>
      <c r="BP69" s="258">
        <v>0</v>
      </c>
      <c r="BQ69" s="258">
        <v>0</v>
      </c>
      <c r="BR69" s="258">
        <v>0</v>
      </c>
      <c r="BS69" s="115"/>
      <c r="BT69" s="258" cm="1">
        <f ca="1" t="array" ref="BT69:BW69">_xlfn.HSTACK(SUM(INDEX($R69:$AV69,1,1):INDEX($R69:$AV69,1,7)),SUM(INDEX($R69:$AV69,1,7):INDEX($R69:$AV69,1,13)),SUM(INDEX($R69:$AV69,1,16):INDEX($R69:$AV69,1,23)),SUM(INDEX($R69:$AV69,1,23):INDEX($R69:$AV69,1,31)))</f>
        <v>0</v>
      </c>
      <c r="BU69" s="258">
        <v>0</v>
      </c>
      <c r="BV69" s="258">
        <v>0</v>
      </c>
      <c r="BW69" s="258">
        <v>0</v>
      </c>
      <c r="BY69" s="258">
        <f t="shared" ref="BY69:BY74" si="176">SUM(R69:X69)</f>
        <v>0</v>
      </c>
      <c r="BZ69" s="258">
        <f t="shared" ref="BZ69:BZ74" si="177">SUM(Y69:AE69)</f>
        <v>0</v>
      </c>
      <c r="CA69" s="258">
        <f t="shared" ref="CA69:CA74" si="178">SUM(AF69:AM69)</f>
        <v>0</v>
      </c>
      <c r="CB69" s="258">
        <f t="shared" ref="CB69:CB74" si="179">SUM(AN69:AV69)</f>
        <v>0</v>
      </c>
      <c r="CC69" s="258"/>
      <c r="CD69" s="113"/>
      <c r="CE69" s="258">
        <f t="shared" si="162"/>
        <v>0</v>
      </c>
      <c r="CF69" s="258">
        <f t="shared" si="163"/>
        <v>0</v>
      </c>
      <c r="CG69" s="258">
        <f t="shared" si="164"/>
        <v>0</v>
      </c>
      <c r="CH69" s="258">
        <f t="shared" si="165"/>
        <v>0</v>
      </c>
      <c r="CI69" s="258">
        <f t="shared" si="166"/>
        <v>0</v>
      </c>
      <c r="CJ69" s="113"/>
      <c r="CK69" s="258">
        <f t="shared" ref="CK69:CN69" si="180">IFERROR(ROUND(BY69*$P69,2),"")</f>
        <v>0</v>
      </c>
      <c r="CL69" s="258">
        <f t="shared" si="180"/>
        <v>0</v>
      </c>
      <c r="CM69" s="258">
        <f t="shared" si="180"/>
        <v>0</v>
      </c>
      <c r="CN69" s="258">
        <f t="shared" si="180"/>
        <v>0</v>
      </c>
      <c r="CO69" s="258">
        <f t="shared" si="174"/>
        <v>0</v>
      </c>
    </row>
    <row r="70" customFormat="1" ht="17.6" spans="1:95">
      <c r="A70" s="330"/>
      <c r="B70" s="334" t="str">
        <f>_xlfn.XLOOKUP(G70,销售需求表!A:A,销售需求表!C:C)</f>
        <v>北美</v>
      </c>
      <c r="C70" s="335" t="str">
        <f t="shared" si="175"/>
        <v>24.5</v>
      </c>
      <c r="D70" s="334" t="str">
        <f t="shared" ref="D70:D83" si="181">B70&amp;C70&amp;"寸"</f>
        <v>北美24.5寸</v>
      </c>
      <c r="E70" s="339" t="str">
        <f t="shared" si="120"/>
        <v>285/75R24.5-14PR(144/141M)-I-19A</v>
      </c>
      <c r="F70" s="340" t="str">
        <f t="shared" si="172"/>
        <v>285/75R24.5-14PR-I-19A</v>
      </c>
      <c r="G70" s="341" t="s">
        <v>488</v>
      </c>
      <c r="H70" s="334">
        <v>1100</v>
      </c>
      <c r="I70" s="345"/>
      <c r="J70" s="346" t="str">
        <f t="shared" si="170"/>
        <v>285/75R24.5-I-19A</v>
      </c>
      <c r="K70" s="347" t="str">
        <f>_xlfn.XLOOKUP(F70,投产规格!E:E,投产规格!D:D,"未投产")</f>
        <v>✔</v>
      </c>
      <c r="L70" s="347">
        <f>IFERROR(_xlfn.XLOOKUP(F70,硫化工艺!B:B,硫化工艺!C:C),"")</f>
        <v>36.5</v>
      </c>
      <c r="M70" s="349">
        <f t="shared" ref="M70:M83" si="182">IF(L70="","",L70/(L70+$L$1/60))</f>
        <v>0.862204724409449</v>
      </c>
      <c r="N70" s="347" t="str">
        <f t="shared" si="156"/>
        <v>24.5全钢</v>
      </c>
      <c r="O70" s="347">
        <f>IFERROR(_xlfn.XLOOKUP(F70,轮胎重量!J:J,轮胎重量!G:G),"")</f>
        <v>52.28</v>
      </c>
      <c r="P70" s="347">
        <f>IFERROR(_xlfn.XLOOKUP(G70,硫化工艺!I:I,硫化工艺!J:J),"")</f>
        <v>755.960352</v>
      </c>
      <c r="Q70" s="347">
        <f t="shared" ref="Q70:Q80" si="183">IFERROR(ROUND(1440/L70*(I70)*M70,0),"")</f>
        <v>0</v>
      </c>
      <c r="R70" s="347"/>
      <c r="S70" s="347"/>
      <c r="T70" s="347"/>
      <c r="U70" s="347"/>
      <c r="V70" s="347"/>
      <c r="W70" s="347"/>
      <c r="X70" s="347"/>
      <c r="Y70" s="347"/>
      <c r="Z70" s="347"/>
      <c r="AA70" s="347"/>
      <c r="AB70" s="347"/>
      <c r="AC70" s="347"/>
      <c r="AD70" s="347"/>
      <c r="AE70" s="347"/>
      <c r="AF70" s="347"/>
      <c r="AG70" s="347"/>
      <c r="AH70" s="347"/>
      <c r="AI70" s="347"/>
      <c r="AJ70" s="347"/>
      <c r="AK70" s="361">
        <v>60</v>
      </c>
      <c r="AL70" s="347">
        <v>60</v>
      </c>
      <c r="AM70" s="347">
        <v>60</v>
      </c>
      <c r="AN70" s="347">
        <v>60</v>
      </c>
      <c r="AO70" s="347">
        <v>60</v>
      </c>
      <c r="AP70" s="347">
        <v>60</v>
      </c>
      <c r="AQ70" s="347">
        <v>60</v>
      </c>
      <c r="AR70" s="347">
        <v>60</v>
      </c>
      <c r="AS70" s="347">
        <v>60</v>
      </c>
      <c r="AT70" s="347">
        <v>60</v>
      </c>
      <c r="AU70" s="347">
        <v>60</v>
      </c>
      <c r="AV70" s="347">
        <v>60</v>
      </c>
      <c r="AW70" s="347">
        <f t="shared" ref="AW70:AW83" si="184">IF(SUM(R70:AV70)=0,"",SUM(R70:AV70))</f>
        <v>720</v>
      </c>
      <c r="AX70" s="365">
        <f t="shared" ref="AX70:AX83" si="185">IFERROR(AW70*O70/1000,"")</f>
        <v>37.6416</v>
      </c>
      <c r="AY70" s="365">
        <f t="shared" ref="AY70:AY83" si="186">IFERROR(ROUND(AW70*P70/10000,3),"")</f>
        <v>54.429</v>
      </c>
      <c r="AZ70" s="367"/>
      <c r="BA70" s="258"/>
      <c r="BB70" s="258"/>
      <c r="BC70" s="330"/>
      <c r="BD70" s="330"/>
      <c r="BE70" s="330">
        <f t="shared" si="146"/>
        <v>0</v>
      </c>
      <c r="BF70" s="330">
        <f t="shared" si="147"/>
        <v>0</v>
      </c>
      <c r="BG70" s="330">
        <f t="shared" si="148"/>
        <v>0</v>
      </c>
      <c r="BH70" s="330">
        <f t="shared" si="149"/>
        <v>0</v>
      </c>
      <c r="BI70" s="330"/>
      <c r="BJ70" s="370" cm="1">
        <f t="array" ref="BJ70:BM70">_xlfn.LET(_xlpm.data,$R70:$AV70,_xlpm.starts,{1,8,16,23},_xlpm.lengths,{7,7,8,9},_xlpm.arr,_xlfn.MAP(_xlpm.starts,_xlpm.lengths,_xlfn.LAMBDA(_xlpm.s,_xlpm.l,SUM(INDEX(_xlpm.data,,_xlfn.SEQUENCE(,_xlpm.l,_xlpm.s))))),ROUND(_xlpm.arr*$O70/1000,2))</f>
        <v>0</v>
      </c>
      <c r="BK70" s="330">
        <v>0</v>
      </c>
      <c r="BL70" s="330">
        <v>12.55</v>
      </c>
      <c r="BM70" s="330">
        <v>28.23</v>
      </c>
      <c r="BN70" s="258">
        <f t="shared" ref="BN70:BN83" si="187">SUM(BJ70:BM70)</f>
        <v>40.78</v>
      </c>
      <c r="BO70" s="258">
        <v>0</v>
      </c>
      <c r="BP70" s="258">
        <v>0</v>
      </c>
      <c r="BQ70" s="258">
        <v>0</v>
      </c>
      <c r="BR70" s="258">
        <v>0</v>
      </c>
      <c r="BS70" s="115"/>
      <c r="BT70" s="258" cm="1">
        <f ca="1" t="array" ref="BT70:BW70">_xlfn.HSTACK(SUM(INDEX($R70:$AV70,1,1):INDEX($R70:$AV70,1,7)),SUM(INDEX($R70:$AV70,1,7):INDEX($R70:$AV70,1,13)),SUM(INDEX($R70:$AV70,1,16):INDEX($R70:$AV70,1,23)),SUM(INDEX($R70:$AV70,1,23):INDEX($R70:$AV70,1,31)))</f>
        <v>0</v>
      </c>
      <c r="BU70" s="258">
        <v>0</v>
      </c>
      <c r="BV70" s="258">
        <v>240</v>
      </c>
      <c r="BW70" s="258">
        <v>540</v>
      </c>
      <c r="BY70" s="258">
        <f t="shared" si="176"/>
        <v>0</v>
      </c>
      <c r="BZ70" s="258">
        <f t="shared" si="177"/>
        <v>0</v>
      </c>
      <c r="CA70" s="258">
        <f t="shared" si="178"/>
        <v>180</v>
      </c>
      <c r="CB70" s="258">
        <f t="shared" si="179"/>
        <v>540</v>
      </c>
      <c r="CC70" s="258"/>
      <c r="CD70" s="113"/>
      <c r="CE70" s="258">
        <f t="shared" ref="CE70:CE77" si="188">ROUND(BY70*$O70/1000,2)</f>
        <v>0</v>
      </c>
      <c r="CF70" s="258">
        <f t="shared" ref="CF70:CF77" si="189">ROUND(BZ70*$O70/1000,2)</f>
        <v>0</v>
      </c>
      <c r="CG70" s="258">
        <f t="shared" ref="CG70:CG77" si="190">ROUND(CA70*$O70/1000,2)</f>
        <v>9.41</v>
      </c>
      <c r="CH70" s="258">
        <f t="shared" ref="CH70:CH77" si="191">ROUND(CB70*$O70/1000,2)</f>
        <v>28.23</v>
      </c>
      <c r="CI70" s="258">
        <f t="shared" ref="CI70:CI83" si="192">SUM(CE70:CH70)</f>
        <v>37.64</v>
      </c>
      <c r="CJ70" s="113"/>
      <c r="CK70" s="258">
        <f t="shared" ref="CK70:CN70" si="193">IFERROR(ROUND(BY70*$P70,2),"")</f>
        <v>0</v>
      </c>
      <c r="CL70" s="258">
        <f t="shared" si="193"/>
        <v>0</v>
      </c>
      <c r="CM70" s="258">
        <f t="shared" si="193"/>
        <v>136072.86</v>
      </c>
      <c r="CN70" s="258">
        <f t="shared" si="193"/>
        <v>408218.59</v>
      </c>
      <c r="CO70" s="258">
        <f t="shared" si="174"/>
        <v>544291.45</v>
      </c>
      <c r="CP70" s="258">
        <f>VLOOKUP(G70,[2]Sheet1!$C$3:$G$310,5,0)</f>
        <v>11973</v>
      </c>
      <c r="CQ70" s="258" t="e">
        <f>VLOOKUP(G70,[3]KCBB0101!$C$3:$F$691,4,0)</f>
        <v>#N/A</v>
      </c>
    </row>
    <row r="71" s="258" customFormat="1" ht="17.6" spans="1:93">
      <c r="A71" s="330"/>
      <c r="B71" s="334" t="str">
        <f>_xlfn.XLOOKUP(G71,销售需求表!A:A,销售需求表!C:C)</f>
        <v>北美</v>
      </c>
      <c r="C71" s="335" t="str">
        <f t="shared" si="175"/>
        <v>24.5</v>
      </c>
      <c r="D71" s="334" t="str">
        <f t="shared" si="181"/>
        <v>北美24.5寸</v>
      </c>
      <c r="E71" s="339" t="str">
        <f t="shared" si="120"/>
        <v>285/75R24.5-14PR(144/141M)-I-48T</v>
      </c>
      <c r="F71" s="340" t="str">
        <f t="shared" si="172"/>
        <v>285/75R24.5-14PR-I-48T</v>
      </c>
      <c r="G71" s="339" t="s">
        <v>489</v>
      </c>
      <c r="H71" s="334">
        <v>560</v>
      </c>
      <c r="I71" s="345"/>
      <c r="J71" s="346" t="str">
        <f t="shared" si="170"/>
        <v>285/75R24.5-I-48T</v>
      </c>
      <c r="K71" s="347" t="str">
        <f>_xlfn.XLOOKUP(F71,投产规格!E:E,投产规格!D:D,"未投产")</f>
        <v>✔</v>
      </c>
      <c r="L71" s="347">
        <f>IFERROR(_xlfn.XLOOKUP(F71,硫化工艺!B:B,硫化工艺!C:C),"")</f>
        <v>37</v>
      </c>
      <c r="M71" s="349">
        <f t="shared" si="182"/>
        <v>0.863813229571984</v>
      </c>
      <c r="N71" s="347" t="str">
        <f t="shared" si="156"/>
        <v>24.5全钢</v>
      </c>
      <c r="O71" s="347">
        <f>IFERROR(_xlfn.XLOOKUP(F71,轮胎重量!J:J,轮胎重量!G:G),"")</f>
        <v>50.47</v>
      </c>
      <c r="P71" s="347">
        <f>IFERROR(_xlfn.XLOOKUP(G71,硫化工艺!I:I,硫化工艺!J:J),"")</f>
        <v>730.694153</v>
      </c>
      <c r="Q71" s="347">
        <f t="shared" si="183"/>
        <v>0</v>
      </c>
      <c r="R71" s="347"/>
      <c r="S71" s="347"/>
      <c r="T71" s="347"/>
      <c r="U71" s="347"/>
      <c r="V71" s="347"/>
      <c r="W71" s="347"/>
      <c r="X71" s="347"/>
      <c r="Y71" s="347"/>
      <c r="Z71" s="347"/>
      <c r="AA71" s="347"/>
      <c r="AB71" s="347"/>
      <c r="AC71" s="347"/>
      <c r="AD71" s="347"/>
      <c r="AE71" s="347"/>
      <c r="AF71" s="347"/>
      <c r="AG71" s="347"/>
      <c r="AH71" s="347"/>
      <c r="AI71" s="347"/>
      <c r="AJ71" s="347"/>
      <c r="AK71" s="347"/>
      <c r="AL71" s="347"/>
      <c r="AM71" s="347"/>
      <c r="AN71" s="347"/>
      <c r="AO71" s="347"/>
      <c r="AP71" s="347"/>
      <c r="AQ71" s="347"/>
      <c r="AR71" s="347"/>
      <c r="AS71" s="347"/>
      <c r="AT71" s="347"/>
      <c r="AU71" s="347"/>
      <c r="AV71" s="347"/>
      <c r="AW71" s="347" t="str">
        <f t="shared" si="184"/>
        <v/>
      </c>
      <c r="AX71" s="365" t="str">
        <f t="shared" si="185"/>
        <v/>
      </c>
      <c r="AY71" s="365" t="str">
        <f t="shared" si="186"/>
        <v/>
      </c>
      <c r="AZ71" s="367"/>
      <c r="BA71" s="258"/>
      <c r="BB71" s="258"/>
      <c r="BC71" s="330"/>
      <c r="BD71" s="330"/>
      <c r="BE71" s="330" t="e">
        <f t="shared" si="146"/>
        <v>#VALUE!</v>
      </c>
      <c r="BF71" s="330" t="e">
        <f t="shared" si="147"/>
        <v>#VALUE!</v>
      </c>
      <c r="BG71" s="330" t="e">
        <f t="shared" si="148"/>
        <v>#VALUE!</v>
      </c>
      <c r="BH71" s="330" t="e">
        <f t="shared" si="149"/>
        <v>#VALUE!</v>
      </c>
      <c r="BI71" s="330"/>
      <c r="BJ71" s="370" cm="1">
        <f t="array" ref="BJ71:BM71">_xlfn.LET(_xlpm.data,$R71:$AV71,_xlpm.starts,{1,8,16,23},_xlpm.lengths,{7,7,8,9},_xlpm.arr,_xlfn.MAP(_xlpm.starts,_xlpm.lengths,_xlfn.LAMBDA(_xlpm.s,_xlpm.l,SUM(INDEX(_xlpm.data,,_xlfn.SEQUENCE(,_xlpm.l,_xlpm.s))))),ROUND(_xlpm.arr*$O71/1000,2))</f>
        <v>0</v>
      </c>
      <c r="BK71" s="330">
        <v>0</v>
      </c>
      <c r="BL71" s="330">
        <v>0</v>
      </c>
      <c r="BM71" s="330">
        <v>0</v>
      </c>
      <c r="BN71" s="258">
        <f t="shared" si="187"/>
        <v>0</v>
      </c>
      <c r="BO71" s="258">
        <v>0</v>
      </c>
      <c r="BP71" s="258">
        <v>0</v>
      </c>
      <c r="BQ71" s="258">
        <v>0</v>
      </c>
      <c r="BR71" s="258">
        <v>0</v>
      </c>
      <c r="BS71" s="115"/>
      <c r="BT71" s="258" cm="1">
        <f ca="1" t="array" ref="BT71:BW71">_xlfn.HSTACK(SUM(INDEX($R71:$AV71,1,1):INDEX($R71:$AV71,1,7)),SUM(INDEX($R71:$AV71,1,7):INDEX($R71:$AV71,1,13)),SUM(INDEX($R71:$AV71,1,16):INDEX($R71:$AV71,1,23)),SUM(INDEX($R71:$AV71,1,23):INDEX($R71:$AV71,1,31)))</f>
        <v>0</v>
      </c>
      <c r="BU71" s="258">
        <v>0</v>
      </c>
      <c r="BV71" s="258">
        <v>0</v>
      </c>
      <c r="BW71" s="258">
        <v>0</v>
      </c>
      <c r="BY71" s="258">
        <f t="shared" si="176"/>
        <v>0</v>
      </c>
      <c r="BZ71" s="258">
        <f t="shared" si="177"/>
        <v>0</v>
      </c>
      <c r="CA71" s="258">
        <f t="shared" si="178"/>
        <v>0</v>
      </c>
      <c r="CB71" s="258">
        <f t="shared" si="179"/>
        <v>0</v>
      </c>
      <c r="CD71" s="113"/>
      <c r="CE71" s="258">
        <f t="shared" si="188"/>
        <v>0</v>
      </c>
      <c r="CF71" s="258">
        <f t="shared" si="189"/>
        <v>0</v>
      </c>
      <c r="CG71" s="258">
        <f t="shared" si="190"/>
        <v>0</v>
      </c>
      <c r="CH71" s="258">
        <f t="shared" si="191"/>
        <v>0</v>
      </c>
      <c r="CI71" s="258">
        <f t="shared" si="192"/>
        <v>0</v>
      </c>
      <c r="CJ71" s="113"/>
      <c r="CK71" s="258">
        <f t="shared" ref="CK71:CN71" si="194">IFERROR(ROUND(BY71*$P71,2),"")</f>
        <v>0</v>
      </c>
      <c r="CL71" s="258">
        <f t="shared" si="194"/>
        <v>0</v>
      </c>
      <c r="CM71" s="258">
        <f t="shared" si="194"/>
        <v>0</v>
      </c>
      <c r="CN71" s="258">
        <f t="shared" si="194"/>
        <v>0</v>
      </c>
      <c r="CO71" s="258">
        <f t="shared" si="174"/>
        <v>0</v>
      </c>
    </row>
    <row r="72" s="258" customFormat="1" ht="17.6" spans="1:95">
      <c r="A72" s="330"/>
      <c r="B72" s="334" t="str">
        <f>_xlfn.XLOOKUP(G72,销售需求表!A:A,销售需求表!C:C)</f>
        <v>北美</v>
      </c>
      <c r="C72" s="335" t="str">
        <f t="shared" si="175"/>
        <v>24.5</v>
      </c>
      <c r="D72" s="334" t="str">
        <f t="shared" si="181"/>
        <v>北美24.5寸</v>
      </c>
      <c r="E72" s="339" t="str">
        <f t="shared" si="120"/>
        <v>285/75R24.5-16PR(147/144L)-M-TRAC AP</v>
      </c>
      <c r="F72" s="340" t="str">
        <f t="shared" si="172"/>
        <v>285/75R24.5-16PR-M-TRAC AP</v>
      </c>
      <c r="G72" s="341" t="s">
        <v>490</v>
      </c>
      <c r="H72" s="334">
        <v>980</v>
      </c>
      <c r="I72" s="345"/>
      <c r="J72" s="346" t="str">
        <f t="shared" si="170"/>
        <v>285/75R24.5-M-TRAC AP</v>
      </c>
      <c r="K72" s="347" t="str">
        <f>_xlfn.XLOOKUP(F72,投产规格!E:E,投产规格!D:D,"未投产")</f>
        <v>✔</v>
      </c>
      <c r="L72" s="347">
        <f>IFERROR(_xlfn.XLOOKUP(F72,硫化工艺!B:B,硫化工艺!C:C),"")</f>
        <v>37</v>
      </c>
      <c r="M72" s="349">
        <f t="shared" si="182"/>
        <v>0.863813229571984</v>
      </c>
      <c r="N72" s="347" t="str">
        <f t="shared" si="156"/>
        <v>24.5全钢</v>
      </c>
      <c r="O72" s="347">
        <f>IFERROR(_xlfn.XLOOKUP(F72,轮胎重量!J:J,轮胎重量!G:G),"")</f>
        <v>52.82</v>
      </c>
      <c r="P72" s="350">
        <f>O72*13.9</f>
        <v>734.198</v>
      </c>
      <c r="Q72" s="347">
        <f t="shared" si="183"/>
        <v>0</v>
      </c>
      <c r="R72" s="347"/>
      <c r="S72" s="347"/>
      <c r="T72" s="347"/>
      <c r="U72" s="347"/>
      <c r="V72" s="347"/>
      <c r="W72" s="347"/>
      <c r="X72" s="347"/>
      <c r="Y72" s="347"/>
      <c r="Z72" s="347"/>
      <c r="AA72" s="347"/>
      <c r="AB72" s="347"/>
      <c r="AC72" s="347"/>
      <c r="AD72" s="347"/>
      <c r="AE72" s="347"/>
      <c r="AF72" s="347"/>
      <c r="AG72" s="347"/>
      <c r="AH72" s="347"/>
      <c r="AI72" s="347"/>
      <c r="AJ72" s="347"/>
      <c r="AK72" s="360">
        <v>120</v>
      </c>
      <c r="AL72" s="347">
        <v>120</v>
      </c>
      <c r="AM72" s="347">
        <v>120</v>
      </c>
      <c r="AN72" s="347">
        <v>120</v>
      </c>
      <c r="AO72" s="347">
        <v>120</v>
      </c>
      <c r="AP72" s="347">
        <v>120</v>
      </c>
      <c r="AQ72" s="360">
        <v>120</v>
      </c>
      <c r="AR72" s="347"/>
      <c r="AS72" s="347"/>
      <c r="AT72" s="347"/>
      <c r="AU72" s="347"/>
      <c r="AV72" s="347"/>
      <c r="AW72" s="347">
        <f t="shared" si="184"/>
        <v>840</v>
      </c>
      <c r="AX72" s="365">
        <f t="shared" si="185"/>
        <v>44.3688</v>
      </c>
      <c r="AY72" s="365">
        <f t="shared" si="186"/>
        <v>61.673</v>
      </c>
      <c r="AZ72" s="366">
        <v>449.18</v>
      </c>
      <c r="BA72" s="368">
        <v>29.42</v>
      </c>
      <c r="BB72" s="368">
        <v>49.09</v>
      </c>
      <c r="BC72" s="368">
        <v>52.13</v>
      </c>
      <c r="BD72" s="330"/>
      <c r="BE72" s="330">
        <f t="shared" si="146"/>
        <v>377311.2</v>
      </c>
      <c r="BF72" s="330">
        <f t="shared" si="147"/>
        <v>24712.8</v>
      </c>
      <c r="BG72" s="330">
        <f t="shared" si="148"/>
        <v>41235.6</v>
      </c>
      <c r="BH72" s="330">
        <f t="shared" si="149"/>
        <v>43789.2</v>
      </c>
      <c r="BI72" s="330"/>
      <c r="BJ72" s="370" cm="1">
        <f t="array" ref="BJ72:BM72">_xlfn.LET(_xlpm.data,$R72:$AV72,_xlpm.starts,{1,8,16,23},_xlpm.lengths,{7,7,8,9},_xlpm.arr,_xlfn.MAP(_xlpm.starts,_xlpm.lengths,_xlfn.LAMBDA(_xlpm.s,_xlpm.l,SUM(INDEX(_xlpm.data,,_xlfn.SEQUENCE(,_xlpm.l,_xlpm.s))))),ROUND(_xlpm.arr*$O72/1000,2))</f>
        <v>0</v>
      </c>
      <c r="BK72" s="330">
        <v>0</v>
      </c>
      <c r="BL72" s="330">
        <v>25.35</v>
      </c>
      <c r="BM72" s="330">
        <v>25.35</v>
      </c>
      <c r="BN72" s="258">
        <f t="shared" si="187"/>
        <v>50.7</v>
      </c>
      <c r="BO72" s="258">
        <v>22.38</v>
      </c>
      <c r="BP72" s="258">
        <v>22.38</v>
      </c>
      <c r="BQ72" s="258">
        <v>25.58</v>
      </c>
      <c r="BR72" s="258">
        <v>28.77</v>
      </c>
      <c r="BS72" s="115"/>
      <c r="BT72" s="258" cm="1">
        <f ca="1" t="array" ref="BT72:BW72">_xlfn.HSTACK(SUM(INDEX($R72:$AV72,1,1):INDEX($R72:$AV72,1,7)),SUM(INDEX($R72:$AV72,1,7):INDEX($R72:$AV72,1,13)),SUM(INDEX($R72:$AV72,1,16):INDEX($R72:$AV72,1,23)),SUM(INDEX($R72:$AV72,1,23):INDEX($R72:$AV72,1,31)))</f>
        <v>0</v>
      </c>
      <c r="BU72" s="258">
        <v>0</v>
      </c>
      <c r="BV72" s="258">
        <v>480</v>
      </c>
      <c r="BW72" s="258">
        <v>480</v>
      </c>
      <c r="BY72" s="258">
        <f t="shared" si="176"/>
        <v>0</v>
      </c>
      <c r="BZ72" s="258">
        <f t="shared" si="177"/>
        <v>0</v>
      </c>
      <c r="CA72" s="258">
        <f t="shared" si="178"/>
        <v>360</v>
      </c>
      <c r="CB72" s="258">
        <f t="shared" si="179"/>
        <v>480</v>
      </c>
      <c r="CD72" s="113"/>
      <c r="CE72" s="258">
        <f t="shared" si="188"/>
        <v>0</v>
      </c>
      <c r="CF72" s="258">
        <f t="shared" si="189"/>
        <v>0</v>
      </c>
      <c r="CG72" s="258">
        <f t="shared" si="190"/>
        <v>19.02</v>
      </c>
      <c r="CH72" s="258">
        <f t="shared" si="191"/>
        <v>25.35</v>
      </c>
      <c r="CI72" s="258">
        <f t="shared" si="192"/>
        <v>44.37</v>
      </c>
      <c r="CJ72" s="113"/>
      <c r="CK72" s="258">
        <f t="shared" ref="CK72:CN72" si="195">IFERROR(ROUND(BY72*$P72,2),"")</f>
        <v>0</v>
      </c>
      <c r="CL72" s="258">
        <f t="shared" si="195"/>
        <v>0</v>
      </c>
      <c r="CM72" s="258">
        <f t="shared" si="195"/>
        <v>264311.28</v>
      </c>
      <c r="CN72" s="258">
        <f t="shared" si="195"/>
        <v>352415.04</v>
      </c>
      <c r="CO72" s="258">
        <f t="shared" si="174"/>
        <v>616726.32</v>
      </c>
      <c r="CP72" s="258" t="e">
        <f>VLOOKUP(G72,[2]Sheet1!$C$3:$G$310,5,0)</f>
        <v>#N/A</v>
      </c>
      <c r="CQ72" s="258">
        <f>VLOOKUP(G72,[3]KCBB0101!$C$3:$F$691,4,0)</f>
        <v>8000</v>
      </c>
    </row>
    <row r="73" s="258" customFormat="1" ht="17.6" spans="1:95">
      <c r="A73" s="330"/>
      <c r="B73" s="334" t="s">
        <v>691</v>
      </c>
      <c r="C73" s="335" t="str">
        <f t="shared" si="175"/>
        <v>24.5</v>
      </c>
      <c r="D73" s="334" t="str">
        <f t="shared" si="181"/>
        <v>美国24.5寸</v>
      </c>
      <c r="E73" s="339" t="str">
        <f t="shared" si="120"/>
        <v>285/75R24.5-16PR(147/144L)-M-TRAC CSD</v>
      </c>
      <c r="F73" s="340" t="str">
        <f t="shared" si="172"/>
        <v>285/75R24.5-16PR-M-TRAC CSD</v>
      </c>
      <c r="G73" s="372" t="s">
        <v>192</v>
      </c>
      <c r="H73" s="334">
        <v>600</v>
      </c>
      <c r="I73" s="345"/>
      <c r="J73" s="346" t="str">
        <f t="shared" si="170"/>
        <v>285/75R24.5-M-TRAC CSD</v>
      </c>
      <c r="K73" s="347" t="str">
        <f>_xlfn.XLOOKUP(F73,投产规格!E:E,投产规格!D:D,"未投产")</f>
        <v>✔</v>
      </c>
      <c r="L73" s="347">
        <f>IFERROR(_xlfn.XLOOKUP(F73,硫化工艺!B:B,硫化工艺!C:C),"")</f>
        <v>38.5</v>
      </c>
      <c r="M73" s="349">
        <f t="shared" si="182"/>
        <v>0.868421052631579</v>
      </c>
      <c r="N73" s="347" t="str">
        <f t="shared" si="156"/>
        <v>24.5全钢</v>
      </c>
      <c r="O73" s="347">
        <f>IFERROR(_xlfn.XLOOKUP(F73,轮胎重量!J:J,轮胎重量!G:G),"")</f>
        <v>57.158</v>
      </c>
      <c r="P73" s="350">
        <f>O73*13.9</f>
        <v>794.4962</v>
      </c>
      <c r="Q73" s="347">
        <f t="shared" si="183"/>
        <v>0</v>
      </c>
      <c r="R73" s="347"/>
      <c r="S73" s="347"/>
      <c r="T73" s="347"/>
      <c r="U73" s="347"/>
      <c r="V73" s="347"/>
      <c r="W73" s="347"/>
      <c r="X73" s="347"/>
      <c r="Y73" s="347"/>
      <c r="Z73" s="347"/>
      <c r="AA73" s="347"/>
      <c r="AB73" s="347"/>
      <c r="AC73" s="347"/>
      <c r="AD73" s="347"/>
      <c r="AE73" s="347"/>
      <c r="AF73" s="347"/>
      <c r="AG73" s="347"/>
      <c r="AH73" s="347"/>
      <c r="AI73" s="347"/>
      <c r="AJ73" s="347"/>
      <c r="AK73" s="347"/>
      <c r="AL73" s="347"/>
      <c r="AM73" s="347"/>
      <c r="AN73" s="347"/>
      <c r="AO73" s="347"/>
      <c r="AP73" s="347"/>
      <c r="AQ73" s="347"/>
      <c r="AR73" s="360">
        <v>120</v>
      </c>
      <c r="AS73" s="347">
        <v>120</v>
      </c>
      <c r="AT73" s="347">
        <v>120</v>
      </c>
      <c r="AU73" s="347">
        <v>120</v>
      </c>
      <c r="AV73" s="347">
        <v>120</v>
      </c>
      <c r="AW73" s="347">
        <v>3000</v>
      </c>
      <c r="AX73" s="365">
        <f t="shared" si="185"/>
        <v>171.474</v>
      </c>
      <c r="AY73" s="365">
        <f t="shared" si="186"/>
        <v>238.349</v>
      </c>
      <c r="AZ73" s="366">
        <v>449.18</v>
      </c>
      <c r="BA73" s="368">
        <v>29.42</v>
      </c>
      <c r="BB73" s="368">
        <v>49.09</v>
      </c>
      <c r="BC73" s="368">
        <v>52.13</v>
      </c>
      <c r="BD73" s="330"/>
      <c r="BE73" s="330">
        <f t="shared" si="146"/>
        <v>1347540</v>
      </c>
      <c r="BF73" s="330">
        <f t="shared" si="147"/>
        <v>88260</v>
      </c>
      <c r="BG73" s="330">
        <f t="shared" si="148"/>
        <v>147270</v>
      </c>
      <c r="BH73" s="330">
        <f t="shared" si="149"/>
        <v>156390</v>
      </c>
      <c r="BI73" s="330"/>
      <c r="BJ73" s="370" cm="1">
        <f t="array" ref="BJ73:BM73">_xlfn.LET(_xlpm.data,$R73:$AV73,_xlpm.starts,{1,8,16,23},_xlpm.lengths,{7,7,8,9},_xlpm.arr,_xlfn.MAP(_xlpm.starts,_xlpm.lengths,_xlfn.LAMBDA(_xlpm.s,_xlpm.l,SUM(INDEX(_xlpm.data,,_xlfn.SEQUENCE(,_xlpm.l,_xlpm.s))))),ROUND(_xlpm.arr*$O73/1000,2))</f>
        <v>0</v>
      </c>
      <c r="BK73" s="330">
        <v>0</v>
      </c>
      <c r="BL73" s="330">
        <v>0</v>
      </c>
      <c r="BM73" s="330">
        <v>34.29</v>
      </c>
      <c r="BN73" s="258">
        <f t="shared" si="187"/>
        <v>34.29</v>
      </c>
      <c r="BO73" s="258">
        <v>20.87</v>
      </c>
      <c r="BP73" s="258">
        <v>20.87</v>
      </c>
      <c r="BQ73" s="258">
        <v>23.85</v>
      </c>
      <c r="BR73" s="258">
        <v>26.84</v>
      </c>
      <c r="BS73" s="115"/>
      <c r="BT73" s="258" cm="1">
        <f ca="1" t="array" ref="BT73:BW73">_xlfn.HSTACK(SUM(INDEX($R73:$AV73,1,1):INDEX($R73:$AV73,1,7)),SUM(INDEX($R73:$AV73,1,7):INDEX($R73:$AV73,1,13)),SUM(INDEX($R73:$AV73,1,16):INDEX($R73:$AV73,1,23)),SUM(INDEX($R73:$AV73,1,23):INDEX($R73:$AV73,1,31)))</f>
        <v>0</v>
      </c>
      <c r="BU73" s="258">
        <v>0</v>
      </c>
      <c r="BV73" s="258">
        <v>0</v>
      </c>
      <c r="BW73" s="258">
        <v>600</v>
      </c>
      <c r="BY73" s="258">
        <f t="shared" si="176"/>
        <v>0</v>
      </c>
      <c r="BZ73" s="258">
        <f t="shared" si="177"/>
        <v>0</v>
      </c>
      <c r="CA73" s="258">
        <f t="shared" si="178"/>
        <v>0</v>
      </c>
      <c r="CB73" s="258">
        <f t="shared" si="179"/>
        <v>600</v>
      </c>
      <c r="CD73" s="113"/>
      <c r="CE73" s="258">
        <f t="shared" si="188"/>
        <v>0</v>
      </c>
      <c r="CF73" s="258">
        <f t="shared" si="189"/>
        <v>0</v>
      </c>
      <c r="CG73" s="258">
        <f t="shared" si="190"/>
        <v>0</v>
      </c>
      <c r="CH73" s="258">
        <f t="shared" si="191"/>
        <v>34.29</v>
      </c>
      <c r="CI73" s="258">
        <f t="shared" si="192"/>
        <v>34.29</v>
      </c>
      <c r="CJ73" s="113"/>
      <c r="CK73" s="258">
        <f t="shared" ref="CK73:CN73" si="196">IFERROR(ROUND(BY73*$P73,2),"")</f>
        <v>0</v>
      </c>
      <c r="CL73" s="258">
        <f t="shared" si="196"/>
        <v>0</v>
      </c>
      <c r="CM73" s="258">
        <f t="shared" si="196"/>
        <v>0</v>
      </c>
      <c r="CN73" s="258">
        <f t="shared" si="196"/>
        <v>476697.72</v>
      </c>
      <c r="CO73" s="258">
        <f t="shared" si="174"/>
        <v>476697.72</v>
      </c>
      <c r="CP73" s="258" t="e">
        <f>VLOOKUP(G73,[2]Sheet1!$C$3:$G$310,5,0)</f>
        <v>#N/A</v>
      </c>
      <c r="CQ73" s="258" t="e">
        <f>VLOOKUP(G73,[3]KCBB0101!$C$3:$F$691,4,0)</f>
        <v>#N/A</v>
      </c>
    </row>
    <row r="74" s="258" customFormat="1" ht="17.6" spans="1:93">
      <c r="A74" s="330"/>
      <c r="B74" s="334" t="str">
        <f>_xlfn.XLOOKUP(G74,销售需求表!A:A,销售需求表!C:C)</f>
        <v>北美</v>
      </c>
      <c r="C74" s="335" t="str">
        <f t="shared" si="175"/>
        <v>24.5</v>
      </c>
      <c r="D74" s="334" t="str">
        <f t="shared" si="181"/>
        <v>北美24.5寸</v>
      </c>
      <c r="E74" s="339" t="str">
        <f t="shared" si="120"/>
        <v>285/75R24.5-16PR(147/144M)-I-61S</v>
      </c>
      <c r="F74" s="340" t="str">
        <f t="shared" si="172"/>
        <v>285/75R24.5-16PR-I-61S</v>
      </c>
      <c r="G74" s="339" t="s">
        <v>491</v>
      </c>
      <c r="H74" s="334">
        <v>150</v>
      </c>
      <c r="I74" s="345"/>
      <c r="J74" s="346" t="str">
        <f t="shared" si="170"/>
        <v>285/75R24.5-I-61S</v>
      </c>
      <c r="K74" s="347" t="str">
        <f>_xlfn.XLOOKUP(F74,投产规格!E:E,投产规格!D:D,"未投产")</f>
        <v>✔</v>
      </c>
      <c r="L74" s="347">
        <f>IFERROR(_xlfn.XLOOKUP(F74,硫化工艺!B:B,硫化工艺!C:C),"")</f>
        <v>37</v>
      </c>
      <c r="M74" s="349">
        <f t="shared" si="182"/>
        <v>0.863813229571984</v>
      </c>
      <c r="N74" s="347" t="str">
        <f t="shared" si="156"/>
        <v>24.5全钢</v>
      </c>
      <c r="O74" s="347">
        <f>IFERROR(_xlfn.XLOOKUP(F74,轮胎重量!J:J,轮胎重量!G:G),"")</f>
        <v>52.506</v>
      </c>
      <c r="P74" s="347">
        <f>IFERROR(_xlfn.XLOOKUP(G74,硫化工艺!I:I,硫化工艺!J:J),"")</f>
        <v>759.360301</v>
      </c>
      <c r="Q74" s="347">
        <f t="shared" si="183"/>
        <v>0</v>
      </c>
      <c r="R74" s="347"/>
      <c r="S74" s="347"/>
      <c r="T74" s="347"/>
      <c r="U74" s="347"/>
      <c r="V74" s="347"/>
      <c r="W74" s="347"/>
      <c r="X74" s="347"/>
      <c r="Y74" s="347"/>
      <c r="Z74" s="347"/>
      <c r="AA74" s="347"/>
      <c r="AB74" s="347"/>
      <c r="AC74" s="347"/>
      <c r="AD74" s="347"/>
      <c r="AE74" s="347"/>
      <c r="AF74" s="347"/>
      <c r="AG74" s="347"/>
      <c r="AH74" s="347"/>
      <c r="AI74" s="347"/>
      <c r="AJ74" s="347"/>
      <c r="AK74" s="347"/>
      <c r="AL74" s="347"/>
      <c r="AM74" s="347"/>
      <c r="AN74" s="347"/>
      <c r="AO74" s="347"/>
      <c r="AP74" s="347"/>
      <c r="AQ74" s="347"/>
      <c r="AR74" s="347"/>
      <c r="AS74" s="347"/>
      <c r="AT74" s="347"/>
      <c r="AU74" s="347"/>
      <c r="AV74" s="347"/>
      <c r="AW74" s="347" t="str">
        <f t="shared" si="184"/>
        <v/>
      </c>
      <c r="AX74" s="365" t="str">
        <f t="shared" si="185"/>
        <v/>
      </c>
      <c r="AY74" s="365" t="str">
        <f t="shared" si="186"/>
        <v/>
      </c>
      <c r="AZ74" s="367"/>
      <c r="BA74" s="376"/>
      <c r="BB74" s="376"/>
      <c r="BC74" s="330"/>
      <c r="BD74" s="330"/>
      <c r="BE74" s="330"/>
      <c r="BF74" s="330"/>
      <c r="BG74" s="330"/>
      <c r="BH74" s="330"/>
      <c r="BI74" s="330"/>
      <c r="BJ74" s="370" cm="1">
        <f t="array" ref="BJ74:BM74">_xlfn.LET(_xlpm.data,$R74:$AV74,_xlpm.starts,{1,8,16,23},_xlpm.lengths,{7,7,8,9},_xlpm.arr,_xlfn.MAP(_xlpm.starts,_xlpm.lengths,_xlfn.LAMBDA(_xlpm.s,_xlpm.l,SUM(INDEX(_xlpm.data,,_xlfn.SEQUENCE(,_xlpm.l,_xlpm.s))))),ROUND(_xlpm.arr*$O74/1000,2))</f>
        <v>0</v>
      </c>
      <c r="BK74" s="330">
        <v>0</v>
      </c>
      <c r="BL74" s="330">
        <v>0</v>
      </c>
      <c r="BM74" s="330">
        <v>0</v>
      </c>
      <c r="BN74" s="258">
        <f t="shared" si="187"/>
        <v>0</v>
      </c>
      <c r="BO74" s="258">
        <v>0</v>
      </c>
      <c r="BP74" s="258">
        <v>0.5</v>
      </c>
      <c r="BQ74" s="258">
        <v>0</v>
      </c>
      <c r="BR74" s="258">
        <v>11.08</v>
      </c>
      <c r="BS74" s="115"/>
      <c r="BT74" s="258" cm="1">
        <f ca="1" t="array" ref="BT74:BW74">_xlfn.HSTACK(SUM(INDEX($R74:$AV74,1,1):INDEX($R74:$AV74,1,7)),SUM(INDEX($R74:$AV74,1,7):INDEX($R74:$AV74,1,13)),SUM(INDEX($R74:$AV74,1,16):INDEX($R74:$AV74,1,23)),SUM(INDEX($R74:$AV74,1,23):INDEX($R74:$AV74,1,31)))</f>
        <v>0</v>
      </c>
      <c r="BU74" s="258">
        <v>0</v>
      </c>
      <c r="BV74" s="258">
        <v>0</v>
      </c>
      <c r="BW74" s="258">
        <v>0</v>
      </c>
      <c r="BY74" s="258">
        <f t="shared" si="176"/>
        <v>0</v>
      </c>
      <c r="BZ74" s="258">
        <f t="shared" si="177"/>
        <v>0</v>
      </c>
      <c r="CA74" s="258">
        <f t="shared" si="178"/>
        <v>0</v>
      </c>
      <c r="CB74" s="258">
        <f t="shared" si="179"/>
        <v>0</v>
      </c>
      <c r="CD74" s="113"/>
      <c r="CE74" s="258">
        <f t="shared" si="188"/>
        <v>0</v>
      </c>
      <c r="CF74" s="258">
        <f t="shared" si="189"/>
        <v>0</v>
      </c>
      <c r="CG74" s="258">
        <f t="shared" si="190"/>
        <v>0</v>
      </c>
      <c r="CH74" s="258">
        <f t="shared" si="191"/>
        <v>0</v>
      </c>
      <c r="CI74" s="258">
        <f t="shared" si="192"/>
        <v>0</v>
      </c>
      <c r="CJ74" s="113"/>
      <c r="CK74" s="258">
        <f t="shared" ref="CK74:CN74" si="197">IFERROR(ROUND(BY74*$P74,2),"")</f>
        <v>0</v>
      </c>
      <c r="CL74" s="258">
        <f t="shared" si="197"/>
        <v>0</v>
      </c>
      <c r="CM74" s="258">
        <f t="shared" si="197"/>
        <v>0</v>
      </c>
      <c r="CN74" s="258">
        <f t="shared" si="197"/>
        <v>0</v>
      </c>
      <c r="CO74" s="258">
        <f t="shared" si="174"/>
        <v>0</v>
      </c>
    </row>
    <row r="75" s="258" customFormat="1" ht="17.6" spans="1:93">
      <c r="A75" s="330"/>
      <c r="B75" s="334" t="str">
        <f>_xlfn.XLOOKUP(G75,销售需求表!A:A,销售需求表!C:C)</f>
        <v>亚</v>
      </c>
      <c r="C75" s="335" t="str">
        <f t="shared" ref="C75:C80" si="198">IFERROR(MID(F75,FIND("R",F75)+1,4),"")</f>
        <v>24.5</v>
      </c>
      <c r="D75" s="334" t="str">
        <f t="shared" si="181"/>
        <v>亚24.5寸</v>
      </c>
      <c r="E75" s="339" t="str">
        <f t="shared" ref="E75:E80" si="199">LEFT(REPLACE(G75,1,2,""),FIND("[",REPLACE(G75,1,2,""))-1)&amp;"-"&amp;MID(REPLACE(G75,1,2,""),FIND("[",REPLACE(G75,1,2,""))+1,FIND("]",REPLACE(G75,1,2,""))-FIND("[",REPLACE(G75,1,2,""))-1)</f>
        <v>285/75R24.5-16PR(147/144L)-VA996</v>
      </c>
      <c r="F75" s="340" t="str">
        <f t="shared" si="172"/>
        <v>285/75R24.5-16PR-VA996</v>
      </c>
      <c r="G75" s="339" t="s">
        <v>492</v>
      </c>
      <c r="H75" s="334">
        <v>500</v>
      </c>
      <c r="I75" s="345"/>
      <c r="J75" s="346" t="str">
        <f t="shared" ref="J75:J80" si="200">IFERROR(LEFT(F75,FIND("-",F75))&amp;MID(F75,FIND("PR",F75,FIND("-",F75))+3,LEN(F75)),F75)</f>
        <v>285/75R24.5-VA996</v>
      </c>
      <c r="K75" s="347" t="str">
        <f>_xlfn.XLOOKUP(F75,投产规格!E:E,投产规格!D:D,"未投产")</f>
        <v>未投产</v>
      </c>
      <c r="L75" s="347">
        <f>IFERROR(_xlfn.XLOOKUP(F75,硫化工艺!B:B,硫化工艺!C:C),"")</f>
        <v>40</v>
      </c>
      <c r="M75" s="349">
        <f t="shared" si="182"/>
        <v>0.872727272727273</v>
      </c>
      <c r="N75" s="347" t="str">
        <f t="shared" ref="N75:N80" si="201">C75&amp;"全钢"</f>
        <v>24.5全钢</v>
      </c>
      <c r="O75" s="347">
        <f>IFERROR(_xlfn.XLOOKUP(F75,轮胎重量!J:J,轮胎重量!G:G),"")</f>
        <v>56.574</v>
      </c>
      <c r="P75" s="347">
        <f>IFERROR(_xlfn.XLOOKUP(G75,硫化工艺!I:I,硫化工艺!J:J),"")</f>
        <v>836.267475</v>
      </c>
      <c r="Q75" s="347">
        <f t="shared" si="183"/>
        <v>0</v>
      </c>
      <c r="R75" s="347"/>
      <c r="S75" s="347"/>
      <c r="T75" s="347"/>
      <c r="U75" s="347"/>
      <c r="V75" s="347"/>
      <c r="W75" s="347"/>
      <c r="X75" s="347"/>
      <c r="Y75" s="347"/>
      <c r="Z75" s="347"/>
      <c r="AA75" s="347"/>
      <c r="AB75" s="347"/>
      <c r="AC75" s="347"/>
      <c r="AD75" s="347"/>
      <c r="AE75" s="347"/>
      <c r="AF75" s="347"/>
      <c r="AG75" s="347"/>
      <c r="AH75" s="347"/>
      <c r="AI75" s="347"/>
      <c r="AJ75" s="347"/>
      <c r="AK75" s="347"/>
      <c r="AL75" s="347"/>
      <c r="AM75" s="347"/>
      <c r="AN75" s="347"/>
      <c r="AO75" s="347"/>
      <c r="AP75" s="347"/>
      <c r="AQ75" s="347"/>
      <c r="AR75" s="347"/>
      <c r="AS75" s="347"/>
      <c r="AT75" s="347"/>
      <c r="AU75" s="347"/>
      <c r="AV75" s="347"/>
      <c r="AW75" s="347" t="str">
        <f t="shared" si="184"/>
        <v/>
      </c>
      <c r="AX75" s="365" t="str">
        <f t="shared" si="185"/>
        <v/>
      </c>
      <c r="AY75" s="365" t="str">
        <f t="shared" si="186"/>
        <v/>
      </c>
      <c r="AZ75" s="367"/>
      <c r="BA75" s="376"/>
      <c r="BB75" s="376"/>
      <c r="BC75" s="330"/>
      <c r="BD75" s="330"/>
      <c r="BE75" s="330"/>
      <c r="BF75" s="330"/>
      <c r="BG75" s="330"/>
      <c r="BH75" s="330"/>
      <c r="BI75" s="330"/>
      <c r="BJ75" s="370" cm="1">
        <f t="array" ref="BJ75:BM75">_xlfn.LET(_xlpm.data,$R75:$AV75,_xlpm.starts,{1,8,16,23},_xlpm.lengths,{7,7,8,9},_xlpm.arr,_xlfn.MAP(_xlpm.starts,_xlpm.lengths,_xlfn.LAMBDA(_xlpm.s,_xlpm.l,SUM(INDEX(_xlpm.data,,_xlfn.SEQUENCE(,_xlpm.l,_xlpm.s))))),ROUND(_xlpm.arr*$O75/1000,2))</f>
        <v>0</v>
      </c>
      <c r="BK75" s="330">
        <v>0</v>
      </c>
      <c r="BL75" s="330">
        <v>0</v>
      </c>
      <c r="BM75" s="330">
        <v>0</v>
      </c>
      <c r="BN75" s="258">
        <f t="shared" si="187"/>
        <v>0</v>
      </c>
      <c r="BO75" s="258" t="e">
        <v>#VALUE!</v>
      </c>
      <c r="BP75" s="258" t="e">
        <v>#VALUE!</v>
      </c>
      <c r="BQ75" s="258" t="e">
        <v>#VALUE!</v>
      </c>
      <c r="BR75" s="258" t="e">
        <v>#VALUE!</v>
      </c>
      <c r="BS75" s="115"/>
      <c r="BT75" s="258" cm="1">
        <f ca="1" t="array" ref="BT75:BW75">_xlfn.HSTACK(SUM(INDEX($R75:$AV75,1,1):INDEX($R75:$AV75,1,7)),SUM(INDEX($R75:$AV75,1,7):INDEX($R75:$AV75,1,13)),SUM(INDEX($R75:$AV75,1,16):INDEX($R75:$AV75,1,23)),SUM(INDEX($R75:$AV75,1,23):INDEX($R75:$AV75,1,31)))</f>
        <v>0</v>
      </c>
      <c r="BU75" s="258">
        <v>0</v>
      </c>
      <c r="BV75" s="258">
        <v>0</v>
      </c>
      <c r="BW75" s="258">
        <v>0</v>
      </c>
      <c r="BY75" s="258">
        <f t="shared" ref="BY75:BY80" si="202">SUM(R75:X75)</f>
        <v>0</v>
      </c>
      <c r="BZ75" s="258">
        <f t="shared" ref="BZ75:BZ80" si="203">SUM(Y75:AE75)</f>
        <v>0</v>
      </c>
      <c r="CA75" s="258">
        <f t="shared" ref="CA75:CA80" si="204">SUM(AF75:AM75)</f>
        <v>0</v>
      </c>
      <c r="CB75" s="258">
        <f t="shared" ref="CB75:CB80" si="205">SUM(AN75:AV75)</f>
        <v>0</v>
      </c>
      <c r="CD75" s="113"/>
      <c r="CE75" s="258">
        <f t="shared" si="188"/>
        <v>0</v>
      </c>
      <c r="CF75" s="258">
        <f t="shared" si="189"/>
        <v>0</v>
      </c>
      <c r="CG75" s="258">
        <f t="shared" si="190"/>
        <v>0</v>
      </c>
      <c r="CH75" s="258">
        <f t="shared" si="191"/>
        <v>0</v>
      </c>
      <c r="CI75" s="258">
        <f t="shared" si="192"/>
        <v>0</v>
      </c>
      <c r="CJ75" s="113"/>
      <c r="CK75" s="258">
        <f t="shared" ref="CK75:CN75" si="206">IFERROR(ROUND(BY75*$P75,2),"")</f>
        <v>0</v>
      </c>
      <c r="CL75" s="258">
        <f t="shared" si="206"/>
        <v>0</v>
      </c>
      <c r="CM75" s="258">
        <f t="shared" si="206"/>
        <v>0</v>
      </c>
      <c r="CN75" s="258">
        <f t="shared" si="206"/>
        <v>0</v>
      </c>
      <c r="CO75" s="258">
        <f t="shared" ref="CO75:CO80" si="207">SUM(CK75:CN75)</f>
        <v>0</v>
      </c>
    </row>
    <row r="76" customFormat="1" ht="17.6" spans="1:93">
      <c r="A76" s="330"/>
      <c r="B76" s="334" t="str">
        <f>_xlfn.XLOOKUP(G76,销售需求表!A:A,销售需求表!C:C)</f>
        <v>北美</v>
      </c>
      <c r="C76" s="335" t="str">
        <f t="shared" si="198"/>
        <v>17.5</v>
      </c>
      <c r="D76" s="334" t="str">
        <f t="shared" si="181"/>
        <v>北美17.5寸</v>
      </c>
      <c r="E76" s="339" t="str">
        <f t="shared" si="199"/>
        <v>215/75R17.5-16PR(135/133J)-AP-7318</v>
      </c>
      <c r="F76" s="340" t="str">
        <f t="shared" si="172"/>
        <v>215/75R17.5-16PR-AP-7318</v>
      </c>
      <c r="G76" s="343" t="s">
        <v>426</v>
      </c>
      <c r="H76" s="334">
        <v>280</v>
      </c>
      <c r="I76" s="345"/>
      <c r="J76" s="346" t="str">
        <f t="shared" si="200"/>
        <v>215/75R17.5-AP-7318</v>
      </c>
      <c r="K76" s="347" t="str">
        <f>_xlfn.XLOOKUP(F76,投产规格!E:E,投产规格!D:D,"未投产")</f>
        <v>✔</v>
      </c>
      <c r="L76" s="347">
        <f>IFERROR(_xlfn.XLOOKUP(F76,硫化工艺!B:B,硫化工艺!C:C),"")</f>
        <v>32.5</v>
      </c>
      <c r="M76" s="349">
        <f t="shared" si="182"/>
        <v>0.847826086956522</v>
      </c>
      <c r="N76" s="347" t="str">
        <f t="shared" si="201"/>
        <v>17.5全钢</v>
      </c>
      <c r="O76" s="347">
        <f>IFERROR(_xlfn.XLOOKUP(F76,轮胎重量!J:J,轮胎重量!G:G),"")</f>
        <v>25.523</v>
      </c>
      <c r="P76" s="347">
        <f>IFERROR(_xlfn.XLOOKUP(G76,硫化工艺!I:I,硫化工艺!J:J),"")</f>
        <v>398.184234</v>
      </c>
      <c r="Q76" s="347">
        <f t="shared" si="183"/>
        <v>0</v>
      </c>
      <c r="R76" s="347"/>
      <c r="S76" s="347"/>
      <c r="T76" s="347"/>
      <c r="U76" s="347"/>
      <c r="V76" s="347"/>
      <c r="W76" s="347"/>
      <c r="X76" s="347"/>
      <c r="Y76" s="347"/>
      <c r="Z76" s="347"/>
      <c r="AA76" s="347"/>
      <c r="AB76" s="347"/>
      <c r="AC76" s="347"/>
      <c r="AD76" s="347"/>
      <c r="AE76" s="347"/>
      <c r="AF76" s="347"/>
      <c r="AG76" s="347"/>
      <c r="AH76" s="347"/>
      <c r="AI76" s="347"/>
      <c r="AJ76" s="347"/>
      <c r="AK76" s="347"/>
      <c r="AL76" s="347"/>
      <c r="AM76" s="347"/>
      <c r="AN76" s="347"/>
      <c r="AO76" s="347"/>
      <c r="AP76" s="347"/>
      <c r="AQ76" s="347"/>
      <c r="AR76" s="347"/>
      <c r="AS76" s="347"/>
      <c r="AT76" s="347"/>
      <c r="AU76" s="347"/>
      <c r="AV76" s="347"/>
      <c r="AW76" s="347" t="str">
        <f t="shared" si="184"/>
        <v/>
      </c>
      <c r="AX76" s="365" t="str">
        <f t="shared" si="185"/>
        <v/>
      </c>
      <c r="AY76" s="365" t="str">
        <f t="shared" si="186"/>
        <v/>
      </c>
      <c r="AZ76" s="367"/>
      <c r="BA76" s="376"/>
      <c r="BB76" s="376"/>
      <c r="BC76" s="330"/>
      <c r="BD76" s="330"/>
      <c r="BE76" s="330"/>
      <c r="BF76" s="330"/>
      <c r="BG76" s="330"/>
      <c r="BH76" s="330"/>
      <c r="BI76" s="330"/>
      <c r="BJ76" s="370" cm="1">
        <f t="array" ref="BJ76:BM76">_xlfn.LET(_xlpm.data,$R76:$AV76,_xlpm.starts,{1,8,16,23},_xlpm.lengths,{7,7,8,9},_xlpm.arr,_xlfn.MAP(_xlpm.starts,_xlpm.lengths,_xlfn.LAMBDA(_xlpm.s,_xlpm.l,SUM(INDEX(_xlpm.data,,_xlfn.SEQUENCE(,_xlpm.l,_xlpm.s))))),ROUND(_xlpm.arr*$O76/1000,2))</f>
        <v>0</v>
      </c>
      <c r="BK76" s="330">
        <v>0</v>
      </c>
      <c r="BL76" s="330">
        <v>0</v>
      </c>
      <c r="BM76" s="330">
        <v>0</v>
      </c>
      <c r="BN76" s="258">
        <f t="shared" si="187"/>
        <v>0</v>
      </c>
      <c r="BO76" s="258" t="e">
        <v>#VALUE!</v>
      </c>
      <c r="BP76" s="258" t="e">
        <v>#VALUE!</v>
      </c>
      <c r="BQ76" s="258" t="e">
        <v>#VALUE!</v>
      </c>
      <c r="BR76" s="258" t="e">
        <v>#VALUE!</v>
      </c>
      <c r="BS76" s="115"/>
      <c r="BT76" s="258" cm="1">
        <f ca="1" t="array" ref="BT76:BW76">_xlfn.HSTACK(SUM(INDEX($R76:$AV76,1,1):INDEX($R76:$AV76,1,7)),SUM(INDEX($R76:$AV76,1,7):INDEX($R76:$AV76,1,13)),SUM(INDEX($R76:$AV76,1,16):INDEX($R76:$AV76,1,23)),SUM(INDEX($R76:$AV76,1,23):INDEX($R76:$AV76,1,31)))</f>
        <v>0</v>
      </c>
      <c r="BU76" s="258">
        <v>0</v>
      </c>
      <c r="BV76" s="258">
        <v>0</v>
      </c>
      <c r="BW76" s="258">
        <v>0</v>
      </c>
      <c r="BY76" s="258">
        <f t="shared" si="202"/>
        <v>0</v>
      </c>
      <c r="BZ76" s="258">
        <f t="shared" si="203"/>
        <v>0</v>
      </c>
      <c r="CA76" s="258">
        <f t="shared" si="204"/>
        <v>0</v>
      </c>
      <c r="CB76" s="258">
        <f t="shared" si="205"/>
        <v>0</v>
      </c>
      <c r="CC76" s="258"/>
      <c r="CD76" s="113"/>
      <c r="CE76" s="258">
        <f t="shared" si="188"/>
        <v>0</v>
      </c>
      <c r="CF76" s="258">
        <f t="shared" si="189"/>
        <v>0</v>
      </c>
      <c r="CG76" s="258">
        <f t="shared" si="190"/>
        <v>0</v>
      </c>
      <c r="CH76" s="258">
        <f t="shared" si="191"/>
        <v>0</v>
      </c>
      <c r="CI76" s="258">
        <f t="shared" si="192"/>
        <v>0</v>
      </c>
      <c r="CJ76" s="113"/>
      <c r="CK76" s="258">
        <f t="shared" ref="CK76:CN76" si="208">IFERROR(ROUND(BY76*$P76,2),"")</f>
        <v>0</v>
      </c>
      <c r="CL76" s="258">
        <f t="shared" si="208"/>
        <v>0</v>
      </c>
      <c r="CM76" s="258">
        <f t="shared" si="208"/>
        <v>0</v>
      </c>
      <c r="CN76" s="258">
        <f t="shared" si="208"/>
        <v>0</v>
      </c>
      <c r="CO76" s="258">
        <f t="shared" si="207"/>
        <v>0</v>
      </c>
    </row>
    <row r="77" customFormat="1" ht="17.6" spans="1:95">
      <c r="A77" s="330"/>
      <c r="B77" s="334" t="str">
        <f>_xlfn.XLOOKUP(G77,销售需求表!A:A,销售需求表!C:C)</f>
        <v>北美</v>
      </c>
      <c r="C77" s="335" t="str">
        <f t="shared" si="198"/>
        <v>17.5</v>
      </c>
      <c r="D77" s="334" t="str">
        <f t="shared" si="181"/>
        <v>北美17.5寸</v>
      </c>
      <c r="E77" s="339" t="str">
        <f t="shared" si="199"/>
        <v>215/75R17.5-16PR(135/133L)-I-19A</v>
      </c>
      <c r="F77" s="340" t="str">
        <f t="shared" si="172"/>
        <v>215/75R17.5-16PR-I-19A</v>
      </c>
      <c r="G77" s="342" t="s">
        <v>105</v>
      </c>
      <c r="H77" s="334">
        <v>3500</v>
      </c>
      <c r="I77" s="345">
        <v>6</v>
      </c>
      <c r="J77" s="346" t="str">
        <f t="shared" si="200"/>
        <v>215/75R17.5-I-19A</v>
      </c>
      <c r="K77" s="347" t="str">
        <f>_xlfn.XLOOKUP(F77,投产规格!E:E,投产规格!D:D,"未投产")</f>
        <v>✔</v>
      </c>
      <c r="L77" s="347">
        <f>IFERROR(_xlfn.XLOOKUP(F77,硫化工艺!B:B,硫化工艺!C:C),"")</f>
        <v>32.5</v>
      </c>
      <c r="M77" s="349">
        <f t="shared" si="182"/>
        <v>0.847826086956522</v>
      </c>
      <c r="N77" s="347" t="str">
        <f t="shared" si="201"/>
        <v>17.5全钢</v>
      </c>
      <c r="O77" s="347">
        <f>IFERROR(_xlfn.XLOOKUP(F77,轮胎重量!J:J,轮胎重量!G:G),"")</f>
        <v>25.927</v>
      </c>
      <c r="P77" s="347">
        <f>IFERROR(_xlfn.XLOOKUP(G77,硫化工艺!I:I,硫化工艺!J:J),"")</f>
        <v>403.2434</v>
      </c>
      <c r="Q77" s="347">
        <f t="shared" si="183"/>
        <v>225</v>
      </c>
      <c r="R77" s="347">
        <v>220</v>
      </c>
      <c r="S77" s="347">
        <v>220</v>
      </c>
      <c r="T77" s="347">
        <v>220</v>
      </c>
      <c r="U77" s="347">
        <v>220</v>
      </c>
      <c r="V77" s="347">
        <v>220</v>
      </c>
      <c r="W77" s="347">
        <v>220</v>
      </c>
      <c r="X77" s="347">
        <v>220</v>
      </c>
      <c r="Y77" s="347">
        <v>220</v>
      </c>
      <c r="Z77" s="347">
        <v>220</v>
      </c>
      <c r="AA77" s="347">
        <v>220</v>
      </c>
      <c r="AB77" s="347">
        <v>220</v>
      </c>
      <c r="AC77" s="347">
        <v>220</v>
      </c>
      <c r="AD77" s="347">
        <v>220</v>
      </c>
      <c r="AE77" s="347">
        <v>220</v>
      </c>
      <c r="AF77" s="347">
        <v>220</v>
      </c>
      <c r="AG77" s="347">
        <v>220</v>
      </c>
      <c r="AH77" s="347">
        <v>220</v>
      </c>
      <c r="AI77" s="347">
        <v>220</v>
      </c>
      <c r="AJ77" s="347">
        <v>220</v>
      </c>
      <c r="AK77" s="347">
        <v>220</v>
      </c>
      <c r="AL77" s="347"/>
      <c r="AM77" s="347"/>
      <c r="AN77" s="347"/>
      <c r="AO77" s="347"/>
      <c r="AP77" s="347"/>
      <c r="AQ77" s="347"/>
      <c r="AR77" s="347"/>
      <c r="AS77" s="347"/>
      <c r="AT77" s="347"/>
      <c r="AU77" s="347"/>
      <c r="AV77" s="347"/>
      <c r="AW77" s="347">
        <v>3000</v>
      </c>
      <c r="AX77" s="365">
        <f t="shared" si="185"/>
        <v>77.781</v>
      </c>
      <c r="AY77" s="365">
        <f t="shared" si="186"/>
        <v>120.973</v>
      </c>
      <c r="AZ77" s="367"/>
      <c r="BA77" s="376"/>
      <c r="BB77" s="376"/>
      <c r="BC77" s="330"/>
      <c r="BD77" s="330"/>
      <c r="BE77" s="330"/>
      <c r="BF77" s="330"/>
      <c r="BG77" s="330"/>
      <c r="BH77" s="330"/>
      <c r="BI77" s="330"/>
      <c r="BJ77" s="370" cm="1">
        <f t="array" ref="BJ77:BM77">_xlfn.LET(_xlpm.data,$R77:$AV77,_xlpm.starts,{1,8,16,23},_xlpm.lengths,{7,7,8,9},_xlpm.arr,_xlfn.MAP(_xlpm.starts,_xlpm.lengths,_xlfn.LAMBDA(_xlpm.s,_xlpm.l,SUM(INDEX(_xlpm.data,,_xlfn.SEQUENCE(,_xlpm.l,_xlpm.s))))),ROUND(_xlpm.arr*$O77/1000,2))</f>
        <v>39.93</v>
      </c>
      <c r="BK77" s="330">
        <v>39.93</v>
      </c>
      <c r="BL77" s="330">
        <v>28.52</v>
      </c>
      <c r="BM77" s="330">
        <v>0</v>
      </c>
      <c r="BN77" s="258">
        <f t="shared" si="187"/>
        <v>108.38</v>
      </c>
      <c r="BO77" s="258">
        <v>15.01</v>
      </c>
      <c r="BP77" s="258">
        <v>15.01</v>
      </c>
      <c r="BQ77" s="258">
        <v>17.15</v>
      </c>
      <c r="BR77" s="258">
        <v>19.29</v>
      </c>
      <c r="BS77" s="115"/>
      <c r="BT77" s="258" cm="1">
        <f ca="1" t="array" ref="BT77:BW77">_xlfn.HSTACK(SUM(INDEX($R77:$AV77,1,1):INDEX($R77:$AV77,1,7)),SUM(INDEX($R77:$AV77,1,7):INDEX($R77:$AV77,1,13)),SUM(INDEX($R77:$AV77,1,16):INDEX($R77:$AV77,1,23)),SUM(INDEX($R77:$AV77,1,23):INDEX($R77:$AV77,1,31)))</f>
        <v>1540</v>
      </c>
      <c r="BU77" s="258">
        <v>1540</v>
      </c>
      <c r="BV77" s="258">
        <v>1100</v>
      </c>
      <c r="BW77" s="258">
        <v>0</v>
      </c>
      <c r="BY77" s="258">
        <f t="shared" si="202"/>
        <v>1540</v>
      </c>
      <c r="BZ77" s="258">
        <f t="shared" si="203"/>
        <v>1540</v>
      </c>
      <c r="CA77" s="258">
        <f t="shared" si="204"/>
        <v>1320</v>
      </c>
      <c r="CB77" s="258">
        <f t="shared" si="205"/>
        <v>0</v>
      </c>
      <c r="CC77" s="258"/>
      <c r="CD77" s="113"/>
      <c r="CE77" s="258">
        <f t="shared" si="188"/>
        <v>39.93</v>
      </c>
      <c r="CF77" s="258">
        <f t="shared" si="189"/>
        <v>39.93</v>
      </c>
      <c r="CG77" s="258">
        <f t="shared" si="190"/>
        <v>34.22</v>
      </c>
      <c r="CH77" s="258">
        <f t="shared" si="191"/>
        <v>0</v>
      </c>
      <c r="CI77" s="258">
        <f t="shared" si="192"/>
        <v>114.08</v>
      </c>
      <c r="CJ77" s="113"/>
      <c r="CK77" s="258">
        <f t="shared" ref="CK77:CN77" si="209">IFERROR(ROUND(BY77*$P77,2),"")</f>
        <v>620994.84</v>
      </c>
      <c r="CL77" s="258">
        <f t="shared" si="209"/>
        <v>620994.84</v>
      </c>
      <c r="CM77" s="258">
        <f t="shared" si="209"/>
        <v>532281.29</v>
      </c>
      <c r="CN77" s="258">
        <f t="shared" si="209"/>
        <v>0</v>
      </c>
      <c r="CO77" s="258">
        <f t="shared" si="207"/>
        <v>1774270.97</v>
      </c>
      <c r="CP77" s="258">
        <f>VLOOKUP(G77,[2]Sheet1!$C$3:$G$310,5,0)</f>
        <v>8200</v>
      </c>
      <c r="CQ77" s="258" t="e">
        <f>VLOOKUP(G77,[3]KCBB0101!$C$3:$F$691,4,0)</f>
        <v>#N/A</v>
      </c>
    </row>
    <row r="78" customFormat="1" ht="17.6" spans="1:95">
      <c r="A78" s="330"/>
      <c r="B78" s="334" t="str">
        <f>_xlfn.XLOOKUP(G78,销售需求表!A:A,销售需求表!C:C)</f>
        <v>北美</v>
      </c>
      <c r="C78" s="335" t="str">
        <f t="shared" si="198"/>
        <v>17.5</v>
      </c>
      <c r="D78" s="334" t="str">
        <f t="shared" si="181"/>
        <v>北美17.5寸</v>
      </c>
      <c r="E78" s="339" t="str">
        <f t="shared" si="199"/>
        <v>215/75R17.5-16PR(135/133L)-Strong Guard H-RA</v>
      </c>
      <c r="F78" s="340" t="str">
        <f t="shared" si="172"/>
        <v>215/75R17.5-16PR-H-RA</v>
      </c>
      <c r="G78" s="342" t="s">
        <v>109</v>
      </c>
      <c r="H78" s="334">
        <v>1600</v>
      </c>
      <c r="I78" s="345"/>
      <c r="J78" s="346" t="str">
        <f t="shared" si="200"/>
        <v>215/75R17.5-H-RA</v>
      </c>
      <c r="K78" s="347" t="str">
        <f>_xlfn.XLOOKUP(F78,投产规格!E:E,投产规格!D:D,"未投产")</f>
        <v>✔</v>
      </c>
      <c r="L78" s="347">
        <f>IFERROR(_xlfn.XLOOKUP(F78,硫化工艺!B:B,硫化工艺!C:C),"")</f>
        <v>27.5</v>
      </c>
      <c r="M78" s="349">
        <f t="shared" si="182"/>
        <v>0.825</v>
      </c>
      <c r="N78" s="347" t="str">
        <f t="shared" si="201"/>
        <v>17.5全钢</v>
      </c>
      <c r="O78" s="347">
        <f>IFERROR(_xlfn.XLOOKUP(F78,轮胎重量!J:J,轮胎重量!G:G),"")</f>
        <v>24.586</v>
      </c>
      <c r="P78" s="347">
        <f>IFERROR(_xlfn.XLOOKUP(G78,硫化工艺!I:I,硫化工艺!J:J),"")</f>
        <v>380.1812</v>
      </c>
      <c r="Q78" s="347">
        <f t="shared" si="183"/>
        <v>0</v>
      </c>
      <c r="R78" s="347"/>
      <c r="S78" s="347"/>
      <c r="T78" s="347"/>
      <c r="U78" s="347"/>
      <c r="V78" s="347"/>
      <c r="W78" s="347"/>
      <c r="X78" s="347"/>
      <c r="Y78" s="347"/>
      <c r="Z78" s="347"/>
      <c r="AA78" s="347"/>
      <c r="AB78" s="347"/>
      <c r="AC78" s="347"/>
      <c r="AD78" s="347"/>
      <c r="AE78" s="347"/>
      <c r="AF78" s="347"/>
      <c r="AG78" s="347"/>
      <c r="AH78" s="347"/>
      <c r="AI78" s="347"/>
      <c r="AJ78" s="347"/>
      <c r="AK78" s="347"/>
      <c r="AL78" s="347">
        <v>220</v>
      </c>
      <c r="AM78" s="347">
        <v>220</v>
      </c>
      <c r="AN78" s="347">
        <v>220</v>
      </c>
      <c r="AO78" s="347">
        <v>220</v>
      </c>
      <c r="AP78" s="347">
        <v>220</v>
      </c>
      <c r="AQ78" s="347">
        <v>220</v>
      </c>
      <c r="AR78" s="347">
        <v>220</v>
      </c>
      <c r="AS78" s="347">
        <v>220</v>
      </c>
      <c r="AT78" s="347">
        <v>220</v>
      </c>
      <c r="AU78" s="347">
        <v>220</v>
      </c>
      <c r="AV78" s="347">
        <v>220</v>
      </c>
      <c r="AW78" s="347">
        <v>3000</v>
      </c>
      <c r="AX78" s="365">
        <f t="shared" si="185"/>
        <v>73.758</v>
      </c>
      <c r="AY78" s="365">
        <f t="shared" si="186"/>
        <v>114.054</v>
      </c>
      <c r="AZ78" s="366">
        <v>449.18</v>
      </c>
      <c r="BA78" s="368">
        <v>29.42</v>
      </c>
      <c r="BB78" s="368">
        <v>49.09</v>
      </c>
      <c r="BC78" s="368">
        <v>52.13</v>
      </c>
      <c r="BD78" s="330"/>
      <c r="BE78" s="330">
        <f t="shared" ref="BE78:BE80" si="210">AZ78*AW78</f>
        <v>1347540</v>
      </c>
      <c r="BF78" s="330">
        <f t="shared" ref="BF78:BF80" si="211">BA78*AW78</f>
        <v>88260</v>
      </c>
      <c r="BG78" s="330">
        <f t="shared" ref="BG78:BG80" si="212">BB78*AW78</f>
        <v>147270</v>
      </c>
      <c r="BH78" s="330">
        <f t="shared" ref="BH78:BH80" si="213">BC78*AW78</f>
        <v>156390</v>
      </c>
      <c r="BI78" s="330"/>
      <c r="BJ78" s="370" cm="1">
        <f t="array" ref="BJ78:BM78">_xlfn.LET(_xlpm.data,$R78:$AV78,_xlpm.starts,{1,8,16,23},_xlpm.lengths,{7,7,8,9},_xlpm.arr,_xlfn.MAP(_xlpm.starts,_xlpm.lengths,_xlfn.LAMBDA(_xlpm.s,_xlpm.l,SUM(INDEX(_xlpm.data,,_xlfn.SEQUENCE(,_xlpm.l,_xlpm.s))))),ROUND(_xlpm.arr*$O78/1000,2))</f>
        <v>0</v>
      </c>
      <c r="BK78" s="330">
        <v>0</v>
      </c>
      <c r="BL78" s="330">
        <v>16.23</v>
      </c>
      <c r="BM78" s="330">
        <v>48.68</v>
      </c>
      <c r="BN78" s="258">
        <f t="shared" si="187"/>
        <v>64.91</v>
      </c>
      <c r="BO78" s="258">
        <v>0</v>
      </c>
      <c r="BP78" s="258">
        <v>0</v>
      </c>
      <c r="BQ78" s="258">
        <v>0</v>
      </c>
      <c r="BR78" s="258">
        <v>0</v>
      </c>
      <c r="BS78" s="115"/>
      <c r="BT78" s="258" cm="1">
        <f ca="1" t="array" ref="BT78:BW78">_xlfn.HSTACK(SUM(INDEX($R78:$AV78,1,1):INDEX($R78:$AV78,1,7)),SUM(INDEX($R78:$AV78,1,7):INDEX($R78:$AV78,1,13)),SUM(INDEX($R78:$AV78,1,16):INDEX($R78:$AV78,1,23)),SUM(INDEX($R78:$AV78,1,23):INDEX($R78:$AV78,1,31)))</f>
        <v>0</v>
      </c>
      <c r="BU78" s="258">
        <v>0</v>
      </c>
      <c r="BV78" s="258">
        <v>660</v>
      </c>
      <c r="BW78" s="258">
        <v>1980</v>
      </c>
      <c r="BY78" s="258">
        <f t="shared" si="202"/>
        <v>0</v>
      </c>
      <c r="BZ78" s="258">
        <f t="shared" si="203"/>
        <v>0</v>
      </c>
      <c r="CA78" s="258">
        <f t="shared" si="204"/>
        <v>440</v>
      </c>
      <c r="CB78" s="258">
        <f t="shared" si="205"/>
        <v>1980</v>
      </c>
      <c r="CC78" s="258"/>
      <c r="CD78" s="113"/>
      <c r="CE78" s="258">
        <f t="shared" ref="CE78:CH78" si="214">ROUND(BY78*$O78/1000,2)</f>
        <v>0</v>
      </c>
      <c r="CF78" s="258">
        <f t="shared" si="214"/>
        <v>0</v>
      </c>
      <c r="CG78" s="258">
        <f t="shared" si="214"/>
        <v>10.82</v>
      </c>
      <c r="CH78" s="258">
        <f t="shared" si="214"/>
        <v>48.68</v>
      </c>
      <c r="CI78" s="258">
        <f t="shared" si="192"/>
        <v>59.5</v>
      </c>
      <c r="CJ78" s="113"/>
      <c r="CK78" s="258">
        <f t="shared" ref="CK78:CN78" si="215">IFERROR(ROUND(BY78*$P78,2),"")</f>
        <v>0</v>
      </c>
      <c r="CL78" s="258">
        <f t="shared" si="215"/>
        <v>0</v>
      </c>
      <c r="CM78" s="258">
        <f t="shared" si="215"/>
        <v>167279.73</v>
      </c>
      <c r="CN78" s="258">
        <f t="shared" si="215"/>
        <v>752758.78</v>
      </c>
      <c r="CO78" s="258">
        <f t="shared" si="207"/>
        <v>920038.51</v>
      </c>
      <c r="CP78" s="258">
        <f>VLOOKUP(G78,[2]Sheet1!$C$3:$G$310,5,0)</f>
        <v>0</v>
      </c>
      <c r="CQ78" s="258" t="e">
        <f>VLOOKUP(G78,[3]KCBB0101!$C$3:$F$691,4,0)</f>
        <v>#N/A</v>
      </c>
    </row>
    <row r="79" s="258" customFormat="1" ht="17.6" spans="1:93">
      <c r="A79" s="330"/>
      <c r="B79" s="334" t="str">
        <f>_xlfn.XLOOKUP(G79,销售需求表!A:A,销售需求表!C:C)</f>
        <v>北美</v>
      </c>
      <c r="C79" s="335" t="str">
        <f t="shared" si="198"/>
        <v>17.5</v>
      </c>
      <c r="D79" s="334" t="str">
        <f t="shared" si="181"/>
        <v>北美17.5寸</v>
      </c>
      <c r="E79" s="339" t="str">
        <f t="shared" si="199"/>
        <v>215/75R17.5-18PR(135/133L)-AZ599</v>
      </c>
      <c r="F79" s="340" t="str">
        <f t="shared" si="172"/>
        <v>215/75R17.5-18PR-AZ599</v>
      </c>
      <c r="G79" s="343" t="s">
        <v>427</v>
      </c>
      <c r="H79" s="334">
        <v>400</v>
      </c>
      <c r="I79" s="345"/>
      <c r="J79" s="346" t="str">
        <f t="shared" si="200"/>
        <v>215/75R17.5-AZ599</v>
      </c>
      <c r="K79" s="347" t="str">
        <f>_xlfn.XLOOKUP(F79,投产规格!E:E,投产规格!D:D,"未投产")</f>
        <v>✔</v>
      </c>
      <c r="L79" s="347">
        <f>IFERROR(_xlfn.XLOOKUP(F79,硫化工艺!B:B,硫化工艺!C:C),"")</f>
        <v>32.5</v>
      </c>
      <c r="M79" s="349">
        <f t="shared" si="182"/>
        <v>0.847826086956522</v>
      </c>
      <c r="N79" s="347" t="str">
        <f t="shared" si="201"/>
        <v>17.5全钢</v>
      </c>
      <c r="O79" s="347">
        <f>IFERROR(_xlfn.XLOOKUP(F79,轮胎重量!J:J,轮胎重量!G:G),"")</f>
        <v>25.523</v>
      </c>
      <c r="P79" s="350">
        <f>O79*13.9</f>
        <v>354.7697</v>
      </c>
      <c r="Q79" s="347">
        <f t="shared" si="183"/>
        <v>0</v>
      </c>
      <c r="R79" s="347"/>
      <c r="S79" s="347"/>
      <c r="T79" s="347"/>
      <c r="U79" s="347"/>
      <c r="V79" s="347"/>
      <c r="W79" s="347"/>
      <c r="X79" s="347"/>
      <c r="Y79" s="347"/>
      <c r="Z79" s="347"/>
      <c r="AA79" s="347"/>
      <c r="AB79" s="347"/>
      <c r="AC79" s="347"/>
      <c r="AD79" s="347"/>
      <c r="AE79" s="347"/>
      <c r="AF79" s="347"/>
      <c r="AG79" s="347"/>
      <c r="AH79" s="347"/>
      <c r="AI79" s="347"/>
      <c r="AJ79" s="347"/>
      <c r="AK79" s="347"/>
      <c r="AL79" s="347"/>
      <c r="AM79" s="347"/>
      <c r="AN79" s="347"/>
      <c r="AO79" s="347"/>
      <c r="AP79" s="347"/>
      <c r="AQ79" s="347"/>
      <c r="AR79" s="347"/>
      <c r="AS79" s="347"/>
      <c r="AT79" s="347"/>
      <c r="AU79" s="347"/>
      <c r="AV79" s="347"/>
      <c r="AW79" s="347" t="str">
        <f t="shared" si="184"/>
        <v/>
      </c>
      <c r="AX79" s="365" t="str">
        <f t="shared" si="185"/>
        <v/>
      </c>
      <c r="AY79" s="365" t="str">
        <f t="shared" si="186"/>
        <v/>
      </c>
      <c r="AZ79" s="366">
        <v>449.18</v>
      </c>
      <c r="BA79" s="368">
        <v>29.42</v>
      </c>
      <c r="BB79" s="368">
        <v>49.09</v>
      </c>
      <c r="BC79" s="368">
        <v>52.13</v>
      </c>
      <c r="BD79" s="330"/>
      <c r="BE79" s="330" t="e">
        <f t="shared" si="210"/>
        <v>#VALUE!</v>
      </c>
      <c r="BF79" s="330" t="e">
        <f t="shared" si="211"/>
        <v>#VALUE!</v>
      </c>
      <c r="BG79" s="330" t="e">
        <f t="shared" si="212"/>
        <v>#VALUE!</v>
      </c>
      <c r="BH79" s="330" t="e">
        <f t="shared" si="213"/>
        <v>#VALUE!</v>
      </c>
      <c r="BI79" s="330"/>
      <c r="BJ79" s="370" cm="1">
        <f t="array" ref="BJ79:BM79">_xlfn.LET(_xlpm.data,$R79:$AV79,_xlpm.starts,{1,8,16,23},_xlpm.lengths,{7,7,8,9},_xlpm.arr,_xlfn.MAP(_xlpm.starts,_xlpm.lengths,_xlfn.LAMBDA(_xlpm.s,_xlpm.l,SUM(INDEX(_xlpm.data,,_xlfn.SEQUENCE(,_xlpm.l,_xlpm.s))))),ROUND(_xlpm.arr*$O79/1000,2))</f>
        <v>0</v>
      </c>
      <c r="BK79" s="330">
        <v>0</v>
      </c>
      <c r="BL79" s="330">
        <v>0</v>
      </c>
      <c r="BM79" s="330">
        <v>0</v>
      </c>
      <c r="BN79" s="258">
        <f t="shared" si="187"/>
        <v>0</v>
      </c>
      <c r="BO79" s="258">
        <v>22.41</v>
      </c>
      <c r="BP79" s="258">
        <v>22.41</v>
      </c>
      <c r="BQ79" s="258">
        <v>25.62</v>
      </c>
      <c r="BR79" s="258">
        <v>28.82</v>
      </c>
      <c r="BS79" s="115"/>
      <c r="BT79" s="258" cm="1">
        <f ca="1" t="array" ref="BT79:BW79">_xlfn.HSTACK(SUM(INDEX($R79:$AV79,1,1):INDEX($R79:$AV79,1,7)),SUM(INDEX($R79:$AV79,1,7):INDEX($R79:$AV79,1,13)),SUM(INDEX($R79:$AV79,1,16):INDEX($R79:$AV79,1,23)),SUM(INDEX($R79:$AV79,1,23):INDEX($R79:$AV79,1,31)))</f>
        <v>0</v>
      </c>
      <c r="BU79" s="258">
        <v>0</v>
      </c>
      <c r="BV79" s="258">
        <v>0</v>
      </c>
      <c r="BW79" s="258">
        <v>0</v>
      </c>
      <c r="BY79" s="258">
        <f t="shared" si="202"/>
        <v>0</v>
      </c>
      <c r="BZ79" s="258">
        <f t="shared" si="203"/>
        <v>0</v>
      </c>
      <c r="CA79" s="258">
        <f t="shared" si="204"/>
        <v>0</v>
      </c>
      <c r="CB79" s="258">
        <f t="shared" si="205"/>
        <v>0</v>
      </c>
      <c r="CD79" s="113"/>
      <c r="CE79" s="258">
        <f>ROUND(BY79*$O79/1000,2)</f>
        <v>0</v>
      </c>
      <c r="CF79" s="258">
        <f>ROUND(BZ79*$O79/1000,2)</f>
        <v>0</v>
      </c>
      <c r="CG79" s="258">
        <f>ROUND(CA79*$O79/1000,2)</f>
        <v>0</v>
      </c>
      <c r="CH79" s="258">
        <f>ROUND(CB79*$O79/1000,2)</f>
        <v>0</v>
      </c>
      <c r="CI79" s="258">
        <f t="shared" si="192"/>
        <v>0</v>
      </c>
      <c r="CJ79" s="113"/>
      <c r="CK79" s="258">
        <f t="shared" ref="CK79:CN79" si="216">IFERROR(ROUND(BY79*$P79,2),"")</f>
        <v>0</v>
      </c>
      <c r="CL79" s="258">
        <f t="shared" si="216"/>
        <v>0</v>
      </c>
      <c r="CM79" s="258">
        <f t="shared" si="216"/>
        <v>0</v>
      </c>
      <c r="CN79" s="258">
        <f t="shared" si="216"/>
        <v>0</v>
      </c>
      <c r="CO79" s="258">
        <f t="shared" si="207"/>
        <v>0</v>
      </c>
    </row>
    <row r="80" s="258" customFormat="1" ht="17.6" spans="1:95">
      <c r="A80" s="330"/>
      <c r="B80" s="334" t="str">
        <f>_xlfn.XLOOKUP(G80,销售需求表!A:A,销售需求表!C:C)</f>
        <v>北美</v>
      </c>
      <c r="C80" s="335" t="str">
        <f t="shared" si="198"/>
        <v>17.5</v>
      </c>
      <c r="D80" s="334" t="str">
        <f t="shared" si="181"/>
        <v>北美17.5寸</v>
      </c>
      <c r="E80" s="339" t="str">
        <f t="shared" si="199"/>
        <v>215/75R17.5-18PR(135/133L)-M-TRAC AP</v>
      </c>
      <c r="F80" s="340" t="str">
        <f t="shared" si="172"/>
        <v>215/75R17.5-18PR-M-TRAC AP</v>
      </c>
      <c r="G80" s="341" t="s">
        <v>428</v>
      </c>
      <c r="H80" s="334">
        <v>1800</v>
      </c>
      <c r="I80" s="345">
        <v>2</v>
      </c>
      <c r="J80" s="346" t="str">
        <f t="shared" si="200"/>
        <v>215/75R17.5-M-TRAC AP</v>
      </c>
      <c r="K80" s="347" t="str">
        <f>_xlfn.XLOOKUP(F80,投产规格!E:E,投产规格!D:D,"未投产")</f>
        <v>✔</v>
      </c>
      <c r="L80" s="347">
        <f>IFERROR(_xlfn.XLOOKUP(F80,硫化工艺!B:B,硫化工艺!C:C),"")</f>
        <v>38</v>
      </c>
      <c r="M80" s="349">
        <f t="shared" si="182"/>
        <v>0.866920152091255</v>
      </c>
      <c r="N80" s="347" t="str">
        <f t="shared" si="201"/>
        <v>17.5全钢</v>
      </c>
      <c r="O80" s="347">
        <f>IFERROR(_xlfn.XLOOKUP(F80,轮胎重量!J:J,轮胎重量!G:G),"")</f>
        <v>25.523</v>
      </c>
      <c r="P80" s="347">
        <f>IFERROR(_xlfn.XLOOKUP(G80,硫化工艺!I:I,硫化工艺!J:J),"")</f>
        <v>397.679555</v>
      </c>
      <c r="Q80" s="347">
        <f t="shared" si="183"/>
        <v>66</v>
      </c>
      <c r="R80" s="347">
        <v>60</v>
      </c>
      <c r="S80" s="347">
        <v>60</v>
      </c>
      <c r="T80" s="347">
        <v>60</v>
      </c>
      <c r="U80" s="347">
        <v>60</v>
      </c>
      <c r="V80" s="347">
        <v>60</v>
      </c>
      <c r="W80" s="347">
        <v>60</v>
      </c>
      <c r="X80" s="347">
        <v>60</v>
      </c>
      <c r="Y80" s="347">
        <v>60</v>
      </c>
      <c r="Z80" s="347">
        <v>60</v>
      </c>
      <c r="AA80" s="347">
        <v>60</v>
      </c>
      <c r="AB80" s="347">
        <v>60</v>
      </c>
      <c r="AC80" s="347">
        <v>60</v>
      </c>
      <c r="AD80" s="347">
        <v>60</v>
      </c>
      <c r="AE80" s="347">
        <v>60</v>
      </c>
      <c r="AF80" s="347">
        <v>60</v>
      </c>
      <c r="AG80" s="347">
        <v>60</v>
      </c>
      <c r="AH80" s="347">
        <v>60</v>
      </c>
      <c r="AI80" s="347">
        <v>60</v>
      </c>
      <c r="AJ80" s="347">
        <v>60</v>
      </c>
      <c r="AK80" s="347">
        <v>60</v>
      </c>
      <c r="AL80" s="347">
        <v>60</v>
      </c>
      <c r="AM80" s="347">
        <v>60</v>
      </c>
      <c r="AN80" s="347">
        <v>60</v>
      </c>
      <c r="AO80" s="347">
        <v>60</v>
      </c>
      <c r="AP80" s="347">
        <v>60</v>
      </c>
      <c r="AQ80" s="347">
        <v>60</v>
      </c>
      <c r="AR80" s="347">
        <v>60</v>
      </c>
      <c r="AS80" s="347">
        <v>60</v>
      </c>
      <c r="AT80" s="347">
        <v>60</v>
      </c>
      <c r="AU80" s="347">
        <v>60</v>
      </c>
      <c r="AV80" s="347">
        <v>60</v>
      </c>
      <c r="AW80" s="347">
        <f t="shared" si="184"/>
        <v>1860</v>
      </c>
      <c r="AX80" s="365">
        <f t="shared" si="185"/>
        <v>47.47278</v>
      </c>
      <c r="AY80" s="365">
        <f t="shared" si="186"/>
        <v>73.968</v>
      </c>
      <c r="AZ80" s="367"/>
      <c r="BA80" s="258"/>
      <c r="BB80" s="258"/>
      <c r="BC80" s="330"/>
      <c r="BD80" s="330"/>
      <c r="BE80" s="330">
        <f t="shared" si="210"/>
        <v>0</v>
      </c>
      <c r="BF80" s="330">
        <f t="shared" si="211"/>
        <v>0</v>
      </c>
      <c r="BG80" s="330">
        <f t="shared" si="212"/>
        <v>0</v>
      </c>
      <c r="BH80" s="330">
        <f t="shared" si="213"/>
        <v>0</v>
      </c>
      <c r="BI80" s="330"/>
      <c r="BJ80" s="370" cm="1">
        <f t="array" ref="BJ80:BM80">_xlfn.LET(_xlpm.data,$R80:$AV80,_xlpm.starts,{1,8,16,23},_xlpm.lengths,{7,7,8,9},_xlpm.arr,_xlfn.MAP(_xlpm.starts,_xlpm.lengths,_xlfn.LAMBDA(_xlpm.s,_xlpm.l,SUM(INDEX(_xlpm.data,,_xlfn.SEQUENCE(,_xlpm.l,_xlpm.s))))),ROUND(_xlpm.arr*$O80/1000,2))</f>
        <v>10.72</v>
      </c>
      <c r="BK80" s="330">
        <v>10.72</v>
      </c>
      <c r="BL80" s="330">
        <v>12.25</v>
      </c>
      <c r="BM80" s="330">
        <v>13.78</v>
      </c>
      <c r="BN80" s="258">
        <f t="shared" si="187"/>
        <v>47.47</v>
      </c>
      <c r="BO80" s="258">
        <v>21.08</v>
      </c>
      <c r="BP80" s="258">
        <v>21.08</v>
      </c>
      <c r="BQ80" s="258">
        <v>24.09</v>
      </c>
      <c r="BR80" s="258">
        <v>27.1</v>
      </c>
      <c r="BS80" s="115"/>
      <c r="BT80" s="258" cm="1">
        <f ca="1" t="array" ref="BT80:BW80">_xlfn.HSTACK(SUM(INDEX($R80:$AV80,1,1):INDEX($R80:$AV80,1,7)),SUM(INDEX($R80:$AV80,1,7):INDEX($R80:$AV80,1,13)),SUM(INDEX($R80:$AV80,1,16):INDEX($R80:$AV80,1,23)),SUM(INDEX($R80:$AV80,1,23):INDEX($R80:$AV80,1,31)))</f>
        <v>420</v>
      </c>
      <c r="BU80" s="258">
        <v>420</v>
      </c>
      <c r="BV80" s="258">
        <v>480</v>
      </c>
      <c r="BW80" s="258">
        <v>540</v>
      </c>
      <c r="BY80" s="258">
        <f t="shared" si="202"/>
        <v>420</v>
      </c>
      <c r="BZ80" s="258">
        <f t="shared" si="203"/>
        <v>420</v>
      </c>
      <c r="CA80" s="258">
        <f t="shared" si="204"/>
        <v>480</v>
      </c>
      <c r="CB80" s="258">
        <f t="shared" si="205"/>
        <v>540</v>
      </c>
      <c r="CD80" s="113"/>
      <c r="CE80" s="258">
        <f t="shared" ref="CE80:CH80" si="217">ROUND(BY80*$O80/1000,2)</f>
        <v>10.72</v>
      </c>
      <c r="CF80" s="258">
        <f t="shared" si="217"/>
        <v>10.72</v>
      </c>
      <c r="CG80" s="258">
        <f t="shared" si="217"/>
        <v>12.25</v>
      </c>
      <c r="CH80" s="258">
        <f t="shared" si="217"/>
        <v>13.78</v>
      </c>
      <c r="CI80" s="258">
        <f t="shared" si="192"/>
        <v>47.47</v>
      </c>
      <c r="CJ80" s="113"/>
      <c r="CK80" s="258">
        <f t="shared" ref="CK80:CN80" si="218">IFERROR(ROUND(BY80*$P80,2),"")</f>
        <v>167025.41</v>
      </c>
      <c r="CL80" s="258">
        <f t="shared" si="218"/>
        <v>167025.41</v>
      </c>
      <c r="CM80" s="258">
        <f t="shared" si="218"/>
        <v>190886.19</v>
      </c>
      <c r="CN80" s="258">
        <f t="shared" si="218"/>
        <v>214746.96</v>
      </c>
      <c r="CO80" s="258">
        <f t="shared" si="207"/>
        <v>739683.97</v>
      </c>
      <c r="CP80" s="258" t="e">
        <f>VLOOKUP(G80,[2]Sheet1!$C$3:$G$310,5,0)</f>
        <v>#N/A</v>
      </c>
      <c r="CQ80" s="258">
        <f>VLOOKUP(G80,[3]KCBB0101!$C$3:$F$691,4,0)</f>
        <v>10752</v>
      </c>
    </row>
    <row r="81" ht="17.6" spans="2:93">
      <c r="B81" s="334" t="str">
        <f>_xlfn.XLOOKUP(G81,销售需求表!A:A,销售需求表!C:C)</f>
        <v>北美</v>
      </c>
      <c r="C81" s="335" t="str">
        <f t="shared" ref="C81:C135" si="219">IFERROR(MID(F81,FIND("R",F81)+1,4),"")</f>
        <v>17.5</v>
      </c>
      <c r="D81" s="334" t="str">
        <f t="shared" si="181"/>
        <v>北美17.5寸</v>
      </c>
      <c r="E81" s="339" t="str">
        <f t="shared" ref="E81:E86" si="220">LEFT(REPLACE(G81,1,2,""),FIND("[",REPLACE(G81,1,2,""))-1)&amp;"-"&amp;MID(REPLACE(G81,1,2,""),FIND("[",REPLACE(G81,1,2,""))+1,FIND("]",REPLACE(G81,1,2,""))-FIND("[",REPLACE(G81,1,2,""))-1)</f>
        <v>235/75R17.5-18PR(143/141L)-AP-7318</v>
      </c>
      <c r="F81" s="340" t="str">
        <f t="shared" si="172"/>
        <v>235/75R17.5-18PR-AP-7318</v>
      </c>
      <c r="G81" s="339" t="s">
        <v>441</v>
      </c>
      <c r="H81" s="334">
        <v>300</v>
      </c>
      <c r="I81" s="345"/>
      <c r="J81" s="346" t="str">
        <f t="shared" ref="J81:J94" si="221">IFERROR(LEFT(F81,FIND("-",F81))&amp;MID(F81,FIND("PR",F81,FIND("-",F81))+3,LEN(F81)),F81)</f>
        <v>235/75R17.5-AP-7318</v>
      </c>
      <c r="K81" s="347" t="str">
        <f>_xlfn.XLOOKUP(F81,投产规格!E:E,投产规格!D:D,"未投产")</f>
        <v>✔</v>
      </c>
      <c r="L81" s="347">
        <f>IFERROR(_xlfn.XLOOKUP(F81,硫化工艺!B:B,硫化工艺!C:C),"")</f>
        <v>29.7</v>
      </c>
      <c r="M81" s="349">
        <f t="shared" si="182"/>
        <v>0.835834896810507</v>
      </c>
      <c r="N81" s="347" t="str">
        <f t="shared" ref="N81:N115" si="222">C81&amp;"全钢"</f>
        <v>17.5全钢</v>
      </c>
      <c r="O81" s="347">
        <f>IFERROR(_xlfn.XLOOKUP(F81,轮胎重量!J:J,轮胎重量!G:G),"")</f>
        <v>29.488</v>
      </c>
      <c r="P81" s="347">
        <f>IFERROR(_xlfn.XLOOKUP(G81,硫化工艺!I:I,硫化工艺!J:J),"")</f>
        <v>443.117563</v>
      </c>
      <c r="Q81" s="347">
        <f t="shared" ref="Q81:Q86" si="223">IFERROR(ROUND(1440/L81*(I81)*M81,0),"")</f>
        <v>0</v>
      </c>
      <c r="R81" s="347"/>
      <c r="S81" s="347"/>
      <c r="T81" s="347"/>
      <c r="U81" s="347"/>
      <c r="V81" s="347"/>
      <c r="W81" s="347"/>
      <c r="X81" s="347"/>
      <c r="Y81" s="347"/>
      <c r="Z81" s="347"/>
      <c r="AA81" s="347"/>
      <c r="AB81" s="347"/>
      <c r="AC81" s="347"/>
      <c r="AD81" s="347"/>
      <c r="AE81" s="347"/>
      <c r="AF81" s="347"/>
      <c r="AG81" s="347"/>
      <c r="AH81" s="347"/>
      <c r="AI81" s="347"/>
      <c r="AJ81" s="347"/>
      <c r="AK81" s="347"/>
      <c r="AL81" s="347"/>
      <c r="AM81" s="347"/>
      <c r="AN81" s="347"/>
      <c r="AO81" s="347"/>
      <c r="AP81" s="347"/>
      <c r="AQ81" s="347"/>
      <c r="AR81" s="347"/>
      <c r="AS81" s="347"/>
      <c r="AT81" s="347"/>
      <c r="AU81" s="347"/>
      <c r="AV81" s="347"/>
      <c r="AW81" s="347" t="str">
        <f t="shared" si="184"/>
        <v/>
      </c>
      <c r="AX81" s="365" t="str">
        <f t="shared" si="185"/>
        <v/>
      </c>
      <c r="AY81" s="365" t="str">
        <f t="shared" si="186"/>
        <v/>
      </c>
      <c r="AZ81" s="367"/>
      <c r="BE81" s="330" t="e">
        <f t="shared" ref="BE81:BE88" si="224">AZ81*AW81</f>
        <v>#VALUE!</v>
      </c>
      <c r="BF81" s="330" t="e">
        <f t="shared" ref="BF81:BF88" si="225">BA81*AW81</f>
        <v>#VALUE!</v>
      </c>
      <c r="BG81" s="330" t="e">
        <f t="shared" ref="BG81:BG88" si="226">BB81*AW81</f>
        <v>#VALUE!</v>
      </c>
      <c r="BH81" s="330" t="e">
        <f t="shared" ref="BH81:BH88" si="227">BC81*AW81</f>
        <v>#VALUE!</v>
      </c>
      <c r="BJ81" s="370" cm="1">
        <f t="array" ref="BJ81:BM81">_xlfn.LET(_xlpm.data,$R81:$AV81,_xlpm.starts,{1,8,16,23},_xlpm.lengths,{7,7,8,9},_xlpm.arr,_xlfn.MAP(_xlpm.starts,_xlpm.lengths,_xlfn.LAMBDA(_xlpm.s,_xlpm.l,SUM(INDEX(_xlpm.data,,_xlfn.SEQUENCE(,_xlpm.l,_xlpm.s))))),ROUND(_xlpm.arr*$O81/1000,2))</f>
        <v>0</v>
      </c>
      <c r="BK81" s="330">
        <v>0</v>
      </c>
      <c r="BL81" s="330">
        <v>0</v>
      </c>
      <c r="BM81" s="330">
        <v>0</v>
      </c>
      <c r="BN81" s="258">
        <f t="shared" si="187"/>
        <v>0</v>
      </c>
      <c r="BO81" s="258">
        <v>21.08</v>
      </c>
      <c r="BP81" s="258">
        <v>21.08</v>
      </c>
      <c r="BQ81" s="258">
        <v>24.09</v>
      </c>
      <c r="BR81" s="258">
        <v>27.1</v>
      </c>
      <c r="BT81" s="258" cm="1">
        <f ca="1" t="array" ref="BT81:BW81">_xlfn.HSTACK(SUM(INDEX($R81:$AV81,1,1):INDEX($R81:$AV81,1,7)),SUM(INDEX($R81:$AV81,1,7):INDEX($R81:$AV81,1,13)),SUM(INDEX($R81:$AV81,1,16):INDEX($R81:$AV81,1,23)),SUM(INDEX($R81:$AV81,1,23):INDEX($R81:$AV81,1,31)))</f>
        <v>0</v>
      </c>
      <c r="BU81" s="258">
        <v>0</v>
      </c>
      <c r="BV81" s="258">
        <v>0</v>
      </c>
      <c r="BW81" s="258">
        <v>0</v>
      </c>
      <c r="BY81" s="258">
        <f t="shared" ref="BY81:BY134" si="228">SUM(R81:X81)</f>
        <v>0</v>
      </c>
      <c r="BZ81" s="258">
        <f t="shared" ref="BZ81:BZ134" si="229">SUM(Y81:AE81)</f>
        <v>0</v>
      </c>
      <c r="CA81" s="258">
        <f t="shared" ref="CA81:CA134" si="230">SUM(AF81:AM81)</f>
        <v>0</v>
      </c>
      <c r="CB81" s="258">
        <f t="shared" ref="CB81:CB134" si="231">SUM(AN81:AV81)</f>
        <v>0</v>
      </c>
      <c r="CE81" s="258">
        <f t="shared" ref="CE81:CE86" si="232">ROUND(BY81*$O81/1000,2)</f>
        <v>0</v>
      </c>
      <c r="CF81" s="258">
        <f t="shared" ref="CF81:CF86" si="233">ROUND(BZ81*$O81/1000,2)</f>
        <v>0</v>
      </c>
      <c r="CG81" s="258">
        <f t="shared" ref="CG81:CG86" si="234">ROUND(CA81*$O81/1000,2)</f>
        <v>0</v>
      </c>
      <c r="CH81" s="258">
        <f t="shared" ref="CH81:CH86" si="235">ROUND(CB81*$O81/1000,2)</f>
        <v>0</v>
      </c>
      <c r="CI81" s="258">
        <f t="shared" si="192"/>
        <v>0</v>
      </c>
      <c r="CK81" s="258">
        <f t="shared" ref="CK81:CN81" si="236">IFERROR(ROUND(BY81*$P81,2),"")</f>
        <v>0</v>
      </c>
      <c r="CL81" s="258">
        <f t="shared" si="236"/>
        <v>0</v>
      </c>
      <c r="CM81" s="258">
        <f t="shared" si="236"/>
        <v>0</v>
      </c>
      <c r="CN81" s="258">
        <f t="shared" si="236"/>
        <v>0</v>
      </c>
      <c r="CO81" s="258">
        <f t="shared" ref="CO81:CO133" si="237">SUM(CK81:CN81)</f>
        <v>0</v>
      </c>
    </row>
    <row r="82" ht="17.6" spans="2:95">
      <c r="B82" s="334" t="str">
        <f>_xlfn.XLOOKUP(G82,销售需求表!A:A,销售需求表!C:C)</f>
        <v>北美</v>
      </c>
      <c r="C82" s="335" t="str">
        <f t="shared" si="219"/>
        <v>17.5</v>
      </c>
      <c r="D82" s="334" t="str">
        <f t="shared" si="181"/>
        <v>北美17.5寸</v>
      </c>
      <c r="E82" s="339" t="str">
        <f t="shared" si="220"/>
        <v>235/75R17.5-18PR(143/141L)-I-19A</v>
      </c>
      <c r="F82" s="340" t="str">
        <f t="shared" si="172"/>
        <v>235/75R17.5-18PR-I-19A</v>
      </c>
      <c r="G82" s="341" t="s">
        <v>442</v>
      </c>
      <c r="H82" s="334">
        <v>2500</v>
      </c>
      <c r="I82" s="345">
        <v>2</v>
      </c>
      <c r="J82" s="346" t="str">
        <f t="shared" si="221"/>
        <v>235/75R17.5-I-19A</v>
      </c>
      <c r="K82" s="347" t="str">
        <f>_xlfn.XLOOKUP(F82,投产规格!E:E,投产规格!D:D,"未投产")</f>
        <v>✔</v>
      </c>
      <c r="L82" s="347">
        <f>IFERROR(_xlfn.XLOOKUP(F82,硫化工艺!B:B,硫化工艺!C:C),"")</f>
        <v>29.7</v>
      </c>
      <c r="M82" s="349">
        <f t="shared" si="182"/>
        <v>0.835834896810507</v>
      </c>
      <c r="N82" s="347" t="str">
        <f t="shared" si="222"/>
        <v>17.5全钢</v>
      </c>
      <c r="O82" s="347">
        <f>IFERROR(_xlfn.XLOOKUP(F82,轮胎重量!J:J,轮胎重量!G:G),"")</f>
        <v>29.632</v>
      </c>
      <c r="P82" s="347">
        <f>IFERROR(_xlfn.XLOOKUP(G82,硫化工艺!I:I,硫化工艺!J:J),"")</f>
        <v>450.6054</v>
      </c>
      <c r="Q82" s="347">
        <f t="shared" si="223"/>
        <v>81</v>
      </c>
      <c r="R82" s="347">
        <v>70</v>
      </c>
      <c r="S82" s="347">
        <v>70</v>
      </c>
      <c r="T82" s="347">
        <v>70</v>
      </c>
      <c r="U82" s="347">
        <v>70</v>
      </c>
      <c r="V82" s="347">
        <v>70</v>
      </c>
      <c r="W82" s="347">
        <v>70</v>
      </c>
      <c r="X82" s="347">
        <v>70</v>
      </c>
      <c r="Y82" s="347">
        <v>70</v>
      </c>
      <c r="Z82" s="347">
        <v>70</v>
      </c>
      <c r="AA82" s="347">
        <v>70</v>
      </c>
      <c r="AB82" s="347">
        <v>70</v>
      </c>
      <c r="AC82" s="347">
        <v>70</v>
      </c>
      <c r="AD82" s="347">
        <v>70</v>
      </c>
      <c r="AE82" s="347">
        <v>70</v>
      </c>
      <c r="AF82" s="347">
        <v>70</v>
      </c>
      <c r="AG82" s="347">
        <v>70</v>
      </c>
      <c r="AH82" s="347">
        <v>70</v>
      </c>
      <c r="AI82" s="347">
        <v>70</v>
      </c>
      <c r="AJ82" s="347">
        <v>70</v>
      </c>
      <c r="AK82" s="347">
        <v>70</v>
      </c>
      <c r="AL82" s="347">
        <v>70</v>
      </c>
      <c r="AM82" s="347">
        <v>70</v>
      </c>
      <c r="AN82" s="347">
        <v>70</v>
      </c>
      <c r="AO82" s="347">
        <v>70</v>
      </c>
      <c r="AP82" s="347">
        <v>70</v>
      </c>
      <c r="AQ82" s="347">
        <v>70</v>
      </c>
      <c r="AR82" s="347">
        <v>70</v>
      </c>
      <c r="AS82" s="347">
        <v>70</v>
      </c>
      <c r="AT82" s="347">
        <v>70</v>
      </c>
      <c r="AU82" s="347">
        <v>70</v>
      </c>
      <c r="AV82" s="347">
        <v>70</v>
      </c>
      <c r="AW82" s="347">
        <f t="shared" si="184"/>
        <v>2170</v>
      </c>
      <c r="AX82" s="365">
        <f t="shared" si="185"/>
        <v>64.30144</v>
      </c>
      <c r="AY82" s="365">
        <f t="shared" si="186"/>
        <v>97.781</v>
      </c>
      <c r="AZ82" s="367"/>
      <c r="BE82" s="330">
        <f t="shared" si="224"/>
        <v>0</v>
      </c>
      <c r="BF82" s="330">
        <f t="shared" si="225"/>
        <v>0</v>
      </c>
      <c r="BG82" s="330">
        <f t="shared" si="226"/>
        <v>0</v>
      </c>
      <c r="BH82" s="330">
        <f t="shared" si="227"/>
        <v>0</v>
      </c>
      <c r="BJ82" s="370" cm="1">
        <f t="array" ref="BJ82:BM82">_xlfn.LET(_xlpm.data,$R82:$AV82,_xlpm.starts,{1,8,16,23},_xlpm.lengths,{7,7,8,9},_xlpm.arr,_xlfn.MAP(_xlpm.starts,_xlpm.lengths,_xlfn.LAMBDA(_xlpm.s,_xlpm.l,SUM(INDEX(_xlpm.data,,_xlfn.SEQUENCE(,_xlpm.l,_xlpm.s))))),ROUND(_xlpm.arr*$O82/1000,2))</f>
        <v>14.52</v>
      </c>
      <c r="BK82" s="330">
        <v>14.52</v>
      </c>
      <c r="BL82" s="330">
        <v>16.59</v>
      </c>
      <c r="BM82" s="330">
        <v>18.67</v>
      </c>
      <c r="BN82" s="258">
        <f t="shared" si="187"/>
        <v>64.3</v>
      </c>
      <c r="BO82" s="258">
        <v>0</v>
      </c>
      <c r="BP82" s="258">
        <v>0</v>
      </c>
      <c r="BQ82" s="258">
        <v>0</v>
      </c>
      <c r="BR82" s="258">
        <v>0</v>
      </c>
      <c r="BT82" s="258" cm="1">
        <f ca="1" t="array" ref="BT82:BW82">_xlfn.HSTACK(SUM(INDEX($R82:$AV82,1,1):INDEX($R82:$AV82,1,7)),SUM(INDEX($R82:$AV82,1,7):INDEX($R82:$AV82,1,13)),SUM(INDEX($R82:$AV82,1,16):INDEX($R82:$AV82,1,23)),SUM(INDEX($R82:$AV82,1,23):INDEX($R82:$AV82,1,31)))</f>
        <v>490</v>
      </c>
      <c r="BU82" s="258">
        <v>490</v>
      </c>
      <c r="BV82" s="258">
        <v>560</v>
      </c>
      <c r="BW82" s="258">
        <v>630</v>
      </c>
      <c r="BY82" s="258">
        <f t="shared" si="228"/>
        <v>490</v>
      </c>
      <c r="BZ82" s="258">
        <f t="shared" si="229"/>
        <v>490</v>
      </c>
      <c r="CA82" s="258">
        <f t="shared" si="230"/>
        <v>560</v>
      </c>
      <c r="CB82" s="258">
        <f t="shared" si="231"/>
        <v>630</v>
      </c>
      <c r="CE82" s="258">
        <f t="shared" si="232"/>
        <v>14.52</v>
      </c>
      <c r="CF82" s="258">
        <f t="shared" si="233"/>
        <v>14.52</v>
      </c>
      <c r="CG82" s="258">
        <f t="shared" si="234"/>
        <v>16.59</v>
      </c>
      <c r="CH82" s="258">
        <f t="shared" si="235"/>
        <v>18.67</v>
      </c>
      <c r="CI82" s="258">
        <f t="shared" si="192"/>
        <v>64.3</v>
      </c>
      <c r="CK82" s="258">
        <f t="shared" ref="CK82:CN82" si="238">IFERROR(ROUND(BY82*$P82,2),"")</f>
        <v>220796.65</v>
      </c>
      <c r="CL82" s="258">
        <f t="shared" si="238"/>
        <v>220796.65</v>
      </c>
      <c r="CM82" s="258">
        <f t="shared" si="238"/>
        <v>252339.02</v>
      </c>
      <c r="CN82" s="258">
        <f t="shared" si="238"/>
        <v>283881.4</v>
      </c>
      <c r="CO82" s="258">
        <f t="shared" si="237"/>
        <v>977813.72</v>
      </c>
      <c r="CP82" s="258">
        <f>VLOOKUP(G82,[2]Sheet1!$C$3:$G$310,5,0)</f>
        <v>12100</v>
      </c>
      <c r="CQ82" s="258" t="e">
        <f>VLOOKUP(G82,[3]KCBB0101!$C$3:$F$691,4,0)</f>
        <v>#N/A</v>
      </c>
    </row>
    <row r="83" customFormat="1" ht="17.6" spans="1:95">
      <c r="A83" s="330"/>
      <c r="B83" s="334" t="str">
        <f>_xlfn.XLOOKUP(G83,销售需求表!A:A,销售需求表!C:C)</f>
        <v>北美</v>
      </c>
      <c r="C83" s="335" t="str">
        <f t="shared" si="219"/>
        <v>17.5</v>
      </c>
      <c r="D83" s="334" t="str">
        <f t="shared" si="181"/>
        <v>北美17.5寸</v>
      </c>
      <c r="E83" s="339" t="str">
        <f t="shared" si="220"/>
        <v>235/75R17.5-18PR(143/141L)-M-TRAC AP</v>
      </c>
      <c r="F83" s="340" t="str">
        <f t="shared" si="172"/>
        <v>235/75R17.5-18PR-M-TRAC AP</v>
      </c>
      <c r="G83" s="341" t="s">
        <v>443</v>
      </c>
      <c r="H83" s="334">
        <v>2300</v>
      </c>
      <c r="I83" s="345">
        <v>2</v>
      </c>
      <c r="J83" s="346" t="str">
        <f t="shared" si="221"/>
        <v>235/75R17.5-M-TRAC AP</v>
      </c>
      <c r="K83" s="347" t="str">
        <f>_xlfn.XLOOKUP(F83,投产规格!E:E,投产规格!D:D,"未投产")</f>
        <v>✔</v>
      </c>
      <c r="L83" s="347">
        <f>IFERROR(_xlfn.XLOOKUP(F83,硫化工艺!B:B,硫化工艺!C:C),"")</f>
        <v>29.7</v>
      </c>
      <c r="M83" s="349">
        <f t="shared" si="182"/>
        <v>0.835834896810507</v>
      </c>
      <c r="N83" s="347" t="str">
        <f t="shared" si="222"/>
        <v>17.5全钢</v>
      </c>
      <c r="O83" s="347">
        <f>IFERROR(_xlfn.XLOOKUP(F83,轮胎重量!J:J,轮胎重量!G:G),"")</f>
        <v>29.5</v>
      </c>
      <c r="P83" s="350">
        <f>O83*13.9</f>
        <v>410.05</v>
      </c>
      <c r="Q83" s="347">
        <f t="shared" si="223"/>
        <v>81</v>
      </c>
      <c r="R83" s="347">
        <v>70</v>
      </c>
      <c r="S83" s="347">
        <v>70</v>
      </c>
      <c r="T83" s="347">
        <v>70</v>
      </c>
      <c r="U83" s="347">
        <v>70</v>
      </c>
      <c r="V83" s="347">
        <v>70</v>
      </c>
      <c r="W83" s="347">
        <v>70</v>
      </c>
      <c r="X83" s="347">
        <v>70</v>
      </c>
      <c r="Y83" s="347">
        <v>70</v>
      </c>
      <c r="Z83" s="347">
        <v>70</v>
      </c>
      <c r="AA83" s="347">
        <v>70</v>
      </c>
      <c r="AB83" s="347">
        <v>70</v>
      </c>
      <c r="AC83" s="347">
        <v>70</v>
      </c>
      <c r="AD83" s="347">
        <v>70</v>
      </c>
      <c r="AE83" s="347">
        <v>70</v>
      </c>
      <c r="AF83" s="347">
        <v>70</v>
      </c>
      <c r="AG83" s="347">
        <v>70</v>
      </c>
      <c r="AH83" s="347">
        <v>70</v>
      </c>
      <c r="AI83" s="347">
        <v>70</v>
      </c>
      <c r="AJ83" s="347">
        <v>70</v>
      </c>
      <c r="AK83" s="347">
        <v>70</v>
      </c>
      <c r="AL83" s="347">
        <v>70</v>
      </c>
      <c r="AM83" s="347">
        <v>70</v>
      </c>
      <c r="AN83" s="347">
        <v>70</v>
      </c>
      <c r="AO83" s="347">
        <v>70</v>
      </c>
      <c r="AP83" s="347">
        <v>70</v>
      </c>
      <c r="AQ83" s="347">
        <v>70</v>
      </c>
      <c r="AR83" s="347">
        <v>70</v>
      </c>
      <c r="AS83" s="347">
        <v>70</v>
      </c>
      <c r="AT83" s="347">
        <v>70</v>
      </c>
      <c r="AU83" s="347">
        <v>70</v>
      </c>
      <c r="AV83" s="347">
        <v>70</v>
      </c>
      <c r="AW83" s="347">
        <f t="shared" si="184"/>
        <v>2170</v>
      </c>
      <c r="AX83" s="365">
        <f t="shared" si="185"/>
        <v>64.015</v>
      </c>
      <c r="AY83" s="365">
        <f t="shared" si="186"/>
        <v>88.981</v>
      </c>
      <c r="AZ83" s="367"/>
      <c r="BA83" s="258"/>
      <c r="BB83" s="258"/>
      <c r="BC83" s="330"/>
      <c r="BD83" s="330"/>
      <c r="BE83" s="330">
        <f t="shared" si="224"/>
        <v>0</v>
      </c>
      <c r="BF83" s="330">
        <f t="shared" si="225"/>
        <v>0</v>
      </c>
      <c r="BG83" s="330">
        <f t="shared" si="226"/>
        <v>0</v>
      </c>
      <c r="BH83" s="330">
        <f t="shared" si="227"/>
        <v>0</v>
      </c>
      <c r="BI83" s="330"/>
      <c r="BJ83" s="370" cm="1">
        <f t="array" ref="BJ83:BM83">_xlfn.LET(_xlpm.data,$R83:$AV83,_xlpm.starts,{1,8,16,23},_xlpm.lengths,{7,7,8,9},_xlpm.arr,_xlfn.MAP(_xlpm.starts,_xlpm.lengths,_xlfn.LAMBDA(_xlpm.s,_xlpm.l,SUM(INDEX(_xlpm.data,,_xlfn.SEQUENCE(,_xlpm.l,_xlpm.s))))),ROUND(_xlpm.arr*$O83/1000,2))</f>
        <v>14.46</v>
      </c>
      <c r="BK83" s="330">
        <v>14.46</v>
      </c>
      <c r="BL83" s="330">
        <v>16.52</v>
      </c>
      <c r="BM83" s="330">
        <v>18.59</v>
      </c>
      <c r="BN83" s="258">
        <f t="shared" si="187"/>
        <v>64.03</v>
      </c>
      <c r="BO83" s="258">
        <v>0</v>
      </c>
      <c r="BP83" s="258">
        <v>0</v>
      </c>
      <c r="BQ83" s="258">
        <v>0</v>
      </c>
      <c r="BR83" s="258">
        <v>0</v>
      </c>
      <c r="BS83" s="115"/>
      <c r="BT83" s="258" cm="1">
        <f ca="1" t="array" ref="BT83:BW83">_xlfn.HSTACK(SUM(INDEX($R83:$AV83,1,1):INDEX($R83:$AV83,1,7)),SUM(INDEX($R83:$AV83,1,7):INDEX($R83:$AV83,1,13)),SUM(INDEX($R83:$AV83,1,16):INDEX($R83:$AV83,1,23)),SUM(INDEX($R83:$AV83,1,23):INDEX($R83:$AV83,1,31)))</f>
        <v>490</v>
      </c>
      <c r="BU83" s="258">
        <v>490</v>
      </c>
      <c r="BV83" s="258">
        <v>560</v>
      </c>
      <c r="BW83" s="258">
        <v>630</v>
      </c>
      <c r="BY83" s="258">
        <f t="shared" si="228"/>
        <v>490</v>
      </c>
      <c r="BZ83" s="258">
        <f t="shared" si="229"/>
        <v>490</v>
      </c>
      <c r="CA83" s="258">
        <f t="shared" si="230"/>
        <v>560</v>
      </c>
      <c r="CB83" s="258">
        <f t="shared" si="231"/>
        <v>630</v>
      </c>
      <c r="CC83" s="258"/>
      <c r="CD83" s="113"/>
      <c r="CE83" s="258">
        <f t="shared" si="232"/>
        <v>14.46</v>
      </c>
      <c r="CF83" s="258">
        <f t="shared" si="233"/>
        <v>14.46</v>
      </c>
      <c r="CG83" s="258">
        <f t="shared" si="234"/>
        <v>16.52</v>
      </c>
      <c r="CH83" s="258">
        <f t="shared" si="235"/>
        <v>18.59</v>
      </c>
      <c r="CI83" s="258">
        <f t="shared" si="192"/>
        <v>64.03</v>
      </c>
      <c r="CJ83" s="113"/>
      <c r="CK83" s="258">
        <f t="shared" ref="CK83:CN83" si="239">IFERROR(ROUND(BY83*$P83,2),"")</f>
        <v>200924.5</v>
      </c>
      <c r="CL83" s="258">
        <f t="shared" si="239"/>
        <v>200924.5</v>
      </c>
      <c r="CM83" s="258">
        <f t="shared" si="239"/>
        <v>229628</v>
      </c>
      <c r="CN83" s="258">
        <f t="shared" si="239"/>
        <v>258331.5</v>
      </c>
      <c r="CO83" s="258">
        <f t="shared" si="237"/>
        <v>889808.5</v>
      </c>
      <c r="CP83" s="258" t="e">
        <f>VLOOKUP(G83,[2]Sheet1!$C$3:$G$310,5,0)</f>
        <v>#N/A</v>
      </c>
      <c r="CQ83" s="258">
        <f>VLOOKUP(G83,[3]KCBB0101!$C$3:$F$691,4,0)</f>
        <v>11000</v>
      </c>
    </row>
    <row r="84" s="258" customFormat="1" ht="17.6" spans="1:95">
      <c r="A84" s="330"/>
      <c r="B84" s="334" t="str">
        <f>_xlfn.XLOOKUP(G84,销售需求表!A:A,销售需求表!C:C)</f>
        <v>北美</v>
      </c>
      <c r="C84" s="335" t="str">
        <f t="shared" si="219"/>
        <v>17.5</v>
      </c>
      <c r="D84" s="334" t="str">
        <f t="shared" ref="D84:D86" si="240">B84&amp;C84&amp;"寸"</f>
        <v>北美17.5寸</v>
      </c>
      <c r="E84" s="339" t="str">
        <f t="shared" si="220"/>
        <v>235/75R17.5-18PR(143/141L)-Strong Guard H-RA</v>
      </c>
      <c r="F84" s="340" t="str">
        <f t="shared" si="172"/>
        <v>235/75R17.5-18PR-H-RA</v>
      </c>
      <c r="G84" s="341" t="s">
        <v>444</v>
      </c>
      <c r="H84" s="334">
        <v>750</v>
      </c>
      <c r="I84" s="345">
        <v>2</v>
      </c>
      <c r="J84" s="346" t="str">
        <f t="shared" si="221"/>
        <v>235/75R17.5-H-RA</v>
      </c>
      <c r="K84" s="347" t="str">
        <f>_xlfn.XLOOKUP(F84,投产规格!E:E,投产规格!D:D,"未投产")</f>
        <v>✔</v>
      </c>
      <c r="L84" s="347">
        <f>IFERROR(_xlfn.XLOOKUP(F84,硫化工艺!B:B,硫化工艺!C:C),"")</f>
        <v>29</v>
      </c>
      <c r="M84" s="349">
        <f t="shared" ref="M84:M86" si="241">IF(L84="","",L84/(L84+$L$1/60))</f>
        <v>0.832535885167464</v>
      </c>
      <c r="N84" s="347" t="str">
        <f t="shared" si="222"/>
        <v>17.5全钢</v>
      </c>
      <c r="O84" s="347">
        <f>IFERROR(_xlfn.XLOOKUP(F84,轮胎重量!J:J,轮胎重量!G:G),"")</f>
        <v>29.488</v>
      </c>
      <c r="P84" s="347">
        <f>IFERROR(_xlfn.XLOOKUP(G84,硫化工艺!I:I,硫化工艺!J:J),"")</f>
        <v>443.117563</v>
      </c>
      <c r="Q84" s="347">
        <f t="shared" si="223"/>
        <v>83</v>
      </c>
      <c r="R84" s="347">
        <v>70</v>
      </c>
      <c r="S84" s="347">
        <v>70</v>
      </c>
      <c r="T84" s="347">
        <v>70</v>
      </c>
      <c r="U84" s="347">
        <v>70</v>
      </c>
      <c r="V84" s="347">
        <v>70</v>
      </c>
      <c r="W84" s="347">
        <v>70</v>
      </c>
      <c r="X84" s="347">
        <v>70</v>
      </c>
      <c r="Y84" s="347">
        <v>70</v>
      </c>
      <c r="Z84" s="347">
        <v>70</v>
      </c>
      <c r="AA84" s="347">
        <v>70</v>
      </c>
      <c r="AB84" s="347">
        <v>70</v>
      </c>
      <c r="AC84" s="347">
        <v>70</v>
      </c>
      <c r="AD84" s="347">
        <v>70</v>
      </c>
      <c r="AE84" s="347">
        <v>70</v>
      </c>
      <c r="AF84" s="347">
        <v>70</v>
      </c>
      <c r="AG84" s="347"/>
      <c r="AH84" s="347"/>
      <c r="AI84" s="347"/>
      <c r="AJ84" s="347"/>
      <c r="AK84" s="347"/>
      <c r="AL84" s="347"/>
      <c r="AM84" s="347"/>
      <c r="AN84" s="347"/>
      <c r="AO84" s="347"/>
      <c r="AP84" s="347"/>
      <c r="AQ84" s="347"/>
      <c r="AR84" s="347"/>
      <c r="AS84" s="347"/>
      <c r="AT84" s="347"/>
      <c r="AU84" s="347"/>
      <c r="AV84" s="347"/>
      <c r="AW84" s="347">
        <f t="shared" ref="AW84:AW86" si="242">IF(SUM(R84:AV84)=0,"",SUM(R84:AV84))</f>
        <v>1050</v>
      </c>
      <c r="AX84" s="365">
        <f t="shared" ref="AX84:AX86" si="243">IFERROR(AW84*O84/1000,"")</f>
        <v>30.9624</v>
      </c>
      <c r="AY84" s="365">
        <f t="shared" ref="AY84:AY86" si="244">IFERROR(ROUND(AW84*P84/10000,3),"")</f>
        <v>46.527</v>
      </c>
      <c r="AZ84" s="367"/>
      <c r="BA84" s="258"/>
      <c r="BB84" s="258"/>
      <c r="BC84" s="330"/>
      <c r="BD84" s="330"/>
      <c r="BE84" s="330">
        <f t="shared" si="224"/>
        <v>0</v>
      </c>
      <c r="BF84" s="330">
        <f t="shared" si="225"/>
        <v>0</v>
      </c>
      <c r="BG84" s="330">
        <f t="shared" si="226"/>
        <v>0</v>
      </c>
      <c r="BH84" s="330">
        <f t="shared" si="227"/>
        <v>0</v>
      </c>
      <c r="BI84" s="330"/>
      <c r="BJ84" s="370" cm="1">
        <f t="array" ref="BJ84:BM84">_xlfn.LET(_xlpm.data,$R84:$AV84,_xlpm.starts,{1,8,16,23},_xlpm.lengths,{7,7,8,9},_xlpm.arr,_xlfn.MAP(_xlpm.starts,_xlpm.lengths,_xlfn.LAMBDA(_xlpm.s,_xlpm.l,SUM(INDEX(_xlpm.data,,_xlfn.SEQUENCE(,_xlpm.l,_xlpm.s))))),ROUND(_xlpm.arr*$O84/1000,2))</f>
        <v>14.45</v>
      </c>
      <c r="BK84" s="330">
        <v>14.45</v>
      </c>
      <c r="BL84" s="330">
        <v>0</v>
      </c>
      <c r="BM84" s="330">
        <v>0</v>
      </c>
      <c r="BN84" s="258">
        <f t="shared" ref="BN84:BN86" si="245">SUM(BJ84:BM84)</f>
        <v>28.9</v>
      </c>
      <c r="BO84" s="258">
        <v>0</v>
      </c>
      <c r="BP84" s="258">
        <v>0</v>
      </c>
      <c r="BQ84" s="258">
        <v>0</v>
      </c>
      <c r="BR84" s="258">
        <v>0</v>
      </c>
      <c r="BS84" s="115"/>
      <c r="BT84" s="258" cm="1">
        <f ca="1" t="array" ref="BT84:BW84">_xlfn.HSTACK(SUM(INDEX($R84:$AV84,1,1):INDEX($R84:$AV84,1,7)),SUM(INDEX($R84:$AV84,1,7):INDEX($R84:$AV84,1,13)),SUM(INDEX($R84:$AV84,1,16):INDEX($R84:$AV84,1,23)),SUM(INDEX($R84:$AV84,1,23):INDEX($R84:$AV84,1,31)))</f>
        <v>490</v>
      </c>
      <c r="BU84" s="258">
        <v>490</v>
      </c>
      <c r="BV84" s="258">
        <v>0</v>
      </c>
      <c r="BW84" s="258">
        <v>0</v>
      </c>
      <c r="BY84" s="258">
        <f t="shared" si="228"/>
        <v>490</v>
      </c>
      <c r="BZ84" s="258">
        <f t="shared" si="229"/>
        <v>490</v>
      </c>
      <c r="CA84" s="258">
        <f t="shared" si="230"/>
        <v>70</v>
      </c>
      <c r="CB84" s="258">
        <f t="shared" si="231"/>
        <v>0</v>
      </c>
      <c r="CD84" s="113"/>
      <c r="CE84" s="258">
        <f t="shared" si="232"/>
        <v>14.45</v>
      </c>
      <c r="CF84" s="258">
        <f t="shared" si="233"/>
        <v>14.45</v>
      </c>
      <c r="CG84" s="258">
        <f t="shared" si="234"/>
        <v>2.06</v>
      </c>
      <c r="CH84" s="258">
        <f t="shared" si="235"/>
        <v>0</v>
      </c>
      <c r="CI84" s="258">
        <f t="shared" ref="CI84:CI86" si="246">SUM(CE84:CH84)</f>
        <v>30.96</v>
      </c>
      <c r="CJ84" s="113"/>
      <c r="CK84" s="258">
        <f t="shared" ref="CK84:CN84" si="247">IFERROR(ROUND(BY84*$P84,2),"")</f>
        <v>217127.61</v>
      </c>
      <c r="CL84" s="258">
        <f t="shared" si="247"/>
        <v>217127.61</v>
      </c>
      <c r="CM84" s="258">
        <f t="shared" si="247"/>
        <v>31018.23</v>
      </c>
      <c r="CN84" s="258">
        <f t="shared" si="247"/>
        <v>0</v>
      </c>
      <c r="CO84" s="258">
        <f t="shared" si="237"/>
        <v>465273.45</v>
      </c>
      <c r="CP84" s="258">
        <f>VLOOKUP(G84,[2]Sheet1!$C$3:$G$310,5,0)</f>
        <v>6564</v>
      </c>
      <c r="CQ84" s="258" t="e">
        <f>VLOOKUP(G84,[3]KCBB0101!$C$3:$F$691,4,0)</f>
        <v>#N/A</v>
      </c>
    </row>
    <row r="85" s="258" customFormat="1" ht="17.6" spans="1:95">
      <c r="A85" s="330"/>
      <c r="B85" s="334" t="str">
        <f>_xlfn.XLOOKUP(G85,销售需求表!A:A,销售需求表!C:C)</f>
        <v>亚</v>
      </c>
      <c r="C85" s="335" t="str">
        <f t="shared" si="219"/>
        <v>17.5</v>
      </c>
      <c r="D85" s="334" t="str">
        <f t="shared" si="240"/>
        <v>亚17.5寸</v>
      </c>
      <c r="E85" s="339" t="str">
        <f t="shared" si="220"/>
        <v>235/75R17.5-18PR(143/141L)-VA933</v>
      </c>
      <c r="F85" s="340" t="str">
        <f t="shared" si="172"/>
        <v>235/75R17.5-18PR-VA933</v>
      </c>
      <c r="G85" s="341" t="s">
        <v>445</v>
      </c>
      <c r="H85" s="334">
        <v>500</v>
      </c>
      <c r="I85" s="345">
        <v>2</v>
      </c>
      <c r="J85" s="346" t="str">
        <f t="shared" si="221"/>
        <v>235/75R17.5-VA933</v>
      </c>
      <c r="K85" s="347" t="str">
        <f>_xlfn.XLOOKUP(F85,投产规格!E:E,投产规格!D:D,"未投产")</f>
        <v>✔</v>
      </c>
      <c r="L85" s="347">
        <f>IFERROR(_xlfn.XLOOKUP(F85,硫化工艺!B:B,硫化工艺!C:C),"")</f>
        <v>31</v>
      </c>
      <c r="M85" s="349">
        <f t="shared" si="241"/>
        <v>0.841628959276018</v>
      </c>
      <c r="N85" s="347" t="str">
        <f t="shared" si="222"/>
        <v>17.5全钢</v>
      </c>
      <c r="O85" s="347">
        <f>IFERROR(_xlfn.XLOOKUP(F85,轮胎重量!J:J,轮胎重量!G:G),"")</f>
        <v>30.904</v>
      </c>
      <c r="P85" s="347">
        <f>IFERROR(_xlfn.XLOOKUP(G85,硫化工艺!I:I,硫化工艺!J:J),"")</f>
        <v>464.976911</v>
      </c>
      <c r="Q85" s="347">
        <f t="shared" si="223"/>
        <v>78</v>
      </c>
      <c r="R85" s="347">
        <v>70</v>
      </c>
      <c r="S85" s="347">
        <v>70</v>
      </c>
      <c r="T85" s="347">
        <v>70</v>
      </c>
      <c r="U85" s="347">
        <v>70</v>
      </c>
      <c r="V85" s="347">
        <v>70</v>
      </c>
      <c r="W85" s="347">
        <v>70</v>
      </c>
      <c r="X85" s="347">
        <v>70</v>
      </c>
      <c r="Y85" s="347">
        <v>70</v>
      </c>
      <c r="Z85" s="347">
        <v>70</v>
      </c>
      <c r="AA85" s="347">
        <v>70</v>
      </c>
      <c r="AB85" s="347">
        <v>70</v>
      </c>
      <c r="AC85" s="347">
        <v>70</v>
      </c>
      <c r="AD85" s="347">
        <v>70</v>
      </c>
      <c r="AE85" s="347"/>
      <c r="AF85" s="347"/>
      <c r="AG85" s="347"/>
      <c r="AH85" s="347"/>
      <c r="AI85" s="347"/>
      <c r="AJ85" s="347"/>
      <c r="AK85" s="347"/>
      <c r="AL85" s="347"/>
      <c r="AM85" s="347"/>
      <c r="AN85" s="347"/>
      <c r="AO85" s="347"/>
      <c r="AP85" s="347"/>
      <c r="AQ85" s="347"/>
      <c r="AR85" s="347"/>
      <c r="AS85" s="347"/>
      <c r="AT85" s="347"/>
      <c r="AU85" s="347"/>
      <c r="AV85" s="347"/>
      <c r="AW85" s="347">
        <f t="shared" si="242"/>
        <v>910</v>
      </c>
      <c r="AX85" s="365">
        <f t="shared" si="243"/>
        <v>28.12264</v>
      </c>
      <c r="AY85" s="365">
        <f t="shared" si="244"/>
        <v>42.313</v>
      </c>
      <c r="AZ85" s="366">
        <v>449.18</v>
      </c>
      <c r="BA85" s="368">
        <v>29.42</v>
      </c>
      <c r="BB85" s="368">
        <v>49.09</v>
      </c>
      <c r="BC85" s="368">
        <v>52.13</v>
      </c>
      <c r="BD85" s="330"/>
      <c r="BE85" s="330">
        <f t="shared" si="224"/>
        <v>408753.8</v>
      </c>
      <c r="BF85" s="330">
        <f t="shared" si="225"/>
        <v>26772.2</v>
      </c>
      <c r="BG85" s="330">
        <f t="shared" si="226"/>
        <v>44671.9</v>
      </c>
      <c r="BH85" s="330">
        <f t="shared" si="227"/>
        <v>47438.3</v>
      </c>
      <c r="BI85" s="330"/>
      <c r="BJ85" s="370" cm="1">
        <f t="array" ref="BJ85:BM85">_xlfn.LET(_xlpm.data,$R85:$AV85,_xlpm.starts,{1,8,16,23},_xlpm.lengths,{7,7,8,9},_xlpm.arr,_xlfn.MAP(_xlpm.starts,_xlpm.lengths,_xlfn.LAMBDA(_xlpm.s,_xlpm.l,SUM(INDEX(_xlpm.data,,_xlfn.SEQUENCE(,_xlpm.l,_xlpm.s))))),ROUND(_xlpm.arr*$O85/1000,2))</f>
        <v>15.14</v>
      </c>
      <c r="BK85" s="330">
        <v>12.98</v>
      </c>
      <c r="BL85" s="330">
        <v>0</v>
      </c>
      <c r="BM85" s="330">
        <v>0</v>
      </c>
      <c r="BN85" s="258">
        <f t="shared" si="245"/>
        <v>28.12</v>
      </c>
      <c r="BO85" s="258">
        <v>22.38</v>
      </c>
      <c r="BP85" s="258">
        <v>22.38</v>
      </c>
      <c r="BQ85" s="258">
        <v>25.58</v>
      </c>
      <c r="BR85" s="258">
        <v>28.77</v>
      </c>
      <c r="BS85" s="115"/>
      <c r="BT85" s="258" cm="1">
        <f ca="1" t="array" ref="BT85:BW85">_xlfn.HSTACK(SUM(INDEX($R85:$AV85,1,1):INDEX($R85:$AV85,1,7)),SUM(INDEX($R85:$AV85,1,7):INDEX($R85:$AV85,1,13)),SUM(INDEX($R85:$AV85,1,16):INDEX($R85:$AV85,1,23)),SUM(INDEX($R85:$AV85,1,23):INDEX($R85:$AV85,1,31)))</f>
        <v>490</v>
      </c>
      <c r="BU85" s="258">
        <v>490</v>
      </c>
      <c r="BV85" s="258">
        <v>0</v>
      </c>
      <c r="BW85" s="258">
        <v>0</v>
      </c>
      <c r="BY85" s="258">
        <f t="shared" si="228"/>
        <v>490</v>
      </c>
      <c r="BZ85" s="258">
        <f t="shared" si="229"/>
        <v>420</v>
      </c>
      <c r="CA85" s="258">
        <f t="shared" si="230"/>
        <v>0</v>
      </c>
      <c r="CB85" s="258">
        <f t="shared" si="231"/>
        <v>0</v>
      </c>
      <c r="CD85" s="113"/>
      <c r="CE85" s="258">
        <f t="shared" si="232"/>
        <v>15.14</v>
      </c>
      <c r="CF85" s="258">
        <f t="shared" si="233"/>
        <v>12.98</v>
      </c>
      <c r="CG85" s="258">
        <f t="shared" si="234"/>
        <v>0</v>
      </c>
      <c r="CH85" s="258">
        <f t="shared" si="235"/>
        <v>0</v>
      </c>
      <c r="CI85" s="258">
        <f t="shared" si="246"/>
        <v>28.12</v>
      </c>
      <c r="CJ85" s="113"/>
      <c r="CK85" s="258">
        <f t="shared" ref="CK85:CN85" si="248">IFERROR(ROUND(BY85*$P85,2),"")</f>
        <v>227838.69</v>
      </c>
      <c r="CL85" s="258">
        <f t="shared" si="248"/>
        <v>195290.3</v>
      </c>
      <c r="CM85" s="258">
        <f t="shared" si="248"/>
        <v>0</v>
      </c>
      <c r="CN85" s="258">
        <f t="shared" si="248"/>
        <v>0</v>
      </c>
      <c r="CO85" s="258">
        <f t="shared" si="237"/>
        <v>423128.99</v>
      </c>
      <c r="CP85" s="258">
        <f>VLOOKUP(G85,[2]Sheet1!$C$3:$G$310,5,0)</f>
        <v>19650</v>
      </c>
      <c r="CQ85" s="258" t="e">
        <f>VLOOKUP(G85,[3]KCBB0101!$C$3:$F$691,4,0)</f>
        <v>#N/A</v>
      </c>
    </row>
    <row r="86" s="258" customFormat="1" ht="17.6" spans="1:95">
      <c r="A86" s="330"/>
      <c r="B86" s="334" t="str">
        <f>_xlfn.XLOOKUP(G86,销售需求表!A:A,销售需求表!C:C)</f>
        <v>北美</v>
      </c>
      <c r="C86" s="335" t="str">
        <f t="shared" si="219"/>
        <v>17.5</v>
      </c>
      <c r="D86" s="334" t="str">
        <f t="shared" si="240"/>
        <v>北美17.5寸</v>
      </c>
      <c r="E86" s="339" t="str">
        <f t="shared" si="220"/>
        <v>245/70R17.5-18PR(143/141J)-AP-7318</v>
      </c>
      <c r="F86" s="340" t="str">
        <f t="shared" si="172"/>
        <v>245/70R17.5-18PR-AP-7318</v>
      </c>
      <c r="G86" s="341" t="s">
        <v>446</v>
      </c>
      <c r="H86" s="334">
        <v>1000</v>
      </c>
      <c r="I86" s="345"/>
      <c r="J86" s="346" t="str">
        <f t="shared" si="221"/>
        <v>245/70R17.5-AP-7318</v>
      </c>
      <c r="K86" s="347" t="str">
        <f>_xlfn.XLOOKUP(F86,投产规格!E:E,投产规格!D:D,"未投产")</f>
        <v>✔</v>
      </c>
      <c r="L86" s="347">
        <f>IFERROR(_xlfn.XLOOKUP(F86,硫化工艺!B:B,硫化工艺!C:C),"")</f>
        <v>32</v>
      </c>
      <c r="M86" s="349">
        <f t="shared" si="241"/>
        <v>0.845814977973568</v>
      </c>
      <c r="N86" s="347" t="str">
        <f t="shared" si="222"/>
        <v>17.5全钢</v>
      </c>
      <c r="O86" s="347">
        <f>IFERROR(_xlfn.XLOOKUP(F86,轮胎重量!J:J,轮胎重量!G:G),"")</f>
        <v>34.45</v>
      </c>
      <c r="P86" s="347">
        <f>IFERROR(_xlfn.XLOOKUP(G86,硫化工艺!I:I,硫化工艺!J:J),"")</f>
        <v>508.940509</v>
      </c>
      <c r="Q86" s="347">
        <f t="shared" si="223"/>
        <v>0</v>
      </c>
      <c r="R86" s="347"/>
      <c r="S86" s="347"/>
      <c r="T86" s="347"/>
      <c r="U86" s="347"/>
      <c r="V86" s="347"/>
      <c r="W86" s="347"/>
      <c r="X86" s="347"/>
      <c r="Y86" s="347"/>
      <c r="Z86" s="347"/>
      <c r="AA86" s="347"/>
      <c r="AB86" s="347"/>
      <c r="AC86" s="347"/>
      <c r="AD86" s="347"/>
      <c r="AE86" s="347">
        <v>70</v>
      </c>
      <c r="AF86" s="347">
        <v>70</v>
      </c>
      <c r="AG86" s="347">
        <v>70</v>
      </c>
      <c r="AH86" s="347">
        <v>70</v>
      </c>
      <c r="AI86" s="347">
        <v>70</v>
      </c>
      <c r="AJ86" s="347">
        <v>70</v>
      </c>
      <c r="AK86" s="347">
        <v>70</v>
      </c>
      <c r="AL86" s="347">
        <v>70</v>
      </c>
      <c r="AM86" s="347">
        <v>70</v>
      </c>
      <c r="AN86" s="347">
        <v>70</v>
      </c>
      <c r="AO86" s="347">
        <v>70</v>
      </c>
      <c r="AP86" s="347">
        <v>70</v>
      </c>
      <c r="AQ86" s="347">
        <v>70</v>
      </c>
      <c r="AR86" s="347">
        <v>70</v>
      </c>
      <c r="AS86" s="347">
        <v>70</v>
      </c>
      <c r="AT86" s="347">
        <v>70</v>
      </c>
      <c r="AU86" s="347">
        <v>70</v>
      </c>
      <c r="AV86" s="347">
        <v>70</v>
      </c>
      <c r="AW86" s="347">
        <f t="shared" si="242"/>
        <v>1260</v>
      </c>
      <c r="AX86" s="365">
        <f t="shared" si="243"/>
        <v>43.407</v>
      </c>
      <c r="AY86" s="365">
        <f t="shared" si="244"/>
        <v>64.127</v>
      </c>
      <c r="AZ86" s="366">
        <v>449.18</v>
      </c>
      <c r="BA86" s="368">
        <v>29.42</v>
      </c>
      <c r="BB86" s="368">
        <v>49.09</v>
      </c>
      <c r="BC86" s="368">
        <v>52.13</v>
      </c>
      <c r="BD86" s="330"/>
      <c r="BE86" s="330">
        <f t="shared" si="224"/>
        <v>565966.8</v>
      </c>
      <c r="BF86" s="330">
        <f t="shared" si="225"/>
        <v>37069.2</v>
      </c>
      <c r="BG86" s="330">
        <f t="shared" si="226"/>
        <v>61853.4</v>
      </c>
      <c r="BH86" s="330">
        <f t="shared" si="227"/>
        <v>65683.8</v>
      </c>
      <c r="BI86" s="330"/>
      <c r="BJ86" s="370" cm="1">
        <f t="array" ref="BJ86:BM86">_xlfn.LET(_xlpm.data,$R86:$AV86,_xlpm.starts,{1,8,16,23},_xlpm.lengths,{7,7,8,9},_xlpm.arr,_xlfn.MAP(_xlpm.starts,_xlpm.lengths,_xlfn.LAMBDA(_xlpm.s,_xlpm.l,SUM(INDEX(_xlpm.data,,_xlfn.SEQUENCE(,_xlpm.l,_xlpm.s))))),ROUND(_xlpm.arr*$O86/1000,2))</f>
        <v>0</v>
      </c>
      <c r="BK86" s="330">
        <v>2.41</v>
      </c>
      <c r="BL86" s="330">
        <v>19.29</v>
      </c>
      <c r="BM86" s="330">
        <v>21.7</v>
      </c>
      <c r="BN86" s="258">
        <f t="shared" si="245"/>
        <v>43.4</v>
      </c>
      <c r="BO86" s="258">
        <v>20.87</v>
      </c>
      <c r="BP86" s="258">
        <v>20.87</v>
      </c>
      <c r="BQ86" s="258">
        <v>23.85</v>
      </c>
      <c r="BR86" s="258">
        <v>26.84</v>
      </c>
      <c r="BS86" s="115"/>
      <c r="BT86" s="258" cm="1">
        <f ca="1" t="array" ref="BT86:BW86">_xlfn.HSTACK(SUM(INDEX($R86:$AV86,1,1):INDEX($R86:$AV86,1,7)),SUM(INDEX($R86:$AV86,1,7):INDEX($R86:$AV86,1,13)),SUM(INDEX($R86:$AV86,1,16):INDEX($R86:$AV86,1,23)),SUM(INDEX($R86:$AV86,1,23):INDEX($R86:$AV86,1,31)))</f>
        <v>0</v>
      </c>
      <c r="BU86" s="258">
        <v>0</v>
      </c>
      <c r="BV86" s="258">
        <v>560</v>
      </c>
      <c r="BW86" s="258">
        <v>630</v>
      </c>
      <c r="BY86" s="258">
        <f t="shared" si="228"/>
        <v>0</v>
      </c>
      <c r="BZ86" s="258">
        <f t="shared" si="229"/>
        <v>70</v>
      </c>
      <c r="CA86" s="258">
        <f t="shared" si="230"/>
        <v>560</v>
      </c>
      <c r="CB86" s="258">
        <f t="shared" si="231"/>
        <v>630</v>
      </c>
      <c r="CD86" s="113"/>
      <c r="CE86" s="258">
        <f t="shared" si="232"/>
        <v>0</v>
      </c>
      <c r="CF86" s="258">
        <f t="shared" si="233"/>
        <v>2.41</v>
      </c>
      <c r="CG86" s="258">
        <f t="shared" si="234"/>
        <v>19.29</v>
      </c>
      <c r="CH86" s="258">
        <f t="shared" si="235"/>
        <v>21.7</v>
      </c>
      <c r="CI86" s="258">
        <f t="shared" si="246"/>
        <v>43.4</v>
      </c>
      <c r="CJ86" s="113"/>
      <c r="CK86" s="258">
        <f t="shared" ref="CK86:CN86" si="249">IFERROR(ROUND(BY86*$P86,2),"")</f>
        <v>0</v>
      </c>
      <c r="CL86" s="258">
        <f t="shared" si="249"/>
        <v>35625.84</v>
      </c>
      <c r="CM86" s="258">
        <f t="shared" si="249"/>
        <v>285006.69</v>
      </c>
      <c r="CN86" s="258">
        <f t="shared" si="249"/>
        <v>320632.52</v>
      </c>
      <c r="CO86" s="258">
        <f t="shared" si="237"/>
        <v>641265.05</v>
      </c>
      <c r="CP86" s="258" t="e">
        <f>VLOOKUP(G86,[2]Sheet1!$C$3:$G$310,5,0)</f>
        <v>#N/A</v>
      </c>
      <c r="CQ86" s="258">
        <f>VLOOKUP(G86,[3]KCBB0101!$C$3:$F$691,4,0)</f>
        <v>5400</v>
      </c>
    </row>
    <row r="87" s="258" customFormat="1" ht="17.6" spans="1:95">
      <c r="A87" s="330"/>
      <c r="B87" s="334" t="str">
        <f>_xlfn.XLOOKUP(G87,销售需求表!A:A,销售需求表!C:C)</f>
        <v>北美</v>
      </c>
      <c r="C87" s="335" t="str">
        <f t="shared" si="219"/>
        <v>17.5</v>
      </c>
      <c r="D87" s="334" t="str">
        <f t="shared" ref="D87:D94" si="250">B87&amp;C87&amp;"寸"</f>
        <v>北美17.5寸</v>
      </c>
      <c r="E87" s="339" t="str">
        <f t="shared" ref="E87:E94" si="251">LEFT(REPLACE(G87,1,2,""),FIND("[",REPLACE(G87,1,2,""))-1)&amp;"-"&amp;MID(REPLACE(G87,1,2,""),FIND("[",REPLACE(G87,1,2,""))+1,FIND("]",REPLACE(G87,1,2,""))-FIND("[",REPLACE(G87,1,2,""))-1)</f>
        <v>245/70R17.5-18PR(143/141J)-I-19A</v>
      </c>
      <c r="F87" s="340" t="str">
        <f t="shared" si="172"/>
        <v>245/70R17.5-18PR-I-19A</v>
      </c>
      <c r="G87" s="341" t="s">
        <v>447</v>
      </c>
      <c r="H87" s="334">
        <v>500</v>
      </c>
      <c r="I87" s="345"/>
      <c r="J87" s="346" t="str">
        <f t="shared" ref="J87:J104" si="252">IFERROR(LEFT(F87,FIND("-",F87))&amp;MID(F87,FIND("PR",F87,FIND("-",F87))+3,LEN(F87)),F87)</f>
        <v>245/70R17.5-I-19A</v>
      </c>
      <c r="K87" s="347" t="str">
        <f>_xlfn.XLOOKUP(F87,投产规格!E:E,投产规格!D:D,"未投产")</f>
        <v>✔</v>
      </c>
      <c r="L87" s="347">
        <f>IFERROR(_xlfn.XLOOKUP(F87,硫化工艺!B:B,硫化工艺!C:C),"")</f>
        <v>32</v>
      </c>
      <c r="M87" s="349">
        <f t="shared" ref="M87:M94" si="253">IF(L87="","",L87/(L87+$L$1/60))</f>
        <v>0.845814977973568</v>
      </c>
      <c r="N87" s="347" t="str">
        <f t="shared" si="222"/>
        <v>17.5全钢</v>
      </c>
      <c r="O87" s="347">
        <f>IFERROR(_xlfn.XLOOKUP(F87,轮胎重量!J:J,轮胎重量!G:G),"")</f>
        <v>33.375</v>
      </c>
      <c r="P87" s="347">
        <f>IFERROR(_xlfn.XLOOKUP(G87,硫化工艺!I:I,硫化工艺!J:J),"")</f>
        <v>497.961807</v>
      </c>
      <c r="Q87" s="347">
        <f t="shared" ref="Q87:Q94" si="254">IFERROR(ROUND(1440/L87*(I87)*M87,0),"")</f>
        <v>0</v>
      </c>
      <c r="R87" s="347"/>
      <c r="S87" s="347"/>
      <c r="T87" s="347"/>
      <c r="U87" s="347"/>
      <c r="V87" s="347"/>
      <c r="W87" s="347"/>
      <c r="X87" s="347"/>
      <c r="Y87" s="347"/>
      <c r="Z87" s="347"/>
      <c r="AA87" s="347"/>
      <c r="AB87" s="347"/>
      <c r="AC87" s="347"/>
      <c r="AD87" s="347"/>
      <c r="AE87" s="347"/>
      <c r="AF87" s="347"/>
      <c r="AG87" s="347">
        <v>70</v>
      </c>
      <c r="AH87" s="347">
        <v>70</v>
      </c>
      <c r="AI87" s="347">
        <v>70</v>
      </c>
      <c r="AJ87" s="347">
        <v>70</v>
      </c>
      <c r="AK87" s="347">
        <v>70</v>
      </c>
      <c r="AL87" s="347">
        <v>70</v>
      </c>
      <c r="AM87" s="347">
        <v>70</v>
      </c>
      <c r="AN87" s="347">
        <v>70</v>
      </c>
      <c r="AO87" s="347">
        <v>70</v>
      </c>
      <c r="AP87" s="347">
        <v>70</v>
      </c>
      <c r="AQ87" s="347">
        <v>70</v>
      </c>
      <c r="AR87" s="347">
        <v>70</v>
      </c>
      <c r="AS87" s="347">
        <v>70</v>
      </c>
      <c r="AT87" s="347">
        <v>70</v>
      </c>
      <c r="AU87" s="347">
        <v>70</v>
      </c>
      <c r="AV87" s="347">
        <v>70</v>
      </c>
      <c r="AW87" s="347">
        <f t="shared" ref="AW87:AW94" si="255">IF(SUM(R87:AV87)=0,"",SUM(R87:AV87))</f>
        <v>1120</v>
      </c>
      <c r="AX87" s="365">
        <f t="shared" ref="AX87:AX94" si="256">IFERROR(AW87*O87/1000,"")</f>
        <v>37.38</v>
      </c>
      <c r="AY87" s="365">
        <f t="shared" ref="AY87:AY94" si="257">IFERROR(ROUND(AW87*P87/10000,3),"")</f>
        <v>55.772</v>
      </c>
      <c r="AZ87" s="366">
        <v>449.18</v>
      </c>
      <c r="BA87" s="368">
        <v>29.42</v>
      </c>
      <c r="BB87" s="368">
        <v>49.09</v>
      </c>
      <c r="BC87" s="368">
        <v>52.13</v>
      </c>
      <c r="BD87" s="330"/>
      <c r="BE87" s="330">
        <f t="shared" si="224"/>
        <v>503081.6</v>
      </c>
      <c r="BF87" s="330">
        <f t="shared" si="225"/>
        <v>32950.4</v>
      </c>
      <c r="BG87" s="330">
        <f t="shared" si="226"/>
        <v>54980.8</v>
      </c>
      <c r="BH87" s="330">
        <f t="shared" si="227"/>
        <v>58385.6</v>
      </c>
      <c r="BI87" s="330"/>
      <c r="BJ87" s="370" cm="1">
        <f t="array" ref="BJ87:BM87">_xlfn.LET(_xlpm.data,$R87:$AV87,_xlpm.starts,{1,8,16,23},_xlpm.lengths,{7,7,8,9},_xlpm.arr,_xlfn.MAP(_xlpm.starts,_xlpm.lengths,_xlfn.LAMBDA(_xlpm.s,_xlpm.l,SUM(INDEX(_xlpm.data,,_xlfn.SEQUENCE(,_xlpm.l,_xlpm.s))))),ROUND(_xlpm.arr*$O87/1000,2))</f>
        <v>0</v>
      </c>
      <c r="BK87" s="330">
        <v>0</v>
      </c>
      <c r="BL87" s="330">
        <v>18.69</v>
      </c>
      <c r="BM87" s="330">
        <v>21.03</v>
      </c>
      <c r="BN87" s="258">
        <f t="shared" ref="BN87:BN94" si="258">SUM(BJ87:BM87)</f>
        <v>39.72</v>
      </c>
      <c r="BO87" s="258">
        <v>22.38</v>
      </c>
      <c r="BP87" s="258">
        <v>22.38</v>
      </c>
      <c r="BQ87" s="258">
        <v>25.58</v>
      </c>
      <c r="BR87" s="258">
        <v>28.77</v>
      </c>
      <c r="BS87" s="115"/>
      <c r="BT87" s="258" cm="1">
        <f ca="1" t="array" ref="BT87:BW87">_xlfn.HSTACK(SUM(INDEX($R87:$AV87,1,1):INDEX($R87:$AV87,1,7)),SUM(INDEX($R87:$AV87,1,7):INDEX($R87:$AV87,1,13)),SUM(INDEX($R87:$AV87,1,16):INDEX($R87:$AV87,1,23)),SUM(INDEX($R87:$AV87,1,23):INDEX($R87:$AV87,1,31)))</f>
        <v>0</v>
      </c>
      <c r="BU87" s="258">
        <v>0</v>
      </c>
      <c r="BV87" s="258">
        <v>560</v>
      </c>
      <c r="BW87" s="258">
        <v>630</v>
      </c>
      <c r="BY87" s="258">
        <f t="shared" si="228"/>
        <v>0</v>
      </c>
      <c r="BZ87" s="258">
        <f t="shared" si="229"/>
        <v>0</v>
      </c>
      <c r="CA87" s="258">
        <f t="shared" si="230"/>
        <v>490</v>
      </c>
      <c r="CB87" s="258">
        <f t="shared" si="231"/>
        <v>630</v>
      </c>
      <c r="CD87" s="113"/>
      <c r="CE87" s="258">
        <f t="shared" ref="CE87:CE94" si="259">ROUND(BY87*$O87/1000,2)</f>
        <v>0</v>
      </c>
      <c r="CF87" s="258">
        <f t="shared" ref="CF87:CF94" si="260">ROUND(BZ87*$O87/1000,2)</f>
        <v>0</v>
      </c>
      <c r="CG87" s="258">
        <f t="shared" ref="CG87:CG94" si="261">ROUND(CA87*$O87/1000,2)</f>
        <v>16.35</v>
      </c>
      <c r="CH87" s="258">
        <f t="shared" ref="CH87:CH94" si="262">ROUND(CB87*$O87/1000,2)</f>
        <v>21.03</v>
      </c>
      <c r="CI87" s="258">
        <f t="shared" ref="CI87:CI94" si="263">SUM(CE87:CH87)</f>
        <v>37.38</v>
      </c>
      <c r="CJ87" s="113"/>
      <c r="CK87" s="258">
        <f t="shared" ref="CK87:CN87" si="264">IFERROR(ROUND(BY87*$P87,2),"")</f>
        <v>0</v>
      </c>
      <c r="CL87" s="258">
        <f t="shared" si="264"/>
        <v>0</v>
      </c>
      <c r="CM87" s="258">
        <f t="shared" si="264"/>
        <v>244001.29</v>
      </c>
      <c r="CN87" s="258">
        <f t="shared" si="264"/>
        <v>313715.94</v>
      </c>
      <c r="CO87" s="258">
        <f t="shared" si="237"/>
        <v>557717.23</v>
      </c>
      <c r="CP87" s="258">
        <f>VLOOKUP(G87,[2]Sheet1!$C$3:$G$310,5,0)</f>
        <v>6200</v>
      </c>
      <c r="CQ87" s="258" t="e">
        <f>VLOOKUP(G87,[3]KCBB0101!$C$3:$F$691,4,0)</f>
        <v>#N/A</v>
      </c>
    </row>
    <row r="88" s="258" customFormat="1" ht="17.6" spans="1:95">
      <c r="A88" s="330"/>
      <c r="B88" s="334" t="str">
        <f>_xlfn.XLOOKUP(G88,销售需求表!A:A,销售需求表!C:C)</f>
        <v>北美</v>
      </c>
      <c r="C88" s="335" t="str">
        <f t="shared" si="219"/>
        <v>19.5</v>
      </c>
      <c r="D88" s="334" t="str">
        <f t="shared" si="250"/>
        <v>北美19.5寸</v>
      </c>
      <c r="E88" s="339" t="str">
        <f t="shared" si="251"/>
        <v>225/70R19.5-14PR(128/126L)-CM983</v>
      </c>
      <c r="F88" s="340" t="str">
        <f t="shared" si="172"/>
        <v>225/70R19.5-14PR-CM983</v>
      </c>
      <c r="G88" s="341" t="s">
        <v>429</v>
      </c>
      <c r="H88" s="334">
        <v>220</v>
      </c>
      <c r="I88" s="345"/>
      <c r="J88" s="346" t="str">
        <f t="shared" si="252"/>
        <v>225/70R19.5-CM983</v>
      </c>
      <c r="K88" s="347" t="str">
        <f>_xlfn.XLOOKUP(F88,投产规格!E:E,投产规格!D:D,"未投产")</f>
        <v>✔</v>
      </c>
      <c r="L88" s="347">
        <f>IFERROR(_xlfn.XLOOKUP(F88,硫化工艺!B:B,硫化工艺!C:C),"")</f>
        <v>32.5</v>
      </c>
      <c r="M88" s="349">
        <f t="shared" si="253"/>
        <v>0.847826086956522</v>
      </c>
      <c r="N88" s="347" t="str">
        <f t="shared" si="222"/>
        <v>19.5全钢</v>
      </c>
      <c r="O88" s="347">
        <f>IFERROR(_xlfn.XLOOKUP(F88,轮胎重量!J:J,轮胎重量!G:G),"")</f>
        <v>29.768</v>
      </c>
      <c r="P88" s="350">
        <f t="shared" ref="P88:P92" si="265">O88*13.9</f>
        <v>413.7752</v>
      </c>
      <c r="Q88" s="347">
        <f t="shared" si="254"/>
        <v>0</v>
      </c>
      <c r="R88" s="347"/>
      <c r="S88" s="347"/>
      <c r="T88" s="347"/>
      <c r="U88" s="347"/>
      <c r="V88" s="347"/>
      <c r="W88" s="347"/>
      <c r="X88" s="347"/>
      <c r="Y88" s="347"/>
      <c r="Z88" s="347"/>
      <c r="AA88" s="347"/>
      <c r="AB88" s="347"/>
      <c r="AC88" s="347"/>
      <c r="AD88" s="347"/>
      <c r="AE88" s="347"/>
      <c r="AF88" s="347"/>
      <c r="AG88" s="347">
        <v>70</v>
      </c>
      <c r="AH88" s="347">
        <v>70</v>
      </c>
      <c r="AI88" s="347">
        <v>70</v>
      </c>
      <c r="AJ88" s="347">
        <v>70</v>
      </c>
      <c r="AK88" s="347"/>
      <c r="AL88" s="347"/>
      <c r="AM88" s="347"/>
      <c r="AN88" s="347"/>
      <c r="AO88" s="347"/>
      <c r="AP88" s="347"/>
      <c r="AQ88" s="347"/>
      <c r="AR88" s="347"/>
      <c r="AS88" s="347"/>
      <c r="AT88" s="347"/>
      <c r="AU88" s="347"/>
      <c r="AV88" s="347"/>
      <c r="AW88" s="347">
        <f t="shared" si="255"/>
        <v>280</v>
      </c>
      <c r="AX88" s="365">
        <f t="shared" si="256"/>
        <v>8.33504</v>
      </c>
      <c r="AY88" s="365">
        <f t="shared" si="257"/>
        <v>11.586</v>
      </c>
      <c r="AZ88" s="366">
        <v>449.18</v>
      </c>
      <c r="BA88" s="368">
        <v>29.42</v>
      </c>
      <c r="BB88" s="368">
        <v>49.09</v>
      </c>
      <c r="BC88" s="368">
        <v>52.13</v>
      </c>
      <c r="BD88" s="330"/>
      <c r="BE88" s="330">
        <f t="shared" si="224"/>
        <v>125770.4</v>
      </c>
      <c r="BF88" s="330">
        <f t="shared" si="225"/>
        <v>8237.6</v>
      </c>
      <c r="BG88" s="330">
        <f t="shared" si="226"/>
        <v>13745.2</v>
      </c>
      <c r="BH88" s="330">
        <f t="shared" si="227"/>
        <v>14596.4</v>
      </c>
      <c r="BI88" s="330"/>
      <c r="BJ88" s="370" cm="1">
        <f t="array" ref="BJ88:BM88">_xlfn.LET(_xlpm.data,$R88:$AV88,_xlpm.starts,{1,8,16,23},_xlpm.lengths,{7,7,8,9},_xlpm.arr,_xlfn.MAP(_xlpm.starts,_xlpm.lengths,_xlfn.LAMBDA(_xlpm.s,_xlpm.l,SUM(INDEX(_xlpm.data,,_xlfn.SEQUENCE(,_xlpm.l,_xlpm.s))))),ROUND(_xlpm.arr*$O88/1000,2))</f>
        <v>0</v>
      </c>
      <c r="BK88" s="330">
        <v>0</v>
      </c>
      <c r="BL88" s="330">
        <v>8.34</v>
      </c>
      <c r="BM88" s="330">
        <v>0</v>
      </c>
      <c r="BN88" s="258">
        <f t="shared" si="258"/>
        <v>8.34</v>
      </c>
      <c r="BO88" s="258">
        <v>20.87</v>
      </c>
      <c r="BP88" s="258">
        <v>20.87</v>
      </c>
      <c r="BQ88" s="258">
        <v>23.85</v>
      </c>
      <c r="BR88" s="258">
        <v>26.84</v>
      </c>
      <c r="BS88" s="115"/>
      <c r="BT88" s="258" cm="1">
        <f ca="1" t="array" ref="BT88:BW88">_xlfn.HSTACK(SUM(INDEX($R88:$AV88,1,1):INDEX($R88:$AV88,1,7)),SUM(INDEX($R88:$AV88,1,7):INDEX($R88:$AV88,1,13)),SUM(INDEX($R88:$AV88,1,16):INDEX($R88:$AV88,1,23)),SUM(INDEX($R88:$AV88,1,23):INDEX($R88:$AV88,1,31)))</f>
        <v>0</v>
      </c>
      <c r="BU88" s="258">
        <v>0</v>
      </c>
      <c r="BV88" s="258">
        <v>280</v>
      </c>
      <c r="BW88" s="258">
        <v>0</v>
      </c>
      <c r="BY88" s="258">
        <f t="shared" si="228"/>
        <v>0</v>
      </c>
      <c r="BZ88" s="258">
        <f t="shared" si="229"/>
        <v>0</v>
      </c>
      <c r="CA88" s="258">
        <f t="shared" si="230"/>
        <v>280</v>
      </c>
      <c r="CB88" s="258">
        <f t="shared" si="231"/>
        <v>0</v>
      </c>
      <c r="CD88" s="113"/>
      <c r="CE88" s="258">
        <f t="shared" si="259"/>
        <v>0</v>
      </c>
      <c r="CF88" s="258">
        <f t="shared" si="260"/>
        <v>0</v>
      </c>
      <c r="CG88" s="258">
        <f t="shared" si="261"/>
        <v>8.34</v>
      </c>
      <c r="CH88" s="258">
        <f t="shared" si="262"/>
        <v>0</v>
      </c>
      <c r="CI88" s="258">
        <f t="shared" si="263"/>
        <v>8.34</v>
      </c>
      <c r="CJ88" s="113"/>
      <c r="CK88" s="258">
        <f t="shared" ref="CK88:CN88" si="266">IFERROR(ROUND(BY88*$P88,2),"")</f>
        <v>0</v>
      </c>
      <c r="CL88" s="258">
        <f t="shared" si="266"/>
        <v>0</v>
      </c>
      <c r="CM88" s="258">
        <f t="shared" si="266"/>
        <v>115857.06</v>
      </c>
      <c r="CN88" s="258">
        <f t="shared" si="266"/>
        <v>0</v>
      </c>
      <c r="CO88" s="258">
        <f t="shared" si="237"/>
        <v>115857.06</v>
      </c>
      <c r="CP88" s="258">
        <f>VLOOKUP(G88,[2]Sheet1!$C$3:$G$310,5,0)</f>
        <v>11000</v>
      </c>
      <c r="CQ88" s="258" t="e">
        <f>VLOOKUP(G88,[3]KCBB0101!$C$3:$F$691,4,0)</f>
        <v>#N/A</v>
      </c>
    </row>
    <row r="89" s="258" customFormat="1" ht="17.6" spans="1:95">
      <c r="A89" s="330"/>
      <c r="B89" s="334" t="str">
        <f>_xlfn.XLOOKUP(G89,销售需求表!A:A,销售需求表!C:C)</f>
        <v>北美</v>
      </c>
      <c r="C89" s="335" t="str">
        <f t="shared" si="219"/>
        <v>19.5</v>
      </c>
      <c r="D89" s="334" t="str">
        <f t="shared" si="250"/>
        <v>北美19.5寸</v>
      </c>
      <c r="E89" s="339" t="str">
        <f t="shared" si="251"/>
        <v>225/70R19.5-14PR(128/126L)-I-208</v>
      </c>
      <c r="F89" s="340" t="str">
        <f t="shared" si="172"/>
        <v>225/70R19.5-14PR-I-208</v>
      </c>
      <c r="G89" s="341" t="s">
        <v>430</v>
      </c>
      <c r="H89" s="334">
        <v>2900</v>
      </c>
      <c r="I89" s="345"/>
      <c r="J89" s="346" t="str">
        <f t="shared" si="252"/>
        <v>225/70R19.5-I-208</v>
      </c>
      <c r="K89" s="347" t="str">
        <f>_xlfn.XLOOKUP(F89,投产规格!E:E,投产规格!D:D,"未投产")</f>
        <v>✔</v>
      </c>
      <c r="L89" s="347">
        <f>IFERROR(_xlfn.XLOOKUP(F89,硫化工艺!B:B,硫化工艺!C:C),"")</f>
        <v>34.2</v>
      </c>
      <c r="M89" s="349">
        <f t="shared" si="253"/>
        <v>0.85428809325562</v>
      </c>
      <c r="N89" s="347" t="str">
        <f t="shared" si="222"/>
        <v>19.5全钢</v>
      </c>
      <c r="O89" s="347">
        <f>IFERROR(_xlfn.XLOOKUP(F89,轮胎重量!J:J,轮胎重量!G:G),"")</f>
        <v>29.768</v>
      </c>
      <c r="P89" s="347">
        <f>IFERROR(_xlfn.XLOOKUP(G89,硫化工艺!I:I,硫化工艺!J:J),"")</f>
        <v>452.913048</v>
      </c>
      <c r="Q89" s="347">
        <f t="shared" si="254"/>
        <v>0</v>
      </c>
      <c r="R89" s="347"/>
      <c r="S89" s="347"/>
      <c r="T89" s="347"/>
      <c r="U89" s="347"/>
      <c r="V89" s="347"/>
      <c r="W89" s="347"/>
      <c r="X89" s="347"/>
      <c r="Y89" s="347"/>
      <c r="Z89" s="347"/>
      <c r="AA89" s="347"/>
      <c r="AB89" s="347"/>
      <c r="AC89" s="347"/>
      <c r="AD89" s="347"/>
      <c r="AE89" s="347"/>
      <c r="AF89" s="347"/>
      <c r="AG89" s="347">
        <v>70</v>
      </c>
      <c r="AH89" s="347">
        <v>70</v>
      </c>
      <c r="AI89" s="347">
        <v>70</v>
      </c>
      <c r="AJ89" s="347">
        <v>70</v>
      </c>
      <c r="AK89" s="347">
        <v>70</v>
      </c>
      <c r="AL89" s="347">
        <v>70</v>
      </c>
      <c r="AM89" s="347">
        <v>70</v>
      </c>
      <c r="AN89" s="347">
        <v>70</v>
      </c>
      <c r="AO89" s="347">
        <v>70</v>
      </c>
      <c r="AP89" s="347">
        <v>70</v>
      </c>
      <c r="AQ89" s="347">
        <v>70</v>
      </c>
      <c r="AR89" s="347">
        <v>70</v>
      </c>
      <c r="AS89" s="347">
        <v>70</v>
      </c>
      <c r="AT89" s="347">
        <v>70</v>
      </c>
      <c r="AU89" s="347">
        <v>70</v>
      </c>
      <c r="AV89" s="347">
        <v>70</v>
      </c>
      <c r="AW89" s="347">
        <f t="shared" si="255"/>
        <v>1120</v>
      </c>
      <c r="AX89" s="365">
        <f t="shared" si="256"/>
        <v>33.34016</v>
      </c>
      <c r="AY89" s="365">
        <f t="shared" si="257"/>
        <v>50.726</v>
      </c>
      <c r="AZ89" s="367"/>
      <c r="BA89" s="376"/>
      <c r="BB89" s="376"/>
      <c r="BC89" s="330"/>
      <c r="BD89" s="330"/>
      <c r="BE89" s="330"/>
      <c r="BF89" s="330"/>
      <c r="BG89" s="330"/>
      <c r="BH89" s="330"/>
      <c r="BI89" s="330"/>
      <c r="BJ89" s="370" cm="1">
        <f t="array" ref="BJ89:BM89">_xlfn.LET(_xlpm.data,$R89:$AV89,_xlpm.starts,{1,8,16,23},_xlpm.lengths,{7,7,8,9},_xlpm.arr,_xlfn.MAP(_xlpm.starts,_xlpm.lengths,_xlfn.LAMBDA(_xlpm.s,_xlpm.l,SUM(INDEX(_xlpm.data,,_xlfn.SEQUENCE(,_xlpm.l,_xlpm.s))))),ROUND(_xlpm.arr*$O89/1000,2))</f>
        <v>0</v>
      </c>
      <c r="BK89" s="330">
        <v>0</v>
      </c>
      <c r="BL89" s="330">
        <v>16.67</v>
      </c>
      <c r="BM89" s="330">
        <v>18.75</v>
      </c>
      <c r="BN89" s="258">
        <f t="shared" si="258"/>
        <v>35.42</v>
      </c>
      <c r="BO89" s="258">
        <v>0</v>
      </c>
      <c r="BP89" s="258">
        <v>0.5</v>
      </c>
      <c r="BQ89" s="258">
        <v>0</v>
      </c>
      <c r="BR89" s="258">
        <v>11.08</v>
      </c>
      <c r="BS89" s="115"/>
      <c r="BT89" s="258" cm="1">
        <f ca="1" t="array" ref="BT89:BW89">_xlfn.HSTACK(SUM(INDEX($R89:$AV89,1,1):INDEX($R89:$AV89,1,7)),SUM(INDEX($R89:$AV89,1,7):INDEX($R89:$AV89,1,13)),SUM(INDEX($R89:$AV89,1,16):INDEX($R89:$AV89,1,23)),SUM(INDEX($R89:$AV89,1,23):INDEX($R89:$AV89,1,31)))</f>
        <v>0</v>
      </c>
      <c r="BU89" s="258">
        <v>0</v>
      </c>
      <c r="BV89" s="258">
        <v>560</v>
      </c>
      <c r="BW89" s="258">
        <v>630</v>
      </c>
      <c r="BY89" s="258">
        <f t="shared" si="228"/>
        <v>0</v>
      </c>
      <c r="BZ89" s="258">
        <f t="shared" si="229"/>
        <v>0</v>
      </c>
      <c r="CA89" s="258">
        <f t="shared" si="230"/>
        <v>490</v>
      </c>
      <c r="CB89" s="258">
        <f t="shared" si="231"/>
        <v>630</v>
      </c>
      <c r="CD89" s="113"/>
      <c r="CE89" s="258">
        <f t="shared" si="259"/>
        <v>0</v>
      </c>
      <c r="CF89" s="258">
        <f t="shared" si="260"/>
        <v>0</v>
      </c>
      <c r="CG89" s="258">
        <f t="shared" si="261"/>
        <v>14.59</v>
      </c>
      <c r="CH89" s="258">
        <f t="shared" si="262"/>
        <v>18.75</v>
      </c>
      <c r="CI89" s="258">
        <f t="shared" si="263"/>
        <v>33.34</v>
      </c>
      <c r="CJ89" s="113"/>
      <c r="CK89" s="258">
        <f t="shared" ref="CK89:CN89" si="267">IFERROR(ROUND(BY89*$P89,2),"")</f>
        <v>0</v>
      </c>
      <c r="CL89" s="258">
        <f t="shared" si="267"/>
        <v>0</v>
      </c>
      <c r="CM89" s="258">
        <f t="shared" si="267"/>
        <v>221927.39</v>
      </c>
      <c r="CN89" s="258">
        <f t="shared" si="267"/>
        <v>285335.22</v>
      </c>
      <c r="CO89" s="258">
        <f t="shared" si="237"/>
        <v>507262.61</v>
      </c>
      <c r="CP89" s="258">
        <f>VLOOKUP(G89,[2]Sheet1!$C$3:$G$310,5,0)</f>
        <v>11300</v>
      </c>
      <c r="CQ89" s="258" t="e">
        <f>VLOOKUP(G89,[3]KCBB0101!$C$3:$F$691,4,0)</f>
        <v>#N/A</v>
      </c>
    </row>
    <row r="90" s="258" customFormat="1" ht="17.6" spans="1:95">
      <c r="A90" s="330"/>
      <c r="B90" s="334" t="str">
        <f>_xlfn.XLOOKUP(G90,销售需求表!A:A,销售需求表!C:C)</f>
        <v>北美</v>
      </c>
      <c r="C90" s="335" t="str">
        <f t="shared" si="219"/>
        <v>19.5</v>
      </c>
      <c r="D90" s="334" t="str">
        <f t="shared" si="250"/>
        <v>北美19.5寸</v>
      </c>
      <c r="E90" s="339" t="str">
        <f t="shared" si="251"/>
        <v>225/70R19.5-14PR(128/126L)-Strong Guard H-RA</v>
      </c>
      <c r="F90" s="340" t="str">
        <f t="shared" si="172"/>
        <v>225/70R19.5-14PR-H-RA</v>
      </c>
      <c r="G90" s="342" t="s">
        <v>114</v>
      </c>
      <c r="H90" s="334">
        <v>3200</v>
      </c>
      <c r="I90" s="345"/>
      <c r="J90" s="346" t="str">
        <f t="shared" si="252"/>
        <v>225/70R19.5-H-RA</v>
      </c>
      <c r="K90" s="347" t="str">
        <f>_xlfn.XLOOKUP(F90,投产规格!E:E,投产规格!D:D,"未投产")</f>
        <v>✔</v>
      </c>
      <c r="L90" s="347">
        <f>IFERROR(_xlfn.XLOOKUP(F90,硫化工艺!B:B,硫化工艺!C:C),"")</f>
        <v>31.9</v>
      </c>
      <c r="M90" s="349">
        <f t="shared" si="253"/>
        <v>0.845406360424028</v>
      </c>
      <c r="N90" s="347" t="str">
        <f t="shared" si="222"/>
        <v>19.5全钢</v>
      </c>
      <c r="O90" s="347">
        <f>IFERROR(_xlfn.XLOOKUP(F90,轮胎重量!J:J,轮胎重量!G:G),"")</f>
        <v>28.65</v>
      </c>
      <c r="P90" s="347">
        <f>IFERROR(_xlfn.XLOOKUP(G90,硫化工艺!I:I,硫化工艺!J:J),"")</f>
        <v>437.6939</v>
      </c>
      <c r="Q90" s="347">
        <f t="shared" si="254"/>
        <v>0</v>
      </c>
      <c r="R90" s="347"/>
      <c r="S90" s="347"/>
      <c r="T90" s="347"/>
      <c r="U90" s="347"/>
      <c r="V90" s="347"/>
      <c r="W90" s="347"/>
      <c r="X90" s="347"/>
      <c r="Y90" s="347"/>
      <c r="Z90" s="347"/>
      <c r="AA90" s="347"/>
      <c r="AB90" s="347"/>
      <c r="AC90" s="347"/>
      <c r="AD90" s="347"/>
      <c r="AE90" s="347"/>
      <c r="AF90" s="347"/>
      <c r="AG90" s="347">
        <v>140</v>
      </c>
      <c r="AH90" s="347">
        <v>140</v>
      </c>
      <c r="AI90" s="347">
        <v>140</v>
      </c>
      <c r="AJ90" s="347">
        <v>140</v>
      </c>
      <c r="AK90" s="347">
        <v>210</v>
      </c>
      <c r="AL90" s="347">
        <v>210</v>
      </c>
      <c r="AM90" s="347">
        <v>210</v>
      </c>
      <c r="AN90" s="347">
        <v>210</v>
      </c>
      <c r="AO90" s="347">
        <v>210</v>
      </c>
      <c r="AP90" s="347">
        <v>210</v>
      </c>
      <c r="AQ90" s="347">
        <v>210</v>
      </c>
      <c r="AR90" s="347">
        <v>210</v>
      </c>
      <c r="AS90" s="347">
        <v>280</v>
      </c>
      <c r="AT90" s="347">
        <v>280</v>
      </c>
      <c r="AU90" s="347">
        <v>280</v>
      </c>
      <c r="AV90" s="347">
        <v>280</v>
      </c>
      <c r="AW90" s="347">
        <v>5000</v>
      </c>
      <c r="AX90" s="365">
        <f t="shared" si="256"/>
        <v>143.25</v>
      </c>
      <c r="AY90" s="365">
        <f t="shared" si="257"/>
        <v>218.847</v>
      </c>
      <c r="AZ90" s="367"/>
      <c r="BA90" s="376"/>
      <c r="BB90" s="376"/>
      <c r="BC90" s="330"/>
      <c r="BD90" s="330"/>
      <c r="BE90" s="330"/>
      <c r="BF90" s="330"/>
      <c r="BG90" s="330"/>
      <c r="BH90" s="330"/>
      <c r="BI90" s="330"/>
      <c r="BJ90" s="370" cm="1">
        <f t="array" ref="BJ90:BM90">_xlfn.LET(_xlpm.data,$R90:$AV90,_xlpm.starts,{1,8,16,23},_xlpm.lengths,{7,7,8,9},_xlpm.arr,_xlfn.MAP(_xlpm.starts,_xlpm.lengths,_xlfn.LAMBDA(_xlpm.s,_xlpm.l,SUM(INDEX(_xlpm.data,,_xlfn.SEQUENCE(,_xlpm.l,_xlpm.s))))),ROUND(_xlpm.arr*$O90/1000,2))</f>
        <v>0</v>
      </c>
      <c r="BK90" s="330">
        <v>0</v>
      </c>
      <c r="BL90" s="330">
        <v>40.11</v>
      </c>
      <c r="BM90" s="330">
        <v>62.17</v>
      </c>
      <c r="BN90" s="258">
        <f t="shared" si="258"/>
        <v>102.28</v>
      </c>
      <c r="BO90" s="258" t="e">
        <v>#VALUE!</v>
      </c>
      <c r="BP90" s="258" t="e">
        <v>#VALUE!</v>
      </c>
      <c r="BQ90" s="258" t="e">
        <v>#VALUE!</v>
      </c>
      <c r="BR90" s="258" t="e">
        <v>#VALUE!</v>
      </c>
      <c r="BS90" s="115"/>
      <c r="BT90" s="258" cm="1">
        <f ca="1" t="array" ref="BT90:BW90">_xlfn.HSTACK(SUM(INDEX($R90:$AV90,1,1):INDEX($R90:$AV90,1,7)),SUM(INDEX($R90:$AV90,1,7):INDEX($R90:$AV90,1,13)),SUM(INDEX($R90:$AV90,1,16):INDEX($R90:$AV90,1,23)),SUM(INDEX($R90:$AV90,1,23):INDEX($R90:$AV90,1,31)))</f>
        <v>0</v>
      </c>
      <c r="BU90" s="258">
        <v>0</v>
      </c>
      <c r="BV90" s="258">
        <v>1400</v>
      </c>
      <c r="BW90" s="258">
        <v>2170</v>
      </c>
      <c r="BY90" s="258">
        <f t="shared" si="228"/>
        <v>0</v>
      </c>
      <c r="BZ90" s="258">
        <f t="shared" si="229"/>
        <v>0</v>
      </c>
      <c r="CA90" s="258">
        <f t="shared" si="230"/>
        <v>1190</v>
      </c>
      <c r="CB90" s="258">
        <f t="shared" si="231"/>
        <v>2170</v>
      </c>
      <c r="CD90" s="113"/>
      <c r="CE90" s="258">
        <f t="shared" si="259"/>
        <v>0</v>
      </c>
      <c r="CF90" s="258">
        <f t="shared" si="260"/>
        <v>0</v>
      </c>
      <c r="CG90" s="258">
        <f t="shared" si="261"/>
        <v>34.09</v>
      </c>
      <c r="CH90" s="258">
        <f t="shared" si="262"/>
        <v>62.17</v>
      </c>
      <c r="CI90" s="258">
        <f t="shared" si="263"/>
        <v>96.26</v>
      </c>
      <c r="CJ90" s="113"/>
      <c r="CK90" s="258">
        <f t="shared" ref="CK90:CN90" si="268">IFERROR(ROUND(BY90*$P90,2),"")</f>
        <v>0</v>
      </c>
      <c r="CL90" s="258">
        <f t="shared" si="268"/>
        <v>0</v>
      </c>
      <c r="CM90" s="258">
        <f t="shared" si="268"/>
        <v>520855.74</v>
      </c>
      <c r="CN90" s="258">
        <f t="shared" si="268"/>
        <v>949795.76</v>
      </c>
      <c r="CO90" s="258">
        <f t="shared" si="237"/>
        <v>1470651.5</v>
      </c>
      <c r="CP90" s="258">
        <f>VLOOKUP(G90,[2]Sheet1!$C$3:$G$310,5,0)</f>
        <v>2200</v>
      </c>
      <c r="CQ90" s="258" t="e">
        <f>VLOOKUP(G90,[3]KCBB0101!$C$3:$F$691,4,0)</f>
        <v>#N/A</v>
      </c>
    </row>
    <row r="91" s="258" customFormat="1" ht="17.6" spans="1:93">
      <c r="A91" s="330"/>
      <c r="B91" s="334" t="str">
        <f>_xlfn.XLOOKUP(G91,销售需求表!A:A,销售需求表!C:C)</f>
        <v>北美</v>
      </c>
      <c r="C91" s="335" t="str">
        <f t="shared" si="219"/>
        <v>19.5</v>
      </c>
      <c r="D91" s="334" t="str">
        <f t="shared" si="250"/>
        <v>北美19.5寸</v>
      </c>
      <c r="E91" s="339" t="str">
        <f t="shared" si="251"/>
        <v>225/70R19.5-14PR(128/126M)-ECO-MILE RDW</v>
      </c>
      <c r="F91" s="340" t="str">
        <f t="shared" si="172"/>
        <v>225/70R19.5-14PR-ECO-MILE RDW</v>
      </c>
      <c r="G91" s="343" t="s">
        <v>431</v>
      </c>
      <c r="H91" s="334">
        <v>280</v>
      </c>
      <c r="I91" s="345"/>
      <c r="J91" s="346" t="str">
        <f t="shared" si="252"/>
        <v>225/70R19.5-ECO-MILE RDW</v>
      </c>
      <c r="K91" s="347" t="str">
        <f>_xlfn.XLOOKUP(F91,投产规格!E:E,投产规格!D:D,"未投产")</f>
        <v>未投产</v>
      </c>
      <c r="L91" s="347">
        <f>IFERROR(_xlfn.XLOOKUP(F91,硫化工艺!B:B,硫化工艺!C:C),"")</f>
        <v>32.5</v>
      </c>
      <c r="M91" s="349">
        <f t="shared" si="253"/>
        <v>0.847826086956522</v>
      </c>
      <c r="N91" s="347" t="str">
        <f t="shared" si="222"/>
        <v>19.5全钢</v>
      </c>
      <c r="O91" s="347">
        <f>IFERROR(_xlfn.XLOOKUP(F91,轮胎重量!J:J,轮胎重量!G:G),"")</f>
        <v>31.04</v>
      </c>
      <c r="P91" s="350">
        <f t="shared" si="265"/>
        <v>431.456</v>
      </c>
      <c r="Q91" s="347">
        <f t="shared" si="254"/>
        <v>0</v>
      </c>
      <c r="R91" s="347"/>
      <c r="S91" s="347"/>
      <c r="T91" s="347"/>
      <c r="U91" s="347"/>
      <c r="V91" s="347"/>
      <c r="W91" s="347"/>
      <c r="X91" s="347"/>
      <c r="Y91" s="347"/>
      <c r="Z91" s="347"/>
      <c r="AA91" s="347"/>
      <c r="AB91" s="347"/>
      <c r="AC91" s="347"/>
      <c r="AD91" s="347"/>
      <c r="AE91" s="347"/>
      <c r="AF91" s="347"/>
      <c r="AG91" s="347"/>
      <c r="AH91" s="347"/>
      <c r="AI91" s="347"/>
      <c r="AJ91" s="347"/>
      <c r="AK91" s="347"/>
      <c r="AL91" s="347"/>
      <c r="AM91" s="347"/>
      <c r="AN91" s="347"/>
      <c r="AO91" s="347"/>
      <c r="AP91" s="347"/>
      <c r="AQ91" s="347"/>
      <c r="AR91" s="347"/>
      <c r="AS91" s="347"/>
      <c r="AT91" s="347"/>
      <c r="AU91" s="347"/>
      <c r="AV91" s="347"/>
      <c r="AW91" s="347" t="str">
        <f t="shared" si="255"/>
        <v/>
      </c>
      <c r="AX91" s="365" t="str">
        <f t="shared" si="256"/>
        <v/>
      </c>
      <c r="AY91" s="365" t="str">
        <f t="shared" si="257"/>
        <v/>
      </c>
      <c r="AZ91" s="367"/>
      <c r="BA91" s="376"/>
      <c r="BB91" s="376"/>
      <c r="BC91" s="330"/>
      <c r="BD91" s="330"/>
      <c r="BE91" s="330"/>
      <c r="BF91" s="330"/>
      <c r="BG91" s="330"/>
      <c r="BH91" s="330"/>
      <c r="BI91" s="330"/>
      <c r="BJ91" s="370" cm="1">
        <f t="array" ref="BJ91:BM91">_xlfn.LET(_xlpm.data,$R91:$AV91,_xlpm.starts,{1,8,16,23},_xlpm.lengths,{7,7,8,9},_xlpm.arr,_xlfn.MAP(_xlpm.starts,_xlpm.lengths,_xlfn.LAMBDA(_xlpm.s,_xlpm.l,SUM(INDEX(_xlpm.data,,_xlfn.SEQUENCE(,_xlpm.l,_xlpm.s))))),ROUND(_xlpm.arr*$O91/1000,2))</f>
        <v>0</v>
      </c>
      <c r="BK91" s="330">
        <v>0</v>
      </c>
      <c r="BL91" s="330">
        <v>0</v>
      </c>
      <c r="BM91" s="330">
        <v>0</v>
      </c>
      <c r="BN91" s="258">
        <f t="shared" si="258"/>
        <v>0</v>
      </c>
      <c r="BO91" s="258" t="e">
        <v>#VALUE!</v>
      </c>
      <c r="BP91" s="258" t="e">
        <v>#VALUE!</v>
      </c>
      <c r="BQ91" s="258" t="e">
        <v>#VALUE!</v>
      </c>
      <c r="BR91" s="258" t="e">
        <v>#VALUE!</v>
      </c>
      <c r="BS91" s="115"/>
      <c r="BT91" s="258" cm="1">
        <f ca="1" t="array" ref="BT91:BW91">_xlfn.HSTACK(SUM(INDEX($R91:$AV91,1,1):INDEX($R91:$AV91,1,7)),SUM(INDEX($R91:$AV91,1,7):INDEX($R91:$AV91,1,13)),SUM(INDEX($R91:$AV91,1,16):INDEX($R91:$AV91,1,23)),SUM(INDEX($R91:$AV91,1,23):INDEX($R91:$AV91,1,31)))</f>
        <v>0</v>
      </c>
      <c r="BU91" s="258">
        <v>0</v>
      </c>
      <c r="BV91" s="258">
        <v>0</v>
      </c>
      <c r="BW91" s="258">
        <v>0</v>
      </c>
      <c r="BY91" s="258">
        <f t="shared" si="228"/>
        <v>0</v>
      </c>
      <c r="BZ91" s="258">
        <f t="shared" si="229"/>
        <v>0</v>
      </c>
      <c r="CA91" s="258">
        <f t="shared" si="230"/>
        <v>0</v>
      </c>
      <c r="CB91" s="258">
        <f t="shared" si="231"/>
        <v>0</v>
      </c>
      <c r="CD91" s="113"/>
      <c r="CE91" s="258">
        <f t="shared" si="259"/>
        <v>0</v>
      </c>
      <c r="CF91" s="258">
        <f t="shared" si="260"/>
        <v>0</v>
      </c>
      <c r="CG91" s="258">
        <f t="shared" si="261"/>
        <v>0</v>
      </c>
      <c r="CH91" s="258">
        <f t="shared" si="262"/>
        <v>0</v>
      </c>
      <c r="CI91" s="258">
        <f t="shared" si="263"/>
        <v>0</v>
      </c>
      <c r="CJ91" s="113"/>
      <c r="CK91" s="258">
        <f t="shared" ref="CK91:CN91" si="269">IFERROR(ROUND(BY91*$P91,2),"")</f>
        <v>0</v>
      </c>
      <c r="CL91" s="258">
        <f t="shared" si="269"/>
        <v>0</v>
      </c>
      <c r="CM91" s="258">
        <f t="shared" si="269"/>
        <v>0</v>
      </c>
      <c r="CN91" s="258">
        <f t="shared" si="269"/>
        <v>0</v>
      </c>
      <c r="CO91" s="258">
        <f t="shared" si="237"/>
        <v>0</v>
      </c>
    </row>
    <row r="92" s="258" customFormat="1" ht="17.6" spans="1:93">
      <c r="A92" s="330"/>
      <c r="B92" s="334" t="str">
        <f>_xlfn.XLOOKUP(G92,销售需求表!A:A,销售需求表!C:C)</f>
        <v>北美</v>
      </c>
      <c r="C92" s="335" t="str">
        <f t="shared" si="219"/>
        <v>19.5</v>
      </c>
      <c r="D92" s="334" t="str">
        <f t="shared" si="250"/>
        <v>北美19.5寸</v>
      </c>
      <c r="E92" s="339" t="str">
        <f t="shared" si="251"/>
        <v>225/70R19.5-14PR(128/126M)-M-TRAC RDW</v>
      </c>
      <c r="F92" s="340" t="str">
        <f t="shared" si="172"/>
        <v>225/70R19.5-14PR-M-TRAC RDW</v>
      </c>
      <c r="G92" s="343" t="s">
        <v>432</v>
      </c>
      <c r="H92" s="334">
        <v>400</v>
      </c>
      <c r="I92" s="345"/>
      <c r="J92" s="346" t="str">
        <f t="shared" si="252"/>
        <v>225/70R19.5-M-TRAC RDW</v>
      </c>
      <c r="K92" s="347" t="str">
        <f>_xlfn.XLOOKUP(F92,投产规格!E:E,投产规格!D:D,"未投产")</f>
        <v>未投产</v>
      </c>
      <c r="L92" s="347">
        <f>IFERROR(_xlfn.XLOOKUP(F92,硫化工艺!B:B,硫化工艺!C:C),"")</f>
        <v>32.5</v>
      </c>
      <c r="M92" s="349">
        <f t="shared" si="253"/>
        <v>0.847826086956522</v>
      </c>
      <c r="N92" s="347" t="str">
        <f t="shared" si="222"/>
        <v>19.5全钢</v>
      </c>
      <c r="O92" s="347">
        <f>IFERROR(_xlfn.XLOOKUP(F92,轮胎重量!J:J,轮胎重量!G:G),"")</f>
        <v>31.04</v>
      </c>
      <c r="P92" s="350">
        <f t="shared" si="265"/>
        <v>431.456</v>
      </c>
      <c r="Q92" s="347">
        <f t="shared" si="254"/>
        <v>0</v>
      </c>
      <c r="R92" s="347"/>
      <c r="S92" s="347"/>
      <c r="T92" s="347"/>
      <c r="U92" s="347"/>
      <c r="V92" s="347"/>
      <c r="W92" s="347"/>
      <c r="X92" s="347"/>
      <c r="Y92" s="347"/>
      <c r="Z92" s="347"/>
      <c r="AA92" s="347"/>
      <c r="AB92" s="347"/>
      <c r="AC92" s="347"/>
      <c r="AD92" s="347"/>
      <c r="AE92" s="347"/>
      <c r="AF92" s="347"/>
      <c r="AG92" s="347"/>
      <c r="AH92" s="347"/>
      <c r="AI92" s="347"/>
      <c r="AJ92" s="347"/>
      <c r="AK92" s="347"/>
      <c r="AL92" s="347"/>
      <c r="AM92" s="347"/>
      <c r="AN92" s="347"/>
      <c r="AO92" s="347"/>
      <c r="AP92" s="347"/>
      <c r="AQ92" s="347"/>
      <c r="AR92" s="347"/>
      <c r="AS92" s="347"/>
      <c r="AT92" s="347"/>
      <c r="AU92" s="347"/>
      <c r="AV92" s="347"/>
      <c r="AW92" s="347" t="str">
        <f t="shared" si="255"/>
        <v/>
      </c>
      <c r="AX92" s="365" t="str">
        <f t="shared" si="256"/>
        <v/>
      </c>
      <c r="AY92" s="365" t="str">
        <f t="shared" si="257"/>
        <v/>
      </c>
      <c r="AZ92" s="367"/>
      <c r="BA92" s="376"/>
      <c r="BB92" s="376"/>
      <c r="BC92" s="330"/>
      <c r="BD92" s="330"/>
      <c r="BE92" s="330"/>
      <c r="BF92" s="330"/>
      <c r="BG92" s="330"/>
      <c r="BH92" s="330"/>
      <c r="BI92" s="330"/>
      <c r="BJ92" s="370" cm="1">
        <f t="array" ref="BJ92:BM92">_xlfn.LET(_xlpm.data,$R92:$AV92,_xlpm.starts,{1,8,16,23},_xlpm.lengths,{7,7,8,9},_xlpm.arr,_xlfn.MAP(_xlpm.starts,_xlpm.lengths,_xlfn.LAMBDA(_xlpm.s,_xlpm.l,SUM(INDEX(_xlpm.data,,_xlfn.SEQUENCE(,_xlpm.l,_xlpm.s))))),ROUND(_xlpm.arr*$O92/1000,2))</f>
        <v>0</v>
      </c>
      <c r="BK92" s="330">
        <v>0</v>
      </c>
      <c r="BL92" s="330">
        <v>0</v>
      </c>
      <c r="BM92" s="330">
        <v>0</v>
      </c>
      <c r="BN92" s="258">
        <f t="shared" si="258"/>
        <v>0</v>
      </c>
      <c r="BO92" s="258">
        <v>15.01</v>
      </c>
      <c r="BP92" s="258">
        <v>15.01</v>
      </c>
      <c r="BQ92" s="258">
        <v>17.15</v>
      </c>
      <c r="BR92" s="258">
        <v>19.29</v>
      </c>
      <c r="BS92" s="115"/>
      <c r="BT92" s="258" cm="1">
        <f ca="1" t="array" ref="BT92:BW92">_xlfn.HSTACK(SUM(INDEX($R92:$AV92,1,1):INDEX($R92:$AV92,1,7)),SUM(INDEX($R92:$AV92,1,7):INDEX($R92:$AV92,1,13)),SUM(INDEX($R92:$AV92,1,16):INDEX($R92:$AV92,1,23)),SUM(INDEX($R92:$AV92,1,23):INDEX($R92:$AV92,1,31)))</f>
        <v>0</v>
      </c>
      <c r="BU92" s="258">
        <v>0</v>
      </c>
      <c r="BV92" s="258">
        <v>0</v>
      </c>
      <c r="BW92" s="258">
        <v>0</v>
      </c>
      <c r="BY92" s="258">
        <f t="shared" si="228"/>
        <v>0</v>
      </c>
      <c r="BZ92" s="258">
        <f t="shared" si="229"/>
        <v>0</v>
      </c>
      <c r="CA92" s="258">
        <f t="shared" si="230"/>
        <v>0</v>
      </c>
      <c r="CB92" s="258">
        <f t="shared" si="231"/>
        <v>0</v>
      </c>
      <c r="CD92" s="113"/>
      <c r="CE92" s="258">
        <f t="shared" si="259"/>
        <v>0</v>
      </c>
      <c r="CF92" s="258">
        <f t="shared" si="260"/>
        <v>0</v>
      </c>
      <c r="CG92" s="258">
        <f t="shared" si="261"/>
        <v>0</v>
      </c>
      <c r="CH92" s="258">
        <f t="shared" si="262"/>
        <v>0</v>
      </c>
      <c r="CI92" s="258">
        <f t="shared" si="263"/>
        <v>0</v>
      </c>
      <c r="CJ92" s="113"/>
      <c r="CK92" s="258">
        <f t="shared" ref="CK92:CN92" si="270">IFERROR(ROUND(BY92*$P92,2),"")</f>
        <v>0</v>
      </c>
      <c r="CL92" s="258">
        <f t="shared" si="270"/>
        <v>0</v>
      </c>
      <c r="CM92" s="258">
        <f t="shared" si="270"/>
        <v>0</v>
      </c>
      <c r="CN92" s="258">
        <f t="shared" si="270"/>
        <v>0</v>
      </c>
      <c r="CO92" s="258">
        <f t="shared" si="237"/>
        <v>0</v>
      </c>
    </row>
    <row r="93" s="258" customFormat="1" ht="17.6" spans="1:95">
      <c r="A93" s="330"/>
      <c r="B93" s="334" t="str">
        <f>_xlfn.XLOOKUP(G93,销售需求表!A:A,销售需求表!C:C)</f>
        <v>北美</v>
      </c>
      <c r="C93" s="335" t="str">
        <f t="shared" si="219"/>
        <v>19.5</v>
      </c>
      <c r="D93" s="334" t="str">
        <f t="shared" si="250"/>
        <v>北美19.5寸</v>
      </c>
      <c r="E93" s="339" t="str">
        <f t="shared" si="251"/>
        <v>225/70R19.5-14PR(128/126N)-AP-7318</v>
      </c>
      <c r="F93" s="340" t="str">
        <f t="shared" si="172"/>
        <v>225/70R19.5-14PR-AP-7318</v>
      </c>
      <c r="G93" s="341" t="s">
        <v>433</v>
      </c>
      <c r="H93" s="334">
        <v>1400</v>
      </c>
      <c r="I93" s="345">
        <v>2</v>
      </c>
      <c r="J93" s="346" t="str">
        <f t="shared" si="252"/>
        <v>225/70R19.5-AP-7318</v>
      </c>
      <c r="K93" s="347" t="str">
        <f>_xlfn.XLOOKUP(F93,投产规格!E:E,投产规格!D:D,"未投产")</f>
        <v>✔</v>
      </c>
      <c r="L93" s="347">
        <f>IFERROR(_xlfn.XLOOKUP(F93,硫化工艺!B:B,硫化工艺!C:C),"")</f>
        <v>30.3</v>
      </c>
      <c r="M93" s="349">
        <f t="shared" si="253"/>
        <v>0.838560885608856</v>
      </c>
      <c r="N93" s="347" t="str">
        <f t="shared" si="222"/>
        <v>19.5全钢</v>
      </c>
      <c r="O93" s="347">
        <f>IFERROR(_xlfn.XLOOKUP(F93,轮胎重量!J:J,轮胎重量!G:G),"")</f>
        <v>29.461</v>
      </c>
      <c r="P93" s="347">
        <f>IFERROR(_xlfn.XLOOKUP(G93,硫化工艺!I:I,硫化工艺!J:J),"")</f>
        <v>447.914453</v>
      </c>
      <c r="Q93" s="347">
        <f t="shared" si="254"/>
        <v>80</v>
      </c>
      <c r="R93" s="347">
        <v>70</v>
      </c>
      <c r="S93" s="347">
        <v>70</v>
      </c>
      <c r="T93" s="347">
        <v>70</v>
      </c>
      <c r="U93" s="347">
        <v>70</v>
      </c>
      <c r="V93" s="347">
        <v>70</v>
      </c>
      <c r="W93" s="347">
        <v>70</v>
      </c>
      <c r="X93" s="347">
        <v>70</v>
      </c>
      <c r="Y93" s="347">
        <v>70</v>
      </c>
      <c r="Z93" s="347">
        <v>70</v>
      </c>
      <c r="AA93" s="347">
        <v>70</v>
      </c>
      <c r="AB93" s="347">
        <v>70</v>
      </c>
      <c r="AC93" s="347">
        <v>70</v>
      </c>
      <c r="AD93" s="347">
        <v>70</v>
      </c>
      <c r="AE93" s="347">
        <v>70</v>
      </c>
      <c r="AF93" s="347">
        <v>70</v>
      </c>
      <c r="AG93" s="347">
        <v>70</v>
      </c>
      <c r="AH93" s="347">
        <v>70</v>
      </c>
      <c r="AI93" s="347">
        <v>70</v>
      </c>
      <c r="AJ93" s="347"/>
      <c r="AK93" s="347"/>
      <c r="AL93" s="347"/>
      <c r="AM93" s="347"/>
      <c r="AN93" s="347"/>
      <c r="AO93" s="347"/>
      <c r="AP93" s="347"/>
      <c r="AQ93" s="347"/>
      <c r="AR93" s="347"/>
      <c r="AS93" s="347"/>
      <c r="AT93" s="347"/>
      <c r="AU93" s="347"/>
      <c r="AV93" s="347"/>
      <c r="AW93" s="347">
        <f t="shared" si="255"/>
        <v>1260</v>
      </c>
      <c r="AX93" s="365">
        <f t="shared" si="256"/>
        <v>37.12086</v>
      </c>
      <c r="AY93" s="365">
        <f t="shared" si="257"/>
        <v>56.437</v>
      </c>
      <c r="AZ93" s="367"/>
      <c r="BA93" s="376"/>
      <c r="BB93" s="376"/>
      <c r="BC93" s="330"/>
      <c r="BD93" s="330"/>
      <c r="BE93" s="330"/>
      <c r="BF93" s="330"/>
      <c r="BG93" s="330"/>
      <c r="BH93" s="330"/>
      <c r="BI93" s="330"/>
      <c r="BJ93" s="370" cm="1">
        <f t="array" ref="BJ93:BM93">_xlfn.LET(_xlpm.data,$R93:$AV93,_xlpm.starts,{1,8,16,23},_xlpm.lengths,{7,7,8,9},_xlpm.arr,_xlfn.MAP(_xlpm.starts,_xlpm.lengths,_xlfn.LAMBDA(_xlpm.s,_xlpm.l,SUM(INDEX(_xlpm.data,,_xlfn.SEQUENCE(,_xlpm.l,_xlpm.s))))),ROUND(_xlpm.arr*$O93/1000,2))</f>
        <v>14.44</v>
      </c>
      <c r="BK93" s="330">
        <v>14.44</v>
      </c>
      <c r="BL93" s="330">
        <v>6.19</v>
      </c>
      <c r="BM93" s="330">
        <v>0</v>
      </c>
      <c r="BN93" s="258">
        <f t="shared" si="258"/>
        <v>35.07</v>
      </c>
      <c r="BO93" s="258">
        <v>8.02</v>
      </c>
      <c r="BP93" s="258">
        <v>14.04</v>
      </c>
      <c r="BQ93" s="258">
        <v>16.04</v>
      </c>
      <c r="BR93" s="258">
        <v>18.05</v>
      </c>
      <c r="BS93" s="115"/>
      <c r="BT93" s="258" cm="1">
        <f ca="1" t="array" ref="BT93:BW93">_xlfn.HSTACK(SUM(INDEX($R93:$AV93,1,1):INDEX($R93:$AV93,1,7)),SUM(INDEX($R93:$AV93,1,7):INDEX($R93:$AV93,1,13)),SUM(INDEX($R93:$AV93,1,16):INDEX($R93:$AV93,1,23)),SUM(INDEX($R93:$AV93,1,23):INDEX($R93:$AV93,1,31)))</f>
        <v>490</v>
      </c>
      <c r="BU93" s="258">
        <v>490</v>
      </c>
      <c r="BV93" s="258">
        <v>210</v>
      </c>
      <c r="BW93" s="258">
        <v>0</v>
      </c>
      <c r="BY93" s="258">
        <f t="shared" si="228"/>
        <v>490</v>
      </c>
      <c r="BZ93" s="258">
        <f t="shared" si="229"/>
        <v>490</v>
      </c>
      <c r="CA93" s="258">
        <f t="shared" si="230"/>
        <v>280</v>
      </c>
      <c r="CB93" s="258">
        <f t="shared" si="231"/>
        <v>0</v>
      </c>
      <c r="CD93" s="113"/>
      <c r="CE93" s="258">
        <f t="shared" si="259"/>
        <v>14.44</v>
      </c>
      <c r="CF93" s="258">
        <f t="shared" si="260"/>
        <v>14.44</v>
      </c>
      <c r="CG93" s="258">
        <f t="shared" si="261"/>
        <v>8.25</v>
      </c>
      <c r="CH93" s="258">
        <f t="shared" si="262"/>
        <v>0</v>
      </c>
      <c r="CI93" s="258">
        <f t="shared" si="263"/>
        <v>37.13</v>
      </c>
      <c r="CJ93" s="113"/>
      <c r="CK93" s="258">
        <f t="shared" ref="CK93:CN93" si="271">IFERROR(ROUND(BY93*$P93,2),"")</f>
        <v>219478.08</v>
      </c>
      <c r="CL93" s="258">
        <f t="shared" si="271"/>
        <v>219478.08</v>
      </c>
      <c r="CM93" s="258">
        <f t="shared" si="271"/>
        <v>125416.05</v>
      </c>
      <c r="CN93" s="258">
        <f t="shared" si="271"/>
        <v>0</v>
      </c>
      <c r="CO93" s="258">
        <f t="shared" si="237"/>
        <v>564372.21</v>
      </c>
      <c r="CP93" s="258" t="e">
        <f>VLOOKUP(G93,[2]Sheet1!$C$3:$G$310,5,0)</f>
        <v>#N/A</v>
      </c>
      <c r="CQ93" s="258">
        <f>VLOOKUP(G93,[3]KCBB0101!$C$3:$F$691,4,0)</f>
        <v>4850</v>
      </c>
    </row>
    <row r="94" s="258" customFormat="1" ht="17.6" spans="1:93">
      <c r="A94" s="330"/>
      <c r="B94" s="334" t="str">
        <f>_xlfn.XLOOKUP(G94,销售需求表!A:A,销售需求表!C:C)</f>
        <v>北美</v>
      </c>
      <c r="C94" s="335" t="str">
        <f t="shared" si="219"/>
        <v>19.5</v>
      </c>
      <c r="D94" s="334" t="str">
        <f t="shared" si="250"/>
        <v>北美19.5寸</v>
      </c>
      <c r="E94" s="339" t="str">
        <f t="shared" si="251"/>
        <v>225/70R19.5-14PR(128/126N)-DR-7318</v>
      </c>
      <c r="F94" s="340" t="str">
        <f t="shared" si="172"/>
        <v>225/70R19.5-14PR-DR-7318</v>
      </c>
      <c r="G94" s="343" t="s">
        <v>434</v>
      </c>
      <c r="H94" s="334">
        <v>600</v>
      </c>
      <c r="I94" s="345"/>
      <c r="J94" s="346" t="str">
        <f t="shared" si="252"/>
        <v>225/70R19.5-DR-7318</v>
      </c>
      <c r="K94" s="347" t="str">
        <f>_xlfn.XLOOKUP(F94,投产规格!E:E,投产规格!D:D,"未投产")</f>
        <v>✔</v>
      </c>
      <c r="L94" s="347">
        <f>IFERROR(_xlfn.XLOOKUP(F94,硫化工艺!B:B,硫化工艺!C:C),"")</f>
        <v>32.5</v>
      </c>
      <c r="M94" s="349">
        <f t="shared" si="253"/>
        <v>0.847826086956522</v>
      </c>
      <c r="N94" s="347" t="str">
        <f t="shared" si="222"/>
        <v>19.5全钢</v>
      </c>
      <c r="O94" s="347">
        <f>IFERROR(_xlfn.XLOOKUP(F94,轮胎重量!J:J,轮胎重量!G:G),"")</f>
        <v>30.845</v>
      </c>
      <c r="P94" s="347">
        <f>IFERROR(_xlfn.XLOOKUP(G94,硫化工艺!I:I,硫化工艺!J:J),"")</f>
        <v>469.661346</v>
      </c>
      <c r="Q94" s="347">
        <f t="shared" si="254"/>
        <v>0</v>
      </c>
      <c r="R94" s="347"/>
      <c r="S94" s="347"/>
      <c r="T94" s="347"/>
      <c r="U94" s="347"/>
      <c r="V94" s="347"/>
      <c r="W94" s="347"/>
      <c r="X94" s="347"/>
      <c r="Y94" s="347"/>
      <c r="Z94" s="347"/>
      <c r="AA94" s="347"/>
      <c r="AB94" s="347"/>
      <c r="AC94" s="347"/>
      <c r="AD94" s="347"/>
      <c r="AE94" s="347"/>
      <c r="AF94" s="347"/>
      <c r="AG94" s="347"/>
      <c r="AH94" s="347"/>
      <c r="AI94" s="347"/>
      <c r="AJ94" s="347"/>
      <c r="AK94" s="347"/>
      <c r="AL94" s="347"/>
      <c r="AM94" s="347"/>
      <c r="AN94" s="347"/>
      <c r="AO94" s="347"/>
      <c r="AP94" s="347"/>
      <c r="AQ94" s="347"/>
      <c r="AR94" s="347"/>
      <c r="AS94" s="347"/>
      <c r="AT94" s="347"/>
      <c r="AU94" s="347"/>
      <c r="AV94" s="347"/>
      <c r="AW94" s="347" t="str">
        <f t="shared" si="255"/>
        <v/>
      </c>
      <c r="AX94" s="365" t="str">
        <f t="shared" si="256"/>
        <v/>
      </c>
      <c r="AY94" s="365" t="str">
        <f t="shared" si="257"/>
        <v/>
      </c>
      <c r="AZ94" s="367"/>
      <c r="BA94" s="376"/>
      <c r="BB94" s="376"/>
      <c r="BC94" s="330"/>
      <c r="BD94" s="330"/>
      <c r="BE94" s="330"/>
      <c r="BF94" s="330"/>
      <c r="BG94" s="330"/>
      <c r="BH94" s="330"/>
      <c r="BI94" s="330"/>
      <c r="BJ94" s="370" cm="1">
        <f t="array" ref="BJ94:BM94">_xlfn.LET(_xlpm.data,$R94:$AV94,_xlpm.starts,{1,8,16,23},_xlpm.lengths,{7,7,8,9},_xlpm.arr,_xlfn.MAP(_xlpm.starts,_xlpm.lengths,_xlfn.LAMBDA(_xlpm.s,_xlpm.l,SUM(INDEX(_xlpm.data,,_xlfn.SEQUENCE(,_xlpm.l,_xlpm.s))))),ROUND(_xlpm.arr*$O94/1000,2))</f>
        <v>0</v>
      </c>
      <c r="BK94" s="330">
        <v>0</v>
      </c>
      <c r="BL94" s="330">
        <v>0</v>
      </c>
      <c r="BM94" s="330">
        <v>0</v>
      </c>
      <c r="BN94" s="258">
        <f t="shared" si="258"/>
        <v>0</v>
      </c>
      <c r="BO94" s="258">
        <v>0.24</v>
      </c>
      <c r="BP94" s="258">
        <v>14.82</v>
      </c>
      <c r="BQ94" s="258">
        <v>16.94</v>
      </c>
      <c r="BR94" s="258">
        <v>19.06</v>
      </c>
      <c r="BS94" s="115"/>
      <c r="BT94" s="258" cm="1">
        <f ca="1" t="array" ref="BT94:BW94">_xlfn.HSTACK(SUM(INDEX($R94:$AV94,1,1):INDEX($R94:$AV94,1,7)),SUM(INDEX($R94:$AV94,1,7):INDEX($R94:$AV94,1,13)),SUM(INDEX($R94:$AV94,1,16):INDEX($R94:$AV94,1,23)),SUM(INDEX($R94:$AV94,1,23):INDEX($R94:$AV94,1,31)))</f>
        <v>0</v>
      </c>
      <c r="BU94" s="258">
        <v>0</v>
      </c>
      <c r="BV94" s="258">
        <v>0</v>
      </c>
      <c r="BW94" s="258">
        <v>0</v>
      </c>
      <c r="BY94" s="258">
        <f t="shared" si="228"/>
        <v>0</v>
      </c>
      <c r="BZ94" s="258">
        <f t="shared" si="229"/>
        <v>0</v>
      </c>
      <c r="CA94" s="258">
        <f t="shared" si="230"/>
        <v>0</v>
      </c>
      <c r="CB94" s="258">
        <f t="shared" si="231"/>
        <v>0</v>
      </c>
      <c r="CD94" s="113"/>
      <c r="CE94" s="258">
        <f t="shared" si="259"/>
        <v>0</v>
      </c>
      <c r="CF94" s="258">
        <f t="shared" si="260"/>
        <v>0</v>
      </c>
      <c r="CG94" s="258">
        <f t="shared" si="261"/>
        <v>0</v>
      </c>
      <c r="CH94" s="258">
        <f t="shared" si="262"/>
        <v>0</v>
      </c>
      <c r="CI94" s="258">
        <f t="shared" si="263"/>
        <v>0</v>
      </c>
      <c r="CJ94" s="113"/>
      <c r="CK94" s="258">
        <f t="shared" ref="CK94:CN94" si="272">IFERROR(ROUND(BY94*$P94,2),"")</f>
        <v>0</v>
      </c>
      <c r="CL94" s="258">
        <f t="shared" si="272"/>
        <v>0</v>
      </c>
      <c r="CM94" s="258">
        <f t="shared" si="272"/>
        <v>0</v>
      </c>
      <c r="CN94" s="258">
        <f t="shared" si="272"/>
        <v>0</v>
      </c>
      <c r="CO94" s="258">
        <f t="shared" si="237"/>
        <v>0</v>
      </c>
    </row>
    <row r="95" s="258" customFormat="1" ht="17.6" spans="1:93">
      <c r="A95" s="330"/>
      <c r="B95" s="334" t="str">
        <f>_xlfn.XLOOKUP(G95,销售需求表!A:A,销售需求表!C:C)</f>
        <v>北美</v>
      </c>
      <c r="C95" s="335" t="str">
        <f t="shared" si="219"/>
        <v>19.5</v>
      </c>
      <c r="D95" s="334" t="str">
        <f t="shared" ref="D95:D101" si="273">B95&amp;C95&amp;"寸"</f>
        <v>北美19.5寸</v>
      </c>
      <c r="E95" s="339" t="str">
        <f t="shared" ref="E95:E125" si="274">LEFT(REPLACE(G95,1,2,""),FIND("[",REPLACE(G95,1,2,""))-1)&amp;"-"&amp;MID(REPLACE(G95,1,2,""),FIND("[",REPLACE(G95,1,2,""))+1,FIND("]",REPLACE(G95,1,2,""))-FIND("[",REPLACE(G95,1,2,""))-1)</f>
        <v>225/70R19.5-14PR(128/126N)-ECO-MILE AP</v>
      </c>
      <c r="F95" s="340" t="str">
        <f t="shared" ref="F95:F122" si="275">IFERROR(MID(G95,3,FIND("(",G95)-3)&amp;"-"&amp;SUBSTITUTE(MID(G95,FIND("[",G95)+1,FIND("]",G95)-FIND("[",G95)-1),"Strong Guard ",""),"")</f>
        <v>225/70R19.5-14PR-ECO-MILE AP</v>
      </c>
      <c r="G95" s="343" t="s">
        <v>435</v>
      </c>
      <c r="H95" s="334">
        <v>1200</v>
      </c>
      <c r="I95" s="345"/>
      <c r="J95" s="346" t="str">
        <f t="shared" si="252"/>
        <v>225/70R19.5-ECO-MILE AP</v>
      </c>
      <c r="K95" s="347" t="str">
        <f>_xlfn.XLOOKUP(F95,投产规格!E:E,投产规格!D:D,"未投产")</f>
        <v>✔</v>
      </c>
      <c r="L95" s="347">
        <f>IFERROR(_xlfn.XLOOKUP(F95,硫化工艺!B:B,硫化工艺!C:C),"")</f>
        <v>30.3</v>
      </c>
      <c r="M95" s="349">
        <f t="shared" ref="M95:M101" si="276">IF(L95="","",L95/(L95+$L$1/60))</f>
        <v>0.838560885608856</v>
      </c>
      <c r="N95" s="347" t="str">
        <f t="shared" si="222"/>
        <v>19.5全钢</v>
      </c>
      <c r="O95" s="347">
        <f>IFERROR(_xlfn.XLOOKUP(F95,轮胎重量!J:J,轮胎重量!G:G),"")</f>
        <v>30.2</v>
      </c>
      <c r="P95" s="350">
        <f>O95*13.9</f>
        <v>419.78</v>
      </c>
      <c r="Q95" s="347">
        <f t="shared" ref="Q95:Q118" si="277">IFERROR(ROUND(1440/L95*(I95)*M95,0),"")</f>
        <v>0</v>
      </c>
      <c r="R95" s="347"/>
      <c r="S95" s="347"/>
      <c r="T95" s="347"/>
      <c r="U95" s="347"/>
      <c r="V95" s="347"/>
      <c r="W95" s="347"/>
      <c r="X95" s="347"/>
      <c r="Y95" s="347"/>
      <c r="Z95" s="347"/>
      <c r="AA95" s="347"/>
      <c r="AB95" s="347"/>
      <c r="AC95" s="347"/>
      <c r="AD95" s="347"/>
      <c r="AE95" s="347"/>
      <c r="AF95" s="347"/>
      <c r="AG95" s="347"/>
      <c r="AH95" s="347"/>
      <c r="AI95" s="347"/>
      <c r="AJ95" s="347"/>
      <c r="AK95" s="347"/>
      <c r="AL95" s="347"/>
      <c r="AM95" s="347"/>
      <c r="AN95" s="347"/>
      <c r="AO95" s="347"/>
      <c r="AP95" s="347"/>
      <c r="AQ95" s="347"/>
      <c r="AR95" s="347"/>
      <c r="AS95" s="347"/>
      <c r="AT95" s="347"/>
      <c r="AU95" s="347"/>
      <c r="AV95" s="347"/>
      <c r="AW95" s="347" t="str">
        <f t="shared" ref="AW95:AW101" si="278">IF(SUM(R95:AV95)=0,"",SUM(R95:AV95))</f>
        <v/>
      </c>
      <c r="AX95" s="365" t="str">
        <f t="shared" ref="AX95:AX101" si="279">IFERROR(AW95*O95/1000,"")</f>
        <v/>
      </c>
      <c r="AY95" s="365" t="str">
        <f t="shared" ref="AY95:AY101" si="280">IFERROR(ROUND(AW95*P95/10000,3),"")</f>
        <v/>
      </c>
      <c r="AZ95" s="367"/>
      <c r="BA95" s="376"/>
      <c r="BB95" s="376"/>
      <c r="BC95" s="330"/>
      <c r="BD95" s="330"/>
      <c r="BE95" s="330"/>
      <c r="BF95" s="330"/>
      <c r="BG95" s="330"/>
      <c r="BH95" s="330"/>
      <c r="BI95" s="330"/>
      <c r="BJ95" s="370" cm="1">
        <f t="array" ref="BJ95:BM95">_xlfn.LET(_xlpm.data,$R95:$AV95,_xlpm.starts,{1,8,16,23},_xlpm.lengths,{7,7,8,9},_xlpm.arr,_xlfn.MAP(_xlpm.starts,_xlpm.lengths,_xlfn.LAMBDA(_xlpm.s,_xlpm.l,SUM(INDEX(_xlpm.data,,_xlfn.SEQUENCE(,_xlpm.l,_xlpm.s))))),ROUND(_xlpm.arr*$O95/1000,2))</f>
        <v>0</v>
      </c>
      <c r="BK95" s="330">
        <v>0</v>
      </c>
      <c r="BL95" s="330">
        <v>0</v>
      </c>
      <c r="BM95" s="330">
        <v>0</v>
      </c>
      <c r="BN95" s="258">
        <f t="shared" ref="BN95:BN101" si="281">SUM(BJ95:BM95)</f>
        <v>0</v>
      </c>
      <c r="BO95" s="258" t="e">
        <v>#VALUE!</v>
      </c>
      <c r="BP95" s="258" t="e">
        <v>#VALUE!</v>
      </c>
      <c r="BQ95" s="258" t="e">
        <v>#VALUE!</v>
      </c>
      <c r="BR95" s="258" t="e">
        <v>#VALUE!</v>
      </c>
      <c r="BS95" s="115"/>
      <c r="BT95" s="258" cm="1">
        <f ca="1" t="array" ref="BT95:BW95">_xlfn.HSTACK(SUM(INDEX($R95:$AV95,1,1):INDEX($R95:$AV95,1,7)),SUM(INDEX($R95:$AV95,1,7):INDEX($R95:$AV95,1,13)),SUM(INDEX($R95:$AV95,1,16):INDEX($R95:$AV95,1,23)),SUM(INDEX($R95:$AV95,1,23):INDEX($R95:$AV95,1,31)))</f>
        <v>0</v>
      </c>
      <c r="BU95" s="258">
        <v>0</v>
      </c>
      <c r="BV95" s="258">
        <v>0</v>
      </c>
      <c r="BW95" s="258">
        <v>0</v>
      </c>
      <c r="BY95" s="258">
        <f t="shared" si="228"/>
        <v>0</v>
      </c>
      <c r="BZ95" s="258">
        <f t="shared" si="229"/>
        <v>0</v>
      </c>
      <c r="CA95" s="258">
        <f t="shared" si="230"/>
        <v>0</v>
      </c>
      <c r="CB95" s="258">
        <f t="shared" si="231"/>
        <v>0</v>
      </c>
      <c r="CD95" s="113"/>
      <c r="CE95" s="258">
        <f t="shared" ref="CE95:CE101" si="282">ROUND(BY95*$O95/1000,2)</f>
        <v>0</v>
      </c>
      <c r="CF95" s="258">
        <f t="shared" ref="CF95:CF101" si="283">ROUND(BZ95*$O95/1000,2)</f>
        <v>0</v>
      </c>
      <c r="CG95" s="258">
        <f t="shared" ref="CG95:CG101" si="284">ROUND(CA95*$O95/1000,2)</f>
        <v>0</v>
      </c>
      <c r="CH95" s="258">
        <f t="shared" ref="CH95:CH101" si="285">ROUND(CB95*$O95/1000,2)</f>
        <v>0</v>
      </c>
      <c r="CI95" s="258">
        <f t="shared" ref="CI95:CI101" si="286">SUM(CE95:CH95)</f>
        <v>0</v>
      </c>
      <c r="CJ95" s="113"/>
      <c r="CK95" s="258">
        <f t="shared" ref="CK95:CN95" si="287">IFERROR(ROUND(BY95*$P95,2),"")</f>
        <v>0</v>
      </c>
      <c r="CL95" s="258">
        <f t="shared" si="287"/>
        <v>0</v>
      </c>
      <c r="CM95" s="258">
        <f t="shared" si="287"/>
        <v>0</v>
      </c>
      <c r="CN95" s="258">
        <f t="shared" si="287"/>
        <v>0</v>
      </c>
      <c r="CO95" s="258">
        <f t="shared" si="237"/>
        <v>0</v>
      </c>
    </row>
    <row r="96" ht="17.6" spans="2:95">
      <c r="B96" s="334" t="str">
        <f>_xlfn.XLOOKUP(G96,销售需求表!A:A,销售需求表!C:C)</f>
        <v>北美</v>
      </c>
      <c r="C96" s="335" t="str">
        <f t="shared" si="219"/>
        <v>19.5</v>
      </c>
      <c r="D96" s="334" t="str">
        <f t="shared" si="273"/>
        <v>北美19.5寸</v>
      </c>
      <c r="E96" s="339" t="str">
        <f t="shared" si="274"/>
        <v>225/70R19.5-14PR(128/126N)-ECO-MILE HTD</v>
      </c>
      <c r="F96" s="340" t="str">
        <f t="shared" si="275"/>
        <v>225/70R19.5-14PR-ECO-MILE HTD</v>
      </c>
      <c r="G96" s="341" t="s">
        <v>436</v>
      </c>
      <c r="H96" s="334">
        <v>800</v>
      </c>
      <c r="I96" s="345"/>
      <c r="J96" s="346" t="str">
        <f t="shared" si="252"/>
        <v>225/70R19.5-ECO-MILE HTD</v>
      </c>
      <c r="K96" s="347" t="str">
        <f>_xlfn.XLOOKUP(F96,投产规格!E:E,投产规格!D:D,"未投产")</f>
        <v>✔</v>
      </c>
      <c r="L96" s="347">
        <f>IFERROR(_xlfn.XLOOKUP(F96,硫化工艺!B:B,硫化工艺!C:C),"")</f>
        <v>32.5</v>
      </c>
      <c r="M96" s="349">
        <f t="shared" si="276"/>
        <v>0.847826086956522</v>
      </c>
      <c r="N96" s="347" t="str">
        <f t="shared" si="222"/>
        <v>19.5全钢</v>
      </c>
      <c r="O96" s="347">
        <f>IFERROR(_xlfn.XLOOKUP(F96,轮胎重量!J:J,轮胎重量!G:G),"")</f>
        <v>30.2</v>
      </c>
      <c r="P96" s="350">
        <f>O96*13.9</f>
        <v>419.78</v>
      </c>
      <c r="Q96" s="347">
        <f t="shared" si="277"/>
        <v>0</v>
      </c>
      <c r="R96" s="347"/>
      <c r="S96" s="347"/>
      <c r="T96" s="347"/>
      <c r="U96" s="347"/>
      <c r="V96" s="347"/>
      <c r="W96" s="347"/>
      <c r="X96" s="347"/>
      <c r="Y96" s="347"/>
      <c r="Z96" s="347"/>
      <c r="AA96" s="347"/>
      <c r="AB96" s="347"/>
      <c r="AC96" s="347"/>
      <c r="AD96" s="347"/>
      <c r="AE96" s="347"/>
      <c r="AF96" s="347"/>
      <c r="AG96" s="347"/>
      <c r="AH96" s="347"/>
      <c r="AI96" s="347"/>
      <c r="AJ96" s="347">
        <v>70</v>
      </c>
      <c r="AK96" s="347">
        <v>70</v>
      </c>
      <c r="AL96" s="347">
        <v>70</v>
      </c>
      <c r="AM96" s="347">
        <v>70</v>
      </c>
      <c r="AN96" s="347">
        <v>70</v>
      </c>
      <c r="AO96" s="347">
        <v>70</v>
      </c>
      <c r="AP96" s="347">
        <v>70</v>
      </c>
      <c r="AQ96" s="347">
        <v>70</v>
      </c>
      <c r="AR96" s="347">
        <v>70</v>
      </c>
      <c r="AS96" s="347">
        <v>70</v>
      </c>
      <c r="AT96" s="347">
        <v>70</v>
      </c>
      <c r="AU96" s="347">
        <v>70</v>
      </c>
      <c r="AV96" s="347">
        <v>70</v>
      </c>
      <c r="AW96" s="347">
        <f t="shared" si="278"/>
        <v>910</v>
      </c>
      <c r="AX96" s="365">
        <f t="shared" si="279"/>
        <v>27.482</v>
      </c>
      <c r="AY96" s="365">
        <f t="shared" si="280"/>
        <v>38.2</v>
      </c>
      <c r="AZ96" s="367"/>
      <c r="BA96" s="376"/>
      <c r="BB96" s="376"/>
      <c r="BJ96" s="370" cm="1">
        <f t="array" ref="BJ96:BM96">_xlfn.LET(_xlpm.data,$R96:$AV96,_xlpm.starts,{1,8,16,23},_xlpm.lengths,{7,7,8,9},_xlpm.arr,_xlfn.MAP(_xlpm.starts,_xlpm.lengths,_xlfn.LAMBDA(_xlpm.s,_xlpm.l,SUM(INDEX(_xlpm.data,,_xlfn.SEQUENCE(,_xlpm.l,_xlpm.s))))),ROUND(_xlpm.arr*$O96/1000,2))</f>
        <v>0</v>
      </c>
      <c r="BK96" s="330">
        <v>0</v>
      </c>
      <c r="BL96" s="330">
        <v>10.57</v>
      </c>
      <c r="BM96" s="330">
        <v>19.03</v>
      </c>
      <c r="BN96" s="258">
        <f t="shared" si="281"/>
        <v>29.6</v>
      </c>
      <c r="BO96" s="258" t="e">
        <v>#VALUE!</v>
      </c>
      <c r="BP96" s="258" t="e">
        <v>#VALUE!</v>
      </c>
      <c r="BQ96" s="258" t="e">
        <v>#VALUE!</v>
      </c>
      <c r="BR96" s="258" t="e">
        <v>#VALUE!</v>
      </c>
      <c r="BT96" s="258" cm="1">
        <f ca="1" t="array" ref="BT96:BW96">_xlfn.HSTACK(SUM(INDEX($R96:$AV96,1,1):INDEX($R96:$AV96,1,7)),SUM(INDEX($R96:$AV96,1,7):INDEX($R96:$AV96,1,13)),SUM(INDEX($R96:$AV96,1,16):INDEX($R96:$AV96,1,23)),SUM(INDEX($R96:$AV96,1,23):INDEX($R96:$AV96,1,31)))</f>
        <v>0</v>
      </c>
      <c r="BU96" s="258">
        <v>0</v>
      </c>
      <c r="BV96" s="258">
        <v>350</v>
      </c>
      <c r="BW96" s="258">
        <v>630</v>
      </c>
      <c r="BY96" s="258">
        <f t="shared" si="228"/>
        <v>0</v>
      </c>
      <c r="BZ96" s="258">
        <f t="shared" si="229"/>
        <v>0</v>
      </c>
      <c r="CA96" s="258">
        <f t="shared" si="230"/>
        <v>280</v>
      </c>
      <c r="CB96" s="258">
        <f t="shared" si="231"/>
        <v>630</v>
      </c>
      <c r="CE96" s="258">
        <f t="shared" si="282"/>
        <v>0</v>
      </c>
      <c r="CF96" s="258">
        <f t="shared" si="283"/>
        <v>0</v>
      </c>
      <c r="CG96" s="258">
        <f t="shared" si="284"/>
        <v>8.46</v>
      </c>
      <c r="CH96" s="258">
        <f t="shared" si="285"/>
        <v>19.03</v>
      </c>
      <c r="CI96" s="258">
        <f t="shared" si="286"/>
        <v>27.49</v>
      </c>
      <c r="CK96" s="258">
        <f t="shared" ref="CK96:CN96" si="288">IFERROR(ROUND(BY96*$P96,2),"")</f>
        <v>0</v>
      </c>
      <c r="CL96" s="258">
        <f t="shared" si="288"/>
        <v>0</v>
      </c>
      <c r="CM96" s="258">
        <f t="shared" si="288"/>
        <v>117538.4</v>
      </c>
      <c r="CN96" s="258">
        <f t="shared" si="288"/>
        <v>264461.4</v>
      </c>
      <c r="CO96" s="258">
        <f t="shared" si="237"/>
        <v>381999.8</v>
      </c>
      <c r="CP96" s="258" t="e">
        <f>VLOOKUP(G96,[2]Sheet1!$C$3:$G$310,5,0)</f>
        <v>#N/A</v>
      </c>
      <c r="CQ96" s="258">
        <f>VLOOKUP(G96,[3]KCBB0101!$C$3:$F$691,4,0)</f>
        <v>5000</v>
      </c>
    </row>
    <row r="97" ht="17.6" spans="2:95">
      <c r="B97" s="334" t="str">
        <f>_xlfn.XLOOKUP(G97,销售需求表!A:A,销售需求表!C:C)</f>
        <v>北美</v>
      </c>
      <c r="C97" s="335" t="str">
        <f t="shared" si="219"/>
        <v>19.5</v>
      </c>
      <c r="D97" s="334" t="str">
        <f t="shared" si="273"/>
        <v>北美19.5寸</v>
      </c>
      <c r="E97" s="339" t="str">
        <f t="shared" si="274"/>
        <v>225/70R19.5-14PR(128/126N)-I-19A</v>
      </c>
      <c r="F97" s="340" t="str">
        <f t="shared" si="275"/>
        <v>225/70R19.5-14PR-I-19A</v>
      </c>
      <c r="G97" s="342" t="s">
        <v>118</v>
      </c>
      <c r="H97" s="334">
        <v>8000</v>
      </c>
      <c r="I97" s="345">
        <v>8</v>
      </c>
      <c r="J97" s="346" t="str">
        <f t="shared" si="252"/>
        <v>225/70R19.5-I-19A</v>
      </c>
      <c r="K97" s="347" t="str">
        <f>_xlfn.XLOOKUP(F97,投产规格!E:E,投产规格!D:D,"未投产")</f>
        <v>✔</v>
      </c>
      <c r="L97" s="347">
        <f>IFERROR(_xlfn.XLOOKUP(F97,硫化工艺!B:B,硫化工艺!C:C),"")</f>
        <v>30.3</v>
      </c>
      <c r="M97" s="349">
        <f t="shared" si="276"/>
        <v>0.838560885608856</v>
      </c>
      <c r="N97" s="347" t="str">
        <f t="shared" si="222"/>
        <v>19.5全钢</v>
      </c>
      <c r="O97" s="347">
        <f>IFERROR(_xlfn.XLOOKUP(F97,轮胎重量!J:J,轮胎重量!G:G),"")</f>
        <v>29.461</v>
      </c>
      <c r="P97" s="347">
        <f>IFERROR(_xlfn.XLOOKUP(G97,硫化工艺!I:I,硫化工艺!J:J),"")</f>
        <v>448.4396</v>
      </c>
      <c r="Q97" s="347">
        <f t="shared" si="277"/>
        <v>319</v>
      </c>
      <c r="R97" s="347">
        <v>310</v>
      </c>
      <c r="S97" s="347">
        <v>310</v>
      </c>
      <c r="T97" s="347">
        <v>310</v>
      </c>
      <c r="U97" s="347">
        <v>310</v>
      </c>
      <c r="V97" s="347">
        <v>310</v>
      </c>
      <c r="W97" s="347">
        <v>310</v>
      </c>
      <c r="X97" s="347">
        <v>310</v>
      </c>
      <c r="Y97" s="347">
        <v>310</v>
      </c>
      <c r="Z97" s="347">
        <v>310</v>
      </c>
      <c r="AA97" s="347">
        <v>310</v>
      </c>
      <c r="AB97" s="347">
        <v>310</v>
      </c>
      <c r="AC97" s="347">
        <v>310</v>
      </c>
      <c r="AD97" s="347">
        <v>310</v>
      </c>
      <c r="AE97" s="347">
        <v>310</v>
      </c>
      <c r="AF97" s="347">
        <v>310</v>
      </c>
      <c r="AG97" s="347">
        <v>310</v>
      </c>
      <c r="AH97" s="347">
        <v>310</v>
      </c>
      <c r="AI97" s="347">
        <v>310</v>
      </c>
      <c r="AJ97" s="347"/>
      <c r="AK97" s="347"/>
      <c r="AL97" s="347"/>
      <c r="AM97" s="347"/>
      <c r="AN97" s="347"/>
      <c r="AO97" s="347"/>
      <c r="AP97" s="347"/>
      <c r="AQ97" s="347"/>
      <c r="AR97" s="347"/>
      <c r="AS97" s="347"/>
      <c r="AT97" s="347"/>
      <c r="AU97" s="347"/>
      <c r="AV97" s="347"/>
      <c r="AW97" s="347">
        <v>8000</v>
      </c>
      <c r="AX97" s="365">
        <f t="shared" si="279"/>
        <v>235.688</v>
      </c>
      <c r="AY97" s="365">
        <f t="shared" si="280"/>
        <v>358.752</v>
      </c>
      <c r="AZ97" s="367"/>
      <c r="BA97" s="376"/>
      <c r="BB97" s="376"/>
      <c r="BJ97" s="370" cm="1">
        <f t="array" ref="BJ97:BM97">_xlfn.LET(_xlpm.data,$R97:$AV97,_xlpm.starts,{1,8,16,23},_xlpm.lengths,{7,7,8,9},_xlpm.arr,_xlfn.MAP(_xlpm.starts,_xlpm.lengths,_xlfn.LAMBDA(_xlpm.s,_xlpm.l,SUM(INDEX(_xlpm.data,,_xlfn.SEQUENCE(,_xlpm.l,_xlpm.s))))),ROUND(_xlpm.arr*$O97/1000,2))</f>
        <v>63.93</v>
      </c>
      <c r="BK97" s="330">
        <v>63.93</v>
      </c>
      <c r="BL97" s="330">
        <v>27.4</v>
      </c>
      <c r="BM97" s="330">
        <v>0</v>
      </c>
      <c r="BN97" s="258">
        <f t="shared" si="281"/>
        <v>155.26</v>
      </c>
      <c r="BO97" s="258">
        <v>15.01</v>
      </c>
      <c r="BP97" s="258">
        <v>15.01</v>
      </c>
      <c r="BQ97" s="258">
        <v>17.15</v>
      </c>
      <c r="BR97" s="258">
        <v>19.29</v>
      </c>
      <c r="BT97" s="258" cm="1">
        <f ca="1" t="array" ref="BT97:BW97">_xlfn.HSTACK(SUM(INDEX($R97:$AV97,1,1):INDEX($R97:$AV97,1,7)),SUM(INDEX($R97:$AV97,1,7):INDEX($R97:$AV97,1,13)),SUM(INDEX($R97:$AV97,1,16):INDEX($R97:$AV97,1,23)),SUM(INDEX($R97:$AV97,1,23):INDEX($R97:$AV97,1,31)))</f>
        <v>2170</v>
      </c>
      <c r="BU97" s="258">
        <v>2170</v>
      </c>
      <c r="BV97" s="258">
        <v>930</v>
      </c>
      <c r="BW97" s="258">
        <v>0</v>
      </c>
      <c r="BY97" s="258">
        <f t="shared" si="228"/>
        <v>2170</v>
      </c>
      <c r="BZ97" s="258">
        <f t="shared" si="229"/>
        <v>2170</v>
      </c>
      <c r="CA97" s="258">
        <f t="shared" si="230"/>
        <v>1240</v>
      </c>
      <c r="CB97" s="258">
        <f t="shared" si="231"/>
        <v>0</v>
      </c>
      <c r="CE97" s="258">
        <f t="shared" si="282"/>
        <v>63.93</v>
      </c>
      <c r="CF97" s="258">
        <f t="shared" si="283"/>
        <v>63.93</v>
      </c>
      <c r="CG97" s="258">
        <f t="shared" si="284"/>
        <v>36.53</v>
      </c>
      <c r="CH97" s="258">
        <f t="shared" si="285"/>
        <v>0</v>
      </c>
      <c r="CI97" s="258">
        <f t="shared" si="286"/>
        <v>164.39</v>
      </c>
      <c r="CK97" s="258">
        <f t="shared" ref="CK97:CN97" si="289">IFERROR(ROUND(BY97*$P97,2),"")</f>
        <v>973113.93</v>
      </c>
      <c r="CL97" s="258">
        <f t="shared" si="289"/>
        <v>973113.93</v>
      </c>
      <c r="CM97" s="258">
        <f t="shared" si="289"/>
        <v>556065.1</v>
      </c>
      <c r="CN97" s="258">
        <f t="shared" si="289"/>
        <v>0</v>
      </c>
      <c r="CO97" s="258">
        <f t="shared" si="237"/>
        <v>2502292.96</v>
      </c>
      <c r="CP97" s="258" t="e">
        <f>VLOOKUP(G97,[2]Sheet1!$C$3:$G$310,5,0)</f>
        <v>#N/A</v>
      </c>
      <c r="CQ97" s="258" t="e">
        <f>VLOOKUP(G97,[3]KCBB0101!$C$3:$F$691,4,0)</f>
        <v>#N/A</v>
      </c>
    </row>
    <row r="98" s="258" customFormat="1" ht="17.6" spans="1:95">
      <c r="A98" s="330"/>
      <c r="B98" s="334" t="str">
        <f>_xlfn.XLOOKUP(G98,销售需求表!A:A,销售需求表!C:C)</f>
        <v>北美</v>
      </c>
      <c r="C98" s="335" t="str">
        <f t="shared" si="219"/>
        <v>19.5</v>
      </c>
      <c r="D98" s="334" t="str">
        <f t="shared" si="273"/>
        <v>北美19.5寸</v>
      </c>
      <c r="E98" s="339" t="str">
        <f t="shared" si="274"/>
        <v>225/70R19.5-14PR(128/126N)-I-37D</v>
      </c>
      <c r="F98" s="340" t="str">
        <f t="shared" si="275"/>
        <v>225/70R19.5-14PR-I-37D</v>
      </c>
      <c r="G98" s="341" t="s">
        <v>437</v>
      </c>
      <c r="H98" s="334">
        <v>600</v>
      </c>
      <c r="I98" s="345">
        <v>2</v>
      </c>
      <c r="J98" s="346" t="str">
        <f t="shared" si="252"/>
        <v>225/70R19.5-I-37D</v>
      </c>
      <c r="K98" s="347" t="str">
        <f>_xlfn.XLOOKUP(F98,投产规格!E:E,投产规格!D:D,"未投产")</f>
        <v>✔</v>
      </c>
      <c r="L98" s="347">
        <f>IFERROR(_xlfn.XLOOKUP(F98,硫化工艺!B:B,硫化工艺!C:C),"")</f>
        <v>30</v>
      </c>
      <c r="M98" s="349">
        <f t="shared" si="276"/>
        <v>0.837209302325581</v>
      </c>
      <c r="N98" s="347" t="str">
        <f t="shared" si="222"/>
        <v>19.5全钢</v>
      </c>
      <c r="O98" s="347">
        <f>IFERROR(_xlfn.XLOOKUP(F98,轮胎重量!J:J,轮胎重量!G:G),"")</f>
        <v>30.652</v>
      </c>
      <c r="P98" s="347">
        <f>IFERROR(_xlfn.XLOOKUP(G98,硫化工艺!I:I,硫化工艺!J:J),"")</f>
        <v>466.9322</v>
      </c>
      <c r="Q98" s="347">
        <f t="shared" si="277"/>
        <v>80</v>
      </c>
      <c r="R98" s="347"/>
      <c r="S98" s="347"/>
      <c r="T98" s="347"/>
      <c r="U98" s="347"/>
      <c r="V98" s="347"/>
      <c r="W98" s="347"/>
      <c r="X98" s="347"/>
      <c r="Y98" s="347"/>
      <c r="Z98" s="347"/>
      <c r="AA98" s="347"/>
      <c r="AB98" s="347"/>
      <c r="AC98" s="347"/>
      <c r="AD98" s="347"/>
      <c r="AE98" s="347"/>
      <c r="AF98" s="347"/>
      <c r="AG98" s="347"/>
      <c r="AH98" s="347"/>
      <c r="AI98" s="347"/>
      <c r="AJ98" s="347">
        <v>80</v>
      </c>
      <c r="AK98" s="347">
        <v>80</v>
      </c>
      <c r="AL98" s="347">
        <v>80</v>
      </c>
      <c r="AM98" s="347">
        <v>80</v>
      </c>
      <c r="AN98" s="347">
        <v>80</v>
      </c>
      <c r="AO98" s="347">
        <v>80</v>
      </c>
      <c r="AP98" s="347">
        <v>80</v>
      </c>
      <c r="AQ98" s="347">
        <v>80</v>
      </c>
      <c r="AR98" s="347">
        <v>80</v>
      </c>
      <c r="AS98" s="347"/>
      <c r="AT98" s="347"/>
      <c r="AU98" s="347"/>
      <c r="AV98" s="347"/>
      <c r="AW98" s="347">
        <f t="shared" si="278"/>
        <v>720</v>
      </c>
      <c r="AX98" s="365">
        <f t="shared" si="279"/>
        <v>22.06944</v>
      </c>
      <c r="AY98" s="365">
        <f t="shared" si="280"/>
        <v>33.619</v>
      </c>
      <c r="AZ98" s="367"/>
      <c r="BA98" s="376"/>
      <c r="BB98" s="376"/>
      <c r="BC98" s="330"/>
      <c r="BD98" s="330"/>
      <c r="BE98" s="330"/>
      <c r="BF98" s="330"/>
      <c r="BG98" s="330"/>
      <c r="BH98" s="330"/>
      <c r="BI98" s="330"/>
      <c r="BJ98" s="370" cm="1">
        <f t="array" ref="BJ98:BM98">_xlfn.LET(_xlpm.data,$R98:$AV98,_xlpm.starts,{1,8,16,23},_xlpm.lengths,{7,7,8,9},_xlpm.arr,_xlfn.MAP(_xlpm.starts,_xlpm.lengths,_xlfn.LAMBDA(_xlpm.s,_xlpm.l,SUM(INDEX(_xlpm.data,,_xlfn.SEQUENCE(,_xlpm.l,_xlpm.s))))),ROUND(_xlpm.arr*$O98/1000,2))</f>
        <v>0</v>
      </c>
      <c r="BK98" s="330">
        <v>0</v>
      </c>
      <c r="BL98" s="330">
        <v>12.26</v>
      </c>
      <c r="BM98" s="330">
        <v>12.26</v>
      </c>
      <c r="BN98" s="258">
        <f t="shared" si="281"/>
        <v>24.52</v>
      </c>
      <c r="BO98" s="258">
        <v>8.02</v>
      </c>
      <c r="BP98" s="258">
        <v>14.04</v>
      </c>
      <c r="BQ98" s="258">
        <v>16.04</v>
      </c>
      <c r="BR98" s="258">
        <v>18.05</v>
      </c>
      <c r="BS98" s="115"/>
      <c r="BT98" s="258" cm="1">
        <f ca="1" t="array" ref="BT98:BW98">_xlfn.HSTACK(SUM(INDEX($R98:$AV98,1,1):INDEX($R98:$AV98,1,7)),SUM(INDEX($R98:$AV98,1,7):INDEX($R98:$AV98,1,13)),SUM(INDEX($R98:$AV98,1,16):INDEX($R98:$AV98,1,23)),SUM(INDEX($R98:$AV98,1,23):INDEX($R98:$AV98,1,31)))</f>
        <v>0</v>
      </c>
      <c r="BU98" s="258">
        <v>0</v>
      </c>
      <c r="BV98" s="258">
        <v>400</v>
      </c>
      <c r="BW98" s="258">
        <v>400</v>
      </c>
      <c r="BY98" s="258">
        <f t="shared" si="228"/>
        <v>0</v>
      </c>
      <c r="BZ98" s="258">
        <f t="shared" si="229"/>
        <v>0</v>
      </c>
      <c r="CA98" s="258">
        <f t="shared" si="230"/>
        <v>320</v>
      </c>
      <c r="CB98" s="258">
        <f t="shared" si="231"/>
        <v>400</v>
      </c>
      <c r="CD98" s="113"/>
      <c r="CE98" s="258">
        <f t="shared" si="282"/>
        <v>0</v>
      </c>
      <c r="CF98" s="258">
        <f t="shared" si="283"/>
        <v>0</v>
      </c>
      <c r="CG98" s="258">
        <f t="shared" si="284"/>
        <v>9.81</v>
      </c>
      <c r="CH98" s="258">
        <f t="shared" si="285"/>
        <v>12.26</v>
      </c>
      <c r="CI98" s="258">
        <f t="shared" si="286"/>
        <v>22.07</v>
      </c>
      <c r="CJ98" s="113"/>
      <c r="CK98" s="258">
        <f t="shared" ref="CK98:CN98" si="290">IFERROR(ROUND(BY98*$P98,2),"")</f>
        <v>0</v>
      </c>
      <c r="CL98" s="258">
        <f t="shared" si="290"/>
        <v>0</v>
      </c>
      <c r="CM98" s="258">
        <f t="shared" si="290"/>
        <v>149418.3</v>
      </c>
      <c r="CN98" s="258">
        <f t="shared" si="290"/>
        <v>186772.88</v>
      </c>
      <c r="CO98" s="258">
        <f t="shared" si="237"/>
        <v>336191.18</v>
      </c>
      <c r="CP98" s="258">
        <f>VLOOKUP(G98,[2]Sheet1!$C$3:$G$310,5,0)</f>
        <v>10000</v>
      </c>
      <c r="CQ98" s="258" t="e">
        <f>VLOOKUP(G98,[3]KCBB0101!$C$3:$F$691,4,0)</f>
        <v>#N/A</v>
      </c>
    </row>
    <row r="99" s="258" customFormat="1" ht="17.6" spans="1:95">
      <c r="A99" s="330"/>
      <c r="B99" s="334" t="str">
        <f>_xlfn.XLOOKUP(G99,销售需求表!A:A,销售需求表!C:C)</f>
        <v>北美</v>
      </c>
      <c r="C99" s="335" t="str">
        <f t="shared" si="219"/>
        <v>19.5</v>
      </c>
      <c r="D99" s="334" t="str">
        <f t="shared" si="273"/>
        <v>北美19.5寸</v>
      </c>
      <c r="E99" s="339" t="str">
        <f t="shared" si="274"/>
        <v>225/70R19.5-14PR(128/126N)-M-TRAC AP</v>
      </c>
      <c r="F99" s="340" t="str">
        <f t="shared" si="275"/>
        <v>225/70R19.5-14PR-M-TRAC AP</v>
      </c>
      <c r="G99" s="341" t="s">
        <v>438</v>
      </c>
      <c r="H99" s="334">
        <v>3300</v>
      </c>
      <c r="I99" s="345">
        <v>2</v>
      </c>
      <c r="J99" s="346" t="str">
        <f t="shared" si="252"/>
        <v>225/70R19.5-M-TRAC AP</v>
      </c>
      <c r="K99" s="347" t="str">
        <f>_xlfn.XLOOKUP(F99,投产规格!E:E,投产规格!D:D,"未投产")</f>
        <v>✔</v>
      </c>
      <c r="L99" s="347">
        <f>IFERROR(_xlfn.XLOOKUP(F99,硫化工艺!B:B,硫化工艺!C:C),"")</f>
        <v>30.3</v>
      </c>
      <c r="M99" s="349">
        <f t="shared" si="276"/>
        <v>0.838560885608856</v>
      </c>
      <c r="N99" s="347" t="str">
        <f t="shared" si="222"/>
        <v>19.5全钢</v>
      </c>
      <c r="O99" s="347">
        <f>IFERROR(_xlfn.XLOOKUP(F99,轮胎重量!J:J,轮胎重量!G:G),"")</f>
        <v>29.461</v>
      </c>
      <c r="P99" s="347">
        <f>IFERROR(_xlfn.XLOOKUP(G99,硫化工艺!I:I,硫化工艺!J:J),"")</f>
        <v>447.194027</v>
      </c>
      <c r="Q99" s="347">
        <f t="shared" si="277"/>
        <v>80</v>
      </c>
      <c r="R99" s="347"/>
      <c r="S99" s="347"/>
      <c r="T99" s="347"/>
      <c r="U99" s="347"/>
      <c r="V99" s="347"/>
      <c r="W99" s="347"/>
      <c r="X99" s="347"/>
      <c r="Y99" s="347"/>
      <c r="Z99" s="347"/>
      <c r="AA99" s="347"/>
      <c r="AB99" s="347"/>
      <c r="AC99" s="347"/>
      <c r="AD99" s="347"/>
      <c r="AE99" s="347"/>
      <c r="AF99" s="347"/>
      <c r="AG99" s="347"/>
      <c r="AH99" s="347"/>
      <c r="AI99" s="347"/>
      <c r="AJ99" s="347">
        <v>80</v>
      </c>
      <c r="AK99" s="347">
        <v>80</v>
      </c>
      <c r="AL99" s="347">
        <v>80</v>
      </c>
      <c r="AM99" s="347">
        <v>80</v>
      </c>
      <c r="AN99" s="347">
        <v>80</v>
      </c>
      <c r="AO99" s="347">
        <v>80</v>
      </c>
      <c r="AP99" s="347">
        <v>80</v>
      </c>
      <c r="AQ99" s="347">
        <v>80</v>
      </c>
      <c r="AR99" s="347">
        <v>80</v>
      </c>
      <c r="AS99" s="347">
        <v>80</v>
      </c>
      <c r="AT99" s="347">
        <v>80</v>
      </c>
      <c r="AU99" s="347">
        <v>80</v>
      </c>
      <c r="AV99" s="347">
        <v>80</v>
      </c>
      <c r="AW99" s="347">
        <f t="shared" si="278"/>
        <v>1040</v>
      </c>
      <c r="AX99" s="365">
        <f t="shared" si="279"/>
        <v>30.63944</v>
      </c>
      <c r="AY99" s="365">
        <f t="shared" si="280"/>
        <v>46.508</v>
      </c>
      <c r="AZ99" s="367"/>
      <c r="BA99" s="376"/>
      <c r="BB99" s="376"/>
      <c r="BC99" s="330"/>
      <c r="BD99" s="330"/>
      <c r="BE99" s="330"/>
      <c r="BF99" s="330"/>
      <c r="BG99" s="330"/>
      <c r="BH99" s="330"/>
      <c r="BI99" s="330"/>
      <c r="BJ99" s="370" cm="1">
        <f t="array" ref="BJ99:BM99">_xlfn.LET(_xlpm.data,$R99:$AV99,_xlpm.starts,{1,8,16,23},_xlpm.lengths,{7,7,8,9},_xlpm.arr,_xlfn.MAP(_xlpm.starts,_xlpm.lengths,_xlfn.LAMBDA(_xlpm.s,_xlpm.l,SUM(INDEX(_xlpm.data,,_xlfn.SEQUENCE(,_xlpm.l,_xlpm.s))))),ROUND(_xlpm.arr*$O99/1000,2))</f>
        <v>0</v>
      </c>
      <c r="BK99" s="330">
        <v>0</v>
      </c>
      <c r="BL99" s="330">
        <v>11.78</v>
      </c>
      <c r="BM99" s="330">
        <v>21.21</v>
      </c>
      <c r="BN99" s="258">
        <f t="shared" si="281"/>
        <v>32.99</v>
      </c>
      <c r="BO99" s="258">
        <v>0.24</v>
      </c>
      <c r="BP99" s="258">
        <v>14.82</v>
      </c>
      <c r="BQ99" s="258">
        <v>16.94</v>
      </c>
      <c r="BR99" s="258">
        <v>19.06</v>
      </c>
      <c r="BS99" s="115"/>
      <c r="BT99" s="258" cm="1">
        <f ca="1" t="array" ref="BT99:BW99">_xlfn.HSTACK(SUM(INDEX($R99:$AV99,1,1):INDEX($R99:$AV99,1,7)),SUM(INDEX($R99:$AV99,1,7):INDEX($R99:$AV99,1,13)),SUM(INDEX($R99:$AV99,1,16):INDEX($R99:$AV99,1,23)),SUM(INDEX($R99:$AV99,1,23):INDEX($R99:$AV99,1,31)))</f>
        <v>0</v>
      </c>
      <c r="BU99" s="258">
        <v>0</v>
      </c>
      <c r="BV99" s="258">
        <v>400</v>
      </c>
      <c r="BW99" s="258">
        <v>720</v>
      </c>
      <c r="BY99" s="258">
        <f t="shared" si="228"/>
        <v>0</v>
      </c>
      <c r="BZ99" s="258">
        <f t="shared" si="229"/>
        <v>0</v>
      </c>
      <c r="CA99" s="258">
        <f t="shared" si="230"/>
        <v>320</v>
      </c>
      <c r="CB99" s="258">
        <f t="shared" si="231"/>
        <v>720</v>
      </c>
      <c r="CD99" s="113"/>
      <c r="CE99" s="258">
        <f t="shared" si="282"/>
        <v>0</v>
      </c>
      <c r="CF99" s="258">
        <f t="shared" si="283"/>
        <v>0</v>
      </c>
      <c r="CG99" s="258">
        <f t="shared" si="284"/>
        <v>9.43</v>
      </c>
      <c r="CH99" s="258">
        <f t="shared" si="285"/>
        <v>21.21</v>
      </c>
      <c r="CI99" s="258">
        <f t="shared" si="286"/>
        <v>30.64</v>
      </c>
      <c r="CJ99" s="113"/>
      <c r="CK99" s="258">
        <f t="shared" ref="CK99:CN99" si="291">IFERROR(ROUND(BY99*$P99,2),"")</f>
        <v>0</v>
      </c>
      <c r="CL99" s="258">
        <f t="shared" si="291"/>
        <v>0</v>
      </c>
      <c r="CM99" s="258">
        <f t="shared" si="291"/>
        <v>143102.09</v>
      </c>
      <c r="CN99" s="258">
        <f t="shared" si="291"/>
        <v>321979.7</v>
      </c>
      <c r="CO99" s="258">
        <f t="shared" si="237"/>
        <v>465081.79</v>
      </c>
      <c r="CP99" s="258" t="e">
        <f>VLOOKUP(G99,[2]Sheet1!$C$3:$G$310,5,0)</f>
        <v>#N/A</v>
      </c>
      <c r="CQ99" s="258">
        <f>VLOOKUP(G99,[3]KCBB0101!$C$3:$F$691,4,0)</f>
        <v>9034</v>
      </c>
    </row>
    <row r="100" s="258" customFormat="1" ht="17.6" spans="1:95">
      <c r="A100" s="330"/>
      <c r="B100" s="334" t="str">
        <f>_xlfn.XLOOKUP(G100,销售需求表!A:A,销售需求表!C:C)</f>
        <v>北美</v>
      </c>
      <c r="C100" s="335" t="str">
        <f t="shared" si="219"/>
        <v>19.5</v>
      </c>
      <c r="D100" s="334" t="str">
        <f t="shared" si="273"/>
        <v>北美19.5寸</v>
      </c>
      <c r="E100" s="339" t="str">
        <f t="shared" si="274"/>
        <v>225/70R19.5-14PR(128/126N)-M-TRAC HTD</v>
      </c>
      <c r="F100" s="340" t="str">
        <f t="shared" si="275"/>
        <v>225/70R19.5-14PR-M-TRAC HTD</v>
      </c>
      <c r="G100" s="341" t="s">
        <v>439</v>
      </c>
      <c r="H100" s="334">
        <v>1100</v>
      </c>
      <c r="I100" s="345">
        <v>2</v>
      </c>
      <c r="J100" s="346" t="str">
        <f t="shared" si="252"/>
        <v>225/70R19.5-M-TRAC HTD</v>
      </c>
      <c r="K100" s="347" t="str">
        <f>_xlfn.XLOOKUP(F100,投产规格!E:E,投产规格!D:D,"未投产")</f>
        <v>✔</v>
      </c>
      <c r="L100" s="347">
        <f>IFERROR(_xlfn.XLOOKUP(F100,硫化工艺!B:B,硫化工艺!C:C),"")</f>
        <v>32.5</v>
      </c>
      <c r="M100" s="349">
        <f t="shared" si="276"/>
        <v>0.847826086956522</v>
      </c>
      <c r="N100" s="347" t="str">
        <f t="shared" si="222"/>
        <v>19.5全钢</v>
      </c>
      <c r="O100" s="347">
        <f>IFERROR(_xlfn.XLOOKUP(F100,轮胎重量!J:J,轮胎重量!G:G),"")</f>
        <v>30.845</v>
      </c>
      <c r="P100" s="347">
        <f>IFERROR(_xlfn.XLOOKUP(G100,硫化工艺!I:I,硫化工艺!J:J),"")</f>
        <v>468.94092</v>
      </c>
      <c r="Q100" s="347">
        <f t="shared" si="277"/>
        <v>75</v>
      </c>
      <c r="R100" s="347"/>
      <c r="S100" s="347"/>
      <c r="T100" s="347"/>
      <c r="U100" s="347"/>
      <c r="V100" s="347"/>
      <c r="W100" s="347"/>
      <c r="X100" s="347"/>
      <c r="Y100" s="347"/>
      <c r="Z100" s="347"/>
      <c r="AA100" s="347"/>
      <c r="AB100" s="347"/>
      <c r="AC100" s="347"/>
      <c r="AD100" s="347"/>
      <c r="AE100" s="347"/>
      <c r="AF100" s="347"/>
      <c r="AG100" s="347"/>
      <c r="AH100" s="347"/>
      <c r="AI100" s="347"/>
      <c r="AJ100" s="347">
        <v>80</v>
      </c>
      <c r="AK100" s="347">
        <v>80</v>
      </c>
      <c r="AL100" s="347">
        <v>80</v>
      </c>
      <c r="AM100" s="347">
        <v>80</v>
      </c>
      <c r="AN100" s="347">
        <v>80</v>
      </c>
      <c r="AO100" s="347">
        <v>80</v>
      </c>
      <c r="AP100" s="347">
        <v>80</v>
      </c>
      <c r="AQ100" s="347">
        <v>80</v>
      </c>
      <c r="AR100" s="347">
        <v>80</v>
      </c>
      <c r="AS100" s="347">
        <v>80</v>
      </c>
      <c r="AT100" s="347">
        <v>80</v>
      </c>
      <c r="AU100" s="347">
        <v>80</v>
      </c>
      <c r="AV100" s="347">
        <v>80</v>
      </c>
      <c r="AW100" s="347">
        <f t="shared" si="278"/>
        <v>1040</v>
      </c>
      <c r="AX100" s="365">
        <f t="shared" si="279"/>
        <v>32.0788</v>
      </c>
      <c r="AY100" s="365">
        <f t="shared" si="280"/>
        <v>48.77</v>
      </c>
      <c r="AZ100" s="367"/>
      <c r="BA100" s="376"/>
      <c r="BB100" s="376"/>
      <c r="BC100" s="330"/>
      <c r="BD100" s="330"/>
      <c r="BE100" s="330"/>
      <c r="BF100" s="330"/>
      <c r="BG100" s="330"/>
      <c r="BH100" s="330"/>
      <c r="BI100" s="330"/>
      <c r="BJ100" s="370" cm="1">
        <f t="array" ref="BJ100:BM100">_xlfn.LET(_xlpm.data,$R100:$AV100,_xlpm.starts,{1,8,16,23},_xlpm.lengths,{7,7,8,9},_xlpm.arr,_xlfn.MAP(_xlpm.starts,_xlpm.lengths,_xlfn.LAMBDA(_xlpm.s,_xlpm.l,SUM(INDEX(_xlpm.data,,_xlfn.SEQUENCE(,_xlpm.l,_xlpm.s))))),ROUND(_xlpm.arr*$O100/1000,2))</f>
        <v>0</v>
      </c>
      <c r="BK100" s="330">
        <v>0</v>
      </c>
      <c r="BL100" s="330">
        <v>12.34</v>
      </c>
      <c r="BM100" s="330">
        <v>22.21</v>
      </c>
      <c r="BN100" s="258">
        <f t="shared" si="281"/>
        <v>34.55</v>
      </c>
      <c r="BO100" s="258">
        <v>0</v>
      </c>
      <c r="BP100" s="258">
        <v>0</v>
      </c>
      <c r="BQ100" s="258">
        <v>2.69</v>
      </c>
      <c r="BR100" s="258">
        <v>20.9</v>
      </c>
      <c r="BS100" s="115"/>
      <c r="BT100" s="258" cm="1">
        <f ca="1" t="array" ref="BT100:BW100">_xlfn.HSTACK(SUM(INDEX($R100:$AV100,1,1):INDEX($R100:$AV100,1,7)),SUM(INDEX($R100:$AV100,1,7):INDEX($R100:$AV100,1,13)),SUM(INDEX($R100:$AV100,1,16):INDEX($R100:$AV100,1,23)),SUM(INDEX($R100:$AV100,1,23):INDEX($R100:$AV100,1,31)))</f>
        <v>0</v>
      </c>
      <c r="BU100" s="258">
        <v>0</v>
      </c>
      <c r="BV100" s="258">
        <v>400</v>
      </c>
      <c r="BW100" s="258">
        <v>720</v>
      </c>
      <c r="BY100" s="258">
        <f t="shared" si="228"/>
        <v>0</v>
      </c>
      <c r="BZ100" s="258">
        <f t="shared" si="229"/>
        <v>0</v>
      </c>
      <c r="CA100" s="258">
        <f t="shared" si="230"/>
        <v>320</v>
      </c>
      <c r="CB100" s="258">
        <f t="shared" si="231"/>
        <v>720</v>
      </c>
      <c r="CD100" s="113"/>
      <c r="CE100" s="258">
        <f t="shared" si="282"/>
        <v>0</v>
      </c>
      <c r="CF100" s="258">
        <f t="shared" si="283"/>
        <v>0</v>
      </c>
      <c r="CG100" s="258">
        <f t="shared" si="284"/>
        <v>9.87</v>
      </c>
      <c r="CH100" s="258">
        <f t="shared" si="285"/>
        <v>22.21</v>
      </c>
      <c r="CI100" s="258">
        <f t="shared" si="286"/>
        <v>32.08</v>
      </c>
      <c r="CJ100" s="113"/>
      <c r="CK100" s="258">
        <f t="shared" ref="CK100:CN100" si="292">IFERROR(ROUND(BY100*$P100,2),"")</f>
        <v>0</v>
      </c>
      <c r="CL100" s="258">
        <f t="shared" si="292"/>
        <v>0</v>
      </c>
      <c r="CM100" s="258">
        <f t="shared" si="292"/>
        <v>150061.09</v>
      </c>
      <c r="CN100" s="258">
        <f t="shared" si="292"/>
        <v>337637.46</v>
      </c>
      <c r="CO100" s="258">
        <f t="shared" si="237"/>
        <v>487698.55</v>
      </c>
      <c r="CP100" s="258" t="e">
        <f>VLOOKUP(G100,[2]Sheet1!$C$3:$G$310,5,0)</f>
        <v>#N/A</v>
      </c>
      <c r="CQ100" s="258">
        <f>VLOOKUP(G100,[3]KCBB0101!$C$3:$F$691,4,0)</f>
        <v>6682</v>
      </c>
    </row>
    <row r="101" s="258" customFormat="1" ht="17.6" spans="1:95">
      <c r="A101" s="330"/>
      <c r="B101" s="334" t="str">
        <f>_xlfn.XLOOKUP(G101,销售需求表!A:A,销售需求表!C:C)</f>
        <v>亚</v>
      </c>
      <c r="C101" s="335" t="str">
        <f t="shared" si="219"/>
        <v>19.5</v>
      </c>
      <c r="D101" s="334" t="str">
        <f t="shared" si="273"/>
        <v>亚19.5寸</v>
      </c>
      <c r="E101" s="339" t="str">
        <f t="shared" si="274"/>
        <v>225/70R19.5-14PR(128/126M)-VD935</v>
      </c>
      <c r="F101" s="340" t="str">
        <f t="shared" si="275"/>
        <v>225/70R19.5-14PR-VD935</v>
      </c>
      <c r="G101" s="341" t="s">
        <v>440</v>
      </c>
      <c r="H101" s="334">
        <v>1000</v>
      </c>
      <c r="I101" s="345"/>
      <c r="J101" s="346" t="str">
        <f t="shared" si="252"/>
        <v>225/70R19.5-VD935</v>
      </c>
      <c r="K101" s="347" t="s">
        <v>692</v>
      </c>
      <c r="L101" s="347">
        <f>IFERROR(_xlfn.XLOOKUP(F101,硫化工艺!B:B,硫化工艺!C:C),"")</f>
        <v>32.5</v>
      </c>
      <c r="M101" s="349">
        <f t="shared" si="276"/>
        <v>0.847826086956522</v>
      </c>
      <c r="N101" s="347" t="str">
        <f t="shared" si="222"/>
        <v>19.5全钢</v>
      </c>
      <c r="O101" s="347">
        <f>IFERROR(_xlfn.XLOOKUP(F101,轮胎重量!J:J,轮胎重量!G:G),"")</f>
        <v>31.03</v>
      </c>
      <c r="P101" s="347">
        <f>IFERROR(_xlfn.XLOOKUP(G101,硫化工艺!I:I,硫化工艺!J:J),"")</f>
        <v>470.844206</v>
      </c>
      <c r="Q101" s="347">
        <f t="shared" si="277"/>
        <v>0</v>
      </c>
      <c r="R101" s="347"/>
      <c r="S101" s="347"/>
      <c r="T101" s="347"/>
      <c r="U101" s="347"/>
      <c r="V101" s="347"/>
      <c r="W101" s="347"/>
      <c r="X101" s="347"/>
      <c r="Y101" s="347"/>
      <c r="Z101" s="347"/>
      <c r="AA101" s="347"/>
      <c r="AB101" s="347"/>
      <c r="AC101" s="347"/>
      <c r="AD101" s="347"/>
      <c r="AE101" s="347"/>
      <c r="AF101" s="347"/>
      <c r="AG101" s="347"/>
      <c r="AH101" s="347"/>
      <c r="AI101" s="347"/>
      <c r="AJ101" s="347">
        <v>80</v>
      </c>
      <c r="AK101" s="347">
        <v>80</v>
      </c>
      <c r="AL101" s="347">
        <v>80</v>
      </c>
      <c r="AM101" s="347">
        <v>80</v>
      </c>
      <c r="AN101" s="347">
        <v>80</v>
      </c>
      <c r="AO101" s="347">
        <v>80</v>
      </c>
      <c r="AP101" s="347">
        <v>80</v>
      </c>
      <c r="AQ101" s="347">
        <v>80</v>
      </c>
      <c r="AR101" s="347">
        <v>80</v>
      </c>
      <c r="AS101" s="347">
        <v>80</v>
      </c>
      <c r="AT101" s="347">
        <v>80</v>
      </c>
      <c r="AU101" s="347">
        <v>80</v>
      </c>
      <c r="AV101" s="347">
        <v>80</v>
      </c>
      <c r="AW101" s="347">
        <f t="shared" si="278"/>
        <v>1040</v>
      </c>
      <c r="AX101" s="365">
        <f t="shared" si="279"/>
        <v>32.2712</v>
      </c>
      <c r="AY101" s="365">
        <f t="shared" si="280"/>
        <v>48.968</v>
      </c>
      <c r="AZ101" s="367"/>
      <c r="BA101" s="376"/>
      <c r="BB101" s="376"/>
      <c r="BC101" s="330"/>
      <c r="BD101" s="330"/>
      <c r="BE101" s="330"/>
      <c r="BF101" s="330"/>
      <c r="BG101" s="330"/>
      <c r="BH101" s="330"/>
      <c r="BI101" s="330"/>
      <c r="BJ101" s="370" cm="1">
        <f t="array" ref="BJ101:BM101">_xlfn.LET(_xlpm.data,$R101:$AV101,_xlpm.starts,{1,8,16,23},_xlpm.lengths,{7,7,8,9},_xlpm.arr,_xlfn.MAP(_xlpm.starts,_xlpm.lengths,_xlfn.LAMBDA(_xlpm.s,_xlpm.l,SUM(INDEX(_xlpm.data,,_xlfn.SEQUENCE(,_xlpm.l,_xlpm.s))))),ROUND(_xlpm.arr*$O101/1000,2))</f>
        <v>0</v>
      </c>
      <c r="BK101" s="330">
        <v>0</v>
      </c>
      <c r="BL101" s="330">
        <v>12.41</v>
      </c>
      <c r="BM101" s="330">
        <v>22.34</v>
      </c>
      <c r="BN101" s="258">
        <f t="shared" si="281"/>
        <v>34.75</v>
      </c>
      <c r="BO101" s="258">
        <v>15.49</v>
      </c>
      <c r="BP101" s="258">
        <v>15.49</v>
      </c>
      <c r="BQ101" s="258">
        <v>17.71</v>
      </c>
      <c r="BR101" s="258">
        <v>19.92</v>
      </c>
      <c r="BS101" s="115"/>
      <c r="BT101" s="258" cm="1">
        <f ca="1" t="array" ref="BT101:BW101">_xlfn.HSTACK(SUM(INDEX($R101:$AV101,1,1):INDEX($R101:$AV101,1,7)),SUM(INDEX($R101:$AV101,1,7):INDEX($R101:$AV101,1,13)),SUM(INDEX($R101:$AV101,1,16):INDEX($R101:$AV101,1,23)),SUM(INDEX($R101:$AV101,1,23):INDEX($R101:$AV101,1,31)))</f>
        <v>0</v>
      </c>
      <c r="BU101" s="258">
        <v>0</v>
      </c>
      <c r="BV101" s="258">
        <v>400</v>
      </c>
      <c r="BW101" s="258">
        <v>720</v>
      </c>
      <c r="BY101" s="258">
        <f t="shared" si="228"/>
        <v>0</v>
      </c>
      <c r="BZ101" s="258">
        <f t="shared" si="229"/>
        <v>0</v>
      </c>
      <c r="CA101" s="258">
        <f t="shared" si="230"/>
        <v>320</v>
      </c>
      <c r="CB101" s="258">
        <f t="shared" si="231"/>
        <v>720</v>
      </c>
      <c r="CD101" s="113"/>
      <c r="CE101" s="258">
        <f t="shared" si="282"/>
        <v>0</v>
      </c>
      <c r="CF101" s="258">
        <f t="shared" si="283"/>
        <v>0</v>
      </c>
      <c r="CG101" s="258">
        <f t="shared" si="284"/>
        <v>9.93</v>
      </c>
      <c r="CH101" s="258">
        <f t="shared" si="285"/>
        <v>22.34</v>
      </c>
      <c r="CI101" s="258">
        <f t="shared" si="286"/>
        <v>32.27</v>
      </c>
      <c r="CJ101" s="113"/>
      <c r="CK101" s="258">
        <f t="shared" ref="CK101:CN101" si="293">IFERROR(ROUND(BY101*$P101,2),"")</f>
        <v>0</v>
      </c>
      <c r="CL101" s="258">
        <f t="shared" si="293"/>
        <v>0</v>
      </c>
      <c r="CM101" s="258">
        <f t="shared" si="293"/>
        <v>150670.15</v>
      </c>
      <c r="CN101" s="258">
        <f t="shared" si="293"/>
        <v>339007.83</v>
      </c>
      <c r="CO101" s="258">
        <f t="shared" si="237"/>
        <v>489677.98</v>
      </c>
      <c r="CP101" s="258">
        <f>VLOOKUP(G101,[2]Sheet1!$C$3:$G$310,5,0)</f>
        <v>3100</v>
      </c>
      <c r="CQ101" s="258" t="e">
        <f>VLOOKUP(G101,[3]KCBB0101!$C$3:$F$691,4,0)</f>
        <v>#N/A</v>
      </c>
    </row>
    <row r="102" s="258" customFormat="1" ht="17.6" spans="1:93">
      <c r="A102" s="330"/>
      <c r="B102" s="334" t="str">
        <f>_xlfn.XLOOKUP(G102,销售需求表!A:A,销售需求表!C:C)</f>
        <v>北美</v>
      </c>
      <c r="C102" s="335" t="str">
        <f t="shared" si="219"/>
        <v>19.5</v>
      </c>
      <c r="D102" s="334" t="str">
        <f t="shared" ref="D102:D113" si="294">B102&amp;C102&amp;"寸"</f>
        <v>北美19.5寸</v>
      </c>
      <c r="E102" s="339" t="str">
        <f t="shared" si="274"/>
        <v>245/70R19.5-16PR(136/134J)-ECO-MILE RDW</v>
      </c>
      <c r="F102" s="340" t="str">
        <f t="shared" si="275"/>
        <v>245/70R19.5-16PR-ECO-MILE RDW</v>
      </c>
      <c r="G102" s="339" t="s">
        <v>448</v>
      </c>
      <c r="H102" s="334">
        <v>120</v>
      </c>
      <c r="I102" s="345"/>
      <c r="J102" s="346" t="str">
        <f t="shared" si="252"/>
        <v>245/70R19.5-ECO-MILE RDW</v>
      </c>
      <c r="K102" s="347" t="str">
        <f>_xlfn.XLOOKUP(F102,投产规格!E:E,投产规格!D:D,"未投产")</f>
        <v>未投产</v>
      </c>
      <c r="L102" s="347">
        <f>IFERROR(_xlfn.XLOOKUP(F102,硫化工艺!B:B,硫化工艺!C:C),"")</f>
        <v>34</v>
      </c>
      <c r="M102" s="349">
        <f t="shared" ref="M102:M113" si="295">IF(L102="","",L102/(L102+$L$1/60))</f>
        <v>0.853556485355648</v>
      </c>
      <c r="N102" s="347" t="str">
        <f t="shared" si="222"/>
        <v>19.5全钢</v>
      </c>
      <c r="O102" s="347">
        <f>IFERROR(_xlfn.XLOOKUP(F102,轮胎重量!J:J,轮胎重量!G:G),"")</f>
        <v>38.911</v>
      </c>
      <c r="P102" s="350">
        <f t="shared" ref="P102:P107" si="296">O102*13.9</f>
        <v>540.8629</v>
      </c>
      <c r="Q102" s="347">
        <f t="shared" si="277"/>
        <v>0</v>
      </c>
      <c r="R102" s="347"/>
      <c r="S102" s="347"/>
      <c r="T102" s="347"/>
      <c r="U102" s="347"/>
      <c r="V102" s="347"/>
      <c r="W102" s="347"/>
      <c r="X102" s="347"/>
      <c r="Y102" s="347"/>
      <c r="Z102" s="347"/>
      <c r="AA102" s="347"/>
      <c r="AB102" s="347"/>
      <c r="AC102" s="347"/>
      <c r="AD102" s="347"/>
      <c r="AE102" s="347"/>
      <c r="AF102" s="347"/>
      <c r="AG102" s="347"/>
      <c r="AH102" s="347"/>
      <c r="AI102" s="347"/>
      <c r="AJ102" s="347"/>
      <c r="AK102" s="347"/>
      <c r="AL102" s="347"/>
      <c r="AM102" s="347"/>
      <c r="AN102" s="347"/>
      <c r="AO102" s="347"/>
      <c r="AP102" s="347"/>
      <c r="AQ102" s="347"/>
      <c r="AR102" s="347"/>
      <c r="AS102" s="347"/>
      <c r="AT102" s="347"/>
      <c r="AU102" s="347"/>
      <c r="AV102" s="347"/>
      <c r="AW102" s="347" t="str">
        <f t="shared" ref="AW102:AW113" si="297">IF(SUM(R102:AV102)=0,"",SUM(R102:AV102))</f>
        <v/>
      </c>
      <c r="AX102" s="365" t="str">
        <f t="shared" ref="AX102:AX113" si="298">IFERROR(AW102*O102/1000,"")</f>
        <v/>
      </c>
      <c r="AY102" s="365" t="str">
        <f t="shared" ref="AY102:AY113" si="299">IFERROR(ROUND(AW102*P102/10000,3),"")</f>
        <v/>
      </c>
      <c r="AZ102" s="367"/>
      <c r="BA102" s="376"/>
      <c r="BB102" s="376"/>
      <c r="BC102" s="330"/>
      <c r="BD102" s="330"/>
      <c r="BE102" s="330"/>
      <c r="BF102" s="330"/>
      <c r="BG102" s="330"/>
      <c r="BH102" s="330"/>
      <c r="BI102" s="330"/>
      <c r="BJ102" s="370" cm="1">
        <f t="array" ref="BJ102:BM102">_xlfn.LET(_xlpm.data,$R102:$AV102,_xlpm.starts,{1,8,16,23},_xlpm.lengths,{7,7,8,9},_xlpm.arr,_xlfn.MAP(_xlpm.starts,_xlpm.lengths,_xlfn.LAMBDA(_xlpm.s,_xlpm.l,SUM(INDEX(_xlpm.data,,_xlfn.SEQUENCE(,_xlpm.l,_xlpm.s))))),ROUND(_xlpm.arr*$O102/1000,2))</f>
        <v>0</v>
      </c>
      <c r="BK102" s="330">
        <v>0</v>
      </c>
      <c r="BL102" s="330">
        <v>0</v>
      </c>
      <c r="BM102" s="330">
        <v>0</v>
      </c>
      <c r="BN102" s="258">
        <f t="shared" ref="BN102:BN113" si="300">SUM(BJ102:BM102)</f>
        <v>0</v>
      </c>
      <c r="BO102" s="258">
        <v>0</v>
      </c>
      <c r="BP102" s="258">
        <v>0.37</v>
      </c>
      <c r="BQ102" s="258">
        <v>18.79</v>
      </c>
      <c r="BR102" s="258">
        <v>21.14</v>
      </c>
      <c r="BS102" s="115"/>
      <c r="BT102" s="258" cm="1">
        <f ca="1" t="array" ref="BT102:BW102">_xlfn.HSTACK(SUM(INDEX($R102:$AV102,1,1):INDEX($R102:$AV102,1,7)),SUM(INDEX($R102:$AV102,1,7):INDEX($R102:$AV102,1,13)),SUM(INDEX($R102:$AV102,1,16):INDEX($R102:$AV102,1,23)),SUM(INDEX($R102:$AV102,1,23):INDEX($R102:$AV102,1,31)))</f>
        <v>0</v>
      </c>
      <c r="BU102" s="258">
        <v>0</v>
      </c>
      <c r="BV102" s="258">
        <v>0</v>
      </c>
      <c r="BW102" s="258">
        <v>0</v>
      </c>
      <c r="BY102" s="258">
        <f t="shared" si="228"/>
        <v>0</v>
      </c>
      <c r="BZ102" s="258">
        <f t="shared" si="229"/>
        <v>0</v>
      </c>
      <c r="CA102" s="258">
        <f t="shared" si="230"/>
        <v>0</v>
      </c>
      <c r="CB102" s="258">
        <f t="shared" si="231"/>
        <v>0</v>
      </c>
      <c r="CD102" s="113"/>
      <c r="CE102" s="258">
        <f t="shared" ref="CE102:CE113" si="301">ROUND(BY102*$O102/1000,2)</f>
        <v>0</v>
      </c>
      <c r="CF102" s="258">
        <f t="shared" ref="CF102:CF113" si="302">ROUND(BZ102*$O102/1000,2)</f>
        <v>0</v>
      </c>
      <c r="CG102" s="258">
        <f t="shared" ref="CG102:CG113" si="303">ROUND(CA102*$O102/1000,2)</f>
        <v>0</v>
      </c>
      <c r="CH102" s="258">
        <f t="shared" ref="CH102:CH113" si="304">ROUND(CB102*$O102/1000,2)</f>
        <v>0</v>
      </c>
      <c r="CI102" s="258">
        <f t="shared" ref="CI102:CI113" si="305">SUM(CE102:CH102)</f>
        <v>0</v>
      </c>
      <c r="CJ102" s="113"/>
      <c r="CK102" s="258">
        <f t="shared" ref="CK102:CN102" si="306">IFERROR(ROUND(BY102*$P102,2),"")</f>
        <v>0</v>
      </c>
      <c r="CL102" s="258">
        <f t="shared" si="306"/>
        <v>0</v>
      </c>
      <c r="CM102" s="258">
        <f t="shared" si="306"/>
        <v>0</v>
      </c>
      <c r="CN102" s="258">
        <f t="shared" si="306"/>
        <v>0</v>
      </c>
      <c r="CO102" s="258">
        <f t="shared" si="237"/>
        <v>0</v>
      </c>
    </row>
    <row r="103" s="258" customFormat="1" ht="17.6" spans="1:95">
      <c r="A103" s="330"/>
      <c r="B103" s="334" t="str">
        <f>_xlfn.XLOOKUP(G103,销售需求表!A:A,销售需求表!C:C)</f>
        <v>北美</v>
      </c>
      <c r="C103" s="335" t="str">
        <f t="shared" si="219"/>
        <v>19.5</v>
      </c>
      <c r="D103" s="334" t="str">
        <f t="shared" si="294"/>
        <v>北美19.5寸</v>
      </c>
      <c r="E103" s="339" t="str">
        <f t="shared" si="274"/>
        <v>245/70R19.5-16PR(136/134M)-AP-7318</v>
      </c>
      <c r="F103" s="340" t="str">
        <f t="shared" si="275"/>
        <v>245/70R19.5-16PR-AP-7318</v>
      </c>
      <c r="G103" s="341" t="s">
        <v>449</v>
      </c>
      <c r="H103" s="334">
        <v>500</v>
      </c>
      <c r="I103" s="345">
        <v>2</v>
      </c>
      <c r="J103" s="346" t="str">
        <f t="shared" si="252"/>
        <v>245/70R19.5-AP-7318</v>
      </c>
      <c r="K103" s="347" t="str">
        <f>_xlfn.XLOOKUP(F103,投产规格!E:E,投产规格!D:D,"未投产")</f>
        <v>✔</v>
      </c>
      <c r="L103" s="347">
        <f>IFERROR(_xlfn.XLOOKUP(F103,硫化工艺!B:B,硫化工艺!C:C),"")</f>
        <v>33.5</v>
      </c>
      <c r="M103" s="349">
        <f t="shared" si="295"/>
        <v>0.851694915254237</v>
      </c>
      <c r="N103" s="347" t="str">
        <f t="shared" si="222"/>
        <v>19.5全钢</v>
      </c>
      <c r="O103" s="347">
        <f>IFERROR(_xlfn.XLOOKUP(F103,轮胎重量!J:J,轮胎重量!G:G),"")</f>
        <v>35.03</v>
      </c>
      <c r="P103" s="347">
        <f>IFERROR(_xlfn.XLOOKUP(G103,硫化工艺!I:I,硫化工艺!J:J),"")</f>
        <v>528.894815</v>
      </c>
      <c r="Q103" s="347">
        <f t="shared" si="277"/>
        <v>73</v>
      </c>
      <c r="R103" s="347">
        <v>60</v>
      </c>
      <c r="S103" s="347">
        <v>60</v>
      </c>
      <c r="T103" s="347">
        <v>60</v>
      </c>
      <c r="U103" s="347"/>
      <c r="V103" s="347"/>
      <c r="W103" s="347"/>
      <c r="X103" s="347"/>
      <c r="Y103" s="347"/>
      <c r="Z103" s="347"/>
      <c r="AA103" s="347"/>
      <c r="AB103" s="347"/>
      <c r="AC103" s="347"/>
      <c r="AD103" s="347"/>
      <c r="AE103" s="347"/>
      <c r="AF103" s="347"/>
      <c r="AG103" s="347"/>
      <c r="AH103" s="347"/>
      <c r="AI103" s="347"/>
      <c r="AJ103" s="347"/>
      <c r="AK103" s="347"/>
      <c r="AL103" s="347"/>
      <c r="AM103" s="347"/>
      <c r="AN103" s="347"/>
      <c r="AO103" s="347"/>
      <c r="AP103" s="347"/>
      <c r="AQ103" s="347"/>
      <c r="AR103" s="347"/>
      <c r="AS103" s="347"/>
      <c r="AT103" s="347"/>
      <c r="AU103" s="347"/>
      <c r="AV103" s="347"/>
      <c r="AW103" s="347">
        <f t="shared" si="297"/>
        <v>180</v>
      </c>
      <c r="AX103" s="365">
        <f t="shared" si="298"/>
        <v>6.3054</v>
      </c>
      <c r="AY103" s="365">
        <f t="shared" si="299"/>
        <v>9.52</v>
      </c>
      <c r="AZ103" s="367"/>
      <c r="BA103" s="376"/>
      <c r="BB103" s="376"/>
      <c r="BC103" s="330"/>
      <c r="BD103" s="330"/>
      <c r="BE103" s="330"/>
      <c r="BF103" s="330"/>
      <c r="BG103" s="330"/>
      <c r="BH103" s="330"/>
      <c r="BI103" s="330"/>
      <c r="BJ103" s="370" cm="1">
        <f t="array" ref="BJ103:BM103">_xlfn.LET(_xlpm.data,$R103:$AV103,_xlpm.starts,{1,8,16,23},_xlpm.lengths,{7,7,8,9},_xlpm.arr,_xlfn.MAP(_xlpm.starts,_xlpm.lengths,_xlfn.LAMBDA(_xlpm.s,_xlpm.l,SUM(INDEX(_xlpm.data,,_xlfn.SEQUENCE(,_xlpm.l,_xlpm.s))))),ROUND(_xlpm.arr*$O103/1000,2))</f>
        <v>6.31</v>
      </c>
      <c r="BK103" s="330">
        <v>0</v>
      </c>
      <c r="BL103" s="330">
        <v>0</v>
      </c>
      <c r="BM103" s="330">
        <v>0</v>
      </c>
      <c r="BN103" s="258">
        <f t="shared" si="300"/>
        <v>6.31</v>
      </c>
      <c r="BO103" s="258">
        <v>0.25</v>
      </c>
      <c r="BP103" s="258">
        <v>0.13</v>
      </c>
      <c r="BQ103" s="258">
        <v>0</v>
      </c>
      <c r="BR103" s="258">
        <v>0</v>
      </c>
      <c r="BS103" s="115"/>
      <c r="BT103" s="258" cm="1">
        <f ca="1" t="array" ref="BT103:BW103">_xlfn.HSTACK(SUM(INDEX($R103:$AV103,1,1):INDEX($R103:$AV103,1,7)),SUM(INDEX($R103:$AV103,1,7):INDEX($R103:$AV103,1,13)),SUM(INDEX($R103:$AV103,1,16):INDEX($R103:$AV103,1,23)),SUM(INDEX($R103:$AV103,1,23):INDEX($R103:$AV103,1,31)))</f>
        <v>180</v>
      </c>
      <c r="BU103" s="258">
        <v>0</v>
      </c>
      <c r="BV103" s="258">
        <v>0</v>
      </c>
      <c r="BW103" s="258">
        <v>0</v>
      </c>
      <c r="BY103" s="258">
        <f t="shared" si="228"/>
        <v>180</v>
      </c>
      <c r="BZ103" s="258">
        <f t="shared" si="229"/>
        <v>0</v>
      </c>
      <c r="CA103" s="258">
        <f t="shared" si="230"/>
        <v>0</v>
      </c>
      <c r="CB103" s="258">
        <f t="shared" si="231"/>
        <v>0</v>
      </c>
      <c r="CD103" s="113"/>
      <c r="CE103" s="258">
        <f t="shared" si="301"/>
        <v>6.31</v>
      </c>
      <c r="CF103" s="258">
        <f t="shared" si="302"/>
        <v>0</v>
      </c>
      <c r="CG103" s="258">
        <f t="shared" si="303"/>
        <v>0</v>
      </c>
      <c r="CH103" s="258">
        <f t="shared" si="304"/>
        <v>0</v>
      </c>
      <c r="CI103" s="258">
        <f t="shared" si="305"/>
        <v>6.31</v>
      </c>
      <c r="CJ103" s="113"/>
      <c r="CK103" s="258">
        <f t="shared" ref="CK103:CN103" si="307">IFERROR(ROUND(BY103*$P103,2),"")</f>
        <v>95201.07</v>
      </c>
      <c r="CL103" s="258">
        <f t="shared" si="307"/>
        <v>0</v>
      </c>
      <c r="CM103" s="258">
        <f t="shared" si="307"/>
        <v>0</v>
      </c>
      <c r="CN103" s="258">
        <f t="shared" si="307"/>
        <v>0</v>
      </c>
      <c r="CO103" s="258">
        <f t="shared" si="237"/>
        <v>95201.07</v>
      </c>
      <c r="CP103" s="258" t="e">
        <f>VLOOKUP(G103,[2]Sheet1!$C$3:$G$310,5,0)</f>
        <v>#N/A</v>
      </c>
      <c r="CQ103" s="258">
        <f>VLOOKUP(G103,[3]KCBB0101!$C$3:$F$691,4,0)</f>
        <v>4900</v>
      </c>
    </row>
    <row r="104" s="258" customFormat="1" ht="17.6" spans="1:95">
      <c r="A104" s="330"/>
      <c r="B104" s="334" t="str">
        <f>_xlfn.XLOOKUP(G104,销售需求表!A:A,销售需求表!C:C)</f>
        <v>北美</v>
      </c>
      <c r="C104" s="335" t="str">
        <f t="shared" si="219"/>
        <v>19.5</v>
      </c>
      <c r="D104" s="334" t="str">
        <f t="shared" si="294"/>
        <v>北美19.5寸</v>
      </c>
      <c r="E104" s="339" t="str">
        <f t="shared" si="274"/>
        <v>245/70R19.5-16PR(136/134M)-DR-7318</v>
      </c>
      <c r="F104" s="340" t="str">
        <f t="shared" si="275"/>
        <v>245/70R19.5-16PR-DR-7318</v>
      </c>
      <c r="G104" s="341" t="s">
        <v>450</v>
      </c>
      <c r="H104" s="334">
        <v>220</v>
      </c>
      <c r="I104" s="345">
        <v>2</v>
      </c>
      <c r="J104" s="346" t="str">
        <f t="shared" si="252"/>
        <v>245/70R19.5-DR-7318</v>
      </c>
      <c r="K104" s="347" t="str">
        <f>_xlfn.XLOOKUP(F104,投产规格!E:E,投产规格!D:D,"未投产")</f>
        <v>✔</v>
      </c>
      <c r="L104" s="347">
        <f>IFERROR(_xlfn.XLOOKUP(F104,硫化工艺!B:B,硫化工艺!C:C),"")</f>
        <v>33.5</v>
      </c>
      <c r="M104" s="349">
        <f t="shared" si="295"/>
        <v>0.851694915254237</v>
      </c>
      <c r="N104" s="347" t="str">
        <f t="shared" si="222"/>
        <v>19.5全钢</v>
      </c>
      <c r="O104" s="347">
        <f>IFERROR(_xlfn.XLOOKUP(F104,轮胎重量!J:J,轮胎重量!G:G),"")</f>
        <v>35.701</v>
      </c>
      <c r="P104" s="347">
        <f>IFERROR(_xlfn.XLOOKUP(G104,硫化工艺!I:I,硫化工艺!J:J),"")</f>
        <v>533.607186</v>
      </c>
      <c r="Q104" s="347">
        <f t="shared" si="277"/>
        <v>73</v>
      </c>
      <c r="R104" s="347">
        <v>60</v>
      </c>
      <c r="S104" s="347">
        <v>60</v>
      </c>
      <c r="T104" s="347">
        <v>60</v>
      </c>
      <c r="U104" s="347"/>
      <c r="V104" s="347"/>
      <c r="W104" s="347"/>
      <c r="X104" s="347"/>
      <c r="Y104" s="347"/>
      <c r="Z104" s="347"/>
      <c r="AA104" s="347"/>
      <c r="AB104" s="347"/>
      <c r="AC104" s="347"/>
      <c r="AD104" s="347"/>
      <c r="AE104" s="347"/>
      <c r="AF104" s="347"/>
      <c r="AG104" s="347"/>
      <c r="AH104" s="347"/>
      <c r="AI104" s="347"/>
      <c r="AJ104" s="347"/>
      <c r="AK104" s="347"/>
      <c r="AL104" s="347"/>
      <c r="AM104" s="347"/>
      <c r="AN104" s="347"/>
      <c r="AO104" s="347"/>
      <c r="AP104" s="347"/>
      <c r="AQ104" s="347"/>
      <c r="AR104" s="347"/>
      <c r="AS104" s="347"/>
      <c r="AT104" s="347"/>
      <c r="AU104" s="347"/>
      <c r="AV104" s="347"/>
      <c r="AW104" s="347">
        <f t="shared" si="297"/>
        <v>180</v>
      </c>
      <c r="AX104" s="365">
        <f t="shared" si="298"/>
        <v>6.42618</v>
      </c>
      <c r="AY104" s="365">
        <f t="shared" si="299"/>
        <v>9.605</v>
      </c>
      <c r="AZ104" s="367"/>
      <c r="BA104" s="376"/>
      <c r="BB104" s="376"/>
      <c r="BC104" s="330"/>
      <c r="BD104" s="330"/>
      <c r="BE104" s="330"/>
      <c r="BF104" s="330"/>
      <c r="BG104" s="330"/>
      <c r="BH104" s="330"/>
      <c r="BI104" s="330"/>
      <c r="BJ104" s="370" cm="1">
        <f t="array" ref="BJ104:BM104">_xlfn.LET(_xlpm.data,$R104:$AV104,_xlpm.starts,{1,8,16,23},_xlpm.lengths,{7,7,8,9},_xlpm.arr,_xlfn.MAP(_xlpm.starts,_xlpm.lengths,_xlfn.LAMBDA(_xlpm.s,_xlpm.l,SUM(INDEX(_xlpm.data,,_xlfn.SEQUENCE(,_xlpm.l,_xlpm.s))))),ROUND(_xlpm.arr*$O104/1000,2))</f>
        <v>6.43</v>
      </c>
      <c r="BK104" s="330">
        <v>0</v>
      </c>
      <c r="BL104" s="330">
        <v>0</v>
      </c>
      <c r="BM104" s="330">
        <v>0</v>
      </c>
      <c r="BN104" s="258">
        <f t="shared" si="300"/>
        <v>6.43</v>
      </c>
      <c r="BO104" s="258">
        <v>0</v>
      </c>
      <c r="BP104" s="258">
        <v>0</v>
      </c>
      <c r="BQ104" s="258">
        <v>0</v>
      </c>
      <c r="BR104" s="258">
        <v>0</v>
      </c>
      <c r="BS104" s="115"/>
      <c r="BT104" s="258" cm="1">
        <f ca="1" t="array" ref="BT104:BW104">_xlfn.HSTACK(SUM(INDEX($R104:$AV104,1,1):INDEX($R104:$AV104,1,7)),SUM(INDEX($R104:$AV104,1,7):INDEX($R104:$AV104,1,13)),SUM(INDEX($R104:$AV104,1,16):INDEX($R104:$AV104,1,23)),SUM(INDEX($R104:$AV104,1,23):INDEX($R104:$AV104,1,31)))</f>
        <v>180</v>
      </c>
      <c r="BU104" s="258">
        <v>0</v>
      </c>
      <c r="BV104" s="258">
        <v>0</v>
      </c>
      <c r="BW104" s="258">
        <v>0</v>
      </c>
      <c r="BY104" s="258">
        <f t="shared" si="228"/>
        <v>180</v>
      </c>
      <c r="BZ104" s="258">
        <f t="shared" si="229"/>
        <v>0</v>
      </c>
      <c r="CA104" s="258">
        <f t="shared" si="230"/>
        <v>0</v>
      </c>
      <c r="CB104" s="258">
        <f t="shared" si="231"/>
        <v>0</v>
      </c>
      <c r="CD104" s="113"/>
      <c r="CE104" s="258">
        <f t="shared" si="301"/>
        <v>6.43</v>
      </c>
      <c r="CF104" s="258">
        <f t="shared" si="302"/>
        <v>0</v>
      </c>
      <c r="CG104" s="258">
        <f t="shared" si="303"/>
        <v>0</v>
      </c>
      <c r="CH104" s="258">
        <f t="shared" si="304"/>
        <v>0</v>
      </c>
      <c r="CI104" s="258">
        <f t="shared" si="305"/>
        <v>6.43</v>
      </c>
      <c r="CJ104" s="113"/>
      <c r="CK104" s="258">
        <f t="shared" ref="CK104:CN104" si="308">IFERROR(ROUND(BY104*$P104,2),"")</f>
        <v>96049.29</v>
      </c>
      <c r="CL104" s="258">
        <f t="shared" si="308"/>
        <v>0</v>
      </c>
      <c r="CM104" s="258">
        <f t="shared" si="308"/>
        <v>0</v>
      </c>
      <c r="CN104" s="258">
        <f t="shared" si="308"/>
        <v>0</v>
      </c>
      <c r="CO104" s="258">
        <f t="shared" si="237"/>
        <v>96049.29</v>
      </c>
      <c r="CP104" s="258" t="e">
        <f>VLOOKUP(G104,[2]Sheet1!$C$3:$G$310,5,0)</f>
        <v>#N/A</v>
      </c>
      <c r="CQ104" s="258">
        <f>VLOOKUP(G104,[3]KCBB0101!$C$3:$F$691,4,0)</f>
        <v>3500</v>
      </c>
    </row>
    <row r="105" s="258" customFormat="1" ht="17.6" spans="1:93">
      <c r="A105" s="330"/>
      <c r="B105" s="334" t="str">
        <f>_xlfn.XLOOKUP(G105,销售需求表!A:A,销售需求表!C:C)</f>
        <v>北美</v>
      </c>
      <c r="C105" s="335" t="str">
        <f t="shared" si="219"/>
        <v>19.5</v>
      </c>
      <c r="D105" s="334" t="str">
        <f t="shared" si="294"/>
        <v>北美19.5寸</v>
      </c>
      <c r="E105" s="339" t="str">
        <f t="shared" si="274"/>
        <v>245/70R19.5-16PR(136/134M)-ECO-MILE AP</v>
      </c>
      <c r="F105" s="340" t="str">
        <f t="shared" si="275"/>
        <v>245/70R19.5-16PR-ECO-MILE AP</v>
      </c>
      <c r="G105" s="339" t="s">
        <v>451</v>
      </c>
      <c r="H105" s="334">
        <v>320</v>
      </c>
      <c r="I105" s="345"/>
      <c r="J105" s="346" t="str">
        <f t="shared" ref="J103:J110" si="309">IFERROR(LEFT(F105,FIND("-",F105))&amp;MID(F105,FIND("PR",F105,FIND("-",F105))+3,LEN(F105)),F105)</f>
        <v>245/70R19.5-ECO-MILE AP</v>
      </c>
      <c r="K105" s="347" t="str">
        <f>_xlfn.XLOOKUP(F105,投产规格!E:E,投产规格!D:D,"未投产")</f>
        <v>✔</v>
      </c>
      <c r="L105" s="347">
        <f>IFERROR(_xlfn.XLOOKUP(F105,硫化工艺!B:B,硫化工艺!C:C),"")</f>
        <v>33.5</v>
      </c>
      <c r="M105" s="349">
        <f t="shared" si="295"/>
        <v>0.851694915254237</v>
      </c>
      <c r="N105" s="347" t="str">
        <f t="shared" si="222"/>
        <v>19.5全钢</v>
      </c>
      <c r="O105" s="347">
        <f>IFERROR(_xlfn.XLOOKUP(F105,轮胎重量!J:J,轮胎重量!G:G),"")</f>
        <v>34.6</v>
      </c>
      <c r="P105" s="350">
        <f t="shared" si="296"/>
        <v>480.94</v>
      </c>
      <c r="Q105" s="347">
        <f t="shared" si="277"/>
        <v>0</v>
      </c>
      <c r="R105" s="347"/>
      <c r="S105" s="347"/>
      <c r="T105" s="347"/>
      <c r="U105" s="347"/>
      <c r="V105" s="347"/>
      <c r="W105" s="347"/>
      <c r="X105" s="347"/>
      <c r="Y105" s="347"/>
      <c r="Z105" s="347"/>
      <c r="AA105" s="347"/>
      <c r="AB105" s="347"/>
      <c r="AC105" s="347"/>
      <c r="AD105" s="347"/>
      <c r="AE105" s="347"/>
      <c r="AF105" s="347"/>
      <c r="AG105" s="347"/>
      <c r="AH105" s="347"/>
      <c r="AI105" s="347"/>
      <c r="AJ105" s="347"/>
      <c r="AK105" s="347"/>
      <c r="AL105" s="347"/>
      <c r="AM105" s="347"/>
      <c r="AN105" s="347"/>
      <c r="AO105" s="347"/>
      <c r="AP105" s="347"/>
      <c r="AQ105" s="347"/>
      <c r="AR105" s="347"/>
      <c r="AS105" s="347"/>
      <c r="AT105" s="347"/>
      <c r="AU105" s="347"/>
      <c r="AV105" s="347"/>
      <c r="AW105" s="347" t="str">
        <f t="shared" si="297"/>
        <v/>
      </c>
      <c r="AX105" s="365" t="str">
        <f t="shared" si="298"/>
        <v/>
      </c>
      <c r="AY105" s="365" t="str">
        <f t="shared" si="299"/>
        <v/>
      </c>
      <c r="AZ105" s="367"/>
      <c r="BA105" s="376"/>
      <c r="BB105" s="376"/>
      <c r="BC105" s="330"/>
      <c r="BD105" s="330"/>
      <c r="BE105" s="330"/>
      <c r="BF105" s="330"/>
      <c r="BG105" s="330"/>
      <c r="BH105" s="330"/>
      <c r="BI105" s="330"/>
      <c r="BJ105" s="370" cm="1">
        <f t="array" ref="BJ105:BM105">_xlfn.LET(_xlpm.data,$R105:$AV105,_xlpm.starts,{1,8,16,23},_xlpm.lengths,{7,7,8,9},_xlpm.arr,_xlfn.MAP(_xlpm.starts,_xlpm.lengths,_xlfn.LAMBDA(_xlpm.s,_xlpm.l,SUM(INDEX(_xlpm.data,,_xlfn.SEQUENCE(,_xlpm.l,_xlpm.s))))),ROUND(_xlpm.arr*$O105/1000,2))</f>
        <v>0</v>
      </c>
      <c r="BK105" s="330">
        <v>0</v>
      </c>
      <c r="BL105" s="330">
        <v>0</v>
      </c>
      <c r="BM105" s="330">
        <v>0</v>
      </c>
      <c r="BN105" s="258">
        <f t="shared" si="300"/>
        <v>0</v>
      </c>
      <c r="BO105" s="258">
        <v>0</v>
      </c>
      <c r="BP105" s="258">
        <v>0</v>
      </c>
      <c r="BQ105" s="258">
        <v>0</v>
      </c>
      <c r="BR105" s="258">
        <v>0</v>
      </c>
      <c r="BS105" s="115"/>
      <c r="BT105" s="258" cm="1">
        <f ca="1" t="array" ref="BT105:BW105">_xlfn.HSTACK(SUM(INDEX($R105:$AV105,1,1):INDEX($R105:$AV105,1,7)),SUM(INDEX($R105:$AV105,1,7):INDEX($R105:$AV105,1,13)),SUM(INDEX($R105:$AV105,1,16):INDEX($R105:$AV105,1,23)),SUM(INDEX($R105:$AV105,1,23):INDEX($R105:$AV105,1,31)))</f>
        <v>0</v>
      </c>
      <c r="BU105" s="258">
        <v>0</v>
      </c>
      <c r="BV105" s="258">
        <v>0</v>
      </c>
      <c r="BW105" s="258">
        <v>0</v>
      </c>
      <c r="BY105" s="258">
        <f t="shared" si="228"/>
        <v>0</v>
      </c>
      <c r="BZ105" s="258">
        <f t="shared" si="229"/>
        <v>0</v>
      </c>
      <c r="CA105" s="258">
        <f t="shared" si="230"/>
        <v>0</v>
      </c>
      <c r="CB105" s="258">
        <f t="shared" si="231"/>
        <v>0</v>
      </c>
      <c r="CD105" s="113"/>
      <c r="CE105" s="258">
        <f t="shared" si="301"/>
        <v>0</v>
      </c>
      <c r="CF105" s="258">
        <f t="shared" si="302"/>
        <v>0</v>
      </c>
      <c r="CG105" s="258">
        <f t="shared" si="303"/>
        <v>0</v>
      </c>
      <c r="CH105" s="258">
        <f t="shared" si="304"/>
        <v>0</v>
      </c>
      <c r="CI105" s="258">
        <f t="shared" si="305"/>
        <v>0</v>
      </c>
      <c r="CJ105" s="113"/>
      <c r="CK105" s="258">
        <f t="shared" ref="CK105:CN105" si="310">IFERROR(ROUND(BY105*$P105,2),"")</f>
        <v>0</v>
      </c>
      <c r="CL105" s="258">
        <f t="shared" si="310"/>
        <v>0</v>
      </c>
      <c r="CM105" s="258">
        <f t="shared" si="310"/>
        <v>0</v>
      </c>
      <c r="CN105" s="258">
        <f t="shared" si="310"/>
        <v>0</v>
      </c>
      <c r="CO105" s="258">
        <f t="shared" si="237"/>
        <v>0</v>
      </c>
    </row>
    <row r="106" ht="17.6" spans="2:95">
      <c r="B106" s="334" t="str">
        <f>_xlfn.XLOOKUP(G106,销售需求表!A:A,销售需求表!C:C)</f>
        <v>北美</v>
      </c>
      <c r="C106" s="335" t="str">
        <f t="shared" si="219"/>
        <v>19.5</v>
      </c>
      <c r="D106" s="334" t="str">
        <f t="shared" si="294"/>
        <v>北美19.5寸</v>
      </c>
      <c r="E106" s="339" t="str">
        <f t="shared" si="274"/>
        <v>245/70R19.5-16PR(136/134M)-M-TRAC AP</v>
      </c>
      <c r="F106" s="340" t="str">
        <f t="shared" si="275"/>
        <v>245/70R19.5-16PR-M-TRAC AP</v>
      </c>
      <c r="G106" s="341" t="s">
        <v>452</v>
      </c>
      <c r="H106" s="334">
        <v>1500</v>
      </c>
      <c r="I106" s="345">
        <v>2</v>
      </c>
      <c r="J106" s="346" t="str">
        <f t="shared" si="309"/>
        <v>245/70R19.5-M-TRAC AP</v>
      </c>
      <c r="K106" s="347" t="str">
        <f>_xlfn.XLOOKUP(F106,投产规格!E:E,投产规格!D:D,"未投产")</f>
        <v>✔</v>
      </c>
      <c r="L106" s="347">
        <f>IFERROR(_xlfn.XLOOKUP(F106,硫化工艺!B:B,硫化工艺!C:C),"")</f>
        <v>33.5</v>
      </c>
      <c r="M106" s="349">
        <f t="shared" si="295"/>
        <v>0.851694915254237</v>
      </c>
      <c r="N106" s="347" t="str">
        <f t="shared" si="222"/>
        <v>19.5全钢</v>
      </c>
      <c r="O106" s="347">
        <f>IFERROR(_xlfn.XLOOKUP(F106,轮胎重量!J:J,轮胎重量!G:G),"")</f>
        <v>34.6</v>
      </c>
      <c r="P106" s="350">
        <f t="shared" si="296"/>
        <v>480.94</v>
      </c>
      <c r="Q106" s="347">
        <f t="shared" si="277"/>
        <v>73</v>
      </c>
      <c r="R106" s="347">
        <v>60</v>
      </c>
      <c r="S106" s="347">
        <v>60</v>
      </c>
      <c r="T106" s="347">
        <v>60</v>
      </c>
      <c r="U106" s="347">
        <v>60</v>
      </c>
      <c r="V106" s="347">
        <v>60</v>
      </c>
      <c r="W106" s="347">
        <v>60</v>
      </c>
      <c r="X106" s="347">
        <v>60</v>
      </c>
      <c r="Y106" s="347">
        <v>60</v>
      </c>
      <c r="Z106" s="347">
        <v>60</v>
      </c>
      <c r="AA106" s="347">
        <v>60</v>
      </c>
      <c r="AB106" s="347">
        <v>60</v>
      </c>
      <c r="AC106" s="347">
        <v>60</v>
      </c>
      <c r="AD106" s="347">
        <v>60</v>
      </c>
      <c r="AE106" s="347">
        <v>60</v>
      </c>
      <c r="AF106" s="347">
        <v>60</v>
      </c>
      <c r="AG106" s="347"/>
      <c r="AH106" s="347"/>
      <c r="AI106" s="347"/>
      <c r="AJ106" s="347"/>
      <c r="AK106" s="347"/>
      <c r="AL106" s="347"/>
      <c r="AM106" s="347"/>
      <c r="AN106" s="347"/>
      <c r="AO106" s="347"/>
      <c r="AP106" s="347"/>
      <c r="AQ106" s="347"/>
      <c r="AR106" s="347"/>
      <c r="AS106" s="347"/>
      <c r="AT106" s="347"/>
      <c r="AU106" s="347"/>
      <c r="AV106" s="347"/>
      <c r="AW106" s="347">
        <f t="shared" si="297"/>
        <v>900</v>
      </c>
      <c r="AX106" s="365">
        <f t="shared" si="298"/>
        <v>31.14</v>
      </c>
      <c r="AY106" s="365">
        <f t="shared" si="299"/>
        <v>43.285</v>
      </c>
      <c r="AZ106" s="367"/>
      <c r="BA106" s="376"/>
      <c r="BB106" s="376"/>
      <c r="BJ106" s="370" cm="1">
        <f t="array" ref="BJ106:BM106">_xlfn.LET(_xlpm.data,$R106:$AV106,_xlpm.starts,{1,8,16,23},_xlpm.lengths,{7,7,8,9},_xlpm.arr,_xlfn.MAP(_xlpm.starts,_xlpm.lengths,_xlfn.LAMBDA(_xlpm.s,_xlpm.l,SUM(INDEX(_xlpm.data,,_xlfn.SEQUENCE(,_xlpm.l,_xlpm.s))))),ROUND(_xlpm.arr*$O106/1000,2))</f>
        <v>14.53</v>
      </c>
      <c r="BK106" s="330">
        <v>14.53</v>
      </c>
      <c r="BL106" s="330">
        <v>0</v>
      </c>
      <c r="BM106" s="330">
        <v>0</v>
      </c>
      <c r="BN106" s="258">
        <f t="shared" si="300"/>
        <v>29.06</v>
      </c>
      <c r="BO106" s="258">
        <v>0</v>
      </c>
      <c r="BP106" s="258">
        <v>0</v>
      </c>
      <c r="BQ106" s="258">
        <v>0</v>
      </c>
      <c r="BR106" s="258">
        <v>0</v>
      </c>
      <c r="BT106" s="258" cm="1">
        <f ca="1" t="array" ref="BT106:BW106">_xlfn.HSTACK(SUM(INDEX($R106:$AV106,1,1):INDEX($R106:$AV106,1,7)),SUM(INDEX($R106:$AV106,1,7):INDEX($R106:$AV106,1,13)),SUM(INDEX($R106:$AV106,1,16):INDEX($R106:$AV106,1,23)),SUM(INDEX($R106:$AV106,1,23):INDEX($R106:$AV106,1,31)))</f>
        <v>420</v>
      </c>
      <c r="BU106" s="258">
        <v>420</v>
      </c>
      <c r="BV106" s="258">
        <v>0</v>
      </c>
      <c r="BW106" s="258">
        <v>0</v>
      </c>
      <c r="BY106" s="258">
        <f t="shared" si="228"/>
        <v>420</v>
      </c>
      <c r="BZ106" s="258">
        <f t="shared" si="229"/>
        <v>420</v>
      </c>
      <c r="CA106" s="258">
        <f t="shared" si="230"/>
        <v>60</v>
      </c>
      <c r="CB106" s="258">
        <f t="shared" si="231"/>
        <v>0</v>
      </c>
      <c r="CE106" s="258">
        <f t="shared" si="301"/>
        <v>14.53</v>
      </c>
      <c r="CF106" s="258">
        <f t="shared" si="302"/>
        <v>14.53</v>
      </c>
      <c r="CG106" s="258">
        <f t="shared" si="303"/>
        <v>2.08</v>
      </c>
      <c r="CH106" s="258">
        <f t="shared" si="304"/>
        <v>0</v>
      </c>
      <c r="CI106" s="258">
        <f t="shared" si="305"/>
        <v>31.14</v>
      </c>
      <c r="CK106" s="258">
        <f t="shared" ref="CK106:CN106" si="311">IFERROR(ROUND(BY106*$P106,2),"")</f>
        <v>201994.8</v>
      </c>
      <c r="CL106" s="258">
        <f t="shared" si="311"/>
        <v>201994.8</v>
      </c>
      <c r="CM106" s="258">
        <f t="shared" si="311"/>
        <v>28856.4</v>
      </c>
      <c r="CN106" s="258">
        <f t="shared" si="311"/>
        <v>0</v>
      </c>
      <c r="CO106" s="258">
        <f t="shared" si="237"/>
        <v>432846</v>
      </c>
      <c r="CP106" s="258" t="e">
        <f>VLOOKUP(G106,[2]Sheet1!$C$3:$G$310,5,0)</f>
        <v>#N/A</v>
      </c>
      <c r="CQ106" s="258">
        <f>VLOOKUP(G106,[3]KCBB0101!$C$3:$F$691,4,0)</f>
        <v>11000</v>
      </c>
    </row>
    <row r="107" s="258" customFormat="1" ht="17.6" spans="1:95">
      <c r="A107" s="330"/>
      <c r="B107" s="334" t="str">
        <f>_xlfn.XLOOKUP(G107,销售需求表!A:A,销售需求表!C:C)</f>
        <v>北美</v>
      </c>
      <c r="C107" s="335" t="str">
        <f t="shared" si="219"/>
        <v>19.5</v>
      </c>
      <c r="D107" s="334" t="str">
        <f t="shared" si="294"/>
        <v>北美19.5寸</v>
      </c>
      <c r="E107" s="339" t="str">
        <f t="shared" si="274"/>
        <v>245/70R19.5-16PR(136/134M)-M-TRAC HTD</v>
      </c>
      <c r="F107" s="340" t="str">
        <f t="shared" si="275"/>
        <v>245/70R19.5-16PR-M-TRAC HTD</v>
      </c>
      <c r="G107" s="341" t="s">
        <v>453</v>
      </c>
      <c r="H107" s="334">
        <v>1000</v>
      </c>
      <c r="I107" s="345"/>
      <c r="J107" s="346" t="str">
        <f t="shared" si="309"/>
        <v>245/70R19.5-M-TRAC HTD</v>
      </c>
      <c r="K107" s="347" t="str">
        <f>_xlfn.XLOOKUP(F107,投产规格!E:E,投产规格!D:D,"未投产")</f>
        <v>✔</v>
      </c>
      <c r="L107" s="347">
        <f>IFERROR(_xlfn.XLOOKUP(F107,硫化工艺!B:B,硫化工艺!C:C),"")</f>
        <v>32.5</v>
      </c>
      <c r="M107" s="349">
        <f t="shared" si="295"/>
        <v>0.847826086956522</v>
      </c>
      <c r="N107" s="347" t="str">
        <f t="shared" si="222"/>
        <v>19.5全钢</v>
      </c>
      <c r="O107" s="347">
        <f>IFERROR(_xlfn.XLOOKUP(F107,轮胎重量!J:J,轮胎重量!G:G),"")</f>
        <v>34.6</v>
      </c>
      <c r="P107" s="350">
        <f t="shared" si="296"/>
        <v>480.94</v>
      </c>
      <c r="Q107" s="347">
        <f t="shared" si="277"/>
        <v>0</v>
      </c>
      <c r="R107" s="347"/>
      <c r="S107" s="347"/>
      <c r="T107" s="347"/>
      <c r="U107" s="347">
        <v>60</v>
      </c>
      <c r="V107" s="347">
        <v>60</v>
      </c>
      <c r="W107" s="347">
        <v>60</v>
      </c>
      <c r="X107" s="347">
        <v>60</v>
      </c>
      <c r="Y107" s="347">
        <v>60</v>
      </c>
      <c r="Z107" s="347">
        <v>60</v>
      </c>
      <c r="AA107" s="347">
        <v>60</v>
      </c>
      <c r="AB107" s="347">
        <v>60</v>
      </c>
      <c r="AC107" s="347">
        <v>60</v>
      </c>
      <c r="AD107" s="347">
        <v>60</v>
      </c>
      <c r="AE107" s="347">
        <v>60</v>
      </c>
      <c r="AF107" s="347">
        <v>60</v>
      </c>
      <c r="AG107" s="347"/>
      <c r="AH107" s="347"/>
      <c r="AI107" s="347"/>
      <c r="AJ107" s="347"/>
      <c r="AK107" s="347"/>
      <c r="AL107" s="347"/>
      <c r="AM107" s="347"/>
      <c r="AN107" s="347"/>
      <c r="AO107" s="347"/>
      <c r="AP107" s="347"/>
      <c r="AQ107" s="347"/>
      <c r="AR107" s="347"/>
      <c r="AS107" s="347"/>
      <c r="AT107" s="347"/>
      <c r="AU107" s="347"/>
      <c r="AV107" s="347"/>
      <c r="AW107" s="347">
        <f t="shared" si="297"/>
        <v>720</v>
      </c>
      <c r="AX107" s="365">
        <f t="shared" si="298"/>
        <v>24.912</v>
      </c>
      <c r="AY107" s="365">
        <f t="shared" si="299"/>
        <v>34.628</v>
      </c>
      <c r="AZ107" s="367"/>
      <c r="BA107" s="376"/>
      <c r="BB107" s="376"/>
      <c r="BC107" s="330"/>
      <c r="BD107" s="330"/>
      <c r="BE107" s="330"/>
      <c r="BF107" s="330"/>
      <c r="BG107" s="330"/>
      <c r="BH107" s="330"/>
      <c r="BI107" s="330"/>
      <c r="BJ107" s="370" cm="1">
        <f t="array" ref="BJ107:BM107">_xlfn.LET(_xlpm.data,$R107:$AV107,_xlpm.starts,{1,8,16,23},_xlpm.lengths,{7,7,8,9},_xlpm.arr,_xlfn.MAP(_xlpm.starts,_xlpm.lengths,_xlfn.LAMBDA(_xlpm.s,_xlpm.l,SUM(INDEX(_xlpm.data,,_xlfn.SEQUENCE(,_xlpm.l,_xlpm.s))))),ROUND(_xlpm.arr*$O107/1000,2))</f>
        <v>8.3</v>
      </c>
      <c r="BK107" s="330">
        <v>14.53</v>
      </c>
      <c r="BL107" s="330">
        <v>0</v>
      </c>
      <c r="BM107" s="330">
        <v>0</v>
      </c>
      <c r="BN107" s="258">
        <f t="shared" si="300"/>
        <v>22.83</v>
      </c>
      <c r="BO107" s="258">
        <v>0</v>
      </c>
      <c r="BP107" s="258">
        <v>0</v>
      </c>
      <c r="BQ107" s="258">
        <v>0</v>
      </c>
      <c r="BR107" s="258">
        <v>0</v>
      </c>
      <c r="BS107" s="115"/>
      <c r="BT107" s="258" cm="1">
        <f ca="1" t="array" ref="BT107:BW107">_xlfn.HSTACK(SUM(INDEX($R107:$AV107,1,1):INDEX($R107:$AV107,1,7)),SUM(INDEX($R107:$AV107,1,7):INDEX($R107:$AV107,1,13)),SUM(INDEX($R107:$AV107,1,16):INDEX($R107:$AV107,1,23)),SUM(INDEX($R107:$AV107,1,23):INDEX($R107:$AV107,1,31)))</f>
        <v>240</v>
      </c>
      <c r="BU107" s="258">
        <v>420</v>
      </c>
      <c r="BV107" s="258">
        <v>0</v>
      </c>
      <c r="BW107" s="258">
        <v>0</v>
      </c>
      <c r="BY107" s="258">
        <f t="shared" si="228"/>
        <v>240</v>
      </c>
      <c r="BZ107" s="258">
        <f t="shared" si="229"/>
        <v>420</v>
      </c>
      <c r="CA107" s="258">
        <f t="shared" si="230"/>
        <v>60</v>
      </c>
      <c r="CB107" s="258">
        <f t="shared" si="231"/>
        <v>0</v>
      </c>
      <c r="CD107" s="113"/>
      <c r="CE107" s="258">
        <f t="shared" si="301"/>
        <v>8.3</v>
      </c>
      <c r="CF107" s="258">
        <f t="shared" si="302"/>
        <v>14.53</v>
      </c>
      <c r="CG107" s="258">
        <f t="shared" si="303"/>
        <v>2.08</v>
      </c>
      <c r="CH107" s="258">
        <f t="shared" si="304"/>
        <v>0</v>
      </c>
      <c r="CI107" s="258">
        <f t="shared" si="305"/>
        <v>24.91</v>
      </c>
      <c r="CJ107" s="113"/>
      <c r="CK107" s="258">
        <f t="shared" ref="CK107:CN107" si="312">IFERROR(ROUND(BY107*$P107,2),"")</f>
        <v>115425.6</v>
      </c>
      <c r="CL107" s="258">
        <f t="shared" si="312"/>
        <v>201994.8</v>
      </c>
      <c r="CM107" s="258">
        <f t="shared" si="312"/>
        <v>28856.4</v>
      </c>
      <c r="CN107" s="258">
        <f t="shared" si="312"/>
        <v>0</v>
      </c>
      <c r="CO107" s="258">
        <f t="shared" si="237"/>
        <v>346276.8</v>
      </c>
      <c r="CP107" s="258" t="e">
        <f>VLOOKUP(G107,[2]Sheet1!$C$3:$G$310,5,0)</f>
        <v>#N/A</v>
      </c>
      <c r="CQ107" s="258">
        <f>VLOOKUP(G107,[3]KCBB0101!$C$3:$F$691,4,0)</f>
        <v>8000</v>
      </c>
    </row>
    <row r="108" s="258" customFormat="1" ht="17.6" spans="1:95">
      <c r="A108" s="330"/>
      <c r="B108" s="334" t="str">
        <f>_xlfn.XLOOKUP(G108,销售需求表!A:A,销售需求表!C:C)</f>
        <v>北美</v>
      </c>
      <c r="C108" s="335" t="str">
        <f t="shared" si="219"/>
        <v>19.5</v>
      </c>
      <c r="D108" s="334" t="str">
        <f t="shared" si="294"/>
        <v>北美19.5寸</v>
      </c>
      <c r="E108" s="339" t="str">
        <f t="shared" si="274"/>
        <v>245/70R19.5-16PR(136/134N)-I-19A</v>
      </c>
      <c r="F108" s="340" t="str">
        <f t="shared" si="275"/>
        <v>245/70R19.5-16PR-I-19A</v>
      </c>
      <c r="G108" s="341" t="s">
        <v>454</v>
      </c>
      <c r="H108" s="334">
        <v>1400</v>
      </c>
      <c r="I108" s="345"/>
      <c r="J108" s="346" t="str">
        <f t="shared" si="309"/>
        <v>245/70R19.5-I-19A</v>
      </c>
      <c r="K108" s="347" t="str">
        <f>_xlfn.XLOOKUP(F108,投产规格!E:E,投产规格!D:D,"未投产")</f>
        <v>✔</v>
      </c>
      <c r="L108" s="347">
        <f>IFERROR(_xlfn.XLOOKUP(F108,硫化工艺!B:B,硫化工艺!C:C),"")</f>
        <v>33.5</v>
      </c>
      <c r="M108" s="349">
        <f t="shared" si="295"/>
        <v>0.851694915254237</v>
      </c>
      <c r="N108" s="347" t="str">
        <f t="shared" si="222"/>
        <v>19.5全钢</v>
      </c>
      <c r="O108" s="347">
        <f>IFERROR(_xlfn.XLOOKUP(F108,轮胎重量!J:J,轮胎重量!G:G),"")</f>
        <v>35.258</v>
      </c>
      <c r="P108" s="347">
        <f>IFERROR(_xlfn.XLOOKUP(G108,硫化工艺!I:I,硫化工艺!J:J),"")</f>
        <v>531.4421</v>
      </c>
      <c r="Q108" s="347">
        <f t="shared" si="277"/>
        <v>0</v>
      </c>
      <c r="R108" s="347">
        <v>60</v>
      </c>
      <c r="S108" s="347">
        <v>60</v>
      </c>
      <c r="T108" s="347">
        <v>60</v>
      </c>
      <c r="U108" s="347">
        <v>120</v>
      </c>
      <c r="V108" s="347">
        <v>120</v>
      </c>
      <c r="W108" s="347">
        <v>120</v>
      </c>
      <c r="X108" s="347">
        <v>120</v>
      </c>
      <c r="Y108" s="347">
        <v>120</v>
      </c>
      <c r="Z108" s="347">
        <v>120</v>
      </c>
      <c r="AA108" s="347">
        <v>120</v>
      </c>
      <c r="AB108" s="347">
        <v>120</v>
      </c>
      <c r="AC108" s="347">
        <v>120</v>
      </c>
      <c r="AD108" s="347">
        <v>120</v>
      </c>
      <c r="AE108" s="347">
        <v>120</v>
      </c>
      <c r="AF108" s="347">
        <v>120</v>
      </c>
      <c r="AG108" s="347"/>
      <c r="AH108" s="347"/>
      <c r="AI108" s="347"/>
      <c r="AJ108" s="347"/>
      <c r="AK108" s="347"/>
      <c r="AL108" s="347"/>
      <c r="AM108" s="347"/>
      <c r="AN108" s="347"/>
      <c r="AO108" s="347"/>
      <c r="AP108" s="347"/>
      <c r="AQ108" s="347"/>
      <c r="AR108" s="347"/>
      <c r="AS108" s="347"/>
      <c r="AT108" s="347"/>
      <c r="AU108" s="347"/>
      <c r="AV108" s="347"/>
      <c r="AW108" s="347">
        <f t="shared" si="297"/>
        <v>1620</v>
      </c>
      <c r="AX108" s="365">
        <f t="shared" si="298"/>
        <v>57.11796</v>
      </c>
      <c r="AY108" s="365">
        <f t="shared" si="299"/>
        <v>86.094</v>
      </c>
      <c r="AZ108" s="367"/>
      <c r="BA108" s="376"/>
      <c r="BB108" s="376"/>
      <c r="BC108" s="330"/>
      <c r="BD108" s="330"/>
      <c r="BE108" s="330"/>
      <c r="BF108" s="330"/>
      <c r="BG108" s="330"/>
      <c r="BH108" s="330"/>
      <c r="BI108" s="330"/>
      <c r="BJ108" s="370" cm="1">
        <f t="array" ref="BJ108:BM108">_xlfn.LET(_xlpm.data,$R108:$AV108,_xlpm.starts,{1,8,16,23},_xlpm.lengths,{7,7,8,9},_xlpm.arr,_xlfn.MAP(_xlpm.starts,_xlpm.lengths,_xlfn.LAMBDA(_xlpm.s,_xlpm.l,SUM(INDEX(_xlpm.data,,_xlfn.SEQUENCE(,_xlpm.l,_xlpm.s))))),ROUND(_xlpm.arr*$O108/1000,2))</f>
        <v>23.27</v>
      </c>
      <c r="BK108" s="330">
        <v>29.62</v>
      </c>
      <c r="BL108" s="330">
        <v>0</v>
      </c>
      <c r="BM108" s="330">
        <v>0</v>
      </c>
      <c r="BN108" s="258">
        <f t="shared" si="300"/>
        <v>52.89</v>
      </c>
      <c r="BO108" s="258">
        <v>0</v>
      </c>
      <c r="BP108" s="258">
        <v>0</v>
      </c>
      <c r="BQ108" s="258">
        <v>0</v>
      </c>
      <c r="BR108" s="258">
        <v>0</v>
      </c>
      <c r="BS108" s="115"/>
      <c r="BT108" s="258" cm="1">
        <f ca="1" t="array" ref="BT108:BW108">_xlfn.HSTACK(SUM(INDEX($R108:$AV108,1,1):INDEX($R108:$AV108,1,7)),SUM(INDEX($R108:$AV108,1,7):INDEX($R108:$AV108,1,13)),SUM(INDEX($R108:$AV108,1,16):INDEX($R108:$AV108,1,23)),SUM(INDEX($R108:$AV108,1,23):INDEX($R108:$AV108,1,31)))</f>
        <v>660</v>
      </c>
      <c r="BU108" s="258">
        <v>840</v>
      </c>
      <c r="BV108" s="258">
        <v>0</v>
      </c>
      <c r="BW108" s="258">
        <v>0</v>
      </c>
      <c r="BY108" s="258">
        <f t="shared" si="228"/>
        <v>660</v>
      </c>
      <c r="BZ108" s="258">
        <f t="shared" si="229"/>
        <v>840</v>
      </c>
      <c r="CA108" s="258">
        <f t="shared" si="230"/>
        <v>120</v>
      </c>
      <c r="CB108" s="258">
        <f t="shared" si="231"/>
        <v>0</v>
      </c>
      <c r="CD108" s="113"/>
      <c r="CE108" s="258">
        <f t="shared" si="301"/>
        <v>23.27</v>
      </c>
      <c r="CF108" s="258">
        <f t="shared" si="302"/>
        <v>29.62</v>
      </c>
      <c r="CG108" s="258">
        <f t="shared" si="303"/>
        <v>4.23</v>
      </c>
      <c r="CH108" s="258">
        <f t="shared" si="304"/>
        <v>0</v>
      </c>
      <c r="CI108" s="258">
        <f t="shared" si="305"/>
        <v>57.12</v>
      </c>
      <c r="CJ108" s="113"/>
      <c r="CK108" s="258">
        <f t="shared" ref="CK108:CN108" si="313">IFERROR(ROUND(BY108*$P108,2),"")</f>
        <v>350751.79</v>
      </c>
      <c r="CL108" s="258">
        <f t="shared" si="313"/>
        <v>446411.36</v>
      </c>
      <c r="CM108" s="258">
        <f t="shared" si="313"/>
        <v>63773.05</v>
      </c>
      <c r="CN108" s="258">
        <f t="shared" si="313"/>
        <v>0</v>
      </c>
      <c r="CO108" s="258">
        <f t="shared" si="237"/>
        <v>860936.2</v>
      </c>
      <c r="CP108" s="258">
        <f>VLOOKUP(G108,[2]Sheet1!$C$3:$G$310,5,0)</f>
        <v>19950</v>
      </c>
      <c r="CQ108" s="258" t="e">
        <f>VLOOKUP(G108,[3]KCBB0101!$C$3:$F$691,4,0)</f>
        <v>#N/A</v>
      </c>
    </row>
    <row r="109" s="258" customFormat="1" ht="17.6" spans="1:93">
      <c r="A109" s="330"/>
      <c r="B109" s="334" t="str">
        <f>_xlfn.XLOOKUP(G109,销售需求表!A:A,销售需求表!C:C)</f>
        <v>北美</v>
      </c>
      <c r="C109" s="335" t="str">
        <f t="shared" si="219"/>
        <v>19.5</v>
      </c>
      <c r="D109" s="334" t="str">
        <f t="shared" si="294"/>
        <v>北美19.5寸</v>
      </c>
      <c r="E109" s="339" t="str">
        <f t="shared" si="274"/>
        <v>245/70R19.5-16PR(136/134N)-I-37D</v>
      </c>
      <c r="F109" s="340" t="str">
        <f t="shared" si="275"/>
        <v>245/70R19.5-16PR-I-37D</v>
      </c>
      <c r="G109" s="339" t="s">
        <v>455</v>
      </c>
      <c r="H109" s="334">
        <v>220</v>
      </c>
      <c r="I109" s="345"/>
      <c r="J109" s="346" t="str">
        <f t="shared" si="309"/>
        <v>245/70R19.5-I-37D</v>
      </c>
      <c r="K109" s="347" t="str">
        <f>_xlfn.XLOOKUP(F109,投产规格!E:E,投产规格!D:D,"未投产")</f>
        <v>✔</v>
      </c>
      <c r="L109" s="347">
        <f>IFERROR(_xlfn.XLOOKUP(F109,硫化工艺!B:B,硫化工艺!C:C),"")</f>
        <v>33.7</v>
      </c>
      <c r="M109" s="349">
        <f t="shared" si="295"/>
        <v>0.852445193929174</v>
      </c>
      <c r="N109" s="347" t="str">
        <f t="shared" si="222"/>
        <v>19.5全钢</v>
      </c>
      <c r="O109" s="347">
        <f>IFERROR(_xlfn.XLOOKUP(F109,轮胎重量!J:J,轮胎重量!G:G),"")</f>
        <v>35.983</v>
      </c>
      <c r="P109" s="347">
        <f>IFERROR(_xlfn.XLOOKUP(G109,硫化工艺!I:I,硫化工艺!J:J),"")</f>
        <v>535.439667</v>
      </c>
      <c r="Q109" s="347">
        <f t="shared" si="277"/>
        <v>0</v>
      </c>
      <c r="R109" s="347"/>
      <c r="S109" s="347"/>
      <c r="T109" s="347"/>
      <c r="U109" s="347"/>
      <c r="V109" s="347"/>
      <c r="W109" s="347"/>
      <c r="X109" s="347"/>
      <c r="Y109" s="347"/>
      <c r="Z109" s="347"/>
      <c r="AA109" s="347"/>
      <c r="AB109" s="347"/>
      <c r="AC109" s="347"/>
      <c r="AD109" s="347"/>
      <c r="AE109" s="347"/>
      <c r="AF109" s="347"/>
      <c r="AG109" s="347"/>
      <c r="AH109" s="347"/>
      <c r="AI109" s="347"/>
      <c r="AJ109" s="347"/>
      <c r="AK109" s="347"/>
      <c r="AL109" s="347"/>
      <c r="AM109" s="347"/>
      <c r="AN109" s="347"/>
      <c r="AO109" s="347"/>
      <c r="AP109" s="347"/>
      <c r="AQ109" s="347"/>
      <c r="AR109" s="347"/>
      <c r="AS109" s="347"/>
      <c r="AT109" s="347"/>
      <c r="AU109" s="347"/>
      <c r="AV109" s="347"/>
      <c r="AW109" s="347" t="str">
        <f t="shared" si="297"/>
        <v/>
      </c>
      <c r="AX109" s="365" t="str">
        <f t="shared" si="298"/>
        <v/>
      </c>
      <c r="AY109" s="365" t="str">
        <f t="shared" si="299"/>
        <v/>
      </c>
      <c r="AZ109" s="367"/>
      <c r="BA109" s="376"/>
      <c r="BB109" s="376"/>
      <c r="BC109" s="330"/>
      <c r="BD109" s="330"/>
      <c r="BE109" s="330"/>
      <c r="BF109" s="330"/>
      <c r="BG109" s="330"/>
      <c r="BH109" s="330"/>
      <c r="BI109" s="330"/>
      <c r="BJ109" s="370" cm="1">
        <f t="array" ref="BJ109:BM109">_xlfn.LET(_xlpm.data,$R109:$AV109,_xlpm.starts,{1,8,16,23},_xlpm.lengths,{7,7,8,9},_xlpm.arr,_xlfn.MAP(_xlpm.starts,_xlpm.lengths,_xlfn.LAMBDA(_xlpm.s,_xlpm.l,SUM(INDEX(_xlpm.data,,_xlfn.SEQUENCE(,_xlpm.l,_xlpm.s))))),ROUND(_xlpm.arr*$O109/1000,2))</f>
        <v>0</v>
      </c>
      <c r="BK109" s="330">
        <v>0</v>
      </c>
      <c r="BL109" s="330">
        <v>0</v>
      </c>
      <c r="BM109" s="330">
        <v>0</v>
      </c>
      <c r="BN109" s="258">
        <f t="shared" si="300"/>
        <v>0</v>
      </c>
      <c r="BO109" s="258">
        <v>0</v>
      </c>
      <c r="BP109" s="258">
        <v>0</v>
      </c>
      <c r="BQ109" s="258">
        <v>0</v>
      </c>
      <c r="BR109" s="258">
        <v>0</v>
      </c>
      <c r="BS109" s="115"/>
      <c r="BT109" s="258" cm="1">
        <f ca="1" t="array" ref="BT109:BW109">_xlfn.HSTACK(SUM(INDEX($R109:$AV109,1,1):INDEX($R109:$AV109,1,7)),SUM(INDEX($R109:$AV109,1,7):INDEX($R109:$AV109,1,13)),SUM(INDEX($R109:$AV109,1,16):INDEX($R109:$AV109,1,23)),SUM(INDEX($R109:$AV109,1,23):INDEX($R109:$AV109,1,31)))</f>
        <v>0</v>
      </c>
      <c r="BU109" s="258">
        <v>0</v>
      </c>
      <c r="BV109" s="258">
        <v>0</v>
      </c>
      <c r="BW109" s="258">
        <v>0</v>
      </c>
      <c r="BY109" s="258">
        <f t="shared" si="228"/>
        <v>0</v>
      </c>
      <c r="BZ109" s="258">
        <f t="shared" si="229"/>
        <v>0</v>
      </c>
      <c r="CA109" s="258">
        <f t="shared" si="230"/>
        <v>0</v>
      </c>
      <c r="CB109" s="258">
        <f t="shared" si="231"/>
        <v>0</v>
      </c>
      <c r="CD109" s="113"/>
      <c r="CE109" s="258">
        <f t="shared" si="301"/>
        <v>0</v>
      </c>
      <c r="CF109" s="258">
        <f t="shared" si="302"/>
        <v>0</v>
      </c>
      <c r="CG109" s="258">
        <f t="shared" si="303"/>
        <v>0</v>
      </c>
      <c r="CH109" s="258">
        <f t="shared" si="304"/>
        <v>0</v>
      </c>
      <c r="CI109" s="258">
        <f t="shared" si="305"/>
        <v>0</v>
      </c>
      <c r="CJ109" s="113"/>
      <c r="CK109" s="258">
        <f t="shared" ref="CK109:CN109" si="314">IFERROR(ROUND(BY109*$P109,2),"")</f>
        <v>0</v>
      </c>
      <c r="CL109" s="258">
        <f t="shared" si="314"/>
        <v>0</v>
      </c>
      <c r="CM109" s="258">
        <f t="shared" si="314"/>
        <v>0</v>
      </c>
      <c r="CN109" s="258">
        <f t="shared" si="314"/>
        <v>0</v>
      </c>
      <c r="CO109" s="258">
        <f t="shared" si="237"/>
        <v>0</v>
      </c>
    </row>
    <row r="110" s="258" customFormat="1" ht="17.6" spans="1:93">
      <c r="A110" s="330"/>
      <c r="B110" s="334" t="str">
        <f>_xlfn.XLOOKUP(G110,销售需求表!A:A,销售需求表!C:C)</f>
        <v>北美</v>
      </c>
      <c r="C110" s="335" t="str">
        <f t="shared" si="219"/>
        <v>19.5</v>
      </c>
      <c r="D110" s="334" t="str">
        <f t="shared" si="294"/>
        <v>北美19.5寸</v>
      </c>
      <c r="E110" s="339" t="str">
        <f t="shared" si="274"/>
        <v>265/70R19.5-18PR(143/141K)-I-19A</v>
      </c>
      <c r="F110" s="340" t="str">
        <f t="shared" si="275"/>
        <v>265/70R19.5-18PR-I-19A</v>
      </c>
      <c r="G110" s="373" t="s">
        <v>460</v>
      </c>
      <c r="H110" s="334">
        <v>900</v>
      </c>
      <c r="I110" s="345"/>
      <c r="J110" s="346" t="str">
        <f t="shared" si="309"/>
        <v>265/70R19.5-I-19A</v>
      </c>
      <c r="K110" s="347" t="str">
        <f>_xlfn.XLOOKUP(F110,投产规格!E:E,投产规格!D:D,"未投产")</f>
        <v>✔</v>
      </c>
      <c r="L110" s="347">
        <f>IFERROR(_xlfn.XLOOKUP(F110,硫化工艺!B:B,硫化工艺!C:C),"")</f>
        <v>34</v>
      </c>
      <c r="M110" s="349">
        <f t="shared" si="295"/>
        <v>0.853556485355648</v>
      </c>
      <c r="N110" s="347" t="str">
        <f t="shared" si="222"/>
        <v>19.5全钢</v>
      </c>
      <c r="O110" s="347">
        <f>IFERROR(_xlfn.XLOOKUP(F110,轮胎重量!J:J,轮胎重量!G:G),"")</f>
        <v>38.689</v>
      </c>
      <c r="P110" s="347">
        <f>IFERROR(_xlfn.XLOOKUP(G110,硫化工艺!I:I,硫化工艺!J:J),"")</f>
        <v>576.912</v>
      </c>
      <c r="Q110" s="347">
        <f t="shared" si="277"/>
        <v>0</v>
      </c>
      <c r="R110" s="347"/>
      <c r="S110" s="347"/>
      <c r="T110" s="347"/>
      <c r="U110" s="347"/>
      <c r="V110" s="347"/>
      <c r="W110" s="347"/>
      <c r="X110" s="347"/>
      <c r="Y110" s="347"/>
      <c r="Z110" s="347"/>
      <c r="AA110" s="347"/>
      <c r="AB110" s="347"/>
      <c r="AC110" s="347"/>
      <c r="AD110" s="347"/>
      <c r="AE110" s="347"/>
      <c r="AF110" s="347"/>
      <c r="AG110" s="347"/>
      <c r="AH110" s="347"/>
      <c r="AI110" s="347"/>
      <c r="AJ110" s="347"/>
      <c r="AK110" s="347"/>
      <c r="AL110" s="347"/>
      <c r="AM110" s="347"/>
      <c r="AN110" s="347"/>
      <c r="AO110" s="347"/>
      <c r="AP110" s="347"/>
      <c r="AQ110" s="347"/>
      <c r="AR110" s="347"/>
      <c r="AS110" s="347"/>
      <c r="AT110" s="347"/>
      <c r="AU110" s="347"/>
      <c r="AV110" s="347"/>
      <c r="AW110" s="347" t="str">
        <f t="shared" si="297"/>
        <v/>
      </c>
      <c r="AX110" s="365" t="str">
        <f t="shared" si="298"/>
        <v/>
      </c>
      <c r="AY110" s="365" t="str">
        <f t="shared" si="299"/>
        <v/>
      </c>
      <c r="AZ110" s="367"/>
      <c r="BA110" s="376"/>
      <c r="BB110" s="376"/>
      <c r="BC110" s="330"/>
      <c r="BD110" s="330"/>
      <c r="BE110" s="330"/>
      <c r="BF110" s="330"/>
      <c r="BG110" s="330"/>
      <c r="BH110" s="330"/>
      <c r="BI110" s="330"/>
      <c r="BJ110" s="370" cm="1">
        <f t="array" ref="BJ110:BM110">_xlfn.LET(_xlpm.data,$R110:$AV110,_xlpm.starts,{1,8,16,23},_xlpm.lengths,{7,7,8,9},_xlpm.arr,_xlfn.MAP(_xlpm.starts,_xlpm.lengths,_xlfn.LAMBDA(_xlpm.s,_xlpm.l,SUM(INDEX(_xlpm.data,,_xlfn.SEQUENCE(,_xlpm.l,_xlpm.s))))),ROUND(_xlpm.arr*$O110/1000,2))</f>
        <v>0</v>
      </c>
      <c r="BK110" s="330">
        <v>0</v>
      </c>
      <c r="BL110" s="330">
        <v>0</v>
      </c>
      <c r="BM110" s="330">
        <v>0</v>
      </c>
      <c r="BN110" s="258">
        <f t="shared" si="300"/>
        <v>0</v>
      </c>
      <c r="BO110" s="258">
        <v>0</v>
      </c>
      <c r="BP110" s="258">
        <v>0</v>
      </c>
      <c r="BQ110" s="258">
        <v>0</v>
      </c>
      <c r="BR110" s="258">
        <v>0</v>
      </c>
      <c r="BS110" s="115"/>
      <c r="BT110" s="258" cm="1">
        <f ca="1" t="array" ref="BT110:BW110">_xlfn.HSTACK(SUM(INDEX($R110:$AV110,1,1):INDEX($R110:$AV110,1,7)),SUM(INDEX($R110:$AV110,1,7):INDEX($R110:$AV110,1,13)),SUM(INDEX($R110:$AV110,1,16):INDEX($R110:$AV110,1,23)),SUM(INDEX($R110:$AV110,1,23):INDEX($R110:$AV110,1,31)))</f>
        <v>0</v>
      </c>
      <c r="BU110" s="258">
        <v>0</v>
      </c>
      <c r="BV110" s="258">
        <v>0</v>
      </c>
      <c r="BW110" s="258">
        <v>0</v>
      </c>
      <c r="BY110" s="258">
        <f t="shared" si="228"/>
        <v>0</v>
      </c>
      <c r="BZ110" s="258">
        <f t="shared" si="229"/>
        <v>0</v>
      </c>
      <c r="CA110" s="258">
        <f t="shared" si="230"/>
        <v>0</v>
      </c>
      <c r="CB110" s="258">
        <f t="shared" si="231"/>
        <v>0</v>
      </c>
      <c r="CD110" s="113"/>
      <c r="CE110" s="258">
        <f t="shared" si="301"/>
        <v>0</v>
      </c>
      <c r="CF110" s="258">
        <f t="shared" si="302"/>
        <v>0</v>
      </c>
      <c r="CG110" s="258">
        <f t="shared" si="303"/>
        <v>0</v>
      </c>
      <c r="CH110" s="258">
        <f t="shared" si="304"/>
        <v>0</v>
      </c>
      <c r="CI110" s="258">
        <f t="shared" si="305"/>
        <v>0</v>
      </c>
      <c r="CJ110" s="113"/>
      <c r="CK110" s="258">
        <f t="shared" ref="CK110:CN110" si="315">IFERROR(ROUND(BY110*$P110,2),"")</f>
        <v>0</v>
      </c>
      <c r="CL110" s="258">
        <f t="shared" si="315"/>
        <v>0</v>
      </c>
      <c r="CM110" s="258">
        <f t="shared" si="315"/>
        <v>0</v>
      </c>
      <c r="CN110" s="258">
        <f t="shared" si="315"/>
        <v>0</v>
      </c>
      <c r="CO110" s="258">
        <f t="shared" si="237"/>
        <v>0</v>
      </c>
    </row>
    <row r="111" s="258" customFormat="1" ht="17.6" spans="1:93">
      <c r="A111" s="330"/>
      <c r="B111" s="334" t="str">
        <f>_xlfn.XLOOKUP(G111,销售需求表!A:A,销售需求表!C:C)</f>
        <v>北美</v>
      </c>
      <c r="C111" s="335" t="str">
        <f t="shared" si="219"/>
        <v>22.5</v>
      </c>
      <c r="D111" s="334" t="str">
        <f t="shared" si="294"/>
        <v>北美22.5寸</v>
      </c>
      <c r="E111" s="339" t="str">
        <f t="shared" si="274"/>
        <v>245/75R22.5-14PR(134/131L)-Strong Guard H-RA</v>
      </c>
      <c r="F111" s="340" t="str">
        <f t="shared" si="275"/>
        <v>245/75R22.5-14PR-H-RA</v>
      </c>
      <c r="G111" s="343" t="s">
        <v>456</v>
      </c>
      <c r="H111" s="334">
        <v>1700</v>
      </c>
      <c r="I111" s="345"/>
      <c r="J111" s="346" t="str">
        <f t="shared" ref="J111:J126" si="316">IFERROR(LEFT(F111,FIND("-",F111))&amp;MID(F111,FIND("PR",F111,FIND("-",F111))+3,LEN(F111)),F111)</f>
        <v>245/75R22.5-H-RA</v>
      </c>
      <c r="K111" s="347" t="str">
        <f>_xlfn.XLOOKUP(F111,投产规格!E:E,投产规格!D:D,"未投产")</f>
        <v>未投产</v>
      </c>
      <c r="L111" s="347">
        <f>IFERROR(_xlfn.XLOOKUP(F111,硫化工艺!B:B,硫化工艺!C:C),"")</f>
        <v>32</v>
      </c>
      <c r="M111" s="349">
        <f t="shared" si="295"/>
        <v>0.845814977973568</v>
      </c>
      <c r="N111" s="347" t="str">
        <f t="shared" si="222"/>
        <v>22.5全钢</v>
      </c>
      <c r="O111" s="347">
        <f>IFERROR(_xlfn.XLOOKUP(F111,轮胎重量!J:J,轮胎重量!G:G),"")</f>
        <v>39.33</v>
      </c>
      <c r="P111" s="350">
        <f>O111*13.9</f>
        <v>546.687</v>
      </c>
      <c r="Q111" s="347">
        <f t="shared" si="277"/>
        <v>0</v>
      </c>
      <c r="R111" s="347"/>
      <c r="S111" s="347"/>
      <c r="T111" s="347"/>
      <c r="U111" s="347"/>
      <c r="V111" s="347"/>
      <c r="W111" s="347"/>
      <c r="X111" s="347"/>
      <c r="Y111" s="347"/>
      <c r="Z111" s="347"/>
      <c r="AA111" s="347"/>
      <c r="AB111" s="347"/>
      <c r="AC111" s="347"/>
      <c r="AD111" s="347"/>
      <c r="AE111" s="347"/>
      <c r="AF111" s="347"/>
      <c r="AG111" s="347"/>
      <c r="AH111" s="347"/>
      <c r="AI111" s="347"/>
      <c r="AJ111" s="347"/>
      <c r="AK111" s="347"/>
      <c r="AL111" s="347"/>
      <c r="AM111" s="347"/>
      <c r="AN111" s="347"/>
      <c r="AO111" s="347"/>
      <c r="AP111" s="347"/>
      <c r="AQ111" s="347"/>
      <c r="AR111" s="347"/>
      <c r="AS111" s="347"/>
      <c r="AT111" s="347"/>
      <c r="AU111" s="347"/>
      <c r="AV111" s="347"/>
      <c r="AW111" s="347" t="str">
        <f t="shared" si="297"/>
        <v/>
      </c>
      <c r="AX111" s="365" t="str">
        <f t="shared" si="298"/>
        <v/>
      </c>
      <c r="AY111" s="365" t="str">
        <f t="shared" si="299"/>
        <v/>
      </c>
      <c r="AZ111" s="367"/>
      <c r="BA111" s="376"/>
      <c r="BB111" s="376"/>
      <c r="BC111" s="330"/>
      <c r="BD111" s="330"/>
      <c r="BE111" s="330"/>
      <c r="BF111" s="330"/>
      <c r="BG111" s="330"/>
      <c r="BH111" s="330"/>
      <c r="BI111" s="330"/>
      <c r="BJ111" s="370" cm="1">
        <f t="array" ref="BJ111:BM111">_xlfn.LET(_xlpm.data,$R111:$AV111,_xlpm.starts,{1,8,16,23},_xlpm.lengths,{7,7,8,9},_xlpm.arr,_xlfn.MAP(_xlpm.starts,_xlpm.lengths,_xlfn.LAMBDA(_xlpm.s,_xlpm.l,SUM(INDEX(_xlpm.data,,_xlfn.SEQUENCE(,_xlpm.l,_xlpm.s))))),ROUND(_xlpm.arr*$O111/1000,2))</f>
        <v>0</v>
      </c>
      <c r="BK111" s="330">
        <v>0</v>
      </c>
      <c r="BL111" s="330">
        <v>0</v>
      </c>
      <c r="BM111" s="330">
        <v>0</v>
      </c>
      <c r="BN111" s="258">
        <f t="shared" si="300"/>
        <v>0</v>
      </c>
      <c r="BO111" s="258">
        <v>0.42</v>
      </c>
      <c r="BP111" s="258">
        <v>0</v>
      </c>
      <c r="BQ111" s="258">
        <v>0</v>
      </c>
      <c r="BR111" s="258">
        <v>0</v>
      </c>
      <c r="BS111" s="115"/>
      <c r="BT111" s="258" cm="1">
        <f ca="1" t="array" ref="BT111:BW111">_xlfn.HSTACK(SUM(INDEX($R111:$AV111,1,1):INDEX($R111:$AV111,1,7)),SUM(INDEX($R111:$AV111,1,7):INDEX($R111:$AV111,1,13)),SUM(INDEX($R111:$AV111,1,16):INDEX($R111:$AV111,1,23)),SUM(INDEX($R111:$AV111,1,23):INDEX($R111:$AV111,1,31)))</f>
        <v>0</v>
      </c>
      <c r="BU111" s="258">
        <v>0</v>
      </c>
      <c r="BV111" s="258">
        <v>0</v>
      </c>
      <c r="BW111" s="258">
        <v>0</v>
      </c>
      <c r="BY111" s="258">
        <f t="shared" si="228"/>
        <v>0</v>
      </c>
      <c r="BZ111" s="258">
        <f t="shared" si="229"/>
        <v>0</v>
      </c>
      <c r="CA111" s="258">
        <f t="shared" si="230"/>
        <v>0</v>
      </c>
      <c r="CB111" s="258">
        <f t="shared" si="231"/>
        <v>0</v>
      </c>
      <c r="CD111" s="113"/>
      <c r="CE111" s="258">
        <f t="shared" si="301"/>
        <v>0</v>
      </c>
      <c r="CF111" s="258">
        <f t="shared" si="302"/>
        <v>0</v>
      </c>
      <c r="CG111" s="258">
        <f t="shared" si="303"/>
        <v>0</v>
      </c>
      <c r="CH111" s="258">
        <f t="shared" si="304"/>
        <v>0</v>
      </c>
      <c r="CI111" s="258">
        <f t="shared" si="305"/>
        <v>0</v>
      </c>
      <c r="CJ111" s="113"/>
      <c r="CK111" s="258">
        <f t="shared" ref="CK111:CN111" si="317">IFERROR(ROUND(BY111*$P111,2),"")</f>
        <v>0</v>
      </c>
      <c r="CL111" s="258">
        <f t="shared" si="317"/>
        <v>0</v>
      </c>
      <c r="CM111" s="258">
        <f t="shared" si="317"/>
        <v>0</v>
      </c>
      <c r="CN111" s="258">
        <f t="shared" si="317"/>
        <v>0</v>
      </c>
      <c r="CO111" s="258">
        <f t="shared" si="237"/>
        <v>0</v>
      </c>
    </row>
    <row r="112" s="258" customFormat="1" ht="17.6" spans="1:93">
      <c r="A112" s="330"/>
      <c r="B112" s="334" t="str">
        <f>_xlfn.XLOOKUP(G112,销售需求表!A:A,销售需求表!C:C)</f>
        <v>北美</v>
      </c>
      <c r="C112" s="335" t="str">
        <f t="shared" si="219"/>
        <v>22.5</v>
      </c>
      <c r="D112" s="334" t="str">
        <f t="shared" si="294"/>
        <v>北美22.5寸</v>
      </c>
      <c r="E112" s="339" t="str">
        <f t="shared" si="274"/>
        <v>255/70R22.5-16PR(140/137L)-Strong Guard H-RA</v>
      </c>
      <c r="F112" s="340" t="str">
        <f t="shared" si="275"/>
        <v>255/70R22.5-16PR-H-RA</v>
      </c>
      <c r="G112" s="343" t="s">
        <v>457</v>
      </c>
      <c r="H112" s="334">
        <v>3600</v>
      </c>
      <c r="I112" s="345"/>
      <c r="J112" s="346" t="str">
        <f t="shared" si="316"/>
        <v>255/70R22.5-H-RA</v>
      </c>
      <c r="K112" s="347" t="str">
        <f>_xlfn.XLOOKUP(F112,投产规格!E:E,投产规格!D:D,"未投产")</f>
        <v>✔</v>
      </c>
      <c r="L112" s="347">
        <f>IFERROR(_xlfn.XLOOKUP(F112,硫化工艺!B:B,硫化工艺!C:C),"")</f>
        <v>35</v>
      </c>
      <c r="M112" s="349">
        <f t="shared" si="295"/>
        <v>0.857142857142857</v>
      </c>
      <c r="N112" s="347" t="str">
        <f t="shared" si="222"/>
        <v>22.5全钢</v>
      </c>
      <c r="O112" s="347">
        <f>IFERROR(_xlfn.XLOOKUP(F112,轮胎重量!J:J,轮胎重量!G:G),"")</f>
        <v>41.378</v>
      </c>
      <c r="P112" s="347">
        <f>IFERROR(_xlfn.XLOOKUP(G112,硫化工艺!I:I,硫化工艺!J:J),"")</f>
        <v>611.205658</v>
      </c>
      <c r="Q112" s="347">
        <f t="shared" si="277"/>
        <v>0</v>
      </c>
      <c r="R112" s="347"/>
      <c r="S112" s="347"/>
      <c r="T112" s="347"/>
      <c r="U112" s="347"/>
      <c r="V112" s="347"/>
      <c r="W112" s="347"/>
      <c r="X112" s="347"/>
      <c r="Y112" s="347"/>
      <c r="Z112" s="347"/>
      <c r="AA112" s="347"/>
      <c r="AB112" s="347"/>
      <c r="AC112" s="347"/>
      <c r="AD112" s="347"/>
      <c r="AE112" s="347"/>
      <c r="AF112" s="347"/>
      <c r="AG112" s="347"/>
      <c r="AH112" s="347"/>
      <c r="AI112" s="347"/>
      <c r="AJ112" s="347"/>
      <c r="AK112" s="347"/>
      <c r="AL112" s="347"/>
      <c r="AM112" s="347"/>
      <c r="AN112" s="347"/>
      <c r="AO112" s="347"/>
      <c r="AP112" s="347"/>
      <c r="AQ112" s="347"/>
      <c r="AR112" s="347"/>
      <c r="AS112" s="347"/>
      <c r="AT112" s="347"/>
      <c r="AU112" s="347"/>
      <c r="AV112" s="347"/>
      <c r="AW112" s="347" t="str">
        <f t="shared" si="297"/>
        <v/>
      </c>
      <c r="AX112" s="365" t="str">
        <f t="shared" si="298"/>
        <v/>
      </c>
      <c r="AY112" s="365" t="str">
        <f t="shared" si="299"/>
        <v/>
      </c>
      <c r="AZ112" s="367"/>
      <c r="BA112" s="376"/>
      <c r="BB112" s="376"/>
      <c r="BC112" s="330"/>
      <c r="BD112" s="330"/>
      <c r="BE112" s="330"/>
      <c r="BF112" s="330"/>
      <c r="BG112" s="330"/>
      <c r="BH112" s="330"/>
      <c r="BI112" s="330"/>
      <c r="BJ112" s="370" cm="1">
        <f t="array" ref="BJ112:BM112">_xlfn.LET(_xlpm.data,$R112:$AV112,_xlpm.starts,{1,8,16,23},_xlpm.lengths,{7,7,8,9},_xlpm.arr,_xlfn.MAP(_xlpm.starts,_xlpm.lengths,_xlfn.LAMBDA(_xlpm.s,_xlpm.l,SUM(INDEX(_xlpm.data,,_xlfn.SEQUENCE(,_xlpm.l,_xlpm.s))))),ROUND(_xlpm.arr*$O112/1000,2))</f>
        <v>0</v>
      </c>
      <c r="BK112" s="330">
        <v>0</v>
      </c>
      <c r="BL112" s="330">
        <v>0</v>
      </c>
      <c r="BM112" s="330">
        <v>0</v>
      </c>
      <c r="BN112" s="258">
        <f t="shared" si="300"/>
        <v>0</v>
      </c>
      <c r="BO112" s="258">
        <v>0.42</v>
      </c>
      <c r="BP112" s="258">
        <v>0</v>
      </c>
      <c r="BQ112" s="258">
        <v>0</v>
      </c>
      <c r="BR112" s="258">
        <v>0</v>
      </c>
      <c r="BS112" s="115"/>
      <c r="BT112" s="258" cm="1">
        <f ca="1" t="array" ref="BT112:BW112">_xlfn.HSTACK(SUM(INDEX($R112:$AV112,1,1):INDEX($R112:$AV112,1,7)),SUM(INDEX($R112:$AV112,1,7):INDEX($R112:$AV112,1,13)),SUM(INDEX($R112:$AV112,1,16):INDEX($R112:$AV112,1,23)),SUM(INDEX($R112:$AV112,1,23):INDEX($R112:$AV112,1,31)))</f>
        <v>0</v>
      </c>
      <c r="BU112" s="258">
        <v>0</v>
      </c>
      <c r="BV112" s="258">
        <v>0</v>
      </c>
      <c r="BW112" s="258">
        <v>0</v>
      </c>
      <c r="BY112" s="258">
        <f t="shared" si="228"/>
        <v>0</v>
      </c>
      <c r="BZ112" s="258">
        <f t="shared" si="229"/>
        <v>0</v>
      </c>
      <c r="CA112" s="258">
        <f t="shared" si="230"/>
        <v>0</v>
      </c>
      <c r="CB112" s="258">
        <f t="shared" si="231"/>
        <v>0</v>
      </c>
      <c r="CD112" s="113"/>
      <c r="CE112" s="258">
        <f t="shared" si="301"/>
        <v>0</v>
      </c>
      <c r="CF112" s="258">
        <f t="shared" si="302"/>
        <v>0</v>
      </c>
      <c r="CG112" s="258">
        <f t="shared" si="303"/>
        <v>0</v>
      </c>
      <c r="CH112" s="258">
        <f t="shared" si="304"/>
        <v>0</v>
      </c>
      <c r="CI112" s="258">
        <f t="shared" si="305"/>
        <v>0</v>
      </c>
      <c r="CJ112" s="113"/>
      <c r="CK112" s="258">
        <f t="shared" ref="CK112:CN112" si="318">IFERROR(ROUND(BY112*$P112,2),"")</f>
        <v>0</v>
      </c>
      <c r="CL112" s="258">
        <f t="shared" si="318"/>
        <v>0</v>
      </c>
      <c r="CM112" s="258">
        <f t="shared" si="318"/>
        <v>0</v>
      </c>
      <c r="CN112" s="258">
        <f t="shared" si="318"/>
        <v>0</v>
      </c>
      <c r="CO112" s="258">
        <f t="shared" si="237"/>
        <v>0</v>
      </c>
    </row>
    <row r="113" s="258" customFormat="1" ht="17.6" spans="1:93">
      <c r="A113" s="330"/>
      <c r="B113" s="334" t="str">
        <f>_xlfn.XLOOKUP(G113,销售需求表!A:A,销售需求表!C:C)</f>
        <v>北美</v>
      </c>
      <c r="C113" s="335" t="str">
        <f t="shared" si="219"/>
        <v>22.5</v>
      </c>
      <c r="D113" s="334" t="str">
        <f t="shared" si="294"/>
        <v>北美22.5寸</v>
      </c>
      <c r="E113" s="339" t="str">
        <f t="shared" si="274"/>
        <v>255/70R22.5-16PR(140/137M)-AZ599</v>
      </c>
      <c r="F113" s="340" t="str">
        <f t="shared" si="275"/>
        <v>255/70R22.5-16PR-AZ599</v>
      </c>
      <c r="G113" s="343" t="s">
        <v>458</v>
      </c>
      <c r="H113" s="334">
        <v>120</v>
      </c>
      <c r="I113" s="345"/>
      <c r="J113" s="346" t="str">
        <f t="shared" si="316"/>
        <v>255/70R22.5-AZ599</v>
      </c>
      <c r="K113" s="347" t="str">
        <f>_xlfn.XLOOKUP(F113,投产规格!E:E,投产规格!D:D,"未投产")</f>
        <v>✔</v>
      </c>
      <c r="L113" s="347">
        <f>IFERROR(_xlfn.XLOOKUP(F113,硫化工艺!B:B,硫化工艺!C:C),"")</f>
        <v>34</v>
      </c>
      <c r="M113" s="349">
        <f t="shared" si="295"/>
        <v>0.853556485355648</v>
      </c>
      <c r="N113" s="347" t="str">
        <f t="shared" si="222"/>
        <v>22.5全钢</v>
      </c>
      <c r="O113" s="347">
        <f>IFERROR(_xlfn.XLOOKUP(F113,轮胎重量!J:J,轮胎重量!G:G),"")</f>
        <v>41.516</v>
      </c>
      <c r="P113" s="347">
        <f>IFERROR(_xlfn.XLOOKUP(G113,硫化工艺!I:I,硫化工艺!J:J),"")</f>
        <v>613.838176</v>
      </c>
      <c r="Q113" s="347">
        <f t="shared" si="277"/>
        <v>0</v>
      </c>
      <c r="R113" s="347"/>
      <c r="S113" s="347"/>
      <c r="T113" s="347"/>
      <c r="U113" s="347"/>
      <c r="V113" s="347"/>
      <c r="W113" s="347"/>
      <c r="X113" s="347"/>
      <c r="Y113" s="347"/>
      <c r="Z113" s="347"/>
      <c r="AA113" s="347"/>
      <c r="AB113" s="347"/>
      <c r="AC113" s="347"/>
      <c r="AD113" s="347"/>
      <c r="AE113" s="347"/>
      <c r="AF113" s="347"/>
      <c r="AG113" s="347"/>
      <c r="AH113" s="347"/>
      <c r="AI113" s="347"/>
      <c r="AJ113" s="347"/>
      <c r="AK113" s="347"/>
      <c r="AL113" s="347"/>
      <c r="AM113" s="347"/>
      <c r="AN113" s="347"/>
      <c r="AO113" s="347"/>
      <c r="AP113" s="347"/>
      <c r="AQ113" s="347"/>
      <c r="AR113" s="347"/>
      <c r="AS113" s="347"/>
      <c r="AT113" s="347"/>
      <c r="AU113" s="347"/>
      <c r="AV113" s="347"/>
      <c r="AW113" s="347" t="str">
        <f t="shared" si="297"/>
        <v/>
      </c>
      <c r="AX113" s="365" t="str">
        <f t="shared" si="298"/>
        <v/>
      </c>
      <c r="AY113" s="365" t="str">
        <f t="shared" si="299"/>
        <v/>
      </c>
      <c r="AZ113" s="367"/>
      <c r="BA113" s="376"/>
      <c r="BB113" s="376"/>
      <c r="BC113" s="330"/>
      <c r="BD113" s="330"/>
      <c r="BE113" s="330"/>
      <c r="BF113" s="330"/>
      <c r="BG113" s="330"/>
      <c r="BH113" s="330"/>
      <c r="BI113" s="330"/>
      <c r="BJ113" s="370" cm="1">
        <f t="array" ref="BJ113:BM113">_xlfn.LET(_xlpm.data,$R113:$AV113,_xlpm.starts,{1,8,16,23},_xlpm.lengths,{7,7,8,9},_xlpm.arr,_xlfn.MAP(_xlpm.starts,_xlpm.lengths,_xlfn.LAMBDA(_xlpm.s,_xlpm.l,SUM(INDEX(_xlpm.data,,_xlfn.SEQUENCE(,_xlpm.l,_xlpm.s))))),ROUND(_xlpm.arr*$O113/1000,2))</f>
        <v>0</v>
      </c>
      <c r="BK113" s="330">
        <v>0</v>
      </c>
      <c r="BL113" s="330">
        <v>0</v>
      </c>
      <c r="BM113" s="330">
        <v>0</v>
      </c>
      <c r="BN113" s="258">
        <f t="shared" si="300"/>
        <v>0</v>
      </c>
      <c r="BO113" s="258">
        <v>0.42</v>
      </c>
      <c r="BP113" s="258">
        <v>0</v>
      </c>
      <c r="BQ113" s="258">
        <v>0</v>
      </c>
      <c r="BR113" s="258">
        <v>0</v>
      </c>
      <c r="BS113" s="115"/>
      <c r="BT113" s="258" cm="1">
        <f ca="1" t="array" ref="BT113:BW113">_xlfn.HSTACK(SUM(INDEX($R113:$AV113,1,1):INDEX($R113:$AV113,1,7)),SUM(INDEX($R113:$AV113,1,7):INDEX($R113:$AV113,1,13)),SUM(INDEX($R113:$AV113,1,16):INDEX($R113:$AV113,1,23)),SUM(INDEX($R113:$AV113,1,23):INDEX($R113:$AV113,1,31)))</f>
        <v>0</v>
      </c>
      <c r="BU113" s="258">
        <v>0</v>
      </c>
      <c r="BV113" s="258">
        <v>0</v>
      </c>
      <c r="BW113" s="258">
        <v>0</v>
      </c>
      <c r="BY113" s="258">
        <f t="shared" si="228"/>
        <v>0</v>
      </c>
      <c r="BZ113" s="258">
        <f t="shared" si="229"/>
        <v>0</v>
      </c>
      <c r="CA113" s="258">
        <f t="shared" si="230"/>
        <v>0</v>
      </c>
      <c r="CB113" s="258">
        <f t="shared" si="231"/>
        <v>0</v>
      </c>
      <c r="CD113" s="113"/>
      <c r="CE113" s="258">
        <f t="shared" si="301"/>
        <v>0</v>
      </c>
      <c r="CF113" s="258">
        <f t="shared" si="302"/>
        <v>0</v>
      </c>
      <c r="CG113" s="258">
        <f t="shared" si="303"/>
        <v>0</v>
      </c>
      <c r="CH113" s="258">
        <f t="shared" si="304"/>
        <v>0</v>
      </c>
      <c r="CI113" s="258">
        <f t="shared" si="305"/>
        <v>0</v>
      </c>
      <c r="CJ113" s="113"/>
      <c r="CK113" s="258">
        <f t="shared" ref="CK113:CN113" si="319">IFERROR(ROUND(BY113*$P113,2),"")</f>
        <v>0</v>
      </c>
      <c r="CL113" s="258">
        <f t="shared" si="319"/>
        <v>0</v>
      </c>
      <c r="CM113" s="258">
        <f t="shared" si="319"/>
        <v>0</v>
      </c>
      <c r="CN113" s="258">
        <f t="shared" si="319"/>
        <v>0</v>
      </c>
      <c r="CO113" s="258">
        <f t="shared" si="237"/>
        <v>0</v>
      </c>
    </row>
    <row r="114" s="258" customFormat="1" ht="17.6" spans="1:93">
      <c r="A114" s="330"/>
      <c r="B114" s="334" t="str">
        <f>_xlfn.XLOOKUP(G114,销售需求表!A:A,销售需求表!C:C)</f>
        <v>北美</v>
      </c>
      <c r="C114" s="335" t="str">
        <f t="shared" si="219"/>
        <v>22.5</v>
      </c>
      <c r="D114" s="334" t="str">
        <f t="shared" ref="D114:D133" si="320">B114&amp;C114&amp;"寸"</f>
        <v>北美22.5寸</v>
      </c>
      <c r="E114" s="339" t="str">
        <f t="shared" si="274"/>
        <v>255/70R22.5-16PR(140/137M)-ECO-MILE AP</v>
      </c>
      <c r="F114" s="340" t="str">
        <f t="shared" si="275"/>
        <v>255/70R22.5-16PR-ECO-MILE AP</v>
      </c>
      <c r="G114" s="343" t="s">
        <v>459</v>
      </c>
      <c r="H114" s="334">
        <v>650</v>
      </c>
      <c r="I114" s="345"/>
      <c r="J114" s="346" t="str">
        <f t="shared" si="316"/>
        <v>255/70R22.5-ECO-MILE AP</v>
      </c>
      <c r="K114" s="347" t="str">
        <f>_xlfn.XLOOKUP(F114,投产规格!E:E,投产规格!D:D,"未投产")</f>
        <v>✔</v>
      </c>
      <c r="L114" s="347">
        <f>IFERROR(_xlfn.XLOOKUP(F114,硫化工艺!B:B,硫化工艺!C:C),"")</f>
        <v>34</v>
      </c>
      <c r="M114" s="349">
        <f t="shared" ref="M114:M133" si="321">IF(L114="","",L114/(L114+$L$1/60))</f>
        <v>0.853556485355648</v>
      </c>
      <c r="N114" s="347" t="str">
        <f t="shared" si="222"/>
        <v>22.5全钢</v>
      </c>
      <c r="O114" s="347">
        <f>IFERROR(_xlfn.XLOOKUP(F114,轮胎重量!J:J,轮胎重量!G:G),"")</f>
        <v>41.34</v>
      </c>
      <c r="P114" s="350">
        <f>O114*13.9</f>
        <v>574.626</v>
      </c>
      <c r="Q114" s="347">
        <f t="shared" si="277"/>
        <v>0</v>
      </c>
      <c r="R114" s="347"/>
      <c r="S114" s="347"/>
      <c r="T114" s="347"/>
      <c r="U114" s="347"/>
      <c r="V114" s="347"/>
      <c r="W114" s="347"/>
      <c r="X114" s="347"/>
      <c r="Y114" s="347"/>
      <c r="Z114" s="347"/>
      <c r="AA114" s="347"/>
      <c r="AB114" s="347"/>
      <c r="AC114" s="347"/>
      <c r="AD114" s="347"/>
      <c r="AE114" s="347"/>
      <c r="AF114" s="347"/>
      <c r="AG114" s="347"/>
      <c r="AH114" s="347"/>
      <c r="AI114" s="347"/>
      <c r="AJ114" s="347"/>
      <c r="AK114" s="347"/>
      <c r="AL114" s="347"/>
      <c r="AM114" s="347"/>
      <c r="AN114" s="347"/>
      <c r="AO114" s="347"/>
      <c r="AP114" s="347"/>
      <c r="AQ114" s="347"/>
      <c r="AR114" s="347"/>
      <c r="AS114" s="347"/>
      <c r="AT114" s="347"/>
      <c r="AU114" s="347"/>
      <c r="AV114" s="347"/>
      <c r="AW114" s="347" t="str">
        <f t="shared" ref="AW114:AW133" si="322">IF(SUM(R114:AV114)=0,"",SUM(R114:AV114))</f>
        <v/>
      </c>
      <c r="AX114" s="365" t="str">
        <f t="shared" ref="AX114:AX133" si="323">IFERROR(AW114*O114/1000,"")</f>
        <v/>
      </c>
      <c r="AY114" s="365" t="str">
        <f t="shared" ref="AY114:AY133" si="324">IFERROR(ROUND(AW114*P114/10000,3),"")</f>
        <v/>
      </c>
      <c r="AZ114" s="367"/>
      <c r="BA114" s="376"/>
      <c r="BB114" s="376"/>
      <c r="BC114" s="330"/>
      <c r="BD114" s="330"/>
      <c r="BE114" s="330"/>
      <c r="BF114" s="330"/>
      <c r="BG114" s="330"/>
      <c r="BH114" s="330"/>
      <c r="BI114" s="330"/>
      <c r="BJ114" s="370" cm="1">
        <f t="array" ref="BJ114:BM114">_xlfn.LET(_xlpm.data,$R114:$AV114,_xlpm.starts,{1,8,16,23},_xlpm.lengths,{7,7,8,9},_xlpm.arr,_xlfn.MAP(_xlpm.starts,_xlpm.lengths,_xlfn.LAMBDA(_xlpm.s,_xlpm.l,SUM(INDEX(_xlpm.data,,_xlfn.SEQUENCE(,_xlpm.l,_xlpm.s))))),ROUND(_xlpm.arr*$O114/1000,2))</f>
        <v>0</v>
      </c>
      <c r="BK114" s="330">
        <v>0</v>
      </c>
      <c r="BL114" s="330">
        <v>0</v>
      </c>
      <c r="BM114" s="330">
        <v>0</v>
      </c>
      <c r="BN114" s="258">
        <f t="shared" ref="BN114:BN133" si="325">SUM(BJ114:BM114)</f>
        <v>0</v>
      </c>
      <c r="BO114" s="258">
        <v>0.42</v>
      </c>
      <c r="BP114" s="258">
        <v>0</v>
      </c>
      <c r="BQ114" s="258">
        <v>0</v>
      </c>
      <c r="BR114" s="258">
        <v>0</v>
      </c>
      <c r="BS114" s="115"/>
      <c r="BT114" s="258" cm="1">
        <f ca="1" t="array" ref="BT114:BW114">_xlfn.HSTACK(SUM(INDEX($R114:$AV114,1,1):INDEX($R114:$AV114,1,7)),SUM(INDEX($R114:$AV114,1,7):INDEX($R114:$AV114,1,13)),SUM(INDEX($R114:$AV114,1,16):INDEX($R114:$AV114,1,23)),SUM(INDEX($R114:$AV114,1,23):INDEX($R114:$AV114,1,31)))</f>
        <v>0</v>
      </c>
      <c r="BU114" s="258">
        <v>0</v>
      </c>
      <c r="BV114" s="258">
        <v>0</v>
      </c>
      <c r="BW114" s="258">
        <v>0</v>
      </c>
      <c r="BY114" s="258">
        <f t="shared" si="228"/>
        <v>0</v>
      </c>
      <c r="BZ114" s="258">
        <f t="shared" si="229"/>
        <v>0</v>
      </c>
      <c r="CA114" s="258">
        <f t="shared" si="230"/>
        <v>0</v>
      </c>
      <c r="CB114" s="258">
        <f t="shared" si="231"/>
        <v>0</v>
      </c>
      <c r="CD114" s="113"/>
      <c r="CE114" s="258">
        <f t="shared" ref="CE114:CE133" si="326">ROUND(BY114*$O114/1000,2)</f>
        <v>0</v>
      </c>
      <c r="CF114" s="258">
        <f t="shared" ref="CF114:CF133" si="327">ROUND(BZ114*$O114/1000,2)</f>
        <v>0</v>
      </c>
      <c r="CG114" s="258">
        <f t="shared" ref="CG114:CG133" si="328">ROUND(CA114*$O114/1000,2)</f>
        <v>0</v>
      </c>
      <c r="CH114" s="258">
        <f t="shared" ref="CH114:CH133" si="329">ROUND(CB114*$O114/1000,2)</f>
        <v>0</v>
      </c>
      <c r="CI114" s="258">
        <f t="shared" ref="CI114:CI133" si="330">SUM(CE114:CH114)</f>
        <v>0</v>
      </c>
      <c r="CJ114" s="113"/>
      <c r="CK114" s="258">
        <f t="shared" ref="CK114:CN114" si="331">IFERROR(ROUND(BY114*$P114,2),"")</f>
        <v>0</v>
      </c>
      <c r="CL114" s="258">
        <f t="shared" si="331"/>
        <v>0</v>
      </c>
      <c r="CM114" s="258">
        <f t="shared" si="331"/>
        <v>0</v>
      </c>
      <c r="CN114" s="258">
        <f t="shared" si="331"/>
        <v>0</v>
      </c>
      <c r="CO114" s="258">
        <f t="shared" si="237"/>
        <v>0</v>
      </c>
    </row>
    <row r="115" s="258" customFormat="1" ht="17.6" spans="1:95">
      <c r="A115" s="330"/>
      <c r="B115" s="334" t="str">
        <f>_xlfn.XLOOKUP(G115,销售需求表!A:A,销售需求表!C:C)</f>
        <v>北美</v>
      </c>
      <c r="C115" s="335" t="str">
        <f t="shared" si="219"/>
        <v>22.5</v>
      </c>
      <c r="D115" s="334" t="str">
        <f t="shared" si="320"/>
        <v>北美22.5寸</v>
      </c>
      <c r="E115" s="339" t="str">
        <f t="shared" si="274"/>
        <v>255/70R22.5-16PR(140/137M)-I-19A</v>
      </c>
      <c r="F115" s="340" t="str">
        <f t="shared" si="275"/>
        <v>255/70R22.5-16PR-I-19A</v>
      </c>
      <c r="G115" s="342" t="s">
        <v>122</v>
      </c>
      <c r="H115" s="334">
        <v>8000</v>
      </c>
      <c r="I115" s="354">
        <v>6</v>
      </c>
      <c r="J115" s="346" t="str">
        <f t="shared" si="316"/>
        <v>255/70R22.5-I-19A</v>
      </c>
      <c r="K115" s="347" t="str">
        <f>_xlfn.XLOOKUP(F115,投产规格!E:E,投产规格!D:D,"未投产")</f>
        <v>✔</v>
      </c>
      <c r="L115" s="347">
        <f>IFERROR(_xlfn.XLOOKUP(F115,硫化工艺!B:B,硫化工艺!C:C),"")</f>
        <v>34</v>
      </c>
      <c r="M115" s="349">
        <f t="shared" si="321"/>
        <v>0.853556485355648</v>
      </c>
      <c r="N115" s="347" t="str">
        <f t="shared" si="222"/>
        <v>22.5全钢</v>
      </c>
      <c r="O115" s="347">
        <f>IFERROR(_xlfn.XLOOKUP(F115,轮胎重量!J:J,轮胎重量!G:G),"")</f>
        <v>41.789</v>
      </c>
      <c r="P115" s="347">
        <f>IFERROR(_xlfn.XLOOKUP(G115,硫化工艺!I:I,硫化工艺!J:J),"")</f>
        <v>618.751329</v>
      </c>
      <c r="Q115" s="347">
        <f t="shared" si="277"/>
        <v>217</v>
      </c>
      <c r="R115" s="347">
        <v>210</v>
      </c>
      <c r="S115" s="347">
        <v>210</v>
      </c>
      <c r="T115" s="347">
        <v>210</v>
      </c>
      <c r="U115" s="347">
        <v>210</v>
      </c>
      <c r="V115" s="347">
        <v>210</v>
      </c>
      <c r="W115" s="347">
        <v>210</v>
      </c>
      <c r="X115" s="347">
        <v>210</v>
      </c>
      <c r="Y115" s="347">
        <v>210</v>
      </c>
      <c r="Z115" s="347">
        <v>210</v>
      </c>
      <c r="AA115" s="347">
        <v>210</v>
      </c>
      <c r="AB115" s="347">
        <v>210</v>
      </c>
      <c r="AC115" s="347">
        <v>210</v>
      </c>
      <c r="AD115" s="347">
        <v>210</v>
      </c>
      <c r="AE115" s="347">
        <v>210</v>
      </c>
      <c r="AF115" s="347">
        <v>210</v>
      </c>
      <c r="AG115" s="347">
        <v>210</v>
      </c>
      <c r="AH115" s="347">
        <v>210</v>
      </c>
      <c r="AI115" s="347">
        <v>210</v>
      </c>
      <c r="AJ115" s="347">
        <v>210</v>
      </c>
      <c r="AK115" s="347">
        <v>210</v>
      </c>
      <c r="AL115" s="347">
        <v>210</v>
      </c>
      <c r="AM115" s="347">
        <v>210</v>
      </c>
      <c r="AN115" s="347">
        <v>210</v>
      </c>
      <c r="AO115" s="347">
        <v>210</v>
      </c>
      <c r="AP115" s="347">
        <v>210</v>
      </c>
      <c r="AQ115" s="347">
        <v>210</v>
      </c>
      <c r="AR115" s="347">
        <v>210</v>
      </c>
      <c r="AS115" s="347">
        <v>210</v>
      </c>
      <c r="AT115" s="347">
        <v>210</v>
      </c>
      <c r="AU115" s="347">
        <v>210</v>
      </c>
      <c r="AV115" s="347">
        <v>210</v>
      </c>
      <c r="AW115" s="347">
        <v>3000</v>
      </c>
      <c r="AX115" s="365">
        <f t="shared" si="323"/>
        <v>125.367</v>
      </c>
      <c r="AY115" s="365">
        <f t="shared" si="324"/>
        <v>185.625</v>
      </c>
      <c r="AZ115" s="367"/>
      <c r="BA115" s="376"/>
      <c r="BB115" s="376"/>
      <c r="BC115" s="330"/>
      <c r="BD115" s="330"/>
      <c r="BE115" s="330"/>
      <c r="BF115" s="330"/>
      <c r="BG115" s="330"/>
      <c r="BH115" s="330"/>
      <c r="BI115" s="330"/>
      <c r="BJ115" s="370" cm="1">
        <f t="array" ref="BJ115:BM115">_xlfn.LET(_xlpm.data,$R115:$AV115,_xlpm.starts,{1,8,16,23},_xlpm.lengths,{7,7,8,9},_xlpm.arr,_xlfn.MAP(_xlpm.starts,_xlpm.lengths,_xlfn.LAMBDA(_xlpm.s,_xlpm.l,SUM(INDEX(_xlpm.data,,_xlfn.SEQUENCE(,_xlpm.l,_xlpm.s))))),ROUND(_xlpm.arr*$O115/1000,2))</f>
        <v>61.43</v>
      </c>
      <c r="BK115" s="330">
        <v>61.43</v>
      </c>
      <c r="BL115" s="330">
        <v>70.21</v>
      </c>
      <c r="BM115" s="330">
        <v>78.98</v>
      </c>
      <c r="BN115" s="258">
        <f t="shared" si="325"/>
        <v>272.05</v>
      </c>
      <c r="BO115" s="258">
        <v>0.42</v>
      </c>
      <c r="BP115" s="258">
        <v>0</v>
      </c>
      <c r="BQ115" s="258">
        <v>0</v>
      </c>
      <c r="BR115" s="258">
        <v>0</v>
      </c>
      <c r="BS115" s="115"/>
      <c r="BT115" s="258" cm="1">
        <f ca="1" t="array" ref="BT115:BW115">_xlfn.HSTACK(SUM(INDEX($R115:$AV115,1,1):INDEX($R115:$AV115,1,7)),SUM(INDEX($R115:$AV115,1,7):INDEX($R115:$AV115,1,13)),SUM(INDEX($R115:$AV115,1,16):INDEX($R115:$AV115,1,23)),SUM(INDEX($R115:$AV115,1,23):INDEX($R115:$AV115,1,31)))</f>
        <v>1470</v>
      </c>
      <c r="BU115" s="258">
        <v>1470</v>
      </c>
      <c r="BV115" s="258">
        <v>1680</v>
      </c>
      <c r="BW115" s="258">
        <v>1890</v>
      </c>
      <c r="BY115" s="258">
        <f t="shared" si="228"/>
        <v>1470</v>
      </c>
      <c r="BZ115" s="258">
        <f t="shared" si="229"/>
        <v>1470</v>
      </c>
      <c r="CA115" s="258">
        <f t="shared" si="230"/>
        <v>1680</v>
      </c>
      <c r="CB115" s="258">
        <f t="shared" si="231"/>
        <v>1890</v>
      </c>
      <c r="CD115" s="113"/>
      <c r="CE115" s="258">
        <f t="shared" si="326"/>
        <v>61.43</v>
      </c>
      <c r="CF115" s="258">
        <f t="shared" si="327"/>
        <v>61.43</v>
      </c>
      <c r="CG115" s="258">
        <f t="shared" si="328"/>
        <v>70.21</v>
      </c>
      <c r="CH115" s="258">
        <f t="shared" si="329"/>
        <v>78.98</v>
      </c>
      <c r="CI115" s="258">
        <f t="shared" si="330"/>
        <v>272.05</v>
      </c>
      <c r="CJ115" s="113"/>
      <c r="CK115" s="258">
        <f t="shared" ref="CK115:CN115" si="332">IFERROR(ROUND(BY115*$P115,2),"")</f>
        <v>909564.45</v>
      </c>
      <c r="CL115" s="258">
        <f t="shared" si="332"/>
        <v>909564.45</v>
      </c>
      <c r="CM115" s="258">
        <f t="shared" si="332"/>
        <v>1039502.23</v>
      </c>
      <c r="CN115" s="258">
        <f t="shared" si="332"/>
        <v>1169440.01</v>
      </c>
      <c r="CO115" s="258">
        <f t="shared" si="237"/>
        <v>4028071.14</v>
      </c>
      <c r="CP115" s="258">
        <f>VLOOKUP(G115,[2]Sheet1!$C$3:$G$310,5,0)</f>
        <v>8900</v>
      </c>
      <c r="CQ115" s="258" t="e">
        <f>VLOOKUP(G115,[3]KCBB0101!$C$3:$F$691,4,0)</f>
        <v>#N/A</v>
      </c>
    </row>
    <row r="116" s="258" customFormat="1" ht="17.6" spans="1:95">
      <c r="A116" s="330"/>
      <c r="B116" s="334" t="str">
        <f>_xlfn.XLOOKUP(G116,销售需求表!A:A,销售需求表!C:C)</f>
        <v>北美</v>
      </c>
      <c r="C116" s="335" t="str">
        <f t="shared" si="219"/>
        <v>22.5</v>
      </c>
      <c r="D116" s="334" t="str">
        <f t="shared" si="320"/>
        <v>北美22.5寸</v>
      </c>
      <c r="E116" s="339" t="str">
        <f t="shared" si="274"/>
        <v>255/70R22.5-16PR(140/137M)-M-TRAC AP</v>
      </c>
      <c r="F116" s="340" t="str">
        <f t="shared" si="275"/>
        <v>255/70R22.5-16PR-M-TRAC AP</v>
      </c>
      <c r="G116" s="342" t="s">
        <v>126</v>
      </c>
      <c r="H116" s="334">
        <v>2700</v>
      </c>
      <c r="I116" s="345">
        <v>2</v>
      </c>
      <c r="J116" s="346" t="str">
        <f t="shared" si="316"/>
        <v>255/70R22.5-M-TRAC AP</v>
      </c>
      <c r="K116" s="347" t="str">
        <f>_xlfn.XLOOKUP(F116,投产规格!E:E,投产规格!D:D,"未投产")</f>
        <v>✔</v>
      </c>
      <c r="L116" s="347">
        <f>IFERROR(_xlfn.XLOOKUP(F116,硫化工艺!B:B,硫化工艺!C:C),"")</f>
        <v>34</v>
      </c>
      <c r="M116" s="349">
        <f t="shared" si="321"/>
        <v>0.853556485355648</v>
      </c>
      <c r="N116" s="347" t="str">
        <f t="shared" ref="N116:N179" si="333">C116&amp;"全钢"</f>
        <v>22.5全钢</v>
      </c>
      <c r="O116" s="347">
        <f>IFERROR(_xlfn.XLOOKUP(F116,轮胎重量!J:J,轮胎重量!G:G),"")</f>
        <v>41.516</v>
      </c>
      <c r="P116" s="347">
        <f>IFERROR(_xlfn.XLOOKUP(G116,硫化工艺!I:I,硫化工艺!J:J),"")</f>
        <v>613.420843</v>
      </c>
      <c r="Q116" s="347">
        <f t="shared" si="277"/>
        <v>72</v>
      </c>
      <c r="R116" s="347">
        <v>70</v>
      </c>
      <c r="S116" s="347">
        <v>70</v>
      </c>
      <c r="T116" s="347">
        <v>70</v>
      </c>
      <c r="U116" s="347">
        <v>70</v>
      </c>
      <c r="V116" s="347">
        <v>70</v>
      </c>
      <c r="W116" s="347">
        <v>70</v>
      </c>
      <c r="X116" s="347">
        <v>70</v>
      </c>
      <c r="Y116" s="347">
        <v>70</v>
      </c>
      <c r="Z116" s="347">
        <v>70</v>
      </c>
      <c r="AA116" s="347">
        <v>70</v>
      </c>
      <c r="AB116" s="347">
        <v>70</v>
      </c>
      <c r="AC116" s="347">
        <v>70</v>
      </c>
      <c r="AD116" s="347">
        <v>70</v>
      </c>
      <c r="AE116" s="347">
        <v>70</v>
      </c>
      <c r="AF116" s="347">
        <v>70</v>
      </c>
      <c r="AG116" s="347">
        <v>70</v>
      </c>
      <c r="AH116" s="347">
        <v>70</v>
      </c>
      <c r="AI116" s="347">
        <v>70</v>
      </c>
      <c r="AJ116" s="347">
        <v>70</v>
      </c>
      <c r="AK116" s="347">
        <v>70</v>
      </c>
      <c r="AL116" s="347">
        <v>70</v>
      </c>
      <c r="AM116" s="347">
        <v>70</v>
      </c>
      <c r="AN116" s="347">
        <v>70</v>
      </c>
      <c r="AO116" s="347">
        <v>70</v>
      </c>
      <c r="AP116" s="347">
        <v>70</v>
      </c>
      <c r="AQ116" s="347">
        <v>70</v>
      </c>
      <c r="AR116" s="347">
        <v>70</v>
      </c>
      <c r="AS116" s="347">
        <v>70</v>
      </c>
      <c r="AT116" s="347">
        <v>70</v>
      </c>
      <c r="AU116" s="347">
        <v>70</v>
      </c>
      <c r="AV116" s="347">
        <v>70</v>
      </c>
      <c r="AW116" s="347">
        <v>3000</v>
      </c>
      <c r="AX116" s="365">
        <f t="shared" si="323"/>
        <v>124.548</v>
      </c>
      <c r="AY116" s="365">
        <f t="shared" si="324"/>
        <v>184.026</v>
      </c>
      <c r="AZ116" s="367"/>
      <c r="BA116" s="376"/>
      <c r="BB116" s="376"/>
      <c r="BC116" s="330"/>
      <c r="BD116" s="330"/>
      <c r="BE116" s="330"/>
      <c r="BF116" s="330"/>
      <c r="BG116" s="330"/>
      <c r="BH116" s="330"/>
      <c r="BI116" s="330"/>
      <c r="BJ116" s="370" cm="1">
        <f t="array" ref="BJ116:BM116">_xlfn.LET(_xlpm.data,$R116:$AV116,_xlpm.starts,{1,8,16,23},_xlpm.lengths,{7,7,8,9},_xlpm.arr,_xlfn.MAP(_xlpm.starts,_xlpm.lengths,_xlfn.LAMBDA(_xlpm.s,_xlpm.l,SUM(INDEX(_xlpm.data,,_xlfn.SEQUENCE(,_xlpm.l,_xlpm.s))))),ROUND(_xlpm.arr*$O116/1000,2))</f>
        <v>20.34</v>
      </c>
      <c r="BK116" s="330">
        <v>20.34</v>
      </c>
      <c r="BL116" s="330">
        <v>23.25</v>
      </c>
      <c r="BM116" s="330">
        <v>26.16</v>
      </c>
      <c r="BN116" s="258">
        <f t="shared" si="325"/>
        <v>90.09</v>
      </c>
      <c r="BO116" s="258">
        <v>0.42</v>
      </c>
      <c r="BP116" s="258">
        <v>0</v>
      </c>
      <c r="BQ116" s="258">
        <v>0</v>
      </c>
      <c r="BR116" s="258">
        <v>0</v>
      </c>
      <c r="BS116" s="115"/>
      <c r="BT116" s="258" cm="1">
        <f ca="1" t="array" ref="BT116:BW116">_xlfn.HSTACK(SUM(INDEX($R116:$AV116,1,1):INDEX($R116:$AV116,1,7)),SUM(INDEX($R116:$AV116,1,7):INDEX($R116:$AV116,1,13)),SUM(INDEX($R116:$AV116,1,16):INDEX($R116:$AV116,1,23)),SUM(INDEX($R116:$AV116,1,23):INDEX($R116:$AV116,1,31)))</f>
        <v>490</v>
      </c>
      <c r="BU116" s="258">
        <v>490</v>
      </c>
      <c r="BV116" s="258">
        <v>560</v>
      </c>
      <c r="BW116" s="258">
        <v>630</v>
      </c>
      <c r="BY116" s="258">
        <f t="shared" si="228"/>
        <v>490</v>
      </c>
      <c r="BZ116" s="258">
        <f t="shared" si="229"/>
        <v>490</v>
      </c>
      <c r="CA116" s="258">
        <f t="shared" si="230"/>
        <v>560</v>
      </c>
      <c r="CB116" s="258">
        <f t="shared" si="231"/>
        <v>630</v>
      </c>
      <c r="CD116" s="113"/>
      <c r="CE116" s="258">
        <f t="shared" si="326"/>
        <v>20.34</v>
      </c>
      <c r="CF116" s="258">
        <f t="shared" si="327"/>
        <v>20.34</v>
      </c>
      <c r="CG116" s="258">
        <f t="shared" si="328"/>
        <v>23.25</v>
      </c>
      <c r="CH116" s="258">
        <f t="shared" si="329"/>
        <v>26.16</v>
      </c>
      <c r="CI116" s="258">
        <f t="shared" si="330"/>
        <v>90.09</v>
      </c>
      <c r="CJ116" s="113"/>
      <c r="CK116" s="258">
        <f t="shared" ref="CK116:CN116" si="334">IFERROR(ROUND(BY116*$P116,2),"")</f>
        <v>300576.21</v>
      </c>
      <c r="CL116" s="258">
        <f t="shared" si="334"/>
        <v>300576.21</v>
      </c>
      <c r="CM116" s="258">
        <f t="shared" si="334"/>
        <v>343515.67</v>
      </c>
      <c r="CN116" s="258">
        <f t="shared" si="334"/>
        <v>386455.13</v>
      </c>
      <c r="CO116" s="258">
        <f t="shared" si="237"/>
        <v>1331123.22</v>
      </c>
      <c r="CP116" s="258" t="e">
        <f>VLOOKUP(G116,[2]Sheet1!$C$3:$G$310,5,0)</f>
        <v>#N/A</v>
      </c>
      <c r="CQ116" s="258">
        <f>VLOOKUP(G116,[3]KCBB0101!$C$3:$F$691,4,0)</f>
        <v>4407</v>
      </c>
    </row>
    <row r="117" ht="17.6" spans="2:95">
      <c r="B117" s="334" t="str">
        <f>_xlfn.XLOOKUP(G117,销售需求表!A:A,销售需求表!C:C)</f>
        <v>北美</v>
      </c>
      <c r="C117" s="335" t="str">
        <f t="shared" si="219"/>
        <v>22.5</v>
      </c>
      <c r="D117" s="334" t="str">
        <f t="shared" si="320"/>
        <v>北美22.5寸</v>
      </c>
      <c r="E117" s="339" t="str">
        <f t="shared" si="274"/>
        <v>295/75R22.5-14PR(144/141L)-AS600</v>
      </c>
      <c r="F117" s="340" t="str">
        <f t="shared" si="275"/>
        <v>295/75R22.5-14PR-AS600</v>
      </c>
      <c r="G117" s="341" t="s">
        <v>493</v>
      </c>
      <c r="H117" s="334">
        <v>280</v>
      </c>
      <c r="I117" s="345"/>
      <c r="J117" s="346" t="str">
        <f t="shared" si="316"/>
        <v>295/75R22.5-AS600</v>
      </c>
      <c r="K117" s="347" t="str">
        <f>_xlfn.XLOOKUP(F117,投产规格!E:E,投产规格!D:D,"未投产")</f>
        <v>未投产</v>
      </c>
      <c r="L117" s="347">
        <f>IFERROR(_xlfn.XLOOKUP(F117,硫化工艺!B:B,硫化工艺!C:C),"")</f>
        <v>35.5</v>
      </c>
      <c r="M117" s="349">
        <f t="shared" si="321"/>
        <v>0.858870967741935</v>
      </c>
      <c r="N117" s="347" t="str">
        <f t="shared" si="333"/>
        <v>22.5全钢</v>
      </c>
      <c r="O117" s="347">
        <f>IFERROR(_xlfn.XLOOKUP(F117,轮胎重量!J:J,轮胎重量!G:G),"")</f>
        <v>51.992</v>
      </c>
      <c r="P117" s="350">
        <f t="shared" ref="P117:P124" si="335">O117*13.9</f>
        <v>722.6888</v>
      </c>
      <c r="Q117" s="347">
        <f t="shared" si="277"/>
        <v>0</v>
      </c>
      <c r="R117" s="347"/>
      <c r="S117" s="347"/>
      <c r="T117" s="347"/>
      <c r="U117" s="347"/>
      <c r="V117" s="347"/>
      <c r="W117" s="347"/>
      <c r="X117" s="347"/>
      <c r="Y117" s="347"/>
      <c r="Z117" s="347"/>
      <c r="AA117" s="347"/>
      <c r="AB117" s="347"/>
      <c r="AC117" s="347"/>
      <c r="AD117" s="347"/>
      <c r="AE117" s="347"/>
      <c r="AF117" s="347"/>
      <c r="AG117" s="347"/>
      <c r="AH117" s="347"/>
      <c r="AI117" s="347"/>
      <c r="AJ117" s="347"/>
      <c r="AK117" s="347"/>
      <c r="AL117" s="347"/>
      <c r="AM117" s="347"/>
      <c r="AN117" s="347"/>
      <c r="AO117" s="347"/>
      <c r="AP117" s="347"/>
      <c r="AQ117" s="347">
        <v>60</v>
      </c>
      <c r="AR117" s="347">
        <v>60</v>
      </c>
      <c r="AS117" s="347">
        <v>60</v>
      </c>
      <c r="AT117" s="347">
        <v>60</v>
      </c>
      <c r="AU117" s="347">
        <v>60</v>
      </c>
      <c r="AV117" s="347">
        <v>60</v>
      </c>
      <c r="AW117" s="347">
        <f t="shared" si="322"/>
        <v>360</v>
      </c>
      <c r="AX117" s="365">
        <f t="shared" si="323"/>
        <v>18.71712</v>
      </c>
      <c r="AY117" s="365">
        <f t="shared" si="324"/>
        <v>26.017</v>
      </c>
      <c r="AZ117" s="367"/>
      <c r="BA117" s="376"/>
      <c r="BB117" s="376"/>
      <c r="BJ117" s="370" cm="1">
        <f t="array" ref="BJ117:BM117">_xlfn.LET(_xlpm.data,$R117:$AV117,_xlpm.starts,{1,8,16,23},_xlpm.lengths,{7,7,8,9},_xlpm.arr,_xlfn.MAP(_xlpm.starts,_xlpm.lengths,_xlfn.LAMBDA(_xlpm.s,_xlpm.l,SUM(INDEX(_xlpm.data,,_xlfn.SEQUENCE(,_xlpm.l,_xlpm.s))))),ROUND(_xlpm.arr*$O117/1000,2))</f>
        <v>0</v>
      </c>
      <c r="BK117" s="330">
        <v>0</v>
      </c>
      <c r="BL117" s="330">
        <v>0</v>
      </c>
      <c r="BM117" s="330">
        <v>18.72</v>
      </c>
      <c r="BN117" s="258">
        <f t="shared" si="325"/>
        <v>18.72</v>
      </c>
      <c r="BO117" s="258">
        <v>8.34</v>
      </c>
      <c r="BP117" s="258">
        <v>29.18</v>
      </c>
      <c r="BQ117" s="258">
        <v>33.35</v>
      </c>
      <c r="BR117" s="258">
        <v>37.52</v>
      </c>
      <c r="BT117" s="258" cm="1">
        <f ca="1" t="array" ref="BT117:BW117">_xlfn.HSTACK(SUM(INDEX($R117:$AV117,1,1):INDEX($R117:$AV117,1,7)),SUM(INDEX($R117:$AV117,1,7):INDEX($R117:$AV117,1,13)),SUM(INDEX($R117:$AV117,1,16):INDEX($R117:$AV117,1,23)),SUM(INDEX($R117:$AV117,1,23):INDEX($R117:$AV117,1,31)))</f>
        <v>0</v>
      </c>
      <c r="BU117" s="258">
        <v>0</v>
      </c>
      <c r="BV117" s="258">
        <v>0</v>
      </c>
      <c r="BW117" s="258">
        <v>360</v>
      </c>
      <c r="BY117" s="258">
        <f t="shared" si="228"/>
        <v>0</v>
      </c>
      <c r="BZ117" s="258">
        <f t="shared" si="229"/>
        <v>0</v>
      </c>
      <c r="CA117" s="258">
        <f t="shared" si="230"/>
        <v>0</v>
      </c>
      <c r="CB117" s="258">
        <f t="shared" si="231"/>
        <v>360</v>
      </c>
      <c r="CE117" s="258">
        <f t="shared" si="326"/>
        <v>0</v>
      </c>
      <c r="CF117" s="258">
        <f t="shared" si="327"/>
        <v>0</v>
      </c>
      <c r="CG117" s="258">
        <f t="shared" si="328"/>
        <v>0</v>
      </c>
      <c r="CH117" s="258">
        <f t="shared" si="329"/>
        <v>18.72</v>
      </c>
      <c r="CI117" s="258">
        <f t="shared" si="330"/>
        <v>18.72</v>
      </c>
      <c r="CK117" s="258">
        <f t="shared" ref="CK117:CN117" si="336">IFERROR(ROUND(BY117*$P117,2),"")</f>
        <v>0</v>
      </c>
      <c r="CL117" s="258">
        <f t="shared" si="336"/>
        <v>0</v>
      </c>
      <c r="CM117" s="258">
        <f t="shared" si="336"/>
        <v>0</v>
      </c>
      <c r="CN117" s="258">
        <f t="shared" si="336"/>
        <v>260167.97</v>
      </c>
      <c r="CO117" s="258">
        <f t="shared" si="237"/>
        <v>260167.97</v>
      </c>
      <c r="CP117" s="258" t="e">
        <f>VLOOKUP(G117,[2]Sheet1!$C$3:$G$310,5,0)</f>
        <v>#N/A</v>
      </c>
      <c r="CQ117" s="258">
        <f>VLOOKUP(G117,[3]KCBB0101!$C$3:$F$691,4,0)</f>
        <v>3000</v>
      </c>
    </row>
    <row r="118" customFormat="1" ht="17.6" spans="1:95">
      <c r="A118" s="330"/>
      <c r="B118" s="334" t="str">
        <f>_xlfn.XLOOKUP(G118,销售需求表!A:A,销售需求表!C:C)</f>
        <v>北美</v>
      </c>
      <c r="C118" s="335" t="str">
        <f t="shared" si="219"/>
        <v>22.5</v>
      </c>
      <c r="D118" s="334" t="str">
        <f t="shared" si="320"/>
        <v>北美22.5寸</v>
      </c>
      <c r="E118" s="339" t="str">
        <f t="shared" si="274"/>
        <v>295/75R22.5-14PR(144/141L)-HD1 Plus</v>
      </c>
      <c r="F118" s="340" t="str">
        <f t="shared" si="275"/>
        <v>295/75R22.5-14PR-HD1 Plus</v>
      </c>
      <c r="G118" s="341" t="s">
        <v>494</v>
      </c>
      <c r="H118" s="334">
        <v>250</v>
      </c>
      <c r="I118" s="345"/>
      <c r="J118" s="346" t="str">
        <f t="shared" si="316"/>
        <v>295/75R22.5-HD1 Plus</v>
      </c>
      <c r="K118" s="347" t="str">
        <f>_xlfn.XLOOKUP(F118,投产规格!E:E,投产规格!D:D,"未投产")</f>
        <v>✔</v>
      </c>
      <c r="L118" s="347">
        <f>IFERROR(_xlfn.XLOOKUP(F118,硫化工艺!B:B,硫化工艺!C:C),"")</f>
        <v>40</v>
      </c>
      <c r="M118" s="349">
        <f t="shared" si="321"/>
        <v>0.872727272727273</v>
      </c>
      <c r="N118" s="347" t="str">
        <f t="shared" si="333"/>
        <v>22.5全钢</v>
      </c>
      <c r="O118" s="347">
        <f>IFERROR(_xlfn.XLOOKUP(F118,轮胎重量!J:J,轮胎重量!G:G),"")</f>
        <v>53.516</v>
      </c>
      <c r="P118" s="347">
        <f>IFERROR(_xlfn.XLOOKUP(G118,硫化工艺!I:I,硫化工艺!J:J),"")</f>
        <v>734.987792</v>
      </c>
      <c r="Q118" s="347">
        <f t="shared" si="277"/>
        <v>0</v>
      </c>
      <c r="R118" s="347"/>
      <c r="S118" s="347"/>
      <c r="T118" s="347"/>
      <c r="U118" s="347"/>
      <c r="V118" s="347"/>
      <c r="W118" s="347"/>
      <c r="X118" s="347"/>
      <c r="Y118" s="347"/>
      <c r="Z118" s="347"/>
      <c r="AA118" s="347"/>
      <c r="AB118" s="347"/>
      <c r="AC118" s="347"/>
      <c r="AD118" s="347"/>
      <c r="AE118" s="347"/>
      <c r="AF118" s="347"/>
      <c r="AG118" s="347"/>
      <c r="AH118" s="347"/>
      <c r="AI118" s="347"/>
      <c r="AJ118" s="347"/>
      <c r="AK118" s="347">
        <v>60</v>
      </c>
      <c r="AL118" s="347">
        <v>60</v>
      </c>
      <c r="AM118" s="347">
        <v>60</v>
      </c>
      <c r="AN118" s="347">
        <v>60</v>
      </c>
      <c r="AO118" s="347">
        <v>60</v>
      </c>
      <c r="AP118" s="347">
        <v>60</v>
      </c>
      <c r="AQ118" s="347"/>
      <c r="AR118" s="347"/>
      <c r="AS118" s="347"/>
      <c r="AT118" s="347"/>
      <c r="AU118" s="347"/>
      <c r="AV118" s="347"/>
      <c r="AW118" s="347">
        <f t="shared" si="322"/>
        <v>360</v>
      </c>
      <c r="AX118" s="365">
        <f t="shared" si="323"/>
        <v>19.26576</v>
      </c>
      <c r="AY118" s="365">
        <f t="shared" si="324"/>
        <v>26.46</v>
      </c>
      <c r="AZ118" s="367"/>
      <c r="BA118" s="376"/>
      <c r="BB118" s="376"/>
      <c r="BC118" s="330"/>
      <c r="BD118" s="330"/>
      <c r="BE118" s="330"/>
      <c r="BF118" s="330"/>
      <c r="BG118" s="330"/>
      <c r="BH118" s="330"/>
      <c r="BI118" s="330"/>
      <c r="BJ118" s="370" cm="1">
        <f t="array" ref="BJ118:BM118">_xlfn.LET(_xlpm.data,$R118:$AV118,_xlpm.starts,{1,8,16,23},_xlpm.lengths,{7,7,8,9},_xlpm.arr,_xlfn.MAP(_xlpm.starts,_xlpm.lengths,_xlfn.LAMBDA(_xlpm.s,_xlpm.l,SUM(INDEX(_xlpm.data,,_xlfn.SEQUENCE(,_xlpm.l,_xlpm.s))))),ROUND(_xlpm.arr*$O118/1000,2))</f>
        <v>0</v>
      </c>
      <c r="BK118" s="330">
        <v>0</v>
      </c>
      <c r="BL118" s="330">
        <v>12.84</v>
      </c>
      <c r="BM118" s="330">
        <v>9.63</v>
      </c>
      <c r="BN118" s="258">
        <f t="shared" si="325"/>
        <v>22.47</v>
      </c>
      <c r="BO118" s="258">
        <v>8.34</v>
      </c>
      <c r="BP118" s="258">
        <v>29.18</v>
      </c>
      <c r="BQ118" s="258">
        <v>33.35</v>
      </c>
      <c r="BR118" s="258">
        <v>37.52</v>
      </c>
      <c r="BS118" s="115"/>
      <c r="BT118" s="258" cm="1">
        <f ca="1" t="array" ref="BT118:BW118">_xlfn.HSTACK(SUM(INDEX($R118:$AV118,1,1):INDEX($R118:$AV118,1,7)),SUM(INDEX($R118:$AV118,1,7):INDEX($R118:$AV118,1,13)),SUM(INDEX($R118:$AV118,1,16):INDEX($R118:$AV118,1,23)),SUM(INDEX($R118:$AV118,1,23):INDEX($R118:$AV118,1,31)))</f>
        <v>0</v>
      </c>
      <c r="BU118" s="258">
        <v>0</v>
      </c>
      <c r="BV118" s="258">
        <v>240</v>
      </c>
      <c r="BW118" s="258">
        <v>180</v>
      </c>
      <c r="BY118" s="258">
        <f t="shared" si="228"/>
        <v>0</v>
      </c>
      <c r="BZ118" s="258">
        <f t="shared" si="229"/>
        <v>0</v>
      </c>
      <c r="CA118" s="258">
        <f t="shared" si="230"/>
        <v>180</v>
      </c>
      <c r="CB118" s="258">
        <f t="shared" si="231"/>
        <v>180</v>
      </c>
      <c r="CC118" s="258"/>
      <c r="CD118" s="113"/>
      <c r="CE118" s="258">
        <f t="shared" si="326"/>
        <v>0</v>
      </c>
      <c r="CF118" s="258">
        <f t="shared" si="327"/>
        <v>0</v>
      </c>
      <c r="CG118" s="258">
        <f t="shared" si="328"/>
        <v>9.63</v>
      </c>
      <c r="CH118" s="258">
        <f t="shared" si="329"/>
        <v>9.63</v>
      </c>
      <c r="CI118" s="258">
        <f t="shared" si="330"/>
        <v>19.26</v>
      </c>
      <c r="CJ118" s="113"/>
      <c r="CK118" s="258">
        <f t="shared" ref="CK118:CN118" si="337">IFERROR(ROUND(BY118*$P118,2),"")</f>
        <v>0</v>
      </c>
      <c r="CL118" s="258">
        <f t="shared" si="337"/>
        <v>0</v>
      </c>
      <c r="CM118" s="258">
        <f t="shared" si="337"/>
        <v>132297.8</v>
      </c>
      <c r="CN118" s="258">
        <f t="shared" si="337"/>
        <v>132297.8</v>
      </c>
      <c r="CO118" s="258">
        <f t="shared" si="237"/>
        <v>264595.6</v>
      </c>
      <c r="CP118" s="258" t="e">
        <f>VLOOKUP(G118,[2]Sheet1!$C$3:$G$310,5,0)</f>
        <v>#N/A</v>
      </c>
      <c r="CQ118" s="258">
        <f>VLOOKUP(G118,[3]KCBB0101!$C$3:$F$691,4,0)</f>
        <v>4709</v>
      </c>
    </row>
    <row r="119" s="258" customFormat="1" ht="17.6" spans="1:95">
      <c r="A119" s="330"/>
      <c r="B119" s="334" t="str">
        <f>_xlfn.XLOOKUP(G119,销售需求表!A:A,销售需求表!C:C)</f>
        <v>北美</v>
      </c>
      <c r="C119" s="335" t="str">
        <f t="shared" si="219"/>
        <v>22.5</v>
      </c>
      <c r="D119" s="334" t="str">
        <f t="shared" si="320"/>
        <v>北美22.5寸</v>
      </c>
      <c r="E119" s="339" t="str">
        <f t="shared" si="274"/>
        <v>295/75R22.5-14PR(144/141L)-HT1 Plus</v>
      </c>
      <c r="F119" s="340" t="str">
        <f t="shared" si="275"/>
        <v>295/75R22.5-14PR-HT1 Plus</v>
      </c>
      <c r="G119" s="341" t="s">
        <v>495</v>
      </c>
      <c r="H119" s="334">
        <v>900</v>
      </c>
      <c r="I119" s="354"/>
      <c r="J119" s="346" t="str">
        <f t="shared" si="316"/>
        <v>295/75R22.5-HT1 Plus</v>
      </c>
      <c r="K119" s="347" t="str">
        <f>_xlfn.XLOOKUP(F119,投产规格!E:E,投产规格!D:D,"未投产")</f>
        <v>✔</v>
      </c>
      <c r="L119" s="347">
        <f>IFERROR(_xlfn.XLOOKUP(F119,硫化工艺!B:B,硫化工艺!C:C),"")</f>
        <v>33.5</v>
      </c>
      <c r="M119" s="349">
        <f t="shared" si="321"/>
        <v>0.851694915254237</v>
      </c>
      <c r="N119" s="347" t="str">
        <f t="shared" si="333"/>
        <v>22.5全钢</v>
      </c>
      <c r="O119" s="347">
        <f>IFERROR(_xlfn.XLOOKUP(F119,轮胎重量!J:J,轮胎重量!G:G),"")</f>
        <v>47.069</v>
      </c>
      <c r="P119" s="347">
        <f>IFERROR(_xlfn.XLOOKUP(G119,硫化工艺!I:I,硫化工艺!J:J),"")</f>
        <v>686.847889</v>
      </c>
      <c r="Q119" s="347">
        <f t="shared" ref="Q119:Q125" si="338">IFERROR(ROUND(1440/L119*(I119)*M119,0),"")</f>
        <v>0</v>
      </c>
      <c r="R119" s="347"/>
      <c r="S119" s="347"/>
      <c r="T119" s="347"/>
      <c r="U119" s="347"/>
      <c r="V119" s="347"/>
      <c r="W119" s="347"/>
      <c r="X119" s="347"/>
      <c r="Y119" s="347"/>
      <c r="Z119" s="347"/>
      <c r="AA119" s="347"/>
      <c r="AB119" s="347"/>
      <c r="AC119" s="347"/>
      <c r="AD119" s="363">
        <v>220</v>
      </c>
      <c r="AE119" s="347">
        <v>220</v>
      </c>
      <c r="AF119" s="347">
        <v>220</v>
      </c>
      <c r="AG119" s="363">
        <v>220</v>
      </c>
      <c r="AH119" s="347"/>
      <c r="AI119" s="347"/>
      <c r="AJ119" s="347"/>
      <c r="AK119" s="347"/>
      <c r="AL119" s="347"/>
      <c r="AM119" s="347"/>
      <c r="AN119" s="347"/>
      <c r="AO119" s="347"/>
      <c r="AP119" s="347"/>
      <c r="AQ119" s="347"/>
      <c r="AR119" s="347"/>
      <c r="AS119" s="347"/>
      <c r="AT119" s="347"/>
      <c r="AU119" s="347"/>
      <c r="AV119" s="347"/>
      <c r="AW119" s="347">
        <f t="shared" si="322"/>
        <v>880</v>
      </c>
      <c r="AX119" s="365">
        <f t="shared" si="323"/>
        <v>41.42072</v>
      </c>
      <c r="AY119" s="365">
        <f t="shared" si="324"/>
        <v>60.443</v>
      </c>
      <c r="AZ119" s="367"/>
      <c r="BA119" s="376"/>
      <c r="BB119" s="376"/>
      <c r="BC119" s="330"/>
      <c r="BD119" s="330"/>
      <c r="BE119" s="330"/>
      <c r="BF119" s="330"/>
      <c r="BG119" s="330"/>
      <c r="BH119" s="330"/>
      <c r="BI119" s="330"/>
      <c r="BJ119" s="370" cm="1">
        <f t="array" ref="BJ119:BM119">_xlfn.LET(_xlpm.data,$R119:$AV119,_xlpm.starts,{1,8,16,23},_xlpm.lengths,{7,7,8,9},_xlpm.arr,_xlfn.MAP(_xlpm.starts,_xlpm.lengths,_xlfn.LAMBDA(_xlpm.s,_xlpm.l,SUM(INDEX(_xlpm.data,,_xlfn.SEQUENCE(,_xlpm.l,_xlpm.s))))),ROUND(_xlpm.arr*$O119/1000,2))</f>
        <v>0</v>
      </c>
      <c r="BK119" s="330">
        <v>20.71</v>
      </c>
      <c r="BL119" s="330">
        <v>10.36</v>
      </c>
      <c r="BM119" s="330">
        <v>0</v>
      </c>
      <c r="BN119" s="258">
        <f t="shared" si="325"/>
        <v>31.07</v>
      </c>
      <c r="BO119" s="258">
        <v>6.64</v>
      </c>
      <c r="BP119" s="258">
        <v>23.26</v>
      </c>
      <c r="BQ119" s="258">
        <v>26.58</v>
      </c>
      <c r="BR119" s="258">
        <v>29.9</v>
      </c>
      <c r="BS119" s="115"/>
      <c r="BT119" s="258" cm="1">
        <f ca="1" t="array" ref="BT119:BW119">_xlfn.HSTACK(SUM(INDEX($R119:$AV119,1,1):INDEX($R119:$AV119,1,7)),SUM(INDEX($R119:$AV119,1,7):INDEX($R119:$AV119,1,13)),SUM(INDEX($R119:$AV119,1,16):INDEX($R119:$AV119,1,23)),SUM(INDEX($R119:$AV119,1,23):INDEX($R119:$AV119,1,31)))</f>
        <v>0</v>
      </c>
      <c r="BU119" s="258">
        <v>220</v>
      </c>
      <c r="BV119" s="258">
        <v>220</v>
      </c>
      <c r="BW119" s="258">
        <v>0</v>
      </c>
      <c r="BY119" s="258">
        <f t="shared" si="228"/>
        <v>0</v>
      </c>
      <c r="BZ119" s="258">
        <f t="shared" si="229"/>
        <v>440</v>
      </c>
      <c r="CA119" s="258">
        <f t="shared" si="230"/>
        <v>440</v>
      </c>
      <c r="CB119" s="258">
        <f t="shared" si="231"/>
        <v>0</v>
      </c>
      <c r="CD119" s="113"/>
      <c r="CE119" s="258">
        <f t="shared" si="326"/>
        <v>0</v>
      </c>
      <c r="CF119" s="258">
        <f t="shared" si="327"/>
        <v>20.71</v>
      </c>
      <c r="CG119" s="258">
        <f t="shared" si="328"/>
        <v>20.71</v>
      </c>
      <c r="CH119" s="258">
        <f t="shared" si="329"/>
        <v>0</v>
      </c>
      <c r="CI119" s="258">
        <f t="shared" si="330"/>
        <v>41.42</v>
      </c>
      <c r="CJ119" s="113"/>
      <c r="CK119" s="258">
        <f t="shared" ref="CK119:CN119" si="339">IFERROR(ROUND(BY119*$P119,2),"")</f>
        <v>0</v>
      </c>
      <c r="CL119" s="258">
        <f t="shared" si="339"/>
        <v>302213.07</v>
      </c>
      <c r="CM119" s="258">
        <f t="shared" si="339"/>
        <v>302213.07</v>
      </c>
      <c r="CN119" s="258">
        <f t="shared" si="339"/>
        <v>0</v>
      </c>
      <c r="CO119" s="258">
        <f t="shared" si="237"/>
        <v>604426.14</v>
      </c>
      <c r="CP119" s="258" t="e">
        <f>VLOOKUP(G119,[2]Sheet1!$C$3:$G$310,5,0)</f>
        <v>#N/A</v>
      </c>
      <c r="CQ119" s="258">
        <f>VLOOKUP(G119,[3]KCBB0101!$C$3:$F$691,4,0)</f>
        <v>8370</v>
      </c>
    </row>
    <row r="120" s="258" customFormat="1" ht="17.6" spans="1:95">
      <c r="A120" s="330"/>
      <c r="B120" s="334" t="str">
        <f>_xlfn.XLOOKUP(G120,销售需求表!A:A,销售需求表!C:C)</f>
        <v>北美</v>
      </c>
      <c r="C120" s="335" t="str">
        <f t="shared" si="219"/>
        <v>22.5</v>
      </c>
      <c r="D120" s="334" t="str">
        <f t="shared" si="320"/>
        <v>北美22.5寸</v>
      </c>
      <c r="E120" s="339" t="str">
        <f t="shared" si="274"/>
        <v>295/75R22.5-14PR(144/141L)-I-28D</v>
      </c>
      <c r="F120" s="340" t="str">
        <f t="shared" si="275"/>
        <v>295/75R22.5-14PR-I-28D</v>
      </c>
      <c r="G120" s="341" t="s">
        <v>496</v>
      </c>
      <c r="H120" s="334">
        <v>2600</v>
      </c>
      <c r="I120" s="354"/>
      <c r="J120" s="346" t="str">
        <f t="shared" si="316"/>
        <v>295/75R22.5-I-28D</v>
      </c>
      <c r="K120" s="347" t="str">
        <f>_xlfn.XLOOKUP(F120,投产规格!E:E,投产规格!D:D,"未投产")</f>
        <v>✔</v>
      </c>
      <c r="L120" s="347">
        <f>IFERROR(_xlfn.XLOOKUP(F120,硫化工艺!B:B,硫化工艺!C:C),"")</f>
        <v>43.5</v>
      </c>
      <c r="M120" s="349">
        <f t="shared" si="321"/>
        <v>0.881756756756757</v>
      </c>
      <c r="N120" s="347" t="str">
        <f t="shared" si="333"/>
        <v>22.5全钢</v>
      </c>
      <c r="O120" s="347">
        <f>IFERROR(_xlfn.XLOOKUP(F120,轮胎重量!J:J,轮胎重量!G:G),"")</f>
        <v>56.956</v>
      </c>
      <c r="P120" s="347">
        <f>IFERROR(_xlfn.XLOOKUP(G120,硫化工艺!I:I,硫化工艺!J:J),"")</f>
        <v>839.2475</v>
      </c>
      <c r="Q120" s="347">
        <f t="shared" si="338"/>
        <v>0</v>
      </c>
      <c r="R120" s="347"/>
      <c r="S120" s="347"/>
      <c r="T120" s="347"/>
      <c r="U120" s="347"/>
      <c r="V120" s="347"/>
      <c r="W120" s="347"/>
      <c r="X120" s="347"/>
      <c r="Y120" s="347"/>
      <c r="Z120" s="347"/>
      <c r="AA120" s="347"/>
      <c r="AB120" s="347"/>
      <c r="AC120" s="347"/>
      <c r="AD120" s="347"/>
      <c r="AE120" s="347"/>
      <c r="AF120" s="347"/>
      <c r="AG120" s="347"/>
      <c r="AH120" s="363">
        <v>170</v>
      </c>
      <c r="AI120" s="347">
        <v>170</v>
      </c>
      <c r="AJ120" s="347">
        <v>170</v>
      </c>
      <c r="AK120" s="347">
        <v>170</v>
      </c>
      <c r="AL120" s="347">
        <v>170</v>
      </c>
      <c r="AM120" s="347">
        <v>170</v>
      </c>
      <c r="AN120" s="347">
        <v>170</v>
      </c>
      <c r="AO120" s="347">
        <v>170</v>
      </c>
      <c r="AP120" s="347">
        <v>170</v>
      </c>
      <c r="AQ120" s="347">
        <v>170</v>
      </c>
      <c r="AR120" s="347">
        <v>170</v>
      </c>
      <c r="AS120" s="347">
        <v>170</v>
      </c>
      <c r="AT120" s="347">
        <v>170</v>
      </c>
      <c r="AU120" s="347">
        <v>170</v>
      </c>
      <c r="AV120" s="347">
        <v>170</v>
      </c>
      <c r="AW120" s="347">
        <f t="shared" si="322"/>
        <v>2550</v>
      </c>
      <c r="AX120" s="365">
        <f t="shared" si="323"/>
        <v>145.2378</v>
      </c>
      <c r="AY120" s="365">
        <f t="shared" si="324"/>
        <v>214.008</v>
      </c>
      <c r="AZ120" s="367"/>
      <c r="BA120" s="376"/>
      <c r="BB120" s="376"/>
      <c r="BC120" s="330"/>
      <c r="BD120" s="330"/>
      <c r="BE120" s="330"/>
      <c r="BF120" s="330"/>
      <c r="BG120" s="330"/>
      <c r="BH120" s="330"/>
      <c r="BI120" s="330"/>
      <c r="BJ120" s="370" cm="1">
        <f t="array" ref="BJ120:BM120">_xlfn.LET(_xlpm.data,$R120:$AV120,_xlpm.starts,{1,8,16,23},_xlpm.lengths,{7,7,8,9},_xlpm.arr,_xlfn.MAP(_xlpm.starts,_xlpm.lengths,_xlfn.LAMBDA(_xlpm.s,_xlpm.l,SUM(INDEX(_xlpm.data,,_xlfn.SEQUENCE(,_xlpm.l,_xlpm.s))))),ROUND(_xlpm.arr*$O120/1000,2))</f>
        <v>0</v>
      </c>
      <c r="BK120" s="330">
        <v>0</v>
      </c>
      <c r="BL120" s="330">
        <v>67.78</v>
      </c>
      <c r="BM120" s="330">
        <v>87.14</v>
      </c>
      <c r="BN120" s="258">
        <f t="shared" si="325"/>
        <v>154.92</v>
      </c>
      <c r="BO120" s="258">
        <v>6.83</v>
      </c>
      <c r="BP120" s="258">
        <v>23.92</v>
      </c>
      <c r="BQ120" s="258">
        <v>27.34</v>
      </c>
      <c r="BR120" s="258">
        <v>30.75</v>
      </c>
      <c r="BS120" s="115"/>
      <c r="BT120" s="258" cm="1">
        <f ca="1" t="array" ref="BT120:BW120">_xlfn.HSTACK(SUM(INDEX($R120:$AV120,1,1):INDEX($R120:$AV120,1,7)),SUM(INDEX($R120:$AV120,1,7):INDEX($R120:$AV120,1,13)),SUM(INDEX($R120:$AV120,1,16):INDEX($R120:$AV120,1,23)),SUM(INDEX($R120:$AV120,1,23):INDEX($R120:$AV120,1,31)))</f>
        <v>0</v>
      </c>
      <c r="BU120" s="258">
        <v>0</v>
      </c>
      <c r="BV120" s="258">
        <v>1190</v>
      </c>
      <c r="BW120" s="258">
        <v>1530</v>
      </c>
      <c r="BY120" s="258">
        <f t="shared" si="228"/>
        <v>0</v>
      </c>
      <c r="BZ120" s="258">
        <f t="shared" si="229"/>
        <v>0</v>
      </c>
      <c r="CA120" s="258">
        <f t="shared" si="230"/>
        <v>1020</v>
      </c>
      <c r="CB120" s="258">
        <f t="shared" si="231"/>
        <v>1530</v>
      </c>
      <c r="CD120" s="113"/>
      <c r="CE120" s="258">
        <f t="shared" si="326"/>
        <v>0</v>
      </c>
      <c r="CF120" s="258">
        <f t="shared" si="327"/>
        <v>0</v>
      </c>
      <c r="CG120" s="258">
        <f t="shared" si="328"/>
        <v>58.1</v>
      </c>
      <c r="CH120" s="258">
        <f t="shared" si="329"/>
        <v>87.14</v>
      </c>
      <c r="CI120" s="258">
        <f t="shared" si="330"/>
        <v>145.24</v>
      </c>
      <c r="CJ120" s="113"/>
      <c r="CK120" s="258">
        <f t="shared" ref="CK120:CN120" si="340">IFERROR(ROUND(BY120*$P120,2),"")</f>
        <v>0</v>
      </c>
      <c r="CL120" s="258">
        <f t="shared" si="340"/>
        <v>0</v>
      </c>
      <c r="CM120" s="258">
        <f t="shared" si="340"/>
        <v>856032.45</v>
      </c>
      <c r="CN120" s="258">
        <f t="shared" si="340"/>
        <v>1284048.68</v>
      </c>
      <c r="CO120" s="258">
        <f t="shared" si="237"/>
        <v>2140081.13</v>
      </c>
      <c r="CP120" s="258">
        <f>VLOOKUP(G120,[2]Sheet1!$C$3:$G$310,5,0)</f>
        <v>12238</v>
      </c>
      <c r="CQ120" s="258" t="e">
        <f>VLOOKUP(G120,[3]KCBB0101!$C$3:$F$691,4,0)</f>
        <v>#N/A</v>
      </c>
    </row>
    <row r="121" s="258" customFormat="1" ht="17.6" spans="1:95">
      <c r="A121" s="330"/>
      <c r="B121" s="334" t="str">
        <f>_xlfn.XLOOKUP(G121,销售需求表!A:A,销售需求表!C:C)</f>
        <v>北美</v>
      </c>
      <c r="C121" s="335" t="str">
        <f t="shared" si="219"/>
        <v>22.5</v>
      </c>
      <c r="D121" s="334" t="str">
        <f t="shared" si="320"/>
        <v>北美22.5寸</v>
      </c>
      <c r="E121" s="339" t="str">
        <f t="shared" si="274"/>
        <v>295/75R22.5-14PR(144/141L)-M-TRAC AP</v>
      </c>
      <c r="F121" s="340" t="str">
        <f t="shared" si="275"/>
        <v>295/75R22.5-14PR-M-TRAC AP</v>
      </c>
      <c r="G121" s="342" t="s">
        <v>131</v>
      </c>
      <c r="H121" s="334">
        <v>450</v>
      </c>
      <c r="I121" s="345">
        <v>2</v>
      </c>
      <c r="J121" s="346" t="str">
        <f t="shared" si="316"/>
        <v>295/75R22.5-M-TRAC AP</v>
      </c>
      <c r="K121" s="347" t="str">
        <f>_xlfn.XLOOKUP(F121,投产规格!E:E,投产规格!D:D,"未投产")</f>
        <v>✔</v>
      </c>
      <c r="L121" s="347">
        <f>IFERROR(_xlfn.XLOOKUP(F121,硫化工艺!B:B,硫化工艺!C:C),"")</f>
        <v>38</v>
      </c>
      <c r="M121" s="349">
        <f t="shared" si="321"/>
        <v>0.866920152091255</v>
      </c>
      <c r="N121" s="347" t="str">
        <f t="shared" si="333"/>
        <v>22.5全钢</v>
      </c>
      <c r="O121" s="347">
        <f>IFERROR(_xlfn.XLOOKUP(F121,轮胎重量!J:J,轮胎重量!G:G),"")</f>
        <v>50.486</v>
      </c>
      <c r="P121" s="350">
        <f t="shared" si="335"/>
        <v>701.7554</v>
      </c>
      <c r="Q121" s="347">
        <f t="shared" si="338"/>
        <v>66</v>
      </c>
      <c r="R121" s="347">
        <v>60</v>
      </c>
      <c r="S121" s="347">
        <v>60</v>
      </c>
      <c r="T121" s="347">
        <v>60</v>
      </c>
      <c r="U121" s="347">
        <v>60</v>
      </c>
      <c r="V121" s="347">
        <v>60</v>
      </c>
      <c r="W121" s="347">
        <v>60</v>
      </c>
      <c r="X121" s="374">
        <v>60</v>
      </c>
      <c r="Y121" s="347"/>
      <c r="Z121" s="347"/>
      <c r="AA121" s="347"/>
      <c r="AB121" s="347"/>
      <c r="AC121" s="347"/>
      <c r="AD121" s="347"/>
      <c r="AE121" s="347"/>
      <c r="AF121" s="347"/>
      <c r="AG121" s="347"/>
      <c r="AH121" s="347"/>
      <c r="AI121" s="347"/>
      <c r="AJ121" s="347"/>
      <c r="AK121" s="347"/>
      <c r="AL121" s="347"/>
      <c r="AM121" s="347"/>
      <c r="AN121" s="347"/>
      <c r="AO121" s="347"/>
      <c r="AP121" s="347"/>
      <c r="AQ121" s="347"/>
      <c r="AR121" s="347"/>
      <c r="AS121" s="347"/>
      <c r="AT121" s="347"/>
      <c r="AU121" s="347"/>
      <c r="AV121" s="347"/>
      <c r="AW121" s="347">
        <v>3000</v>
      </c>
      <c r="AX121" s="365">
        <f t="shared" si="323"/>
        <v>151.458</v>
      </c>
      <c r="AY121" s="365">
        <f t="shared" si="324"/>
        <v>210.527</v>
      </c>
      <c r="AZ121" s="367"/>
      <c r="BA121" s="376"/>
      <c r="BB121" s="376"/>
      <c r="BC121" s="330"/>
      <c r="BD121" s="330"/>
      <c r="BE121" s="330"/>
      <c r="BF121" s="330"/>
      <c r="BG121" s="330"/>
      <c r="BH121" s="330"/>
      <c r="BI121" s="330"/>
      <c r="BJ121" s="370" cm="1">
        <f t="array" ref="BJ121:BM121">_xlfn.LET(_xlpm.data,$R121:$AV121,_xlpm.starts,{1,8,16,23},_xlpm.lengths,{7,7,8,9},_xlpm.arr,_xlfn.MAP(_xlpm.starts,_xlpm.lengths,_xlfn.LAMBDA(_xlpm.s,_xlpm.l,SUM(INDEX(_xlpm.data,,_xlfn.SEQUENCE(,_xlpm.l,_xlpm.s))))),ROUND(_xlpm.arr*$O121/1000,2))</f>
        <v>21.2</v>
      </c>
      <c r="BK121" s="330">
        <v>0</v>
      </c>
      <c r="BL121" s="330">
        <v>0</v>
      </c>
      <c r="BM121" s="330">
        <v>0</v>
      </c>
      <c r="BN121" s="258">
        <f t="shared" si="325"/>
        <v>21.2</v>
      </c>
      <c r="BO121" s="258">
        <v>6.83</v>
      </c>
      <c r="BP121" s="258">
        <v>23.92</v>
      </c>
      <c r="BQ121" s="258">
        <v>27.34</v>
      </c>
      <c r="BR121" s="258">
        <v>30.75</v>
      </c>
      <c r="BS121" s="115"/>
      <c r="BT121" s="258" cm="1">
        <f ca="1" t="array" ref="BT121:BW121">_xlfn.HSTACK(SUM(INDEX($R121:$AV121,1,1):INDEX($R121:$AV121,1,7)),SUM(INDEX($R121:$AV121,1,7):INDEX($R121:$AV121,1,13)),SUM(INDEX($R121:$AV121,1,16):INDEX($R121:$AV121,1,23)),SUM(INDEX($R121:$AV121,1,23):INDEX($R121:$AV121,1,31)))</f>
        <v>420</v>
      </c>
      <c r="BU121" s="258">
        <v>60</v>
      </c>
      <c r="BV121" s="258">
        <v>0</v>
      </c>
      <c r="BW121" s="258">
        <v>0</v>
      </c>
      <c r="BY121" s="258">
        <f t="shared" si="228"/>
        <v>420</v>
      </c>
      <c r="BZ121" s="258">
        <f t="shared" si="229"/>
        <v>0</v>
      </c>
      <c r="CA121" s="258">
        <f t="shared" si="230"/>
        <v>0</v>
      </c>
      <c r="CB121" s="258">
        <f t="shared" si="231"/>
        <v>0</v>
      </c>
      <c r="CD121" s="113"/>
      <c r="CE121" s="258">
        <f t="shared" si="326"/>
        <v>21.2</v>
      </c>
      <c r="CF121" s="258">
        <f t="shared" si="327"/>
        <v>0</v>
      </c>
      <c r="CG121" s="258">
        <f t="shared" si="328"/>
        <v>0</v>
      </c>
      <c r="CH121" s="258">
        <f t="shared" si="329"/>
        <v>0</v>
      </c>
      <c r="CI121" s="258">
        <f t="shared" si="330"/>
        <v>21.2</v>
      </c>
      <c r="CJ121" s="113"/>
      <c r="CK121" s="258">
        <f t="shared" ref="CK121:CN121" si="341">IFERROR(ROUND(BY121*$P121,2),"")</f>
        <v>294737.27</v>
      </c>
      <c r="CL121" s="258">
        <f t="shared" si="341"/>
        <v>0</v>
      </c>
      <c r="CM121" s="258">
        <f t="shared" si="341"/>
        <v>0</v>
      </c>
      <c r="CN121" s="258">
        <f t="shared" si="341"/>
        <v>0</v>
      </c>
      <c r="CO121" s="258">
        <f t="shared" si="237"/>
        <v>294737.27</v>
      </c>
      <c r="CP121" s="258" t="e">
        <f>VLOOKUP(G121,[2]Sheet1!$C$3:$G$310,5,0)</f>
        <v>#N/A</v>
      </c>
      <c r="CQ121" s="258" t="e">
        <f>VLOOKUP(G121,[3]KCBB0101!$C$3:$F$691,4,0)</f>
        <v>#N/A</v>
      </c>
    </row>
    <row r="122" s="258" customFormat="1" ht="17.6" spans="1:95">
      <c r="A122" s="330"/>
      <c r="B122" s="334" t="str">
        <f>_xlfn.XLOOKUP(G122,销售需求表!A:A,销售需求表!C:C)</f>
        <v>北美</v>
      </c>
      <c r="C122" s="335" t="str">
        <f t="shared" si="219"/>
        <v>22.5</v>
      </c>
      <c r="D122" s="334" t="str">
        <f t="shared" si="320"/>
        <v>北美22.5寸</v>
      </c>
      <c r="E122" s="339" t="str">
        <f t="shared" si="274"/>
        <v>295/75R22.5-14PR(144/141L)-M-TRAC CSD</v>
      </c>
      <c r="F122" s="340" t="str">
        <f t="shared" si="275"/>
        <v>295/75R22.5-14PR-M-TRAC CSD</v>
      </c>
      <c r="G122" s="341" t="s">
        <v>497</v>
      </c>
      <c r="H122" s="334">
        <v>900</v>
      </c>
      <c r="I122" s="345"/>
      <c r="J122" s="346" t="str">
        <f t="shared" si="316"/>
        <v>295/75R22.5-M-TRAC CSD</v>
      </c>
      <c r="K122" s="347" t="str">
        <f>_xlfn.XLOOKUP(F122,投产规格!E:E,投产规格!D:D,"未投产")</f>
        <v>✔</v>
      </c>
      <c r="L122" s="347">
        <f>IFERROR(_xlfn.XLOOKUP(F122,硫化工艺!B:B,硫化工艺!C:C),"")</f>
        <v>40</v>
      </c>
      <c r="M122" s="349">
        <f t="shared" si="321"/>
        <v>0.872727272727273</v>
      </c>
      <c r="N122" s="347" t="str">
        <f t="shared" si="333"/>
        <v>22.5全钢</v>
      </c>
      <c r="O122" s="347">
        <f>IFERROR(_xlfn.XLOOKUP(F122,轮胎重量!J:J,轮胎重量!G:G),"")</f>
        <v>52.95</v>
      </c>
      <c r="P122" s="350">
        <f t="shared" si="335"/>
        <v>736.005</v>
      </c>
      <c r="Q122" s="347">
        <f t="shared" si="338"/>
        <v>0</v>
      </c>
      <c r="R122" s="347"/>
      <c r="S122" s="347"/>
      <c r="T122" s="347"/>
      <c r="U122" s="347"/>
      <c r="V122" s="347"/>
      <c r="W122" s="347"/>
      <c r="X122" s="347"/>
      <c r="Y122" s="347"/>
      <c r="Z122" s="347"/>
      <c r="AA122" s="347"/>
      <c r="AB122" s="347"/>
      <c r="AC122" s="347"/>
      <c r="AD122" s="347"/>
      <c r="AE122" s="347"/>
      <c r="AF122" s="347"/>
      <c r="AG122" s="347"/>
      <c r="AH122" s="347"/>
      <c r="AI122" s="375">
        <v>120</v>
      </c>
      <c r="AJ122" s="347">
        <v>120</v>
      </c>
      <c r="AK122" s="347">
        <v>120</v>
      </c>
      <c r="AL122" s="347">
        <v>120</v>
      </c>
      <c r="AM122" s="347">
        <v>120</v>
      </c>
      <c r="AN122" s="347">
        <v>120</v>
      </c>
      <c r="AO122" s="347">
        <v>120</v>
      </c>
      <c r="AP122" s="347">
        <v>120</v>
      </c>
      <c r="AQ122" s="375">
        <v>120</v>
      </c>
      <c r="AR122" s="347"/>
      <c r="AS122" s="347"/>
      <c r="AT122" s="347"/>
      <c r="AU122" s="347"/>
      <c r="AV122" s="347"/>
      <c r="AW122" s="347">
        <f t="shared" si="322"/>
        <v>1080</v>
      </c>
      <c r="AX122" s="365">
        <f t="shared" si="323"/>
        <v>57.186</v>
      </c>
      <c r="AY122" s="365">
        <f t="shared" si="324"/>
        <v>79.489</v>
      </c>
      <c r="AZ122" s="367"/>
      <c r="BA122" s="376"/>
      <c r="BB122" s="376"/>
      <c r="BC122" s="330"/>
      <c r="BD122" s="330"/>
      <c r="BE122" s="330"/>
      <c r="BF122" s="330"/>
      <c r="BG122" s="330"/>
      <c r="BH122" s="330"/>
      <c r="BI122" s="330"/>
      <c r="BJ122" s="370" cm="1">
        <f t="array" ref="BJ122:BM122">_xlfn.LET(_xlpm.data,$R122:$AV122,_xlpm.starts,{1,8,16,23},_xlpm.lengths,{7,7,8,9},_xlpm.arr,_xlfn.MAP(_xlpm.starts,_xlpm.lengths,_xlfn.LAMBDA(_xlpm.s,_xlpm.l,SUM(INDEX(_xlpm.data,,_xlfn.SEQUENCE(,_xlpm.l,_xlpm.s))))),ROUND(_xlpm.arr*$O122/1000,2))</f>
        <v>0</v>
      </c>
      <c r="BK122" s="330">
        <v>0</v>
      </c>
      <c r="BL122" s="330">
        <v>38.12</v>
      </c>
      <c r="BM122" s="330">
        <v>25.42</v>
      </c>
      <c r="BN122" s="258">
        <f t="shared" si="325"/>
        <v>63.54</v>
      </c>
      <c r="BO122" s="258">
        <v>6.83</v>
      </c>
      <c r="BP122" s="258">
        <v>23.92</v>
      </c>
      <c r="BQ122" s="258">
        <v>27.34</v>
      </c>
      <c r="BR122" s="258">
        <v>30.75</v>
      </c>
      <c r="BS122" s="115"/>
      <c r="BT122" s="258" cm="1">
        <f ca="1" t="array" ref="BT122:BW122">_xlfn.HSTACK(SUM(INDEX($R122:$AV122,1,1):INDEX($R122:$AV122,1,7)),SUM(INDEX($R122:$AV122,1,7):INDEX($R122:$AV122,1,13)),SUM(INDEX($R122:$AV122,1,16):INDEX($R122:$AV122,1,23)),SUM(INDEX($R122:$AV122,1,23):INDEX($R122:$AV122,1,31)))</f>
        <v>0</v>
      </c>
      <c r="BU122" s="258">
        <v>0</v>
      </c>
      <c r="BV122" s="258">
        <v>720</v>
      </c>
      <c r="BW122" s="258">
        <v>480</v>
      </c>
      <c r="BY122" s="258">
        <f t="shared" si="228"/>
        <v>0</v>
      </c>
      <c r="BZ122" s="258">
        <f t="shared" si="229"/>
        <v>0</v>
      </c>
      <c r="CA122" s="258">
        <f t="shared" si="230"/>
        <v>600</v>
      </c>
      <c r="CB122" s="258">
        <f t="shared" si="231"/>
        <v>480</v>
      </c>
      <c r="CD122" s="113"/>
      <c r="CE122" s="258">
        <f t="shared" si="326"/>
        <v>0</v>
      </c>
      <c r="CF122" s="258">
        <f t="shared" si="327"/>
        <v>0</v>
      </c>
      <c r="CG122" s="258">
        <f t="shared" si="328"/>
        <v>31.77</v>
      </c>
      <c r="CH122" s="258">
        <f t="shared" si="329"/>
        <v>25.42</v>
      </c>
      <c r="CI122" s="258">
        <f t="shared" si="330"/>
        <v>57.19</v>
      </c>
      <c r="CJ122" s="113"/>
      <c r="CK122" s="258">
        <f t="shared" ref="CK122:CN122" si="342">IFERROR(ROUND(BY122*$P122,2),"")</f>
        <v>0</v>
      </c>
      <c r="CL122" s="258">
        <f t="shared" si="342"/>
        <v>0</v>
      </c>
      <c r="CM122" s="258">
        <f t="shared" si="342"/>
        <v>441603</v>
      </c>
      <c r="CN122" s="258">
        <f t="shared" si="342"/>
        <v>353282.4</v>
      </c>
      <c r="CO122" s="258">
        <f t="shared" si="237"/>
        <v>794885.4</v>
      </c>
      <c r="CP122" s="258" t="e">
        <f>VLOOKUP(G122,[2]Sheet1!$C$3:$G$310,5,0)</f>
        <v>#N/A</v>
      </c>
      <c r="CQ122" s="258">
        <f>VLOOKUP(G122,[3]KCBB0101!$C$3:$F$691,4,0)</f>
        <v>11000</v>
      </c>
    </row>
    <row r="123" s="258" customFormat="1" ht="17.6" spans="1:95">
      <c r="A123" s="330"/>
      <c r="B123" s="334" t="str">
        <f>_xlfn.XLOOKUP(G123,销售需求表!A:A,销售需求表!C:C)</f>
        <v>北美</v>
      </c>
      <c r="C123" s="335" t="str">
        <f t="shared" si="219"/>
        <v>22.5</v>
      </c>
      <c r="D123" s="334" t="str">
        <f t="shared" si="320"/>
        <v>北美22.5寸</v>
      </c>
      <c r="E123" s="339" t="str">
        <f t="shared" si="274"/>
        <v>295/75R22.5-14PR(144/141L)-M-TRAC OSD</v>
      </c>
      <c r="F123" s="340" t="str">
        <f t="shared" ref="F123:F148" si="343">IFERROR(MID(G123,3,FIND("(",G123)-3)&amp;"-"&amp;SUBSTITUTE(MID(G123,FIND("[",G123)+1,FIND("]",G123)-FIND("[",G123)-1),"Strong Guard ",""),"")</f>
        <v>295/75R22.5-14PR-M-TRAC OSD</v>
      </c>
      <c r="G123" s="341" t="s">
        <v>498</v>
      </c>
      <c r="H123" s="334">
        <v>850</v>
      </c>
      <c r="I123" s="345"/>
      <c r="J123" s="346" t="str">
        <f t="shared" si="316"/>
        <v>295/75R22.5-M-TRAC OSD</v>
      </c>
      <c r="K123" s="347" t="str">
        <f>_xlfn.XLOOKUP(F123,投产规格!E:E,投产规格!D:D,"未投产")</f>
        <v>✔</v>
      </c>
      <c r="L123" s="347">
        <f>IFERROR(_xlfn.XLOOKUP(F123,硫化工艺!B:B,硫化工艺!C:C),"")</f>
        <v>40</v>
      </c>
      <c r="M123" s="349">
        <f t="shared" si="321"/>
        <v>0.872727272727273</v>
      </c>
      <c r="N123" s="347" t="str">
        <f t="shared" si="333"/>
        <v>22.5全钢</v>
      </c>
      <c r="O123" s="347">
        <f>IFERROR(_xlfn.XLOOKUP(F123,轮胎重量!J:J,轮胎重量!G:G),"")</f>
        <v>52.95</v>
      </c>
      <c r="P123" s="350">
        <f t="shared" si="335"/>
        <v>736.005</v>
      </c>
      <c r="Q123" s="347">
        <f t="shared" si="338"/>
        <v>0</v>
      </c>
      <c r="R123" s="347"/>
      <c r="S123" s="347"/>
      <c r="T123" s="347"/>
      <c r="U123" s="347"/>
      <c r="V123" s="347"/>
      <c r="W123" s="347"/>
      <c r="X123" s="347"/>
      <c r="Y123" s="347"/>
      <c r="Z123" s="347"/>
      <c r="AA123" s="347"/>
      <c r="AB123" s="347"/>
      <c r="AC123" s="347"/>
      <c r="AD123" s="347"/>
      <c r="AE123" s="347"/>
      <c r="AF123" s="347"/>
      <c r="AG123" s="347"/>
      <c r="AH123" s="347"/>
      <c r="AI123" s="347"/>
      <c r="AJ123" s="347"/>
      <c r="AK123" s="347"/>
      <c r="AL123" s="347"/>
      <c r="AM123" s="347"/>
      <c r="AN123" s="352">
        <v>130</v>
      </c>
      <c r="AO123" s="347">
        <v>130</v>
      </c>
      <c r="AP123" s="347">
        <v>130</v>
      </c>
      <c r="AQ123" s="347">
        <v>130</v>
      </c>
      <c r="AR123" s="347">
        <v>130</v>
      </c>
      <c r="AS123" s="347">
        <v>130</v>
      </c>
      <c r="AT123" s="347">
        <v>130</v>
      </c>
      <c r="AU123" s="347">
        <v>130</v>
      </c>
      <c r="AV123" s="347">
        <v>130</v>
      </c>
      <c r="AW123" s="347">
        <f t="shared" si="322"/>
        <v>1170</v>
      </c>
      <c r="AX123" s="365">
        <f t="shared" si="323"/>
        <v>61.9515</v>
      </c>
      <c r="AY123" s="365">
        <f t="shared" si="324"/>
        <v>86.113</v>
      </c>
      <c r="AZ123" s="367"/>
      <c r="BA123" s="376"/>
      <c r="BB123" s="376"/>
      <c r="BC123" s="330"/>
      <c r="BD123" s="330"/>
      <c r="BE123" s="330"/>
      <c r="BF123" s="330"/>
      <c r="BG123" s="330"/>
      <c r="BH123" s="330"/>
      <c r="BI123" s="330"/>
      <c r="BJ123" s="370" cm="1">
        <f t="array" ref="BJ123:BM123">_xlfn.LET(_xlpm.data,$R123:$AV123,_xlpm.starts,{1,8,16,23},_xlpm.lengths,{7,7,8,9},_xlpm.arr,_xlfn.MAP(_xlpm.starts,_xlpm.lengths,_xlfn.LAMBDA(_xlpm.s,_xlpm.l,SUM(INDEX(_xlpm.data,,_xlfn.SEQUENCE(,_xlpm.l,_xlpm.s))))),ROUND(_xlpm.arr*$O123/1000,2))</f>
        <v>0</v>
      </c>
      <c r="BK123" s="330">
        <v>0</v>
      </c>
      <c r="BL123" s="330">
        <v>6.88</v>
      </c>
      <c r="BM123" s="330">
        <v>61.95</v>
      </c>
      <c r="BN123" s="258">
        <f t="shared" si="325"/>
        <v>68.83</v>
      </c>
      <c r="BO123" s="258">
        <v>6.83</v>
      </c>
      <c r="BP123" s="258">
        <v>23.92</v>
      </c>
      <c r="BQ123" s="258">
        <v>27.34</v>
      </c>
      <c r="BR123" s="258">
        <v>30.75</v>
      </c>
      <c r="BS123" s="115"/>
      <c r="BT123" s="258" cm="1">
        <f ca="1" t="array" ref="BT123:BW123">_xlfn.HSTACK(SUM(INDEX($R123:$AV123,1,1):INDEX($R123:$AV123,1,7)),SUM(INDEX($R123:$AV123,1,7):INDEX($R123:$AV123,1,13)),SUM(INDEX($R123:$AV123,1,16):INDEX($R123:$AV123,1,23)),SUM(INDEX($R123:$AV123,1,23):INDEX($R123:$AV123,1,31)))</f>
        <v>0</v>
      </c>
      <c r="BU123" s="258">
        <v>0</v>
      </c>
      <c r="BV123" s="258">
        <v>130</v>
      </c>
      <c r="BW123" s="258">
        <v>1170</v>
      </c>
      <c r="BY123" s="258">
        <f t="shared" si="228"/>
        <v>0</v>
      </c>
      <c r="BZ123" s="258">
        <f t="shared" si="229"/>
        <v>0</v>
      </c>
      <c r="CA123" s="258">
        <f t="shared" si="230"/>
        <v>0</v>
      </c>
      <c r="CB123" s="258">
        <f t="shared" si="231"/>
        <v>1170</v>
      </c>
      <c r="CD123" s="113"/>
      <c r="CE123" s="258">
        <f t="shared" si="326"/>
        <v>0</v>
      </c>
      <c r="CF123" s="258">
        <f t="shared" si="327"/>
        <v>0</v>
      </c>
      <c r="CG123" s="258">
        <f t="shared" si="328"/>
        <v>0</v>
      </c>
      <c r="CH123" s="258">
        <f t="shared" si="329"/>
        <v>61.95</v>
      </c>
      <c r="CI123" s="258">
        <f t="shared" si="330"/>
        <v>61.95</v>
      </c>
      <c r="CJ123" s="113"/>
      <c r="CK123" s="258">
        <f t="shared" ref="CK123:CN123" si="344">IFERROR(ROUND(BY123*$P123,2),"")</f>
        <v>0</v>
      </c>
      <c r="CL123" s="258">
        <f t="shared" si="344"/>
        <v>0</v>
      </c>
      <c r="CM123" s="258">
        <f t="shared" si="344"/>
        <v>0</v>
      </c>
      <c r="CN123" s="258">
        <f t="shared" si="344"/>
        <v>861125.85</v>
      </c>
      <c r="CO123" s="258">
        <f t="shared" si="237"/>
        <v>861125.85</v>
      </c>
      <c r="CP123" s="258" t="e">
        <f>VLOOKUP(G123,[2]Sheet1!$C$3:$G$310,5,0)</f>
        <v>#N/A</v>
      </c>
      <c r="CQ123" s="258">
        <f>VLOOKUP(G123,[3]KCBB0101!$C$3:$F$691,4,0)</f>
        <v>5000</v>
      </c>
    </row>
    <row r="124" s="258" customFormat="1" ht="17.6" spans="1:95">
      <c r="A124" s="330"/>
      <c r="B124" s="334" t="str">
        <f>_xlfn.XLOOKUP(G124,销售需求表!A:A,销售需求表!C:C)</f>
        <v>北美</v>
      </c>
      <c r="C124" s="335" t="str">
        <f t="shared" si="219"/>
        <v>22.5</v>
      </c>
      <c r="D124" s="334" t="str">
        <f t="shared" si="320"/>
        <v>北美22.5寸</v>
      </c>
      <c r="E124" s="339" t="str">
        <f t="shared" si="274"/>
        <v>295/75R22.5-14PR(144/141L)-M-TRAC TR</v>
      </c>
      <c r="F124" s="340" t="str">
        <f t="shared" si="343"/>
        <v>295/75R22.5-14PR-M-TRAC TR</v>
      </c>
      <c r="G124" s="341" t="s">
        <v>499</v>
      </c>
      <c r="H124" s="334">
        <v>2000</v>
      </c>
      <c r="I124" s="345">
        <v>2</v>
      </c>
      <c r="J124" s="346" t="str">
        <f t="shared" si="316"/>
        <v>295/75R22.5-M-TRAC TR</v>
      </c>
      <c r="K124" s="347" t="str">
        <f>_xlfn.XLOOKUP(F124,投产规格!E:E,投产规格!D:D,"未投产")</f>
        <v>✔</v>
      </c>
      <c r="L124" s="347">
        <f>IFERROR(_xlfn.XLOOKUP(F124,硫化工艺!B:B,硫化工艺!C:C),"")</f>
        <v>33.5</v>
      </c>
      <c r="M124" s="349">
        <f t="shared" si="321"/>
        <v>0.851694915254237</v>
      </c>
      <c r="N124" s="347" t="str">
        <f t="shared" si="333"/>
        <v>22.5全钢</v>
      </c>
      <c r="O124" s="347">
        <f>IFERROR(_xlfn.XLOOKUP(F124,轮胎重量!J:J,轮胎重量!G:G),"")</f>
        <v>52.95</v>
      </c>
      <c r="P124" s="350">
        <f t="shared" si="335"/>
        <v>736.005</v>
      </c>
      <c r="Q124" s="347">
        <f t="shared" si="338"/>
        <v>73</v>
      </c>
      <c r="R124" s="347">
        <v>60</v>
      </c>
      <c r="S124" s="347">
        <v>60</v>
      </c>
      <c r="T124" s="347">
        <v>60</v>
      </c>
      <c r="U124" s="347">
        <v>60</v>
      </c>
      <c r="V124" s="347">
        <v>60</v>
      </c>
      <c r="W124" s="347">
        <v>60</v>
      </c>
      <c r="X124" s="347">
        <v>60</v>
      </c>
      <c r="Y124" s="347">
        <v>60</v>
      </c>
      <c r="Z124" s="347">
        <v>60</v>
      </c>
      <c r="AA124" s="347">
        <v>60</v>
      </c>
      <c r="AB124" s="347">
        <v>60</v>
      </c>
      <c r="AC124" s="347">
        <v>60</v>
      </c>
      <c r="AD124" s="347">
        <v>60</v>
      </c>
      <c r="AE124" s="347">
        <v>60</v>
      </c>
      <c r="AF124" s="347">
        <v>60</v>
      </c>
      <c r="AG124" s="347">
        <v>60</v>
      </c>
      <c r="AH124" s="347">
        <v>60</v>
      </c>
      <c r="AI124" s="347">
        <v>60</v>
      </c>
      <c r="AJ124" s="347">
        <v>60</v>
      </c>
      <c r="AK124" s="347">
        <v>60</v>
      </c>
      <c r="AL124" s="347">
        <v>60</v>
      </c>
      <c r="AM124" s="347">
        <v>60</v>
      </c>
      <c r="AN124" s="347">
        <v>60</v>
      </c>
      <c r="AO124" s="347">
        <v>60</v>
      </c>
      <c r="AP124" s="347">
        <v>60</v>
      </c>
      <c r="AQ124" s="347">
        <v>60</v>
      </c>
      <c r="AR124" s="347">
        <v>60</v>
      </c>
      <c r="AS124" s="347">
        <v>60</v>
      </c>
      <c r="AT124" s="347">
        <v>60</v>
      </c>
      <c r="AU124" s="347">
        <v>60</v>
      </c>
      <c r="AV124" s="347">
        <v>60</v>
      </c>
      <c r="AW124" s="347">
        <f t="shared" si="322"/>
        <v>1860</v>
      </c>
      <c r="AX124" s="365">
        <f t="shared" si="323"/>
        <v>98.487</v>
      </c>
      <c r="AY124" s="365">
        <f t="shared" si="324"/>
        <v>136.897</v>
      </c>
      <c r="AZ124" s="367"/>
      <c r="BA124" s="376"/>
      <c r="BB124" s="376"/>
      <c r="BC124" s="330"/>
      <c r="BD124" s="330"/>
      <c r="BE124" s="330"/>
      <c r="BF124" s="330"/>
      <c r="BG124" s="330"/>
      <c r="BH124" s="330"/>
      <c r="BI124" s="330"/>
      <c r="BJ124" s="370" cm="1">
        <f t="array" ref="BJ124:BM124">_xlfn.LET(_xlpm.data,$R124:$AV124,_xlpm.starts,{1,8,16,23},_xlpm.lengths,{7,7,8,9},_xlpm.arr,_xlfn.MAP(_xlpm.starts,_xlpm.lengths,_xlfn.LAMBDA(_xlpm.s,_xlpm.l,SUM(INDEX(_xlpm.data,,_xlfn.SEQUENCE(,_xlpm.l,_xlpm.s))))),ROUND(_xlpm.arr*$O124/1000,2))</f>
        <v>22.24</v>
      </c>
      <c r="BK124" s="330">
        <v>22.24</v>
      </c>
      <c r="BL124" s="330">
        <v>25.42</v>
      </c>
      <c r="BM124" s="330">
        <v>28.59</v>
      </c>
      <c r="BN124" s="258">
        <f t="shared" si="325"/>
        <v>98.49</v>
      </c>
      <c r="BO124" s="258">
        <v>6.83</v>
      </c>
      <c r="BP124" s="258">
        <v>23.92</v>
      </c>
      <c r="BQ124" s="258">
        <v>27.34</v>
      </c>
      <c r="BR124" s="258">
        <v>30.75</v>
      </c>
      <c r="BS124" s="115"/>
      <c r="BT124" s="258" cm="1">
        <f ca="1" t="array" ref="BT124:BW124">_xlfn.HSTACK(SUM(INDEX($R124:$AV124,1,1):INDEX($R124:$AV124,1,7)),SUM(INDEX($R124:$AV124,1,7):INDEX($R124:$AV124,1,13)),SUM(INDEX($R124:$AV124,1,16):INDEX($R124:$AV124,1,23)),SUM(INDEX($R124:$AV124,1,23):INDEX($R124:$AV124,1,31)))</f>
        <v>420</v>
      </c>
      <c r="BU124" s="258">
        <v>420</v>
      </c>
      <c r="BV124" s="258">
        <v>480</v>
      </c>
      <c r="BW124" s="258">
        <v>540</v>
      </c>
      <c r="BY124" s="258">
        <f t="shared" si="228"/>
        <v>420</v>
      </c>
      <c r="BZ124" s="258">
        <f t="shared" si="229"/>
        <v>420</v>
      </c>
      <c r="CA124" s="258">
        <f t="shared" si="230"/>
        <v>480</v>
      </c>
      <c r="CB124" s="258">
        <f t="shared" si="231"/>
        <v>540</v>
      </c>
      <c r="CD124" s="113"/>
      <c r="CE124" s="258">
        <f t="shared" si="326"/>
        <v>22.24</v>
      </c>
      <c r="CF124" s="258">
        <f t="shared" si="327"/>
        <v>22.24</v>
      </c>
      <c r="CG124" s="258">
        <f t="shared" si="328"/>
        <v>25.42</v>
      </c>
      <c r="CH124" s="258">
        <f t="shared" si="329"/>
        <v>28.59</v>
      </c>
      <c r="CI124" s="258">
        <f t="shared" si="330"/>
        <v>98.49</v>
      </c>
      <c r="CJ124" s="113"/>
      <c r="CK124" s="258">
        <f t="shared" ref="CK124:CN124" si="345">IFERROR(ROUND(BY124*$P124,2),"")</f>
        <v>309122.1</v>
      </c>
      <c r="CL124" s="258">
        <f t="shared" si="345"/>
        <v>309122.1</v>
      </c>
      <c r="CM124" s="258">
        <f t="shared" si="345"/>
        <v>353282.4</v>
      </c>
      <c r="CN124" s="258">
        <f t="shared" si="345"/>
        <v>397442.7</v>
      </c>
      <c r="CO124" s="258">
        <f t="shared" si="237"/>
        <v>1368969.3</v>
      </c>
      <c r="CP124" s="258" t="e">
        <f>VLOOKUP(G124,[2]Sheet1!$C$3:$G$310,5,0)</f>
        <v>#N/A</v>
      </c>
      <c r="CQ124" s="258">
        <f>VLOOKUP(G124,[3]KCBB0101!$C$3:$F$691,4,0)</f>
        <v>5000</v>
      </c>
    </row>
    <row r="125" s="258" customFormat="1" ht="17.6" spans="1:95">
      <c r="A125" s="330"/>
      <c r="B125" s="334" t="str">
        <f>_xlfn.XLOOKUP(G125,销售需求表!A:A,销售需求表!C:C)</f>
        <v>北美</v>
      </c>
      <c r="C125" s="335" t="str">
        <f t="shared" si="219"/>
        <v>22.5</v>
      </c>
      <c r="D125" s="334" t="str">
        <f t="shared" si="320"/>
        <v>北美22.5寸</v>
      </c>
      <c r="E125" s="339" t="str">
        <f t="shared" si="274"/>
        <v>295/75R22.5-14PR(144/141L)-Strong Guard H-RD</v>
      </c>
      <c r="F125" s="340" t="str">
        <f t="shared" si="343"/>
        <v>295/75R22.5-14PR-H-RD</v>
      </c>
      <c r="G125" s="341" t="s">
        <v>500</v>
      </c>
      <c r="H125" s="334">
        <v>250</v>
      </c>
      <c r="I125" s="345"/>
      <c r="J125" s="346" t="str">
        <f t="shared" si="316"/>
        <v>295/75R22.5-H-RD</v>
      </c>
      <c r="K125" s="347" t="str">
        <f>_xlfn.XLOOKUP(F125,投产规格!E:E,投产规格!D:D,"未投产")</f>
        <v>✔</v>
      </c>
      <c r="L125" s="347">
        <f>IFERROR(_xlfn.XLOOKUP(F125,硫化工艺!B:B,硫化工艺!C:C),"")</f>
        <v>40.5</v>
      </c>
      <c r="M125" s="349">
        <f t="shared" si="321"/>
        <v>0.87410071942446</v>
      </c>
      <c r="N125" s="347" t="str">
        <f t="shared" si="333"/>
        <v>22.5全钢</v>
      </c>
      <c r="O125" s="347">
        <f>IFERROR(_xlfn.XLOOKUP(F125,轮胎重量!J:J,轮胎重量!G:G),"")</f>
        <v>53.67</v>
      </c>
      <c r="P125" s="347">
        <f>IFERROR(_xlfn.XLOOKUP(G125,硫化工艺!I:I,硫化工艺!J:J),"")</f>
        <v>781.763117</v>
      </c>
      <c r="Q125" s="347">
        <f t="shared" si="338"/>
        <v>0</v>
      </c>
      <c r="R125" s="347"/>
      <c r="S125" s="347"/>
      <c r="T125" s="347"/>
      <c r="U125" s="347"/>
      <c r="V125" s="347"/>
      <c r="W125" s="347"/>
      <c r="X125" s="347"/>
      <c r="Y125" s="374">
        <v>60</v>
      </c>
      <c r="Z125" s="347">
        <v>60</v>
      </c>
      <c r="AA125" s="347">
        <v>60</v>
      </c>
      <c r="AB125" s="347">
        <v>60</v>
      </c>
      <c r="AC125" s="374">
        <v>60</v>
      </c>
      <c r="AD125" s="347"/>
      <c r="AE125" s="347"/>
      <c r="AF125" s="347"/>
      <c r="AG125" s="347"/>
      <c r="AH125" s="347"/>
      <c r="AI125" s="347"/>
      <c r="AJ125" s="347"/>
      <c r="AK125" s="347"/>
      <c r="AL125" s="347"/>
      <c r="AM125" s="347"/>
      <c r="AN125" s="347"/>
      <c r="AO125" s="347"/>
      <c r="AP125" s="347"/>
      <c r="AQ125" s="347"/>
      <c r="AR125" s="347"/>
      <c r="AS125" s="347"/>
      <c r="AT125" s="347"/>
      <c r="AU125" s="347"/>
      <c r="AV125" s="347"/>
      <c r="AW125" s="347">
        <f t="shared" si="322"/>
        <v>300</v>
      </c>
      <c r="AX125" s="365">
        <f t="shared" si="323"/>
        <v>16.101</v>
      </c>
      <c r="AY125" s="365">
        <f t="shared" si="324"/>
        <v>23.453</v>
      </c>
      <c r="AZ125" s="367"/>
      <c r="BA125" s="376"/>
      <c r="BB125" s="376"/>
      <c r="BC125" s="330"/>
      <c r="BD125" s="330"/>
      <c r="BE125" s="330"/>
      <c r="BF125" s="330"/>
      <c r="BG125" s="330"/>
      <c r="BH125" s="330"/>
      <c r="BI125" s="330"/>
      <c r="BJ125" s="370" cm="1">
        <f t="array" ref="BJ125:BM125">_xlfn.LET(_xlpm.data,$R125:$AV125,_xlpm.starts,{1,8,16,23},_xlpm.lengths,{7,7,8,9},_xlpm.arr,_xlfn.MAP(_xlpm.starts,_xlpm.lengths,_xlfn.LAMBDA(_xlpm.s,_xlpm.l,SUM(INDEX(_xlpm.data,,_xlfn.SEQUENCE(,_xlpm.l,_xlpm.s))))),ROUND(_xlpm.arr*$O125/1000,2))</f>
        <v>0</v>
      </c>
      <c r="BK125" s="330">
        <v>16.1</v>
      </c>
      <c r="BL125" s="330">
        <v>0</v>
      </c>
      <c r="BM125" s="330">
        <v>0</v>
      </c>
      <c r="BN125" s="258">
        <f t="shared" si="325"/>
        <v>16.1</v>
      </c>
      <c r="BO125" s="258">
        <v>6.83</v>
      </c>
      <c r="BP125" s="258">
        <v>23.92</v>
      </c>
      <c r="BQ125" s="258">
        <v>27.34</v>
      </c>
      <c r="BR125" s="258">
        <v>30.75</v>
      </c>
      <c r="BS125" s="115"/>
      <c r="BT125" s="258" cm="1">
        <f ca="1" t="array" ref="BT125:BW125">_xlfn.HSTACK(SUM(INDEX($R125:$AV125,1,1):INDEX($R125:$AV125,1,7)),SUM(INDEX($R125:$AV125,1,7):INDEX($R125:$AV125,1,13)),SUM(INDEX($R125:$AV125,1,16):INDEX($R125:$AV125,1,23)),SUM(INDEX($R125:$AV125,1,23):INDEX($R125:$AV125,1,31)))</f>
        <v>0</v>
      </c>
      <c r="BU125" s="258">
        <v>300</v>
      </c>
      <c r="BV125" s="258">
        <v>0</v>
      </c>
      <c r="BW125" s="258">
        <v>0</v>
      </c>
      <c r="BY125" s="258">
        <f t="shared" si="228"/>
        <v>0</v>
      </c>
      <c r="BZ125" s="258">
        <f t="shared" si="229"/>
        <v>300</v>
      </c>
      <c r="CA125" s="258">
        <f t="shared" si="230"/>
        <v>0</v>
      </c>
      <c r="CB125" s="258">
        <f t="shared" si="231"/>
        <v>0</v>
      </c>
      <c r="CD125" s="113"/>
      <c r="CE125" s="258">
        <f t="shared" si="326"/>
        <v>0</v>
      </c>
      <c r="CF125" s="258">
        <f t="shared" si="327"/>
        <v>16.1</v>
      </c>
      <c r="CG125" s="258">
        <f t="shared" si="328"/>
        <v>0</v>
      </c>
      <c r="CH125" s="258">
        <f t="shared" si="329"/>
        <v>0</v>
      </c>
      <c r="CI125" s="258">
        <f t="shared" si="330"/>
        <v>16.1</v>
      </c>
      <c r="CJ125" s="113"/>
      <c r="CK125" s="258">
        <f t="shared" ref="CK125:CN125" si="346">IFERROR(ROUND(BY125*$P125,2),"")</f>
        <v>0</v>
      </c>
      <c r="CL125" s="258">
        <f t="shared" si="346"/>
        <v>234528.94</v>
      </c>
      <c r="CM125" s="258">
        <f t="shared" si="346"/>
        <v>0</v>
      </c>
      <c r="CN125" s="258">
        <f t="shared" si="346"/>
        <v>0</v>
      </c>
      <c r="CO125" s="258">
        <f t="shared" si="237"/>
        <v>234528.94</v>
      </c>
      <c r="CP125" s="258">
        <f>VLOOKUP(G125,[2]Sheet1!$C$3:$G$310,5,0)</f>
        <v>3000</v>
      </c>
      <c r="CQ125" s="258" t="e">
        <f>VLOOKUP(G125,[3]KCBB0101!$C$3:$F$691,4,0)</f>
        <v>#N/A</v>
      </c>
    </row>
    <row r="126" s="258" customFormat="1" ht="17.6" spans="1:95">
      <c r="A126" s="330"/>
      <c r="B126" s="334" t="str">
        <f>_xlfn.XLOOKUP(G126,销售需求表!A:A,销售需求表!C:C)</f>
        <v>北美</v>
      </c>
      <c r="C126" s="335" t="str">
        <f t="shared" si="219"/>
        <v>22.5</v>
      </c>
      <c r="D126" s="334" t="str">
        <f t="shared" si="320"/>
        <v>北美22.5寸</v>
      </c>
      <c r="E126" s="339" t="str">
        <f t="shared" ref="E126:E139" si="347">LEFT(REPLACE(G126,1,2,""),FIND("[",REPLACE(G126,1,2,""))-1)&amp;"-"&amp;MID(REPLACE(G126,1,2,""),FIND("[",REPLACE(G126,1,2,""))+1,FIND("]",REPLACE(G126,1,2,""))-FIND("[",REPLACE(G126,1,2,""))-1)</f>
        <v>295/75R22.5-14PR(144/141M)-AT552</v>
      </c>
      <c r="F126" s="340" t="str">
        <f t="shared" si="343"/>
        <v>295/75R22.5-14PR-AT552</v>
      </c>
      <c r="G126" s="341" t="s">
        <v>501</v>
      </c>
      <c r="H126" s="334">
        <v>420</v>
      </c>
      <c r="I126" s="345"/>
      <c r="J126" s="346" t="str">
        <f t="shared" si="316"/>
        <v>295/75R22.5-AT552</v>
      </c>
      <c r="K126" s="347" t="str">
        <f>_xlfn.XLOOKUP(F126,投产规格!E:E,投产规格!D:D,"未投产")</f>
        <v>✔</v>
      </c>
      <c r="L126" s="347">
        <f>IFERROR(_xlfn.XLOOKUP(F126,硫化工艺!B:B,硫化工艺!C:C),"")</f>
        <v>34.5</v>
      </c>
      <c r="M126" s="349">
        <f t="shared" si="321"/>
        <v>0.855371900826446</v>
      </c>
      <c r="N126" s="347" t="str">
        <f t="shared" si="333"/>
        <v>22.5全钢</v>
      </c>
      <c r="O126" s="347">
        <f>IFERROR(_xlfn.XLOOKUP(F126,轮胎重量!J:J,轮胎重量!G:G),"")</f>
        <v>46.94</v>
      </c>
      <c r="P126" s="347">
        <f>IFERROR(_xlfn.XLOOKUP(G126,硫化工艺!I:I,硫化工艺!J:J),"")</f>
        <v>689.9858</v>
      </c>
      <c r="Q126" s="347">
        <f t="shared" ref="Q126:Q138" si="348">IFERROR(ROUND(1440/L126*(I126)*M126,0),"")</f>
        <v>0</v>
      </c>
      <c r="R126" s="347"/>
      <c r="S126" s="347"/>
      <c r="T126" s="347"/>
      <c r="U126" s="347"/>
      <c r="V126" s="347"/>
      <c r="W126" s="347"/>
      <c r="X126" s="347"/>
      <c r="Y126" s="347"/>
      <c r="Z126" s="347"/>
      <c r="AA126" s="347"/>
      <c r="AB126" s="347"/>
      <c r="AC126" s="347"/>
      <c r="AD126" s="347"/>
      <c r="AE126" s="347"/>
      <c r="AF126" s="347"/>
      <c r="AG126" s="347"/>
      <c r="AH126" s="347"/>
      <c r="AI126" s="347"/>
      <c r="AJ126" s="347"/>
      <c r="AK126" s="347"/>
      <c r="AL126" s="347"/>
      <c r="AM126" s="347"/>
      <c r="AN126" s="347"/>
      <c r="AO126" s="347"/>
      <c r="AP126" s="347"/>
      <c r="AQ126" s="347"/>
      <c r="AR126" s="375">
        <v>120</v>
      </c>
      <c r="AS126" s="347">
        <v>120</v>
      </c>
      <c r="AT126" s="347">
        <v>120</v>
      </c>
      <c r="AU126" s="347">
        <v>120</v>
      </c>
      <c r="AV126" s="347">
        <v>120</v>
      </c>
      <c r="AW126" s="347">
        <f t="shared" si="322"/>
        <v>600</v>
      </c>
      <c r="AX126" s="365">
        <f t="shared" si="323"/>
        <v>28.164</v>
      </c>
      <c r="AY126" s="365">
        <f t="shared" si="324"/>
        <v>41.399</v>
      </c>
      <c r="AZ126" s="367"/>
      <c r="BA126" s="376"/>
      <c r="BB126" s="376"/>
      <c r="BC126" s="330"/>
      <c r="BD126" s="330"/>
      <c r="BE126" s="330"/>
      <c r="BF126" s="330"/>
      <c r="BG126" s="330"/>
      <c r="BH126" s="330"/>
      <c r="BI126" s="330"/>
      <c r="BJ126" s="370" cm="1">
        <f t="array" ref="BJ126:BM126">_xlfn.LET(_xlpm.data,$R126:$AV126,_xlpm.starts,{1,8,16,23},_xlpm.lengths,{7,7,8,9},_xlpm.arr,_xlfn.MAP(_xlpm.starts,_xlpm.lengths,_xlfn.LAMBDA(_xlpm.s,_xlpm.l,SUM(INDEX(_xlpm.data,,_xlfn.SEQUENCE(,_xlpm.l,_xlpm.s))))),ROUND(_xlpm.arr*$O126/1000,2))</f>
        <v>0</v>
      </c>
      <c r="BK126" s="330">
        <v>0</v>
      </c>
      <c r="BL126" s="330">
        <v>0</v>
      </c>
      <c r="BM126" s="330">
        <v>28.16</v>
      </c>
      <c r="BN126" s="258">
        <f t="shared" si="325"/>
        <v>28.16</v>
      </c>
      <c r="BO126" s="258">
        <v>6.83</v>
      </c>
      <c r="BP126" s="258">
        <v>23.92</v>
      </c>
      <c r="BQ126" s="258">
        <v>27.34</v>
      </c>
      <c r="BR126" s="258">
        <v>30.75</v>
      </c>
      <c r="BS126" s="115"/>
      <c r="BT126" s="258" cm="1">
        <f ca="1" t="array" ref="BT126:BW126">_xlfn.HSTACK(SUM(INDEX($R126:$AV126,1,1):INDEX($R126:$AV126,1,7)),SUM(INDEX($R126:$AV126,1,7):INDEX($R126:$AV126,1,13)),SUM(INDEX($R126:$AV126,1,16):INDEX($R126:$AV126,1,23)),SUM(INDEX($R126:$AV126,1,23):INDEX($R126:$AV126,1,31)))</f>
        <v>0</v>
      </c>
      <c r="BU126" s="258">
        <v>0</v>
      </c>
      <c r="BV126" s="258">
        <v>0</v>
      </c>
      <c r="BW126" s="258">
        <v>600</v>
      </c>
      <c r="BY126" s="258">
        <f t="shared" si="228"/>
        <v>0</v>
      </c>
      <c r="BZ126" s="258">
        <f t="shared" si="229"/>
        <v>0</v>
      </c>
      <c r="CA126" s="258">
        <f t="shared" si="230"/>
        <v>0</v>
      </c>
      <c r="CB126" s="258">
        <f t="shared" si="231"/>
        <v>600</v>
      </c>
      <c r="CD126" s="113"/>
      <c r="CE126" s="258">
        <f t="shared" si="326"/>
        <v>0</v>
      </c>
      <c r="CF126" s="258">
        <f t="shared" si="327"/>
        <v>0</v>
      </c>
      <c r="CG126" s="258">
        <f t="shared" si="328"/>
        <v>0</v>
      </c>
      <c r="CH126" s="258">
        <f t="shared" si="329"/>
        <v>28.16</v>
      </c>
      <c r="CI126" s="258">
        <f t="shared" si="330"/>
        <v>28.16</v>
      </c>
      <c r="CJ126" s="113"/>
      <c r="CK126" s="258">
        <f t="shared" ref="CK126:CN126" si="349">IFERROR(ROUND(BY126*$P126,2),"")</f>
        <v>0</v>
      </c>
      <c r="CL126" s="258">
        <f t="shared" si="349"/>
        <v>0</v>
      </c>
      <c r="CM126" s="258">
        <f t="shared" si="349"/>
        <v>0</v>
      </c>
      <c r="CN126" s="258">
        <f t="shared" si="349"/>
        <v>413991.48</v>
      </c>
      <c r="CO126" s="258">
        <f t="shared" si="237"/>
        <v>413991.48</v>
      </c>
      <c r="CP126" s="258" t="e">
        <f>VLOOKUP(G126,[2]Sheet1!$C$3:$G$310,5,0)</f>
        <v>#N/A</v>
      </c>
      <c r="CQ126" s="258">
        <f>VLOOKUP(G126,[3]KCBB0101!$C$3:$F$691,4,0)</f>
        <v>3204</v>
      </c>
    </row>
    <row r="127" s="258" customFormat="1" ht="17.6" spans="1:95">
      <c r="A127" s="330"/>
      <c r="B127" s="334" t="str">
        <f>_xlfn.XLOOKUP(G127,销售需求表!A:A,销售需求表!C:C)</f>
        <v>北美</v>
      </c>
      <c r="C127" s="335" t="str">
        <f t="shared" si="219"/>
        <v>22.5</v>
      </c>
      <c r="D127" s="334" t="str">
        <f t="shared" ref="D127:D138" si="350">B127&amp;C127&amp;"寸"</f>
        <v>北美22.5寸</v>
      </c>
      <c r="E127" s="339" t="str">
        <f t="shared" si="347"/>
        <v>295/75R22.5-14PR(144/141M)-CR915</v>
      </c>
      <c r="F127" s="340" t="str">
        <f t="shared" si="343"/>
        <v>295/75R22.5-14PR-CR915</v>
      </c>
      <c r="G127" s="341" t="s">
        <v>502</v>
      </c>
      <c r="H127" s="334">
        <v>950</v>
      </c>
      <c r="I127" s="345"/>
      <c r="J127" s="346" t="str">
        <f t="shared" ref="J127:J140" si="351">IFERROR(LEFT(F127,FIND("-",F127))&amp;MID(F127,FIND("PR",F127,FIND("-",F127))+3,LEN(F127)),F127)</f>
        <v>295/75R22.5-CR915</v>
      </c>
      <c r="K127" s="347" t="str">
        <f>_xlfn.XLOOKUP(F127,投产规格!E:E,投产规格!D:D,"未投产")</f>
        <v>✔</v>
      </c>
      <c r="L127" s="347">
        <f>IFERROR(_xlfn.XLOOKUP(F127,硫化工艺!B:B,硫化工艺!C:C),"")</f>
        <v>34</v>
      </c>
      <c r="M127" s="349">
        <f t="shared" ref="M127:M138" si="352">IF(L127="","",L127/(L127+$L$1/60))</f>
        <v>0.853556485355648</v>
      </c>
      <c r="N127" s="347" t="str">
        <f t="shared" si="333"/>
        <v>22.5全钢</v>
      </c>
      <c r="O127" s="347">
        <f>IFERROR(_xlfn.XLOOKUP(F127,轮胎重量!J:J,轮胎重量!G:G),"")</f>
        <v>47.832</v>
      </c>
      <c r="P127" s="347">
        <f>IFERROR(_xlfn.XLOOKUP(G127,硫化工艺!I:I,硫化工艺!J:J),"")</f>
        <v>703.2186</v>
      </c>
      <c r="Q127" s="347">
        <f t="shared" si="348"/>
        <v>0</v>
      </c>
      <c r="R127" s="347"/>
      <c r="S127" s="347"/>
      <c r="T127" s="347"/>
      <c r="U127" s="347"/>
      <c r="V127" s="347"/>
      <c r="W127" s="347"/>
      <c r="X127" s="347"/>
      <c r="Y127" s="363">
        <v>220</v>
      </c>
      <c r="Z127" s="347">
        <v>220</v>
      </c>
      <c r="AA127" s="347">
        <v>220</v>
      </c>
      <c r="AB127" s="347">
        <v>220</v>
      </c>
      <c r="AC127" s="363">
        <v>220</v>
      </c>
      <c r="AD127" s="347"/>
      <c r="AE127" s="347"/>
      <c r="AF127" s="347"/>
      <c r="AG127" s="347"/>
      <c r="AH127" s="347"/>
      <c r="AI127" s="347"/>
      <c r="AJ127" s="347"/>
      <c r="AK127" s="347"/>
      <c r="AL127" s="347"/>
      <c r="AM127" s="347"/>
      <c r="AN127" s="347"/>
      <c r="AO127" s="347"/>
      <c r="AP127" s="347"/>
      <c r="AQ127" s="347"/>
      <c r="AR127" s="347"/>
      <c r="AS127" s="347"/>
      <c r="AT127" s="347"/>
      <c r="AU127" s="347"/>
      <c r="AV127" s="347"/>
      <c r="AW127" s="347">
        <f t="shared" ref="AW127:AW138" si="353">IF(SUM(R127:AV127)=0,"",SUM(R127:AV127))</f>
        <v>1100</v>
      </c>
      <c r="AX127" s="365">
        <f t="shared" ref="AX127:AX138" si="354">IFERROR(AW127*O127/1000,"")</f>
        <v>52.6152</v>
      </c>
      <c r="AY127" s="365">
        <f t="shared" ref="AY127:AY138" si="355">IFERROR(ROUND(AW127*P127/10000,3),"")</f>
        <v>77.354</v>
      </c>
      <c r="AZ127" s="367"/>
      <c r="BA127" s="376"/>
      <c r="BB127" s="376"/>
      <c r="BC127" s="330"/>
      <c r="BD127" s="330"/>
      <c r="BE127" s="330"/>
      <c r="BF127" s="330"/>
      <c r="BG127" s="330"/>
      <c r="BH127" s="330"/>
      <c r="BI127" s="330"/>
      <c r="BJ127" s="370" cm="1">
        <f t="array" ref="BJ127:BM127">_xlfn.LET(_xlpm.data,$R127:$AV127,_xlpm.starts,{1,8,16,23},_xlpm.lengths,{7,7,8,9},_xlpm.arr,_xlfn.MAP(_xlpm.starts,_xlpm.lengths,_xlfn.LAMBDA(_xlpm.s,_xlpm.l,SUM(INDEX(_xlpm.data,,_xlfn.SEQUENCE(,_xlpm.l,_xlpm.s))))),ROUND(_xlpm.arr*$O127/1000,2))</f>
        <v>0</v>
      </c>
      <c r="BK127" s="330">
        <v>52.62</v>
      </c>
      <c r="BL127" s="330">
        <v>0</v>
      </c>
      <c r="BM127" s="330">
        <v>0</v>
      </c>
      <c r="BN127" s="258">
        <f t="shared" ref="BN127:BN138" si="356">SUM(BJ127:BM127)</f>
        <v>52.62</v>
      </c>
      <c r="BO127" s="258">
        <v>6.83</v>
      </c>
      <c r="BP127" s="258">
        <v>23.92</v>
      </c>
      <c r="BQ127" s="258">
        <v>27.34</v>
      </c>
      <c r="BR127" s="258">
        <v>30.75</v>
      </c>
      <c r="BS127" s="115"/>
      <c r="BT127" s="258" cm="1">
        <f ca="1" t="array" ref="BT127:BW127">_xlfn.HSTACK(SUM(INDEX($R127:$AV127,1,1):INDEX($R127:$AV127,1,7)),SUM(INDEX($R127:$AV127,1,7):INDEX($R127:$AV127,1,13)),SUM(INDEX($R127:$AV127,1,16):INDEX($R127:$AV127,1,23)),SUM(INDEX($R127:$AV127,1,23):INDEX($R127:$AV127,1,31)))</f>
        <v>0</v>
      </c>
      <c r="BU127" s="258">
        <v>1100</v>
      </c>
      <c r="BV127" s="258">
        <v>0</v>
      </c>
      <c r="BW127" s="258">
        <v>0</v>
      </c>
      <c r="BY127" s="258">
        <f t="shared" si="228"/>
        <v>0</v>
      </c>
      <c r="BZ127" s="258">
        <f t="shared" si="229"/>
        <v>1100</v>
      </c>
      <c r="CA127" s="258">
        <f t="shared" si="230"/>
        <v>0</v>
      </c>
      <c r="CB127" s="258">
        <f t="shared" si="231"/>
        <v>0</v>
      </c>
      <c r="CD127" s="113"/>
      <c r="CE127" s="258">
        <f t="shared" ref="CE127:CE138" si="357">ROUND(BY127*$O127/1000,2)</f>
        <v>0</v>
      </c>
      <c r="CF127" s="258">
        <f t="shared" ref="CF127:CF138" si="358">ROUND(BZ127*$O127/1000,2)</f>
        <v>52.62</v>
      </c>
      <c r="CG127" s="258">
        <f t="shared" ref="CG127:CG138" si="359">ROUND(CA127*$O127/1000,2)</f>
        <v>0</v>
      </c>
      <c r="CH127" s="258">
        <f t="shared" ref="CH127:CH138" si="360">ROUND(CB127*$O127/1000,2)</f>
        <v>0</v>
      </c>
      <c r="CI127" s="258">
        <f t="shared" ref="CI127:CI138" si="361">SUM(CE127:CH127)</f>
        <v>52.62</v>
      </c>
      <c r="CJ127" s="113"/>
      <c r="CK127" s="258">
        <f t="shared" ref="CK127:CN127" si="362">IFERROR(ROUND(BY127*$P127,2),"")</f>
        <v>0</v>
      </c>
      <c r="CL127" s="258">
        <f t="shared" si="362"/>
        <v>773540.46</v>
      </c>
      <c r="CM127" s="258">
        <f t="shared" si="362"/>
        <v>0</v>
      </c>
      <c r="CN127" s="258">
        <f t="shared" si="362"/>
        <v>0</v>
      </c>
      <c r="CO127" s="258">
        <f t="shared" si="237"/>
        <v>773540.46</v>
      </c>
      <c r="CP127" s="258" t="e">
        <f>VLOOKUP(G127,[2]Sheet1!$C$3:$G$310,5,0)</f>
        <v>#N/A</v>
      </c>
      <c r="CQ127" s="258">
        <f>VLOOKUP(G127,[3]KCBB0101!$C$3:$F$691,4,0)</f>
        <v>6000</v>
      </c>
    </row>
    <row r="128" s="258" customFormat="1" ht="17.6" spans="1:95">
      <c r="A128" s="330"/>
      <c r="B128" s="334" t="str">
        <f>_xlfn.XLOOKUP(G128,销售需求表!A:A,销售需求表!C:C)</f>
        <v>北美</v>
      </c>
      <c r="C128" s="335" t="str">
        <f t="shared" si="219"/>
        <v>22.5</v>
      </c>
      <c r="D128" s="334" t="str">
        <f t="shared" si="350"/>
        <v>北美22.5寸</v>
      </c>
      <c r="E128" s="339" t="str">
        <f t="shared" si="347"/>
        <v>295/75R22.5-14PR(144/141M)-I-19A</v>
      </c>
      <c r="F128" s="340" t="str">
        <f t="shared" si="343"/>
        <v>295/75R22.5-14PR-I-19A</v>
      </c>
      <c r="G128" s="342" t="s">
        <v>135</v>
      </c>
      <c r="H128" s="334">
        <v>1500</v>
      </c>
      <c r="I128" s="345"/>
      <c r="J128" s="346" t="str">
        <f t="shared" si="351"/>
        <v>295/75R22.5-I-19A</v>
      </c>
      <c r="K128" s="347" t="str">
        <f>_xlfn.XLOOKUP(F128,投产规格!E:E,投产规格!D:D,"未投产")</f>
        <v>✔</v>
      </c>
      <c r="L128" s="347">
        <f>IFERROR(_xlfn.XLOOKUP(F128,硫化工艺!B:B,硫化工艺!C:C),"")</f>
        <v>35.5</v>
      </c>
      <c r="M128" s="349">
        <f t="shared" si="352"/>
        <v>0.858870967741935</v>
      </c>
      <c r="N128" s="347" t="str">
        <f t="shared" si="333"/>
        <v>22.5全钢</v>
      </c>
      <c r="O128" s="347">
        <f>IFERROR(_xlfn.XLOOKUP(F128,轮胎重量!J:J,轮胎重量!G:G),"")</f>
        <v>51.099</v>
      </c>
      <c r="P128" s="347">
        <f>IFERROR(_xlfn.XLOOKUP(G128,硫化工艺!I:I,硫化工艺!J:J),"")</f>
        <v>743.481893</v>
      </c>
      <c r="Q128" s="347">
        <f t="shared" si="348"/>
        <v>0</v>
      </c>
      <c r="R128" s="347"/>
      <c r="S128" s="347"/>
      <c r="T128" s="347"/>
      <c r="U128" s="347"/>
      <c r="V128" s="347"/>
      <c r="W128" s="347"/>
      <c r="X128" s="347"/>
      <c r="Y128" s="347"/>
      <c r="Z128" s="347"/>
      <c r="AA128" s="347"/>
      <c r="AB128" s="347"/>
      <c r="AC128" s="347"/>
      <c r="AD128" s="374">
        <v>60</v>
      </c>
      <c r="AE128" s="347">
        <v>60</v>
      </c>
      <c r="AF128" s="347">
        <v>60</v>
      </c>
      <c r="AG128" s="347">
        <v>60</v>
      </c>
      <c r="AH128" s="347">
        <v>60</v>
      </c>
      <c r="AI128" s="347">
        <v>60</v>
      </c>
      <c r="AJ128" s="347">
        <v>60</v>
      </c>
      <c r="AK128" s="347">
        <v>60</v>
      </c>
      <c r="AL128" s="347">
        <v>60</v>
      </c>
      <c r="AM128" s="356">
        <v>130</v>
      </c>
      <c r="AN128" s="347">
        <v>130</v>
      </c>
      <c r="AO128" s="347">
        <v>130</v>
      </c>
      <c r="AP128" s="347">
        <v>130</v>
      </c>
      <c r="AQ128" s="347">
        <v>130</v>
      </c>
      <c r="AR128" s="356">
        <v>130</v>
      </c>
      <c r="AS128" s="347"/>
      <c r="AT128" s="347"/>
      <c r="AU128" s="347"/>
      <c r="AV128" s="347"/>
      <c r="AW128" s="347">
        <v>3000</v>
      </c>
      <c r="AX128" s="365">
        <f t="shared" si="354"/>
        <v>153.297</v>
      </c>
      <c r="AY128" s="365">
        <f t="shared" si="355"/>
        <v>223.045</v>
      </c>
      <c r="AZ128" s="367"/>
      <c r="BA128" s="376"/>
      <c r="BB128" s="376"/>
      <c r="BC128" s="330"/>
      <c r="BD128" s="330"/>
      <c r="BE128" s="330"/>
      <c r="BF128" s="330"/>
      <c r="BG128" s="330"/>
      <c r="BH128" s="330"/>
      <c r="BI128" s="330"/>
      <c r="BJ128" s="370" cm="1">
        <f t="array" ref="BJ128:BM128">_xlfn.LET(_xlpm.data,$R128:$AV128,_xlpm.starts,{1,8,16,23},_xlpm.lengths,{7,7,8,9},_xlpm.arr,_xlfn.MAP(_xlpm.starts,_xlpm.lengths,_xlfn.LAMBDA(_xlpm.s,_xlpm.l,SUM(INDEX(_xlpm.data,,_xlfn.SEQUENCE(,_xlpm.l,_xlpm.s))))),ROUND(_xlpm.arr*$O128/1000,2))</f>
        <v>0</v>
      </c>
      <c r="BK128" s="330">
        <v>6.13</v>
      </c>
      <c r="BL128" s="330">
        <v>31.68</v>
      </c>
      <c r="BM128" s="330">
        <v>33.21</v>
      </c>
      <c r="BN128" s="258">
        <f t="shared" si="356"/>
        <v>71.02</v>
      </c>
      <c r="BO128" s="258">
        <v>6.64</v>
      </c>
      <c r="BP128" s="258">
        <v>23.26</v>
      </c>
      <c r="BQ128" s="258">
        <v>26.58</v>
      </c>
      <c r="BR128" s="258">
        <v>29.9</v>
      </c>
      <c r="BS128" s="115"/>
      <c r="BT128" s="258" cm="1">
        <f ca="1" t="array" ref="BT128:BW128">_xlfn.HSTACK(SUM(INDEX($R128:$AV128,1,1):INDEX($R128:$AV128,1,7)),SUM(INDEX($R128:$AV128,1,7):INDEX($R128:$AV128,1,13)),SUM(INDEX($R128:$AV128,1,16):INDEX($R128:$AV128,1,23)),SUM(INDEX($R128:$AV128,1,23):INDEX($R128:$AV128,1,31)))</f>
        <v>0</v>
      </c>
      <c r="BU128" s="258">
        <v>60</v>
      </c>
      <c r="BV128" s="258">
        <v>620</v>
      </c>
      <c r="BW128" s="258">
        <v>650</v>
      </c>
      <c r="BY128" s="258">
        <f t="shared" si="228"/>
        <v>0</v>
      </c>
      <c r="BZ128" s="258">
        <f t="shared" si="229"/>
        <v>120</v>
      </c>
      <c r="CA128" s="258">
        <f t="shared" si="230"/>
        <v>550</v>
      </c>
      <c r="CB128" s="258">
        <f t="shared" si="231"/>
        <v>650</v>
      </c>
      <c r="CD128" s="113"/>
      <c r="CE128" s="258">
        <f t="shared" si="357"/>
        <v>0</v>
      </c>
      <c r="CF128" s="258">
        <f t="shared" si="358"/>
        <v>6.13</v>
      </c>
      <c r="CG128" s="258">
        <f t="shared" si="359"/>
        <v>28.1</v>
      </c>
      <c r="CH128" s="258">
        <f t="shared" si="360"/>
        <v>33.21</v>
      </c>
      <c r="CI128" s="258">
        <f t="shared" si="361"/>
        <v>67.44</v>
      </c>
      <c r="CJ128" s="113"/>
      <c r="CK128" s="258">
        <f t="shared" ref="CK128:CN128" si="363">IFERROR(ROUND(BY128*$P128,2),"")</f>
        <v>0</v>
      </c>
      <c r="CL128" s="258">
        <f t="shared" si="363"/>
        <v>89217.83</v>
      </c>
      <c r="CM128" s="258">
        <f t="shared" si="363"/>
        <v>408915.04</v>
      </c>
      <c r="CN128" s="258">
        <f t="shared" si="363"/>
        <v>483263.23</v>
      </c>
      <c r="CO128" s="258">
        <f t="shared" si="237"/>
        <v>981396.1</v>
      </c>
      <c r="CP128" s="258">
        <f>VLOOKUP(G128,[2]Sheet1!$C$3:$G$310,5,0)</f>
        <v>1400</v>
      </c>
      <c r="CQ128" s="258" t="e">
        <f>VLOOKUP(G128,[3]KCBB0101!$C$3:$F$691,4,0)</f>
        <v>#N/A</v>
      </c>
    </row>
    <row r="129" s="258" customFormat="1" ht="17.6" spans="1:95">
      <c r="A129" s="330"/>
      <c r="B129" s="334" t="str">
        <f>_xlfn.XLOOKUP(G129,销售需求表!A:A,销售需求表!C:C)</f>
        <v>北美</v>
      </c>
      <c r="C129" s="335" t="str">
        <f t="shared" si="219"/>
        <v>22.5</v>
      </c>
      <c r="D129" s="334" t="str">
        <f t="shared" si="350"/>
        <v>北美22.5寸</v>
      </c>
      <c r="E129" s="339" t="str">
        <f t="shared" si="347"/>
        <v>295/75R22.5-14PR(144/141M)-I-48T</v>
      </c>
      <c r="F129" s="340" t="str">
        <f t="shared" si="343"/>
        <v>295/75R22.5-14PR-I-48T</v>
      </c>
      <c r="G129" s="342" t="s">
        <v>139</v>
      </c>
      <c r="H129" s="334">
        <v>6000</v>
      </c>
      <c r="I129" s="345">
        <v>8</v>
      </c>
      <c r="J129" s="346" t="str">
        <f t="shared" si="351"/>
        <v>295/75R22.5-I-48T</v>
      </c>
      <c r="K129" s="347" t="str">
        <f>_xlfn.XLOOKUP(F129,投产规格!E:E,投产规格!D:D,"未投产")</f>
        <v>✔</v>
      </c>
      <c r="L129" s="347">
        <f>IFERROR(_xlfn.XLOOKUP(F129,硫化工艺!B:B,硫化工艺!C:C),"")</f>
        <v>34.5</v>
      </c>
      <c r="M129" s="349">
        <f t="shared" si="352"/>
        <v>0.855371900826446</v>
      </c>
      <c r="N129" s="347" t="str">
        <f t="shared" si="333"/>
        <v>22.5全钢</v>
      </c>
      <c r="O129" s="347">
        <f>IFERROR(_xlfn.XLOOKUP(F129,轮胎重量!J:J,轮胎重量!G:G),"")</f>
        <v>48.25</v>
      </c>
      <c r="P129" s="347">
        <f>IFERROR(_xlfn.XLOOKUP(G129,硫化工艺!I:I,硫化工艺!J:J),"")</f>
        <v>707.931</v>
      </c>
      <c r="Q129" s="347">
        <f t="shared" si="348"/>
        <v>286</v>
      </c>
      <c r="R129" s="347">
        <v>280</v>
      </c>
      <c r="S129" s="347">
        <v>280</v>
      </c>
      <c r="T129" s="347">
        <v>280</v>
      </c>
      <c r="U129" s="347">
        <v>280</v>
      </c>
      <c r="V129" s="347">
        <v>280</v>
      </c>
      <c r="W129" s="347">
        <v>280</v>
      </c>
      <c r="X129" s="347">
        <v>280</v>
      </c>
      <c r="Y129" s="347">
        <v>280</v>
      </c>
      <c r="Z129" s="347">
        <v>280</v>
      </c>
      <c r="AA129" s="347">
        <v>280</v>
      </c>
      <c r="AB129" s="347">
        <v>280</v>
      </c>
      <c r="AC129" s="347">
        <v>280</v>
      </c>
      <c r="AD129" s="347">
        <v>280</v>
      </c>
      <c r="AE129" s="347">
        <v>280</v>
      </c>
      <c r="AF129" s="347">
        <v>280</v>
      </c>
      <c r="AG129" s="347">
        <v>280</v>
      </c>
      <c r="AH129" s="347">
        <v>280</v>
      </c>
      <c r="AI129" s="347">
        <v>280</v>
      </c>
      <c r="AJ129" s="347">
        <v>280</v>
      </c>
      <c r="AK129" s="347">
        <v>280</v>
      </c>
      <c r="AL129" s="347"/>
      <c r="AM129" s="347"/>
      <c r="AN129" s="347"/>
      <c r="AO129" s="347"/>
      <c r="AP129" s="347"/>
      <c r="AQ129" s="347"/>
      <c r="AR129" s="347"/>
      <c r="AS129" s="347"/>
      <c r="AT129" s="347"/>
      <c r="AU129" s="347"/>
      <c r="AV129" s="347"/>
      <c r="AW129" s="347">
        <v>3000</v>
      </c>
      <c r="AX129" s="365">
        <f t="shared" si="354"/>
        <v>144.75</v>
      </c>
      <c r="AY129" s="365">
        <f t="shared" si="355"/>
        <v>212.379</v>
      </c>
      <c r="AZ129" s="367"/>
      <c r="BA129" s="376"/>
      <c r="BB129" s="376"/>
      <c r="BC129" s="330"/>
      <c r="BD129" s="330"/>
      <c r="BE129" s="330"/>
      <c r="BF129" s="330"/>
      <c r="BG129" s="330"/>
      <c r="BH129" s="330"/>
      <c r="BI129" s="330"/>
      <c r="BJ129" s="370" cm="1">
        <f t="array" ref="BJ129:BM129">_xlfn.LET(_xlpm.data,$R129:$AV129,_xlpm.starts,{1,8,16,23},_xlpm.lengths,{7,7,8,9},_xlpm.arr,_xlfn.MAP(_xlpm.starts,_xlpm.lengths,_xlfn.LAMBDA(_xlpm.s,_xlpm.l,SUM(INDEX(_xlpm.data,,_xlfn.SEQUENCE(,_xlpm.l,_xlpm.s))))),ROUND(_xlpm.arr*$O129/1000,2))</f>
        <v>94.57</v>
      </c>
      <c r="BK129" s="330">
        <v>94.57</v>
      </c>
      <c r="BL129" s="330">
        <v>67.55</v>
      </c>
      <c r="BM129" s="330">
        <v>0</v>
      </c>
      <c r="BN129" s="258">
        <f t="shared" si="356"/>
        <v>256.69</v>
      </c>
      <c r="BO129" s="258">
        <v>6.83</v>
      </c>
      <c r="BP129" s="258">
        <v>23.92</v>
      </c>
      <c r="BQ129" s="258">
        <v>27.34</v>
      </c>
      <c r="BR129" s="258">
        <v>30.75</v>
      </c>
      <c r="BS129" s="115"/>
      <c r="BT129" s="258" cm="1">
        <f ca="1" t="array" ref="BT129:BW129">_xlfn.HSTACK(SUM(INDEX($R129:$AV129,1,1):INDEX($R129:$AV129,1,7)),SUM(INDEX($R129:$AV129,1,7):INDEX($R129:$AV129,1,13)),SUM(INDEX($R129:$AV129,1,16):INDEX($R129:$AV129,1,23)),SUM(INDEX($R129:$AV129,1,23):INDEX($R129:$AV129,1,31)))</f>
        <v>1960</v>
      </c>
      <c r="BU129" s="258">
        <v>1960</v>
      </c>
      <c r="BV129" s="258">
        <v>1400</v>
      </c>
      <c r="BW129" s="258">
        <v>0</v>
      </c>
      <c r="BY129" s="258">
        <f t="shared" si="228"/>
        <v>1960</v>
      </c>
      <c r="BZ129" s="258">
        <f t="shared" si="229"/>
        <v>1960</v>
      </c>
      <c r="CA129" s="258">
        <f t="shared" si="230"/>
        <v>1680</v>
      </c>
      <c r="CB129" s="258">
        <f t="shared" si="231"/>
        <v>0</v>
      </c>
      <c r="CD129" s="113"/>
      <c r="CE129" s="258">
        <f t="shared" si="357"/>
        <v>94.57</v>
      </c>
      <c r="CF129" s="258">
        <f t="shared" si="358"/>
        <v>94.57</v>
      </c>
      <c r="CG129" s="258">
        <f t="shared" si="359"/>
        <v>81.06</v>
      </c>
      <c r="CH129" s="258">
        <f t="shared" si="360"/>
        <v>0</v>
      </c>
      <c r="CI129" s="258">
        <f t="shared" si="361"/>
        <v>270.2</v>
      </c>
      <c r="CJ129" s="113"/>
      <c r="CK129" s="258">
        <f t="shared" ref="CK129:CN129" si="364">IFERROR(ROUND(BY129*$P129,2),"")</f>
        <v>1387544.76</v>
      </c>
      <c r="CL129" s="258">
        <f t="shared" si="364"/>
        <v>1387544.76</v>
      </c>
      <c r="CM129" s="258">
        <f t="shared" si="364"/>
        <v>1189324.08</v>
      </c>
      <c r="CN129" s="258">
        <f t="shared" si="364"/>
        <v>0</v>
      </c>
      <c r="CO129" s="258">
        <f t="shared" si="237"/>
        <v>3964413.6</v>
      </c>
      <c r="CP129" s="258">
        <f>VLOOKUP(G129,[2]Sheet1!$C$3:$G$310,5,0)</f>
        <v>7700</v>
      </c>
      <c r="CQ129" s="258" t="e">
        <f>VLOOKUP(G129,[3]KCBB0101!$C$3:$F$691,4,0)</f>
        <v>#N/A</v>
      </c>
    </row>
    <row r="130" s="258" customFormat="1" ht="17.6" spans="1:93">
      <c r="A130" s="330"/>
      <c r="B130" s="334" t="str">
        <f>_xlfn.XLOOKUP(G130,销售需求表!A:A,销售需求表!C:C)</f>
        <v>北美</v>
      </c>
      <c r="C130" s="335" t="str">
        <f t="shared" si="219"/>
        <v>22.5</v>
      </c>
      <c r="D130" s="334" t="str">
        <f t="shared" si="350"/>
        <v>北美22.5寸</v>
      </c>
      <c r="E130" s="339" t="str">
        <f t="shared" si="347"/>
        <v>295/75R22.5-16PR(146/143L)-DOMINATE D01</v>
      </c>
      <c r="F130" s="340" t="str">
        <f t="shared" si="343"/>
        <v>295/75R22.5-16PR-DOMINATE D01</v>
      </c>
      <c r="G130" s="339" t="s">
        <v>503</v>
      </c>
      <c r="H130" s="334">
        <v>800</v>
      </c>
      <c r="I130" s="345"/>
      <c r="J130" s="346" t="str">
        <f t="shared" si="351"/>
        <v>295/75R22.5-DOMINATE D01</v>
      </c>
      <c r="K130" s="347" t="str">
        <f>_xlfn.XLOOKUP(F130,投产规格!E:E,投产规格!D:D,"未投产")</f>
        <v>未投产</v>
      </c>
      <c r="L130" s="347">
        <f>IFERROR(_xlfn.XLOOKUP(F130,硫化工艺!B:B,硫化工艺!C:C),"")</f>
        <v>37</v>
      </c>
      <c r="M130" s="349">
        <f t="shared" si="352"/>
        <v>0.863813229571984</v>
      </c>
      <c r="N130" s="347" t="str">
        <f t="shared" si="333"/>
        <v>22.5全钢</v>
      </c>
      <c r="O130" s="347">
        <f>IFERROR(_xlfn.XLOOKUP(F130,轮胎重量!J:J,轮胎重量!G:G),"")</f>
        <v>57.38</v>
      </c>
      <c r="P130" s="350">
        <f t="shared" ref="P130:P132" si="365">O130*13.9</f>
        <v>797.582</v>
      </c>
      <c r="Q130" s="347">
        <f t="shared" si="348"/>
        <v>0</v>
      </c>
      <c r="R130" s="347"/>
      <c r="S130" s="347"/>
      <c r="T130" s="347"/>
      <c r="U130" s="347"/>
      <c r="V130" s="347"/>
      <c r="W130" s="347"/>
      <c r="X130" s="347"/>
      <c r="Y130" s="347"/>
      <c r="Z130" s="347"/>
      <c r="AA130" s="347"/>
      <c r="AB130" s="347"/>
      <c r="AC130" s="347"/>
      <c r="AD130" s="347"/>
      <c r="AE130" s="347"/>
      <c r="AF130" s="347"/>
      <c r="AG130" s="347"/>
      <c r="AH130" s="347"/>
      <c r="AI130" s="347"/>
      <c r="AJ130" s="347"/>
      <c r="AK130" s="347"/>
      <c r="AL130" s="347"/>
      <c r="AM130" s="347"/>
      <c r="AN130" s="347"/>
      <c r="AO130" s="347"/>
      <c r="AP130" s="347"/>
      <c r="AQ130" s="347"/>
      <c r="AR130" s="347"/>
      <c r="AS130" s="347"/>
      <c r="AT130" s="347"/>
      <c r="AU130" s="347"/>
      <c r="AV130" s="347"/>
      <c r="AW130" s="347" t="str">
        <f t="shared" si="353"/>
        <v/>
      </c>
      <c r="AX130" s="365" t="str">
        <f t="shared" si="354"/>
        <v/>
      </c>
      <c r="AY130" s="365" t="str">
        <f t="shared" si="355"/>
        <v/>
      </c>
      <c r="AZ130" s="367"/>
      <c r="BA130" s="376"/>
      <c r="BB130" s="376"/>
      <c r="BC130" s="330"/>
      <c r="BD130" s="330"/>
      <c r="BE130" s="330"/>
      <c r="BF130" s="330"/>
      <c r="BG130" s="330"/>
      <c r="BH130" s="330"/>
      <c r="BI130" s="330"/>
      <c r="BJ130" s="370" cm="1">
        <f t="array" ref="BJ130:BM130">_xlfn.LET(_xlpm.data,$R130:$AV130,_xlpm.starts,{1,8,16,23},_xlpm.lengths,{7,7,8,9},_xlpm.arr,_xlfn.MAP(_xlpm.starts,_xlpm.lengths,_xlfn.LAMBDA(_xlpm.s,_xlpm.l,SUM(INDEX(_xlpm.data,,_xlfn.SEQUENCE(,_xlpm.l,_xlpm.s))))),ROUND(_xlpm.arr*$O130/1000,2))</f>
        <v>0</v>
      </c>
      <c r="BK130" s="330">
        <v>0</v>
      </c>
      <c r="BL130" s="330">
        <v>0</v>
      </c>
      <c r="BM130" s="330">
        <v>0</v>
      </c>
      <c r="BN130" s="258">
        <f t="shared" si="356"/>
        <v>0</v>
      </c>
      <c r="BO130" s="258">
        <v>6.64</v>
      </c>
      <c r="BP130" s="258">
        <v>23.26</v>
      </c>
      <c r="BQ130" s="258">
        <v>26.58</v>
      </c>
      <c r="BR130" s="258">
        <v>29.9</v>
      </c>
      <c r="BS130" s="115"/>
      <c r="BT130" s="258" cm="1">
        <f ca="1" t="array" ref="BT130:BW130">_xlfn.HSTACK(SUM(INDEX($R130:$AV130,1,1):INDEX($R130:$AV130,1,7)),SUM(INDEX($R130:$AV130,1,7):INDEX($R130:$AV130,1,13)),SUM(INDEX($R130:$AV130,1,16):INDEX($R130:$AV130,1,23)),SUM(INDEX($R130:$AV130,1,23):INDEX($R130:$AV130,1,31)))</f>
        <v>0</v>
      </c>
      <c r="BU130" s="258">
        <v>0</v>
      </c>
      <c r="BV130" s="258">
        <v>0</v>
      </c>
      <c r="BW130" s="258">
        <v>0</v>
      </c>
      <c r="BY130" s="258">
        <f t="shared" si="228"/>
        <v>0</v>
      </c>
      <c r="BZ130" s="258">
        <f t="shared" si="229"/>
        <v>0</v>
      </c>
      <c r="CA130" s="258">
        <f t="shared" si="230"/>
        <v>0</v>
      </c>
      <c r="CB130" s="258">
        <f t="shared" si="231"/>
        <v>0</v>
      </c>
      <c r="CD130" s="113"/>
      <c r="CE130" s="258">
        <f t="shared" si="357"/>
        <v>0</v>
      </c>
      <c r="CF130" s="258">
        <f t="shared" si="358"/>
        <v>0</v>
      </c>
      <c r="CG130" s="258">
        <f t="shared" si="359"/>
        <v>0</v>
      </c>
      <c r="CH130" s="258">
        <f t="shared" si="360"/>
        <v>0</v>
      </c>
      <c r="CI130" s="258">
        <f t="shared" si="361"/>
        <v>0</v>
      </c>
      <c r="CJ130" s="113"/>
      <c r="CK130" s="258">
        <f t="shared" ref="CK130:CN130" si="366">IFERROR(ROUND(BY130*$P130,2),"")</f>
        <v>0</v>
      </c>
      <c r="CL130" s="258">
        <f t="shared" si="366"/>
        <v>0</v>
      </c>
      <c r="CM130" s="258">
        <f t="shared" si="366"/>
        <v>0</v>
      </c>
      <c r="CN130" s="258">
        <f t="shared" si="366"/>
        <v>0</v>
      </c>
      <c r="CO130" s="258">
        <f t="shared" si="237"/>
        <v>0</v>
      </c>
    </row>
    <row r="131" s="258" customFormat="1" ht="17.6" spans="1:93">
      <c r="A131" s="330"/>
      <c r="B131" s="334" t="str">
        <f>_xlfn.XLOOKUP(G131,销售需求表!A:A,销售需求表!C:C)</f>
        <v>北美</v>
      </c>
      <c r="C131" s="335" t="str">
        <f t="shared" si="219"/>
        <v>22.5</v>
      </c>
      <c r="D131" s="334" t="str">
        <f t="shared" si="350"/>
        <v>北美22.5寸</v>
      </c>
      <c r="E131" s="339" t="str">
        <f t="shared" si="347"/>
        <v>295/75R22.5-16PR(146/143L)-ECO-MILE CSD</v>
      </c>
      <c r="F131" s="340" t="str">
        <f t="shared" si="343"/>
        <v>295/75R22.5-16PR-ECO-MILE CSD</v>
      </c>
      <c r="G131" s="339" t="s">
        <v>504</v>
      </c>
      <c r="H131" s="334">
        <v>360</v>
      </c>
      <c r="I131" s="345"/>
      <c r="J131" s="346" t="str">
        <f t="shared" si="351"/>
        <v>295/75R22.5-ECO-MILE CSD</v>
      </c>
      <c r="K131" s="347" t="str">
        <f>_xlfn.XLOOKUP(F131,投产规格!E:E,投产规格!D:D,"未投产")</f>
        <v>✔</v>
      </c>
      <c r="L131" s="347">
        <f>IFERROR(_xlfn.XLOOKUP(F131,硫化工艺!B:B,硫化工艺!C:C),"")</f>
        <v>40</v>
      </c>
      <c r="M131" s="349">
        <f t="shared" si="352"/>
        <v>0.872727272727273</v>
      </c>
      <c r="N131" s="347" t="str">
        <f t="shared" si="333"/>
        <v>22.5全钢</v>
      </c>
      <c r="O131" s="347">
        <f>IFERROR(_xlfn.XLOOKUP(F131,轮胎重量!J:J,轮胎重量!G:G),"")</f>
        <v>52.95</v>
      </c>
      <c r="P131" s="350">
        <f t="shared" si="365"/>
        <v>736.005</v>
      </c>
      <c r="Q131" s="347">
        <f t="shared" si="348"/>
        <v>0</v>
      </c>
      <c r="R131" s="347"/>
      <c r="S131" s="347"/>
      <c r="T131" s="347"/>
      <c r="U131" s="347"/>
      <c r="V131" s="347"/>
      <c r="W131" s="347"/>
      <c r="X131" s="347"/>
      <c r="Y131" s="347"/>
      <c r="Z131" s="347"/>
      <c r="AA131" s="347"/>
      <c r="AB131" s="347"/>
      <c r="AC131" s="347"/>
      <c r="AD131" s="347"/>
      <c r="AE131" s="347"/>
      <c r="AF131" s="347"/>
      <c r="AG131" s="347"/>
      <c r="AH131" s="347"/>
      <c r="AI131" s="347"/>
      <c r="AJ131" s="347"/>
      <c r="AK131" s="347"/>
      <c r="AL131" s="347"/>
      <c r="AM131" s="347"/>
      <c r="AN131" s="347"/>
      <c r="AO131" s="347"/>
      <c r="AP131" s="347"/>
      <c r="AQ131" s="347"/>
      <c r="AR131" s="347"/>
      <c r="AS131" s="347"/>
      <c r="AT131" s="347"/>
      <c r="AU131" s="347"/>
      <c r="AV131" s="347"/>
      <c r="AW131" s="347" t="str">
        <f t="shared" si="353"/>
        <v/>
      </c>
      <c r="AX131" s="365" t="str">
        <f t="shared" si="354"/>
        <v/>
      </c>
      <c r="AY131" s="365" t="str">
        <f t="shared" si="355"/>
        <v/>
      </c>
      <c r="AZ131" s="367"/>
      <c r="BA131" s="376"/>
      <c r="BB131" s="376"/>
      <c r="BC131" s="330"/>
      <c r="BD131" s="330"/>
      <c r="BE131" s="330"/>
      <c r="BF131" s="330"/>
      <c r="BG131" s="330"/>
      <c r="BH131" s="330"/>
      <c r="BI131" s="330"/>
      <c r="BJ131" s="370" cm="1">
        <f t="array" ref="BJ131:BM131">_xlfn.LET(_xlpm.data,$R131:$AV131,_xlpm.starts,{1,8,16,23},_xlpm.lengths,{7,7,8,9},_xlpm.arr,_xlfn.MAP(_xlpm.starts,_xlpm.lengths,_xlfn.LAMBDA(_xlpm.s,_xlpm.l,SUM(INDEX(_xlpm.data,,_xlfn.SEQUENCE(,_xlpm.l,_xlpm.s))))),ROUND(_xlpm.arr*$O131/1000,2))</f>
        <v>0</v>
      </c>
      <c r="BK131" s="330">
        <v>0</v>
      </c>
      <c r="BL131" s="330">
        <v>0</v>
      </c>
      <c r="BM131" s="330">
        <v>0</v>
      </c>
      <c r="BN131" s="258">
        <f t="shared" si="356"/>
        <v>0</v>
      </c>
      <c r="BO131" s="258">
        <v>6.83</v>
      </c>
      <c r="BP131" s="258">
        <v>23.92</v>
      </c>
      <c r="BQ131" s="258">
        <v>27.34</v>
      </c>
      <c r="BR131" s="258">
        <v>30.75</v>
      </c>
      <c r="BS131" s="115"/>
      <c r="BT131" s="258" cm="1">
        <f ca="1" t="array" ref="BT131:BW131">_xlfn.HSTACK(SUM(INDEX($R131:$AV131,1,1):INDEX($R131:$AV131,1,7)),SUM(INDEX($R131:$AV131,1,7):INDEX($R131:$AV131,1,13)),SUM(INDEX($R131:$AV131,1,16):INDEX($R131:$AV131,1,23)),SUM(INDEX($R131:$AV131,1,23):INDEX($R131:$AV131,1,31)))</f>
        <v>0</v>
      </c>
      <c r="BU131" s="258">
        <v>0</v>
      </c>
      <c r="BV131" s="258">
        <v>0</v>
      </c>
      <c r="BW131" s="258">
        <v>0</v>
      </c>
      <c r="BY131" s="258">
        <f t="shared" si="228"/>
        <v>0</v>
      </c>
      <c r="BZ131" s="258">
        <f t="shared" si="229"/>
        <v>0</v>
      </c>
      <c r="CA131" s="258">
        <f t="shared" si="230"/>
        <v>0</v>
      </c>
      <c r="CB131" s="258">
        <f t="shared" si="231"/>
        <v>0</v>
      </c>
      <c r="CD131" s="113"/>
      <c r="CE131" s="258">
        <f t="shared" si="357"/>
        <v>0</v>
      </c>
      <c r="CF131" s="258">
        <f t="shared" si="358"/>
        <v>0</v>
      </c>
      <c r="CG131" s="258">
        <f t="shared" si="359"/>
        <v>0</v>
      </c>
      <c r="CH131" s="258">
        <f t="shared" si="360"/>
        <v>0</v>
      </c>
      <c r="CI131" s="258">
        <f t="shared" si="361"/>
        <v>0</v>
      </c>
      <c r="CJ131" s="113"/>
      <c r="CK131" s="258">
        <f t="shared" ref="CK131:CN131" si="367">IFERROR(ROUND(BY131*$P131,2),"")</f>
        <v>0</v>
      </c>
      <c r="CL131" s="258">
        <f t="shared" si="367"/>
        <v>0</v>
      </c>
      <c r="CM131" s="258">
        <f t="shared" si="367"/>
        <v>0</v>
      </c>
      <c r="CN131" s="258">
        <f t="shared" si="367"/>
        <v>0</v>
      </c>
      <c r="CO131" s="258">
        <f t="shared" si="237"/>
        <v>0</v>
      </c>
    </row>
    <row r="132" s="258" customFormat="1" ht="17.6" spans="1:95">
      <c r="A132" s="330"/>
      <c r="B132" s="334" t="str">
        <f>_xlfn.XLOOKUP(G132,销售需求表!A:A,销售需求表!C:C)</f>
        <v>北美</v>
      </c>
      <c r="C132" s="335" t="str">
        <f t="shared" si="219"/>
        <v>22.5</v>
      </c>
      <c r="D132" s="334" t="str">
        <f t="shared" si="350"/>
        <v>北美22.5寸</v>
      </c>
      <c r="E132" s="339" t="str">
        <f t="shared" si="347"/>
        <v>295/75R22.5-16PR(146/143L)-HD1 PlusX</v>
      </c>
      <c r="F132" s="340" t="str">
        <f t="shared" si="343"/>
        <v>295/75R22.5-16PR-HD1 PlusX</v>
      </c>
      <c r="G132" s="341" t="s">
        <v>505</v>
      </c>
      <c r="H132" s="334">
        <v>800</v>
      </c>
      <c r="I132" s="345"/>
      <c r="J132" s="346" t="str">
        <f t="shared" si="351"/>
        <v>295/75R22.5-HD1 PlusX</v>
      </c>
      <c r="K132" s="347" t="str">
        <f>_xlfn.XLOOKUP(F132,投产规格!E:E,投产规格!D:D,"未投产")</f>
        <v>✔</v>
      </c>
      <c r="L132" s="347">
        <f>IFERROR(_xlfn.XLOOKUP(F132,硫化工艺!B:B,硫化工艺!C:C),"")</f>
        <v>38.5</v>
      </c>
      <c r="M132" s="349">
        <f t="shared" si="352"/>
        <v>0.868421052631579</v>
      </c>
      <c r="N132" s="347" t="str">
        <f t="shared" si="333"/>
        <v>22.5全钢</v>
      </c>
      <c r="O132" s="347">
        <f>IFERROR(_xlfn.XLOOKUP(F132,轮胎重量!J:J,轮胎重量!G:G),"")</f>
        <v>53.268</v>
      </c>
      <c r="P132" s="350">
        <f t="shared" si="365"/>
        <v>740.4252</v>
      </c>
      <c r="Q132" s="347">
        <f t="shared" si="348"/>
        <v>0</v>
      </c>
      <c r="R132" s="347"/>
      <c r="S132" s="347"/>
      <c r="T132" s="347"/>
      <c r="U132" s="347"/>
      <c r="V132" s="347"/>
      <c r="W132" s="347"/>
      <c r="X132" s="347"/>
      <c r="Y132" s="347"/>
      <c r="Z132" s="347"/>
      <c r="AA132" s="347"/>
      <c r="AB132" s="347"/>
      <c r="AC132" s="347"/>
      <c r="AD132" s="347"/>
      <c r="AE132" s="347"/>
      <c r="AF132" s="347"/>
      <c r="AG132" s="347"/>
      <c r="AH132" s="347"/>
      <c r="AI132" s="347"/>
      <c r="AJ132" s="347"/>
      <c r="AK132" s="347"/>
      <c r="AL132" s="347"/>
      <c r="AM132" s="378">
        <v>60</v>
      </c>
      <c r="AN132" s="347">
        <v>60</v>
      </c>
      <c r="AO132" s="347">
        <v>60</v>
      </c>
      <c r="AP132" s="347">
        <v>60</v>
      </c>
      <c r="AQ132" s="347">
        <v>60</v>
      </c>
      <c r="AR132" s="347">
        <v>60</v>
      </c>
      <c r="AS132" s="347">
        <v>60</v>
      </c>
      <c r="AT132" s="347">
        <v>60</v>
      </c>
      <c r="AU132" s="347">
        <v>60</v>
      </c>
      <c r="AV132" s="347">
        <v>60</v>
      </c>
      <c r="AW132" s="347">
        <f t="shared" si="353"/>
        <v>600</v>
      </c>
      <c r="AX132" s="365">
        <f t="shared" si="354"/>
        <v>31.9608</v>
      </c>
      <c r="AY132" s="365">
        <f t="shared" si="355"/>
        <v>44.426</v>
      </c>
      <c r="AZ132" s="367"/>
      <c r="BA132" s="376"/>
      <c r="BB132" s="376"/>
      <c r="BC132" s="330"/>
      <c r="BD132" s="330"/>
      <c r="BE132" s="330"/>
      <c r="BF132" s="330"/>
      <c r="BG132" s="330"/>
      <c r="BH132" s="330"/>
      <c r="BI132" s="330"/>
      <c r="BJ132" s="370" cm="1">
        <f t="array" ref="BJ132:BM132">_xlfn.LET(_xlpm.data,$R132:$AV132,_xlpm.starts,{1,8,16,23},_xlpm.lengths,{7,7,8,9},_xlpm.arr,_xlfn.MAP(_xlpm.starts,_xlpm.lengths,_xlfn.LAMBDA(_xlpm.s,_xlpm.l,SUM(INDEX(_xlpm.data,,_xlfn.SEQUENCE(,_xlpm.l,_xlpm.s))))),ROUND(_xlpm.arr*$O132/1000,2))</f>
        <v>0</v>
      </c>
      <c r="BK132" s="330">
        <v>0</v>
      </c>
      <c r="BL132" s="330">
        <v>6.39</v>
      </c>
      <c r="BM132" s="330">
        <v>28.76</v>
      </c>
      <c r="BN132" s="258">
        <f t="shared" si="356"/>
        <v>35.15</v>
      </c>
      <c r="BO132" s="258">
        <v>6.64</v>
      </c>
      <c r="BP132" s="258">
        <v>23.26</v>
      </c>
      <c r="BQ132" s="258">
        <v>26.58</v>
      </c>
      <c r="BR132" s="258">
        <v>29.9</v>
      </c>
      <c r="BS132" s="115"/>
      <c r="BT132" s="258" cm="1">
        <f ca="1" t="array" ref="BT132:BW132">_xlfn.HSTACK(SUM(INDEX($R132:$AV132,1,1):INDEX($R132:$AV132,1,7)),SUM(INDEX($R132:$AV132,1,7):INDEX($R132:$AV132,1,13)),SUM(INDEX($R132:$AV132,1,16):INDEX($R132:$AV132,1,23)),SUM(INDEX($R132:$AV132,1,23):INDEX($R132:$AV132,1,31)))</f>
        <v>0</v>
      </c>
      <c r="BU132" s="258">
        <v>0</v>
      </c>
      <c r="BV132" s="258">
        <v>120</v>
      </c>
      <c r="BW132" s="258">
        <v>540</v>
      </c>
      <c r="BY132" s="258">
        <f t="shared" si="228"/>
        <v>0</v>
      </c>
      <c r="BZ132" s="258">
        <f t="shared" si="229"/>
        <v>0</v>
      </c>
      <c r="CA132" s="258">
        <f t="shared" si="230"/>
        <v>60</v>
      </c>
      <c r="CB132" s="258">
        <f t="shared" si="231"/>
        <v>540</v>
      </c>
      <c r="CD132" s="113"/>
      <c r="CE132" s="258">
        <f t="shared" si="357"/>
        <v>0</v>
      </c>
      <c r="CF132" s="258">
        <f t="shared" si="358"/>
        <v>0</v>
      </c>
      <c r="CG132" s="258">
        <f t="shared" si="359"/>
        <v>3.2</v>
      </c>
      <c r="CH132" s="258">
        <f t="shared" si="360"/>
        <v>28.76</v>
      </c>
      <c r="CI132" s="258">
        <f t="shared" si="361"/>
        <v>31.96</v>
      </c>
      <c r="CJ132" s="113"/>
      <c r="CK132" s="258">
        <f t="shared" ref="CK132:CN132" si="368">IFERROR(ROUND(BY132*$P132,2),"")</f>
        <v>0</v>
      </c>
      <c r="CL132" s="258">
        <f t="shared" si="368"/>
        <v>0</v>
      </c>
      <c r="CM132" s="258">
        <f t="shared" si="368"/>
        <v>44425.51</v>
      </c>
      <c r="CN132" s="258">
        <f t="shared" si="368"/>
        <v>399829.61</v>
      </c>
      <c r="CO132" s="258">
        <f t="shared" si="237"/>
        <v>444255.12</v>
      </c>
      <c r="CP132" s="258" t="e">
        <f>VLOOKUP(G132,[2]Sheet1!$C$3:$G$310,5,0)</f>
        <v>#N/A</v>
      </c>
      <c r="CQ132" s="258">
        <f>VLOOKUP(G132,[3]KCBB0101!$C$3:$F$691,4,0)</f>
        <v>7200</v>
      </c>
    </row>
    <row r="133" s="258" customFormat="1" ht="17.6" spans="1:95">
      <c r="A133" s="330"/>
      <c r="B133" s="334" t="str">
        <f>_xlfn.XLOOKUP(G133,销售需求表!A:A,销售需求表!C:C)</f>
        <v>北美</v>
      </c>
      <c r="C133" s="335" t="str">
        <f t="shared" si="219"/>
        <v>22.5</v>
      </c>
      <c r="D133" s="334" t="str">
        <f t="shared" si="350"/>
        <v>北美22.5寸</v>
      </c>
      <c r="E133" s="339" t="str">
        <f t="shared" si="347"/>
        <v>295/75R22.5-16PR(146/143L)-HF1 PlusX</v>
      </c>
      <c r="F133" s="340" t="str">
        <f t="shared" si="343"/>
        <v>295/75R22.5-16PR-HF1 PlusX</v>
      </c>
      <c r="G133" s="341" t="s">
        <v>506</v>
      </c>
      <c r="H133" s="334">
        <v>180</v>
      </c>
      <c r="I133" s="345"/>
      <c r="J133" s="346" t="str">
        <f t="shared" si="351"/>
        <v>295/75R22.5-HF1 PlusX</v>
      </c>
      <c r="K133" s="347" t="str">
        <f>_xlfn.XLOOKUP(F133,投产规格!E:E,投产规格!D:D,"未投产")</f>
        <v>✔</v>
      </c>
      <c r="L133" s="347">
        <f>IFERROR(_xlfn.XLOOKUP(F133,硫化工艺!B:B,硫化工艺!C:C),"")</f>
        <v>36</v>
      </c>
      <c r="M133" s="349">
        <f t="shared" si="352"/>
        <v>0.860557768924303</v>
      </c>
      <c r="N133" s="347" t="str">
        <f t="shared" si="333"/>
        <v>22.5全钢</v>
      </c>
      <c r="O133" s="347">
        <f>IFERROR(_xlfn.XLOOKUP(F133,轮胎重量!J:J,轮胎重量!G:G),"")</f>
        <v>49.427</v>
      </c>
      <c r="P133" s="347">
        <f>IFERROR(_xlfn.XLOOKUP(G133,硫化工艺!I:I,硫化工艺!J:J),"")</f>
        <v>694.360954</v>
      </c>
      <c r="Q133" s="347">
        <f t="shared" si="348"/>
        <v>0</v>
      </c>
      <c r="R133" s="347"/>
      <c r="S133" s="347"/>
      <c r="T133" s="347"/>
      <c r="U133" s="347"/>
      <c r="V133" s="347"/>
      <c r="W133" s="347"/>
      <c r="X133" s="347"/>
      <c r="Y133" s="347"/>
      <c r="Z133" s="347"/>
      <c r="AA133" s="347"/>
      <c r="AB133" s="347"/>
      <c r="AC133" s="347"/>
      <c r="AD133" s="347"/>
      <c r="AE133" s="347"/>
      <c r="AF133" s="347"/>
      <c r="AG133" s="347"/>
      <c r="AH133" s="347"/>
      <c r="AI133" s="347"/>
      <c r="AJ133" s="347"/>
      <c r="AK133" s="347">
        <v>60</v>
      </c>
      <c r="AL133" s="347">
        <v>60</v>
      </c>
      <c r="AM133" s="347">
        <v>60</v>
      </c>
      <c r="AN133" s="347">
        <v>60</v>
      </c>
      <c r="AO133" s="347">
        <v>60</v>
      </c>
      <c r="AP133" s="347">
        <v>60</v>
      </c>
      <c r="AQ133" s="347"/>
      <c r="AR133" s="347"/>
      <c r="AS133" s="347"/>
      <c r="AT133" s="347"/>
      <c r="AU133" s="347"/>
      <c r="AV133" s="347"/>
      <c r="AW133" s="347">
        <f t="shared" si="353"/>
        <v>360</v>
      </c>
      <c r="AX133" s="365">
        <f t="shared" si="354"/>
        <v>17.79372</v>
      </c>
      <c r="AY133" s="365">
        <f t="shared" si="355"/>
        <v>24.997</v>
      </c>
      <c r="AZ133" s="367"/>
      <c r="BA133" s="376"/>
      <c r="BB133" s="376"/>
      <c r="BC133" s="330"/>
      <c r="BD133" s="330"/>
      <c r="BE133" s="330"/>
      <c r="BF133" s="330"/>
      <c r="BG133" s="330"/>
      <c r="BH133" s="330"/>
      <c r="BI133" s="330"/>
      <c r="BJ133" s="370" cm="1">
        <f t="array" ref="BJ133:BM133">_xlfn.LET(_xlpm.data,$R133:$AV133,_xlpm.starts,{1,8,16,23},_xlpm.lengths,{7,7,8,9},_xlpm.arr,_xlfn.MAP(_xlpm.starts,_xlpm.lengths,_xlfn.LAMBDA(_xlpm.s,_xlpm.l,SUM(INDEX(_xlpm.data,,_xlfn.SEQUENCE(,_xlpm.l,_xlpm.s))))),ROUND(_xlpm.arr*$O133/1000,2))</f>
        <v>0</v>
      </c>
      <c r="BK133" s="330">
        <v>0</v>
      </c>
      <c r="BL133" s="330">
        <v>11.86</v>
      </c>
      <c r="BM133" s="330">
        <v>8.9</v>
      </c>
      <c r="BN133" s="258">
        <f t="shared" si="356"/>
        <v>20.76</v>
      </c>
      <c r="BO133" s="258">
        <v>6.83</v>
      </c>
      <c r="BP133" s="258">
        <v>23.92</v>
      </c>
      <c r="BQ133" s="258">
        <v>27.34</v>
      </c>
      <c r="BR133" s="258">
        <v>30.75</v>
      </c>
      <c r="BS133" s="115"/>
      <c r="BT133" s="258" cm="1">
        <f ca="1" t="array" ref="BT133:BW133">_xlfn.HSTACK(SUM(INDEX($R133:$AV133,1,1):INDEX($R133:$AV133,1,7)),SUM(INDEX($R133:$AV133,1,7):INDEX($R133:$AV133,1,13)),SUM(INDEX($R133:$AV133,1,16):INDEX($R133:$AV133,1,23)),SUM(INDEX($R133:$AV133,1,23):INDEX($R133:$AV133,1,31)))</f>
        <v>0</v>
      </c>
      <c r="BU133" s="258">
        <v>0</v>
      </c>
      <c r="BV133" s="258">
        <v>240</v>
      </c>
      <c r="BW133" s="258">
        <v>180</v>
      </c>
      <c r="BY133" s="258">
        <f t="shared" si="228"/>
        <v>0</v>
      </c>
      <c r="BZ133" s="258">
        <f t="shared" si="229"/>
        <v>0</v>
      </c>
      <c r="CA133" s="258">
        <f t="shared" si="230"/>
        <v>180</v>
      </c>
      <c r="CB133" s="258">
        <f t="shared" si="231"/>
        <v>180</v>
      </c>
      <c r="CD133" s="113"/>
      <c r="CE133" s="258">
        <f t="shared" si="357"/>
        <v>0</v>
      </c>
      <c r="CF133" s="258">
        <f t="shared" si="358"/>
        <v>0</v>
      </c>
      <c r="CG133" s="258">
        <f t="shared" si="359"/>
        <v>8.9</v>
      </c>
      <c r="CH133" s="258">
        <f t="shared" si="360"/>
        <v>8.9</v>
      </c>
      <c r="CI133" s="258">
        <f t="shared" si="361"/>
        <v>17.8</v>
      </c>
      <c r="CJ133" s="113"/>
      <c r="CK133" s="258">
        <f t="shared" ref="CK133:CN133" si="369">IFERROR(ROUND(BY133*$P133,2),"")</f>
        <v>0</v>
      </c>
      <c r="CL133" s="258">
        <f t="shared" si="369"/>
        <v>0</v>
      </c>
      <c r="CM133" s="258">
        <f t="shared" si="369"/>
        <v>124984.97</v>
      </c>
      <c r="CN133" s="258">
        <f t="shared" si="369"/>
        <v>124984.97</v>
      </c>
      <c r="CO133" s="258">
        <f t="shared" si="237"/>
        <v>249969.94</v>
      </c>
      <c r="CP133" s="258" t="e">
        <f>VLOOKUP(G133,[2]Sheet1!$C$3:$G$310,5,0)</f>
        <v>#N/A</v>
      </c>
      <c r="CQ133" s="258">
        <f>VLOOKUP(G133,[3]KCBB0101!$C$3:$F$691,4,0)</f>
        <v>7060</v>
      </c>
    </row>
    <row r="134" s="258" customFormat="1" ht="17.6" spans="1:95">
      <c r="A134" s="330"/>
      <c r="B134" s="334" t="str">
        <f>_xlfn.XLOOKUP(G134,销售需求表!A:A,销售需求表!C:C)</f>
        <v>北美</v>
      </c>
      <c r="C134" s="335" t="str">
        <f t="shared" si="219"/>
        <v>22.5</v>
      </c>
      <c r="D134" s="334" t="str">
        <f t="shared" si="350"/>
        <v>北美22.5寸</v>
      </c>
      <c r="E134" s="339" t="str">
        <f t="shared" si="347"/>
        <v>295/75R22.5-16PR(146/143L)-I-52A</v>
      </c>
      <c r="F134" s="340" t="str">
        <f t="shared" si="343"/>
        <v>295/75R22.5-16PR-I-52A</v>
      </c>
      <c r="G134" s="341" t="s">
        <v>507</v>
      </c>
      <c r="H134" s="334">
        <v>300</v>
      </c>
      <c r="I134" s="345"/>
      <c r="J134" s="346" t="str">
        <f t="shared" si="351"/>
        <v>295/75R22.5-I-52A</v>
      </c>
      <c r="K134" s="347" t="str">
        <f>_xlfn.XLOOKUP(F134,投产规格!E:E,投产规格!D:D,"未投产")</f>
        <v>未投产</v>
      </c>
      <c r="L134" s="347">
        <f>IFERROR(_xlfn.XLOOKUP(F134,硫化工艺!B:B,硫化工艺!C:C),"")</f>
        <v>38</v>
      </c>
      <c r="M134" s="349">
        <f t="shared" si="352"/>
        <v>0.866920152091255</v>
      </c>
      <c r="N134" s="347" t="str">
        <f t="shared" si="333"/>
        <v>22.5全钢</v>
      </c>
      <c r="O134" s="347">
        <f>IFERROR(_xlfn.XLOOKUP(F134,轮胎重量!J:J,轮胎重量!G:G),"")</f>
        <v>55.749</v>
      </c>
      <c r="P134" s="347">
        <f>IFERROR(_xlfn.XLOOKUP(G134,硫化工艺!I:I,硫化工艺!J:J),"")</f>
        <v>796.95728</v>
      </c>
      <c r="Q134" s="347">
        <f t="shared" si="348"/>
        <v>0</v>
      </c>
      <c r="R134" s="347"/>
      <c r="S134" s="347"/>
      <c r="T134" s="347"/>
      <c r="U134" s="347"/>
      <c r="V134" s="347"/>
      <c r="W134" s="347"/>
      <c r="X134" s="347"/>
      <c r="Y134" s="347"/>
      <c r="Z134" s="347"/>
      <c r="AA134" s="347"/>
      <c r="AB134" s="347"/>
      <c r="AC134" s="347"/>
      <c r="AD134" s="347"/>
      <c r="AE134" s="347"/>
      <c r="AF134" s="347"/>
      <c r="AG134" s="347"/>
      <c r="AH134" s="347"/>
      <c r="AI134" s="347"/>
      <c r="AJ134" s="347"/>
      <c r="AK134" s="347"/>
      <c r="AL134" s="347"/>
      <c r="AM134" s="347"/>
      <c r="AN134" s="347"/>
      <c r="AO134" s="347"/>
      <c r="AP134" s="347"/>
      <c r="AQ134" s="347">
        <v>60</v>
      </c>
      <c r="AR134" s="347">
        <v>60</v>
      </c>
      <c r="AS134" s="347">
        <v>60</v>
      </c>
      <c r="AT134" s="347">
        <v>60</v>
      </c>
      <c r="AU134" s="347">
        <v>60</v>
      </c>
      <c r="AV134" s="347">
        <v>60</v>
      </c>
      <c r="AW134" s="347">
        <f t="shared" si="353"/>
        <v>360</v>
      </c>
      <c r="AX134" s="365">
        <f t="shared" si="354"/>
        <v>20.06964</v>
      </c>
      <c r="AY134" s="365">
        <f t="shared" si="355"/>
        <v>28.69</v>
      </c>
      <c r="AZ134" s="367"/>
      <c r="BA134" s="376"/>
      <c r="BB134" s="376"/>
      <c r="BC134" s="330"/>
      <c r="BD134" s="330"/>
      <c r="BE134" s="330"/>
      <c r="BF134" s="330"/>
      <c r="BG134" s="330"/>
      <c r="BH134" s="330"/>
      <c r="BI134" s="330"/>
      <c r="BJ134" s="370" cm="1">
        <f t="array" ref="BJ134:BM134">_xlfn.LET(_xlpm.data,$R134:$AV134,_xlpm.starts,{1,8,16,23},_xlpm.lengths,{7,7,8,9},_xlpm.arr,_xlfn.MAP(_xlpm.starts,_xlpm.lengths,_xlfn.LAMBDA(_xlpm.s,_xlpm.l,SUM(INDEX(_xlpm.data,,_xlfn.SEQUENCE(,_xlpm.l,_xlpm.s))))),ROUND(_xlpm.arr*$O134/1000,2))</f>
        <v>0</v>
      </c>
      <c r="BK134" s="330">
        <v>0</v>
      </c>
      <c r="BL134" s="330">
        <v>0</v>
      </c>
      <c r="BM134" s="330">
        <v>20.07</v>
      </c>
      <c r="BN134" s="258">
        <f t="shared" si="356"/>
        <v>20.07</v>
      </c>
      <c r="BO134" s="258">
        <v>6.64</v>
      </c>
      <c r="BP134" s="258">
        <v>23.26</v>
      </c>
      <c r="BQ134" s="258">
        <v>26.58</v>
      </c>
      <c r="BR134" s="258">
        <v>29.9</v>
      </c>
      <c r="BS134" s="115"/>
      <c r="BT134" s="258" cm="1">
        <f ca="1" t="array" ref="BT134:BW134">_xlfn.HSTACK(SUM(INDEX($R134:$AV134,1,1):INDEX($R134:$AV134,1,7)),SUM(INDEX($R134:$AV134,1,7):INDEX($R134:$AV134,1,13)),SUM(INDEX($R134:$AV134,1,16):INDEX($R134:$AV134,1,23)),SUM(INDEX($R134:$AV134,1,23):INDEX($R134:$AV134,1,31)))</f>
        <v>0</v>
      </c>
      <c r="BU134" s="258">
        <v>0</v>
      </c>
      <c r="BV134" s="258">
        <v>0</v>
      </c>
      <c r="BW134" s="258">
        <v>360</v>
      </c>
      <c r="BY134" s="258">
        <f t="shared" si="228"/>
        <v>0</v>
      </c>
      <c r="BZ134" s="258">
        <f t="shared" si="229"/>
        <v>0</v>
      </c>
      <c r="CA134" s="258">
        <f t="shared" si="230"/>
        <v>0</v>
      </c>
      <c r="CB134" s="258">
        <f t="shared" si="231"/>
        <v>360</v>
      </c>
      <c r="CD134" s="113"/>
      <c r="CE134" s="258">
        <f t="shared" si="357"/>
        <v>0</v>
      </c>
      <c r="CF134" s="258">
        <f t="shared" si="358"/>
        <v>0</v>
      </c>
      <c r="CG134" s="258">
        <f t="shared" si="359"/>
        <v>0</v>
      </c>
      <c r="CH134" s="258">
        <f t="shared" si="360"/>
        <v>20.07</v>
      </c>
      <c r="CI134" s="258">
        <f t="shared" si="361"/>
        <v>20.07</v>
      </c>
      <c r="CJ134" s="113"/>
      <c r="CK134" s="258">
        <f t="shared" ref="CK134:CN134" si="370">IFERROR(ROUND(BY134*$P134,2),"")</f>
        <v>0</v>
      </c>
      <c r="CL134" s="258">
        <f t="shared" si="370"/>
        <v>0</v>
      </c>
      <c r="CM134" s="258">
        <f t="shared" si="370"/>
        <v>0</v>
      </c>
      <c r="CN134" s="258">
        <f t="shared" si="370"/>
        <v>286904.62</v>
      </c>
      <c r="CO134" s="258">
        <f t="shared" ref="CO134:CO197" si="371">SUM(CK134:CN134)</f>
        <v>286904.62</v>
      </c>
      <c r="CP134" s="258">
        <f>VLOOKUP(G134,[2]Sheet1!$C$3:$G$310,5,0)</f>
        <v>6000</v>
      </c>
      <c r="CQ134" s="258" t="e">
        <f>VLOOKUP(G134,[3]KCBB0101!$C$3:$F$691,4,0)</f>
        <v>#N/A</v>
      </c>
    </row>
    <row r="135" s="258" customFormat="1" ht="17.6" spans="1:95">
      <c r="A135" s="330"/>
      <c r="B135" s="334" t="str">
        <f>_xlfn.XLOOKUP(G135,销售需求表!A:A,销售需求表!C:C)</f>
        <v>北美</v>
      </c>
      <c r="C135" s="335" t="str">
        <f t="shared" si="219"/>
        <v>22.5</v>
      </c>
      <c r="D135" s="334" t="str">
        <f t="shared" si="350"/>
        <v>北美22.5寸</v>
      </c>
      <c r="E135" s="339" t="str">
        <f t="shared" si="347"/>
        <v>295/75R22.5-16PR(146/143L)-KOBE APM</v>
      </c>
      <c r="F135" s="340" t="str">
        <f t="shared" si="343"/>
        <v>295/75R22.5-16PR-KOBE APM</v>
      </c>
      <c r="G135" s="342" t="s">
        <v>143</v>
      </c>
      <c r="H135" s="334">
        <v>2000</v>
      </c>
      <c r="I135" s="345">
        <v>4</v>
      </c>
      <c r="J135" s="346" t="str">
        <f t="shared" si="351"/>
        <v>295/75R22.5-KOBE APM</v>
      </c>
      <c r="K135" s="347" t="str">
        <f>_xlfn.XLOOKUP(F135,投产规格!E:E,投产规格!D:D,"未投产")</f>
        <v>✔</v>
      </c>
      <c r="L135" s="347">
        <f>IFERROR(_xlfn.XLOOKUP(F135,硫化工艺!B:B,硫化工艺!C:C),"")</f>
        <v>36</v>
      </c>
      <c r="M135" s="349">
        <f t="shared" si="352"/>
        <v>0.860557768924303</v>
      </c>
      <c r="N135" s="347" t="str">
        <f t="shared" si="333"/>
        <v>22.5全钢</v>
      </c>
      <c r="O135" s="347">
        <f>IFERROR(_xlfn.XLOOKUP(F135,轮胎重量!J:J,轮胎重量!G:G),"")</f>
        <v>49.623</v>
      </c>
      <c r="P135" s="347">
        <f>IFERROR(_xlfn.XLOOKUP(G135,硫化工艺!I:I,硫化工艺!J:J),"")</f>
        <v>689.10163</v>
      </c>
      <c r="Q135" s="347">
        <f t="shared" si="348"/>
        <v>138</v>
      </c>
      <c r="R135" s="347">
        <v>130</v>
      </c>
      <c r="S135" s="347">
        <v>130</v>
      </c>
      <c r="T135" s="347">
        <v>130</v>
      </c>
      <c r="U135" s="347">
        <v>130</v>
      </c>
      <c r="V135" s="347">
        <v>130</v>
      </c>
      <c r="W135" s="347">
        <v>130</v>
      </c>
      <c r="X135" s="347">
        <v>130</v>
      </c>
      <c r="Y135" s="347">
        <v>130</v>
      </c>
      <c r="Z135" s="347">
        <v>130</v>
      </c>
      <c r="AA135" s="347">
        <v>130</v>
      </c>
      <c r="AB135" s="347">
        <v>130</v>
      </c>
      <c r="AC135" s="347">
        <v>130</v>
      </c>
      <c r="AD135" s="347">
        <v>130</v>
      </c>
      <c r="AE135" s="347">
        <v>130</v>
      </c>
      <c r="AF135" s="347">
        <v>130</v>
      </c>
      <c r="AG135" s="352">
        <v>130</v>
      </c>
      <c r="AH135" s="347"/>
      <c r="AI135" s="347"/>
      <c r="AJ135" s="347"/>
      <c r="AK135" s="347"/>
      <c r="AL135" s="347"/>
      <c r="AM135" s="347"/>
      <c r="AN135" s="347"/>
      <c r="AO135" s="347"/>
      <c r="AP135" s="347"/>
      <c r="AQ135" s="347"/>
      <c r="AR135" s="347"/>
      <c r="AS135" s="347"/>
      <c r="AT135" s="347"/>
      <c r="AU135" s="347"/>
      <c r="AV135" s="347"/>
      <c r="AW135" s="347">
        <v>3000</v>
      </c>
      <c r="AX135" s="365">
        <f t="shared" si="354"/>
        <v>148.869</v>
      </c>
      <c r="AY135" s="365">
        <f t="shared" si="355"/>
        <v>206.73</v>
      </c>
      <c r="AZ135" s="367"/>
      <c r="BA135" s="376"/>
      <c r="BB135" s="376"/>
      <c r="BC135" s="330"/>
      <c r="BD135" s="330"/>
      <c r="BE135" s="330"/>
      <c r="BF135" s="330"/>
      <c r="BG135" s="330"/>
      <c r="BH135" s="330"/>
      <c r="BI135" s="330"/>
      <c r="BJ135" s="370" cm="1">
        <f t="array" ref="BJ135:BM135">_xlfn.LET(_xlpm.data,$R135:$AV135,_xlpm.starts,{1,8,16,23},_xlpm.lengths,{7,7,8,9},_xlpm.arr,_xlfn.MAP(_xlpm.starts,_xlpm.lengths,_xlfn.LAMBDA(_xlpm.s,_xlpm.l,SUM(INDEX(_xlpm.data,,_xlfn.SEQUENCE(,_xlpm.l,_xlpm.s))))),ROUND(_xlpm.arr*$O135/1000,2))</f>
        <v>45.16</v>
      </c>
      <c r="BK135" s="330">
        <v>45.16</v>
      </c>
      <c r="BL135" s="330">
        <v>6.45</v>
      </c>
      <c r="BM135" s="330">
        <v>0</v>
      </c>
      <c r="BN135" s="258">
        <f t="shared" si="356"/>
        <v>96.77</v>
      </c>
      <c r="BO135" s="258">
        <v>6.64</v>
      </c>
      <c r="BP135" s="258">
        <v>23.26</v>
      </c>
      <c r="BQ135" s="258">
        <v>26.58</v>
      </c>
      <c r="BR135" s="258">
        <v>29.9</v>
      </c>
      <c r="BS135" s="115"/>
      <c r="BT135" s="258" cm="1">
        <f ca="1" t="array" ref="BT135:BW135">_xlfn.HSTACK(SUM(INDEX($R135:$AV135,1,1):INDEX($R135:$AV135,1,7)),SUM(INDEX($R135:$AV135,1,7):INDEX($R135:$AV135,1,13)),SUM(INDEX($R135:$AV135,1,16):INDEX($R135:$AV135,1,23)),SUM(INDEX($R135:$AV135,1,23):INDEX($R135:$AV135,1,31)))</f>
        <v>910</v>
      </c>
      <c r="BU135" s="258">
        <v>910</v>
      </c>
      <c r="BV135" s="258">
        <v>130</v>
      </c>
      <c r="BW135" s="258">
        <v>0</v>
      </c>
      <c r="BY135" s="258">
        <f t="shared" ref="BY135:BY198" si="372">SUM(R135:X135)</f>
        <v>910</v>
      </c>
      <c r="BZ135" s="258">
        <f t="shared" ref="BZ135:BZ198" si="373">SUM(Y135:AE135)</f>
        <v>910</v>
      </c>
      <c r="CA135" s="258">
        <f t="shared" ref="CA135:CA198" si="374">SUM(AF135:AM135)</f>
        <v>260</v>
      </c>
      <c r="CB135" s="258">
        <f t="shared" ref="CB135:CB198" si="375">SUM(AN135:AV135)</f>
        <v>0</v>
      </c>
      <c r="CD135" s="113"/>
      <c r="CE135" s="258">
        <f t="shared" si="357"/>
        <v>45.16</v>
      </c>
      <c r="CF135" s="258">
        <f t="shared" si="358"/>
        <v>45.16</v>
      </c>
      <c r="CG135" s="258">
        <f t="shared" si="359"/>
        <v>12.9</v>
      </c>
      <c r="CH135" s="258">
        <f t="shared" si="360"/>
        <v>0</v>
      </c>
      <c r="CI135" s="258">
        <f t="shared" si="361"/>
        <v>103.22</v>
      </c>
      <c r="CJ135" s="113"/>
      <c r="CK135" s="258">
        <f t="shared" ref="CK135:CN135" si="376">IFERROR(ROUND(BY135*$P135,2),"")</f>
        <v>627082.48</v>
      </c>
      <c r="CL135" s="258">
        <f t="shared" si="376"/>
        <v>627082.48</v>
      </c>
      <c r="CM135" s="258">
        <f t="shared" si="376"/>
        <v>179166.42</v>
      </c>
      <c r="CN135" s="258">
        <f t="shared" si="376"/>
        <v>0</v>
      </c>
      <c r="CO135" s="258">
        <f t="shared" si="371"/>
        <v>1433331.38</v>
      </c>
      <c r="CP135" s="258" t="e">
        <f>VLOOKUP(G135,[2]Sheet1!$C$3:$G$310,5,0)</f>
        <v>#N/A</v>
      </c>
      <c r="CQ135" s="258">
        <f>VLOOKUP(G135,[3]KCBB0101!$C$3:$F$691,4,0)</f>
        <v>3364</v>
      </c>
    </row>
    <row r="136" s="258" customFormat="1" ht="17.6" spans="1:95">
      <c r="A136" s="330"/>
      <c r="B136" s="334" t="str">
        <f>_xlfn.XLOOKUP(G136,销售需求表!A:A,销售需求表!C:C)</f>
        <v>北美</v>
      </c>
      <c r="C136" s="335" t="str">
        <f t="shared" ref="C136:C199" si="377">IFERROR(MID(F136,FIND("R",F136)+1,4),"")</f>
        <v>22.5</v>
      </c>
      <c r="D136" s="334" t="str">
        <f t="shared" si="350"/>
        <v>北美22.5寸</v>
      </c>
      <c r="E136" s="339" t="str">
        <f t="shared" si="347"/>
        <v>295/75R22.5-16PR(146/143L)-KOBE DPM</v>
      </c>
      <c r="F136" s="340" t="str">
        <f t="shared" si="343"/>
        <v>295/75R22.5-16PR-KOBE DPM</v>
      </c>
      <c r="G136" s="341" t="s">
        <v>508</v>
      </c>
      <c r="H136" s="334">
        <v>2400</v>
      </c>
      <c r="I136" s="345">
        <v>4</v>
      </c>
      <c r="J136" s="346" t="str">
        <f t="shared" si="351"/>
        <v>295/75R22.5-KOBE DPM</v>
      </c>
      <c r="K136" s="347" t="str">
        <f>_xlfn.XLOOKUP(F136,投产规格!E:E,投产规格!D:D,"未投产")</f>
        <v>✔</v>
      </c>
      <c r="L136" s="347">
        <f>IFERROR(_xlfn.XLOOKUP(F136,硫化工艺!B:B,硫化工艺!C:C),"")</f>
        <v>36</v>
      </c>
      <c r="M136" s="349">
        <f t="shared" si="352"/>
        <v>0.860557768924303</v>
      </c>
      <c r="N136" s="347" t="str">
        <f t="shared" si="333"/>
        <v>22.5全钢</v>
      </c>
      <c r="O136" s="347">
        <f>IFERROR(_xlfn.XLOOKUP(F136,轮胎重量!J:J,轮胎重量!G:G),"")</f>
        <v>53.112</v>
      </c>
      <c r="P136" s="347">
        <f>IFERROR(_xlfn.XLOOKUP(G136,硫化工艺!I:I,硫化工艺!J:J),"")</f>
        <v>728.510146</v>
      </c>
      <c r="Q136" s="347">
        <f t="shared" si="348"/>
        <v>138</v>
      </c>
      <c r="R136" s="347">
        <v>130</v>
      </c>
      <c r="S136" s="347">
        <v>130</v>
      </c>
      <c r="T136" s="347">
        <v>130</v>
      </c>
      <c r="U136" s="347">
        <v>130</v>
      </c>
      <c r="V136" s="347">
        <v>130</v>
      </c>
      <c r="W136" s="347">
        <v>130</v>
      </c>
      <c r="X136" s="347">
        <v>130</v>
      </c>
      <c r="Y136" s="347">
        <v>130</v>
      </c>
      <c r="Z136" s="347">
        <v>130</v>
      </c>
      <c r="AA136" s="347">
        <v>130</v>
      </c>
      <c r="AB136" s="347">
        <v>130</v>
      </c>
      <c r="AC136" s="347">
        <v>130</v>
      </c>
      <c r="AD136" s="347">
        <v>130</v>
      </c>
      <c r="AE136" s="347">
        <v>130</v>
      </c>
      <c r="AF136" s="347">
        <v>130</v>
      </c>
      <c r="AG136" s="347">
        <v>130</v>
      </c>
      <c r="AH136" s="347">
        <v>130</v>
      </c>
      <c r="AI136" s="347">
        <v>130</v>
      </c>
      <c r="AJ136" s="347">
        <v>130</v>
      </c>
      <c r="AK136" s="347"/>
      <c r="AL136" s="347"/>
      <c r="AM136" s="347"/>
      <c r="AN136" s="347"/>
      <c r="AO136" s="347"/>
      <c r="AP136" s="347"/>
      <c r="AQ136" s="347"/>
      <c r="AR136" s="347"/>
      <c r="AS136" s="347"/>
      <c r="AT136" s="347"/>
      <c r="AU136" s="347"/>
      <c r="AV136" s="347"/>
      <c r="AW136" s="347">
        <f t="shared" si="353"/>
        <v>2470</v>
      </c>
      <c r="AX136" s="365">
        <f t="shared" si="354"/>
        <v>131.18664</v>
      </c>
      <c r="AY136" s="365">
        <f t="shared" si="355"/>
        <v>179.942</v>
      </c>
      <c r="AZ136" s="367"/>
      <c r="BA136" s="376"/>
      <c r="BB136" s="376"/>
      <c r="BC136" s="330"/>
      <c r="BD136" s="330"/>
      <c r="BE136" s="330"/>
      <c r="BF136" s="330"/>
      <c r="BG136" s="330"/>
      <c r="BH136" s="330"/>
      <c r="BI136" s="330"/>
      <c r="BJ136" s="370" cm="1">
        <f t="array" ref="BJ136:BM136">_xlfn.LET(_xlpm.data,$R136:$AV136,_xlpm.starts,{1,8,16,23},_xlpm.lengths,{7,7,8,9},_xlpm.arr,_xlfn.MAP(_xlpm.starts,_xlpm.lengths,_xlfn.LAMBDA(_xlpm.s,_xlpm.l,SUM(INDEX(_xlpm.data,,_xlfn.SEQUENCE(,_xlpm.l,_xlpm.s))))),ROUND(_xlpm.arr*$O136/1000,2))</f>
        <v>48.33</v>
      </c>
      <c r="BK136" s="330">
        <v>48.33</v>
      </c>
      <c r="BL136" s="330">
        <v>27.62</v>
      </c>
      <c r="BM136" s="330">
        <v>0</v>
      </c>
      <c r="BN136" s="258">
        <f t="shared" si="356"/>
        <v>124.28</v>
      </c>
      <c r="BO136" s="258">
        <v>6.83</v>
      </c>
      <c r="BP136" s="258">
        <v>23.92</v>
      </c>
      <c r="BQ136" s="258">
        <v>27.34</v>
      </c>
      <c r="BR136" s="258">
        <v>30.75</v>
      </c>
      <c r="BS136" s="115"/>
      <c r="BT136" s="258" cm="1">
        <f ca="1" t="array" ref="BT136:BW136">_xlfn.HSTACK(SUM(INDEX($R136:$AV136,1,1):INDEX($R136:$AV136,1,7)),SUM(INDEX($R136:$AV136,1,7):INDEX($R136:$AV136,1,13)),SUM(INDEX($R136:$AV136,1,16):INDEX($R136:$AV136,1,23)),SUM(INDEX($R136:$AV136,1,23):INDEX($R136:$AV136,1,31)))</f>
        <v>910</v>
      </c>
      <c r="BU136" s="258">
        <v>910</v>
      </c>
      <c r="BV136" s="258">
        <v>520</v>
      </c>
      <c r="BW136" s="258">
        <v>0</v>
      </c>
      <c r="BY136" s="258">
        <f t="shared" si="372"/>
        <v>910</v>
      </c>
      <c r="BZ136" s="258">
        <f t="shared" si="373"/>
        <v>910</v>
      </c>
      <c r="CA136" s="258">
        <f t="shared" si="374"/>
        <v>650</v>
      </c>
      <c r="CB136" s="258">
        <f t="shared" si="375"/>
        <v>0</v>
      </c>
      <c r="CD136" s="113"/>
      <c r="CE136" s="258">
        <f t="shared" si="357"/>
        <v>48.33</v>
      </c>
      <c r="CF136" s="258">
        <f t="shared" si="358"/>
        <v>48.33</v>
      </c>
      <c r="CG136" s="258">
        <f t="shared" si="359"/>
        <v>34.52</v>
      </c>
      <c r="CH136" s="258">
        <f t="shared" si="360"/>
        <v>0</v>
      </c>
      <c r="CI136" s="258">
        <f t="shared" si="361"/>
        <v>131.18</v>
      </c>
      <c r="CJ136" s="113"/>
      <c r="CK136" s="258">
        <f t="shared" ref="CK136:CN136" si="378">IFERROR(ROUND(BY136*$P136,2),"")</f>
        <v>662944.23</v>
      </c>
      <c r="CL136" s="258">
        <f t="shared" si="378"/>
        <v>662944.23</v>
      </c>
      <c r="CM136" s="258">
        <f t="shared" si="378"/>
        <v>473531.59</v>
      </c>
      <c r="CN136" s="258">
        <f t="shared" si="378"/>
        <v>0</v>
      </c>
      <c r="CO136" s="258">
        <f t="shared" si="371"/>
        <v>1799420.05</v>
      </c>
      <c r="CP136" s="258" t="e">
        <f>VLOOKUP(G136,[2]Sheet1!$C$3:$G$310,5,0)</f>
        <v>#N/A</v>
      </c>
      <c r="CQ136" s="258">
        <f>VLOOKUP(G136,[3]KCBB0101!$C$3:$F$691,4,0)</f>
        <v>8943</v>
      </c>
    </row>
    <row r="137" s="258" customFormat="1" ht="17.6" spans="1:95">
      <c r="A137" s="330"/>
      <c r="B137" s="334" t="str">
        <f>_xlfn.XLOOKUP(G137,销售需求表!A:A,销售需求表!C:C)</f>
        <v>北美</v>
      </c>
      <c r="C137" s="335" t="str">
        <f t="shared" si="377"/>
        <v>22.5</v>
      </c>
      <c r="D137" s="334" t="str">
        <f t="shared" si="350"/>
        <v>北美22.5寸</v>
      </c>
      <c r="E137" s="339" t="str">
        <f t="shared" si="347"/>
        <v>295/75R22.5-16PR(146/143L)-M-TRAC AP</v>
      </c>
      <c r="F137" s="340" t="str">
        <f t="shared" si="343"/>
        <v>295/75R22.5-16PR-M-TRAC AP</v>
      </c>
      <c r="G137" s="341" t="s">
        <v>509</v>
      </c>
      <c r="H137" s="334">
        <v>750</v>
      </c>
      <c r="I137" s="345"/>
      <c r="J137" s="346" t="str">
        <f t="shared" si="351"/>
        <v>295/75R22.5-M-TRAC AP</v>
      </c>
      <c r="K137" s="347" t="str">
        <f>_xlfn.XLOOKUP(F137,投产规格!E:E,投产规格!D:D,"未投产")</f>
        <v>✔</v>
      </c>
      <c r="L137" s="347">
        <f>IFERROR(_xlfn.XLOOKUP(F137,硫化工艺!B:B,硫化工艺!C:C),"")</f>
        <v>38</v>
      </c>
      <c r="M137" s="349">
        <f t="shared" si="352"/>
        <v>0.866920152091255</v>
      </c>
      <c r="N137" s="347" t="str">
        <f t="shared" si="333"/>
        <v>22.5全钢</v>
      </c>
      <c r="O137" s="347">
        <f>IFERROR(_xlfn.XLOOKUP(F137,轮胎重量!J:J,轮胎重量!G:G),"")</f>
        <v>51.29</v>
      </c>
      <c r="P137" s="347">
        <f>IFERROR(_xlfn.XLOOKUP(G137,硫化工艺!I:I,硫化工艺!J:J),"")</f>
        <v>734.987792</v>
      </c>
      <c r="Q137" s="347">
        <f t="shared" si="348"/>
        <v>0</v>
      </c>
      <c r="R137" s="347"/>
      <c r="S137" s="347"/>
      <c r="T137" s="347"/>
      <c r="U137" s="347"/>
      <c r="V137" s="347"/>
      <c r="W137" s="347"/>
      <c r="X137" s="347"/>
      <c r="Y137" s="347"/>
      <c r="Z137" s="347"/>
      <c r="AA137" s="347"/>
      <c r="AB137" s="347"/>
      <c r="AC137" s="347"/>
      <c r="AD137" s="347"/>
      <c r="AE137" s="347"/>
      <c r="AF137" s="347"/>
      <c r="AG137" s="347"/>
      <c r="AH137" s="352">
        <v>130</v>
      </c>
      <c r="AI137" s="347">
        <v>130</v>
      </c>
      <c r="AJ137" s="347">
        <v>130</v>
      </c>
      <c r="AK137" s="347">
        <v>130</v>
      </c>
      <c r="AL137" s="347">
        <v>130</v>
      </c>
      <c r="AM137" s="352">
        <v>130</v>
      </c>
      <c r="AN137" s="347"/>
      <c r="AO137" s="347"/>
      <c r="AP137" s="347"/>
      <c r="AQ137" s="347"/>
      <c r="AR137" s="347"/>
      <c r="AS137" s="347"/>
      <c r="AT137" s="347"/>
      <c r="AU137" s="347"/>
      <c r="AV137" s="347"/>
      <c r="AW137" s="347">
        <f t="shared" si="353"/>
        <v>780</v>
      </c>
      <c r="AX137" s="365">
        <f t="shared" si="354"/>
        <v>40.0062</v>
      </c>
      <c r="AY137" s="365">
        <f t="shared" si="355"/>
        <v>57.329</v>
      </c>
      <c r="AZ137" s="367"/>
      <c r="BA137" s="376"/>
      <c r="BB137" s="376"/>
      <c r="BC137" s="330"/>
      <c r="BD137" s="330"/>
      <c r="BE137" s="330"/>
      <c r="BF137" s="330"/>
      <c r="BG137" s="330"/>
      <c r="BH137" s="330"/>
      <c r="BI137" s="330"/>
      <c r="BJ137" s="370" cm="1">
        <f t="array" ref="BJ137:BM137">_xlfn.LET(_xlpm.data,$R137:$AV137,_xlpm.starts,{1,8,16,23},_xlpm.lengths,{7,7,8,9},_xlpm.arr,_xlfn.MAP(_xlpm.starts,_xlpm.lengths,_xlfn.LAMBDA(_xlpm.s,_xlpm.l,SUM(INDEX(_xlpm.data,,_xlfn.SEQUENCE(,_xlpm.l,_xlpm.s))))),ROUND(_xlpm.arr*$O137/1000,2))</f>
        <v>0</v>
      </c>
      <c r="BK137" s="330">
        <v>0</v>
      </c>
      <c r="BL137" s="330">
        <v>40.01</v>
      </c>
      <c r="BM137" s="330">
        <v>0</v>
      </c>
      <c r="BN137" s="258">
        <f t="shared" si="356"/>
        <v>40.01</v>
      </c>
      <c r="BO137" s="258">
        <v>6.64</v>
      </c>
      <c r="BP137" s="258">
        <v>23.26</v>
      </c>
      <c r="BQ137" s="258">
        <v>26.58</v>
      </c>
      <c r="BR137" s="258">
        <v>29.9</v>
      </c>
      <c r="BS137" s="115"/>
      <c r="BT137" s="258" cm="1">
        <f ca="1" t="array" ref="BT137:BW137">_xlfn.HSTACK(SUM(INDEX($R137:$AV137,1,1):INDEX($R137:$AV137,1,7)),SUM(INDEX($R137:$AV137,1,7):INDEX($R137:$AV137,1,13)),SUM(INDEX($R137:$AV137,1,16):INDEX($R137:$AV137,1,23)),SUM(INDEX($R137:$AV137,1,23):INDEX($R137:$AV137,1,31)))</f>
        <v>0</v>
      </c>
      <c r="BU137" s="258">
        <v>0</v>
      </c>
      <c r="BV137" s="258">
        <v>780</v>
      </c>
      <c r="BW137" s="258">
        <v>0</v>
      </c>
      <c r="BY137" s="258">
        <f t="shared" si="372"/>
        <v>0</v>
      </c>
      <c r="BZ137" s="258">
        <f t="shared" si="373"/>
        <v>0</v>
      </c>
      <c r="CA137" s="258">
        <f t="shared" si="374"/>
        <v>780</v>
      </c>
      <c r="CB137" s="258">
        <f t="shared" si="375"/>
        <v>0</v>
      </c>
      <c r="CD137" s="113"/>
      <c r="CE137" s="258">
        <f t="shared" si="357"/>
        <v>0</v>
      </c>
      <c r="CF137" s="258">
        <f t="shared" si="358"/>
        <v>0</v>
      </c>
      <c r="CG137" s="258">
        <f t="shared" si="359"/>
        <v>40.01</v>
      </c>
      <c r="CH137" s="258">
        <f t="shared" si="360"/>
        <v>0</v>
      </c>
      <c r="CI137" s="258">
        <f t="shared" si="361"/>
        <v>40.01</v>
      </c>
      <c r="CJ137" s="113"/>
      <c r="CK137" s="258">
        <f t="shared" ref="CK137:CN137" si="379">IFERROR(ROUND(BY137*$P137,2),"")</f>
        <v>0</v>
      </c>
      <c r="CL137" s="258">
        <f t="shared" si="379"/>
        <v>0</v>
      </c>
      <c r="CM137" s="258">
        <f t="shared" si="379"/>
        <v>573290.48</v>
      </c>
      <c r="CN137" s="258">
        <f t="shared" si="379"/>
        <v>0</v>
      </c>
      <c r="CO137" s="258">
        <f t="shared" si="371"/>
        <v>573290.48</v>
      </c>
      <c r="CP137" s="258" t="e">
        <f>VLOOKUP(G137,[2]Sheet1!$C$3:$G$310,5,0)</f>
        <v>#N/A</v>
      </c>
      <c r="CQ137" s="258">
        <f>VLOOKUP(G137,[3]KCBB0101!$C$3:$F$691,4,0)</f>
        <v>13171</v>
      </c>
    </row>
    <row r="138" s="258" customFormat="1" ht="17.6" spans="1:95">
      <c r="A138" s="330"/>
      <c r="B138" s="334" t="str">
        <f>_xlfn.XLOOKUP(G138,销售需求表!A:A,销售需求表!C:C)</f>
        <v>北美</v>
      </c>
      <c r="C138" s="335" t="str">
        <f t="shared" si="377"/>
        <v>22.5</v>
      </c>
      <c r="D138" s="334" t="str">
        <f t="shared" si="350"/>
        <v>北美22.5寸</v>
      </c>
      <c r="E138" s="339" t="str">
        <f t="shared" si="347"/>
        <v>295/75R22.5-16PR(146/143L)-M-TRAC CSD</v>
      </c>
      <c r="F138" s="340" t="str">
        <f t="shared" si="343"/>
        <v>295/75R22.5-16PR-M-TRAC CSD</v>
      </c>
      <c r="G138" s="341" t="s">
        <v>510</v>
      </c>
      <c r="H138" s="334">
        <v>2000</v>
      </c>
      <c r="I138" s="345">
        <v>4</v>
      </c>
      <c r="J138" s="346" t="str">
        <f t="shared" si="351"/>
        <v>295/75R22.5-M-TRAC CSD</v>
      </c>
      <c r="K138" s="347" t="str">
        <f>_xlfn.XLOOKUP(F138,投产规格!E:E,投产规格!D:D,"未投产")</f>
        <v>✔</v>
      </c>
      <c r="L138" s="347">
        <f>IFERROR(_xlfn.XLOOKUP(F138,硫化工艺!B:B,硫化工艺!C:C),"")</f>
        <v>40</v>
      </c>
      <c r="M138" s="349">
        <f t="shared" si="352"/>
        <v>0.872727272727273</v>
      </c>
      <c r="N138" s="347" t="str">
        <f t="shared" si="333"/>
        <v>22.5全钢</v>
      </c>
      <c r="O138" s="347">
        <f>IFERROR(_xlfn.XLOOKUP(F138,轮胎重量!J:J,轮胎重量!G:G),"")</f>
        <v>52.95</v>
      </c>
      <c r="P138" s="350">
        <f t="shared" ref="P138:P141" si="380">O138*13.9</f>
        <v>736.005</v>
      </c>
      <c r="Q138" s="347">
        <f t="shared" si="348"/>
        <v>126</v>
      </c>
      <c r="R138" s="347">
        <v>120</v>
      </c>
      <c r="S138" s="347">
        <v>120</v>
      </c>
      <c r="T138" s="347">
        <v>120</v>
      </c>
      <c r="U138" s="347">
        <v>120</v>
      </c>
      <c r="V138" s="347">
        <v>120</v>
      </c>
      <c r="W138" s="347">
        <v>120</v>
      </c>
      <c r="X138" s="347">
        <v>120</v>
      </c>
      <c r="Y138" s="347">
        <v>120</v>
      </c>
      <c r="Z138" s="347">
        <v>120</v>
      </c>
      <c r="AA138" s="347">
        <v>120</v>
      </c>
      <c r="AB138" s="347">
        <v>120</v>
      </c>
      <c r="AC138" s="347">
        <v>120</v>
      </c>
      <c r="AD138" s="347">
        <v>120</v>
      </c>
      <c r="AE138" s="347">
        <v>120</v>
      </c>
      <c r="AF138" s="347">
        <v>120</v>
      </c>
      <c r="AG138" s="347">
        <v>120</v>
      </c>
      <c r="AH138" s="375">
        <v>120</v>
      </c>
      <c r="AI138" s="347"/>
      <c r="AJ138" s="347"/>
      <c r="AK138" s="347"/>
      <c r="AL138" s="347"/>
      <c r="AM138" s="347"/>
      <c r="AN138" s="347"/>
      <c r="AO138" s="347"/>
      <c r="AP138" s="347"/>
      <c r="AQ138" s="347"/>
      <c r="AR138" s="347"/>
      <c r="AS138" s="347"/>
      <c r="AT138" s="347"/>
      <c r="AU138" s="347"/>
      <c r="AV138" s="347"/>
      <c r="AW138" s="347">
        <f t="shared" si="353"/>
        <v>2040</v>
      </c>
      <c r="AX138" s="365">
        <f t="shared" si="354"/>
        <v>108.018</v>
      </c>
      <c r="AY138" s="365">
        <f t="shared" si="355"/>
        <v>150.145</v>
      </c>
      <c r="AZ138" s="367"/>
      <c r="BA138" s="376"/>
      <c r="BB138" s="376"/>
      <c r="BC138" s="330"/>
      <c r="BD138" s="330"/>
      <c r="BE138" s="330"/>
      <c r="BF138" s="330"/>
      <c r="BG138" s="330"/>
      <c r="BH138" s="330"/>
      <c r="BI138" s="330"/>
      <c r="BJ138" s="370" cm="1">
        <f t="array" ref="BJ138:BM138">_xlfn.LET(_xlpm.data,$R138:$AV138,_xlpm.starts,{1,8,16,23},_xlpm.lengths,{7,7,8,9},_xlpm.arr,_xlfn.MAP(_xlpm.starts,_xlpm.lengths,_xlfn.LAMBDA(_xlpm.s,_xlpm.l,SUM(INDEX(_xlpm.data,,_xlfn.SEQUENCE(,_xlpm.l,_xlpm.s))))),ROUND(_xlpm.arr*$O138/1000,2))</f>
        <v>44.48</v>
      </c>
      <c r="BK138" s="330">
        <v>44.48</v>
      </c>
      <c r="BL138" s="330">
        <v>12.71</v>
      </c>
      <c r="BM138" s="330">
        <v>0</v>
      </c>
      <c r="BN138" s="258">
        <f t="shared" si="356"/>
        <v>101.67</v>
      </c>
      <c r="BO138" s="258">
        <v>6.83</v>
      </c>
      <c r="BP138" s="258">
        <v>23.92</v>
      </c>
      <c r="BQ138" s="258">
        <v>27.34</v>
      </c>
      <c r="BR138" s="258">
        <v>30.75</v>
      </c>
      <c r="BS138" s="115"/>
      <c r="BT138" s="258" cm="1">
        <f ca="1" t="array" ref="BT138:BW138">_xlfn.HSTACK(SUM(INDEX($R138:$AV138,1,1):INDEX($R138:$AV138,1,7)),SUM(INDEX($R138:$AV138,1,7):INDEX($R138:$AV138,1,13)),SUM(INDEX($R138:$AV138,1,16):INDEX($R138:$AV138,1,23)),SUM(INDEX($R138:$AV138,1,23):INDEX($R138:$AV138,1,31)))</f>
        <v>840</v>
      </c>
      <c r="BU138" s="258">
        <v>840</v>
      </c>
      <c r="BV138" s="258">
        <v>240</v>
      </c>
      <c r="BW138" s="258">
        <v>0</v>
      </c>
      <c r="BY138" s="258">
        <f t="shared" si="372"/>
        <v>840</v>
      </c>
      <c r="BZ138" s="258">
        <f t="shared" si="373"/>
        <v>840</v>
      </c>
      <c r="CA138" s="258">
        <f t="shared" si="374"/>
        <v>360</v>
      </c>
      <c r="CB138" s="258">
        <f t="shared" si="375"/>
        <v>0</v>
      </c>
      <c r="CD138" s="113"/>
      <c r="CE138" s="258">
        <f t="shared" si="357"/>
        <v>44.48</v>
      </c>
      <c r="CF138" s="258">
        <f t="shared" si="358"/>
        <v>44.48</v>
      </c>
      <c r="CG138" s="258">
        <f t="shared" si="359"/>
        <v>19.06</v>
      </c>
      <c r="CH138" s="258">
        <f t="shared" si="360"/>
        <v>0</v>
      </c>
      <c r="CI138" s="258">
        <f t="shared" si="361"/>
        <v>108.02</v>
      </c>
      <c r="CJ138" s="113"/>
      <c r="CK138" s="258">
        <f t="shared" ref="CK138:CN138" si="381">IFERROR(ROUND(BY138*$P138,2),"")</f>
        <v>618244.2</v>
      </c>
      <c r="CL138" s="258">
        <f t="shared" si="381"/>
        <v>618244.2</v>
      </c>
      <c r="CM138" s="258">
        <f t="shared" si="381"/>
        <v>264961.8</v>
      </c>
      <c r="CN138" s="258">
        <f t="shared" si="381"/>
        <v>0</v>
      </c>
      <c r="CO138" s="258">
        <f t="shared" si="371"/>
        <v>1501450.2</v>
      </c>
      <c r="CP138" s="258" t="e">
        <f>VLOOKUP(G138,[2]Sheet1!$C$3:$G$310,5,0)</f>
        <v>#N/A</v>
      </c>
      <c r="CQ138" s="258">
        <f>VLOOKUP(G138,[3]KCBB0101!$C$3:$F$691,4,0)</f>
        <v>11000</v>
      </c>
    </row>
    <row r="139" s="258" customFormat="1" ht="17.6" spans="1:93">
      <c r="A139" s="330"/>
      <c r="B139" s="334" t="str">
        <f>_xlfn.XLOOKUP(G139,销售需求表!A:A,销售需求表!C:C)</f>
        <v>北美</v>
      </c>
      <c r="C139" s="335" t="str">
        <f t="shared" si="377"/>
        <v>22.5</v>
      </c>
      <c r="D139" s="334" t="str">
        <f t="shared" ref="D139:D145" si="382">B139&amp;C139&amp;"寸"</f>
        <v>北美22.5寸</v>
      </c>
      <c r="E139" s="339" t="str">
        <f t="shared" si="347"/>
        <v>295/75R22.5-16PR(146/143L)-M-TRAC CSD+</v>
      </c>
      <c r="F139" s="340" t="str">
        <f t="shared" si="343"/>
        <v>295/75R22.5-16PR-M-TRAC CSD+</v>
      </c>
      <c r="G139" s="339" t="s">
        <v>511</v>
      </c>
      <c r="H139" s="334">
        <v>250</v>
      </c>
      <c r="I139" s="345"/>
      <c r="J139" s="346" t="str">
        <f t="shared" si="351"/>
        <v>295/75R22.5-M-TRAC CSD+</v>
      </c>
      <c r="K139" s="347" t="str">
        <f>_xlfn.XLOOKUP(F139,投产规格!E:E,投产规格!D:D,"未投产")</f>
        <v>未投产</v>
      </c>
      <c r="L139" s="347">
        <f>IFERROR(_xlfn.XLOOKUP(F139,硫化工艺!B:B,硫化工艺!C:C),"")</f>
        <v>38.5</v>
      </c>
      <c r="M139" s="349">
        <f t="shared" ref="M139:M145" si="383">IF(L139="","",L139/(L139+$L$1/60))</f>
        <v>0.868421052631579</v>
      </c>
      <c r="N139" s="347" t="str">
        <f t="shared" si="333"/>
        <v>22.5全钢</v>
      </c>
      <c r="O139" s="347">
        <f>IFERROR(_xlfn.XLOOKUP(F139,轮胎重量!J:J,轮胎重量!G:G),"")</f>
        <v>59.57</v>
      </c>
      <c r="P139" s="350">
        <f t="shared" si="380"/>
        <v>828.023</v>
      </c>
      <c r="Q139" s="347">
        <f t="shared" ref="Q139:Q202" si="384">IFERROR(ROUND(1440/L139*(I139)*M139,0),"")</f>
        <v>0</v>
      </c>
      <c r="R139" s="347"/>
      <c r="S139" s="347"/>
      <c r="T139" s="347"/>
      <c r="U139" s="347"/>
      <c r="V139" s="347"/>
      <c r="W139" s="347"/>
      <c r="X139" s="347"/>
      <c r="Y139" s="347"/>
      <c r="Z139" s="347"/>
      <c r="AA139" s="347"/>
      <c r="AB139" s="347"/>
      <c r="AC139" s="347"/>
      <c r="AD139" s="347"/>
      <c r="AE139" s="347"/>
      <c r="AF139" s="347"/>
      <c r="AG139" s="347"/>
      <c r="AH139" s="347"/>
      <c r="AI139" s="347"/>
      <c r="AJ139" s="347"/>
      <c r="AK139" s="347"/>
      <c r="AL139" s="347"/>
      <c r="AM139" s="347"/>
      <c r="AN139" s="347"/>
      <c r="AO139" s="347"/>
      <c r="AP139" s="347"/>
      <c r="AQ139" s="347"/>
      <c r="AR139" s="347"/>
      <c r="AS139" s="347"/>
      <c r="AT139" s="347"/>
      <c r="AU139" s="347"/>
      <c r="AV139" s="347"/>
      <c r="AW139" s="347" t="str">
        <f t="shared" ref="AW139:AW145" si="385">IF(SUM(R139:AV139)=0,"",SUM(R139:AV139))</f>
        <v/>
      </c>
      <c r="AX139" s="365" t="str">
        <f t="shared" ref="AX139:AX145" si="386">IFERROR(AW139*O139/1000,"")</f>
        <v/>
      </c>
      <c r="AY139" s="365" t="str">
        <f t="shared" ref="AY139:AY145" si="387">IFERROR(ROUND(AW139*P139/10000,3),"")</f>
        <v/>
      </c>
      <c r="AZ139" s="367"/>
      <c r="BA139" s="376"/>
      <c r="BB139" s="376"/>
      <c r="BC139" s="330"/>
      <c r="BD139" s="330"/>
      <c r="BE139" s="330"/>
      <c r="BF139" s="330"/>
      <c r="BG139" s="330"/>
      <c r="BH139" s="330"/>
      <c r="BI139" s="330"/>
      <c r="BJ139" s="370" cm="1">
        <f t="array" ref="BJ139:BM139">_xlfn.LET(_xlpm.data,$R139:$AV139,_xlpm.starts,{1,8,16,23},_xlpm.lengths,{7,7,8,9},_xlpm.arr,_xlfn.MAP(_xlpm.starts,_xlpm.lengths,_xlfn.LAMBDA(_xlpm.s,_xlpm.l,SUM(INDEX(_xlpm.data,,_xlfn.SEQUENCE(,_xlpm.l,_xlpm.s))))),ROUND(_xlpm.arr*$O139/1000,2))</f>
        <v>0</v>
      </c>
      <c r="BK139" s="330">
        <v>0</v>
      </c>
      <c r="BL139" s="330">
        <v>0</v>
      </c>
      <c r="BM139" s="330">
        <v>0</v>
      </c>
      <c r="BN139" s="258">
        <f t="shared" ref="BN139:BN145" si="388">SUM(BJ139:BM139)</f>
        <v>0</v>
      </c>
      <c r="BO139" s="258">
        <v>6.64</v>
      </c>
      <c r="BP139" s="258">
        <v>23.26</v>
      </c>
      <c r="BQ139" s="258">
        <v>26.58</v>
      </c>
      <c r="BR139" s="258">
        <v>29.9</v>
      </c>
      <c r="BS139" s="115"/>
      <c r="BT139" s="258" cm="1">
        <f ca="1" t="array" ref="BT139:BW139">_xlfn.HSTACK(SUM(INDEX($R139:$AV139,1,1):INDEX($R139:$AV139,1,7)),SUM(INDEX($R139:$AV139,1,7):INDEX($R139:$AV139,1,13)),SUM(INDEX($R139:$AV139,1,16):INDEX($R139:$AV139,1,23)),SUM(INDEX($R139:$AV139,1,23):INDEX($R139:$AV139,1,31)))</f>
        <v>0</v>
      </c>
      <c r="BU139" s="258">
        <v>0</v>
      </c>
      <c r="BV139" s="258">
        <v>0</v>
      </c>
      <c r="BW139" s="258">
        <v>0</v>
      </c>
      <c r="BY139" s="258">
        <f t="shared" si="372"/>
        <v>0</v>
      </c>
      <c r="BZ139" s="258">
        <f t="shared" si="373"/>
        <v>0</v>
      </c>
      <c r="CA139" s="258">
        <f t="shared" si="374"/>
        <v>0</v>
      </c>
      <c r="CB139" s="258">
        <f t="shared" si="375"/>
        <v>0</v>
      </c>
      <c r="CD139" s="113"/>
      <c r="CE139" s="258">
        <f t="shared" ref="CE139:CE145" si="389">ROUND(BY139*$O139/1000,2)</f>
        <v>0</v>
      </c>
      <c r="CF139" s="258">
        <f t="shared" ref="CF139:CF145" si="390">ROUND(BZ139*$O139/1000,2)</f>
        <v>0</v>
      </c>
      <c r="CG139" s="258">
        <f t="shared" ref="CG139:CG145" si="391">ROUND(CA139*$O139/1000,2)</f>
        <v>0</v>
      </c>
      <c r="CH139" s="258">
        <f t="shared" ref="CH139:CH145" si="392">ROUND(CB139*$O139/1000,2)</f>
        <v>0</v>
      </c>
      <c r="CI139" s="258">
        <f t="shared" ref="CI139:CI145" si="393">SUM(CE139:CH139)</f>
        <v>0</v>
      </c>
      <c r="CJ139" s="113"/>
      <c r="CK139" s="258">
        <f t="shared" ref="CK139:CN139" si="394">IFERROR(ROUND(BY139*$P139,2),"")</f>
        <v>0</v>
      </c>
      <c r="CL139" s="258">
        <f t="shared" si="394"/>
        <v>0</v>
      </c>
      <c r="CM139" s="258">
        <f t="shared" si="394"/>
        <v>0</v>
      </c>
      <c r="CN139" s="258">
        <f t="shared" si="394"/>
        <v>0</v>
      </c>
      <c r="CO139" s="258">
        <f t="shared" si="371"/>
        <v>0</v>
      </c>
    </row>
    <row r="140" s="258" customFormat="1" ht="17.6" spans="1:93">
      <c r="A140" s="330"/>
      <c r="B140" s="334" t="str">
        <f>_xlfn.XLOOKUP(G140,销售需求表!A:A,销售需求表!C:C)</f>
        <v>北美</v>
      </c>
      <c r="C140" s="335" t="str">
        <f t="shared" si="377"/>
        <v>22.5</v>
      </c>
      <c r="D140" s="334" t="str">
        <f t="shared" si="382"/>
        <v>北美22.5寸</v>
      </c>
      <c r="E140" s="339" t="str">
        <f t="shared" ref="E140:E203" si="395">LEFT(REPLACE(G140,1,2,""),FIND("[",REPLACE(G140,1,2,""))-1)&amp;"-"&amp;MID(REPLACE(G140,1,2,""),FIND("[",REPLACE(G140,1,2,""))+1,FIND("]",REPLACE(G140,1,2,""))-FIND("[",REPLACE(G140,1,2,""))-1)</f>
        <v>295/75R22.5-16PR(146/143L)-M-TRAC HS+</v>
      </c>
      <c r="F140" s="340" t="str">
        <f t="shared" si="343"/>
        <v>295/75R22.5-16PR-M-TRAC HS+</v>
      </c>
      <c r="G140" s="339" t="s">
        <v>512</v>
      </c>
      <c r="H140" s="334">
        <v>280</v>
      </c>
      <c r="I140" s="345"/>
      <c r="J140" s="346" t="str">
        <f t="shared" si="351"/>
        <v>295/75R22.5-M-TRAC HS+</v>
      </c>
      <c r="K140" s="347" t="str">
        <f>_xlfn.XLOOKUP(F140,投产规格!E:E,投产规格!D:D,"未投产")</f>
        <v>未投产</v>
      </c>
      <c r="L140" s="347">
        <f>IFERROR(_xlfn.XLOOKUP(F140,硫化工艺!B:B,硫化工艺!C:C),"")</f>
        <v>38.5</v>
      </c>
      <c r="M140" s="349">
        <f t="shared" si="383"/>
        <v>0.868421052631579</v>
      </c>
      <c r="N140" s="347" t="str">
        <f t="shared" si="333"/>
        <v>22.5全钢</v>
      </c>
      <c r="O140" s="347">
        <f>IFERROR(_xlfn.XLOOKUP(F140,轮胎重量!J:J,轮胎重量!G:G),"")</f>
        <v>52.91</v>
      </c>
      <c r="P140" s="350">
        <f t="shared" si="380"/>
        <v>735.449</v>
      </c>
      <c r="Q140" s="347">
        <f t="shared" si="384"/>
        <v>0</v>
      </c>
      <c r="R140" s="347"/>
      <c r="S140" s="347"/>
      <c r="T140" s="347"/>
      <c r="U140" s="347"/>
      <c r="V140" s="347"/>
      <c r="W140" s="347"/>
      <c r="X140" s="347"/>
      <c r="Y140" s="347"/>
      <c r="Z140" s="347"/>
      <c r="AA140" s="347"/>
      <c r="AB140" s="347"/>
      <c r="AC140" s="347"/>
      <c r="AD140" s="347"/>
      <c r="AE140" s="347"/>
      <c r="AF140" s="347"/>
      <c r="AG140" s="347"/>
      <c r="AH140" s="347"/>
      <c r="AI140" s="347"/>
      <c r="AJ140" s="347"/>
      <c r="AK140" s="347"/>
      <c r="AL140" s="347"/>
      <c r="AM140" s="347"/>
      <c r="AN140" s="347"/>
      <c r="AO140" s="347"/>
      <c r="AP140" s="347"/>
      <c r="AQ140" s="347"/>
      <c r="AR140" s="347"/>
      <c r="AS140" s="347"/>
      <c r="AT140" s="347"/>
      <c r="AU140" s="347"/>
      <c r="AV140" s="347"/>
      <c r="AW140" s="347" t="str">
        <f t="shared" si="385"/>
        <v/>
      </c>
      <c r="AX140" s="365" t="str">
        <f t="shared" si="386"/>
        <v/>
      </c>
      <c r="AY140" s="365" t="str">
        <f t="shared" si="387"/>
        <v/>
      </c>
      <c r="AZ140" s="367"/>
      <c r="BA140" s="376"/>
      <c r="BB140" s="376"/>
      <c r="BC140" s="330"/>
      <c r="BD140" s="330"/>
      <c r="BE140" s="330"/>
      <c r="BF140" s="330"/>
      <c r="BG140" s="330"/>
      <c r="BH140" s="330"/>
      <c r="BI140" s="330"/>
      <c r="BJ140" s="370" cm="1">
        <f t="array" ref="BJ140:BM140">_xlfn.LET(_xlpm.data,$R140:$AV140,_xlpm.starts,{1,8,16,23},_xlpm.lengths,{7,7,8,9},_xlpm.arr,_xlfn.MAP(_xlpm.starts,_xlpm.lengths,_xlfn.LAMBDA(_xlpm.s,_xlpm.l,SUM(INDEX(_xlpm.data,,_xlfn.SEQUENCE(,_xlpm.l,_xlpm.s))))),ROUND(_xlpm.arr*$O140/1000,2))</f>
        <v>0</v>
      </c>
      <c r="BK140" s="330">
        <v>0</v>
      </c>
      <c r="BL140" s="330">
        <v>0</v>
      </c>
      <c r="BM140" s="330">
        <v>0</v>
      </c>
      <c r="BN140" s="258">
        <f t="shared" si="388"/>
        <v>0</v>
      </c>
      <c r="BO140" s="258">
        <v>6.83</v>
      </c>
      <c r="BP140" s="258">
        <v>23.92</v>
      </c>
      <c r="BQ140" s="258">
        <v>27.34</v>
      </c>
      <c r="BR140" s="258">
        <v>30.75</v>
      </c>
      <c r="BS140" s="115"/>
      <c r="BT140" s="258" cm="1">
        <f ca="1" t="array" ref="BT140:BW140">_xlfn.HSTACK(SUM(INDEX($R140:$AV140,1,1):INDEX($R140:$AV140,1,7)),SUM(INDEX($R140:$AV140,1,7):INDEX($R140:$AV140,1,13)),SUM(INDEX($R140:$AV140,1,16):INDEX($R140:$AV140,1,23)),SUM(INDEX($R140:$AV140,1,23):INDEX($R140:$AV140,1,31)))</f>
        <v>0</v>
      </c>
      <c r="BU140" s="258">
        <v>0</v>
      </c>
      <c r="BV140" s="258">
        <v>0</v>
      </c>
      <c r="BW140" s="258">
        <v>0</v>
      </c>
      <c r="BY140" s="258">
        <f t="shared" si="372"/>
        <v>0</v>
      </c>
      <c r="BZ140" s="258">
        <f t="shared" si="373"/>
        <v>0</v>
      </c>
      <c r="CA140" s="258">
        <f t="shared" si="374"/>
        <v>0</v>
      </c>
      <c r="CB140" s="258">
        <f t="shared" si="375"/>
        <v>0</v>
      </c>
      <c r="CD140" s="113"/>
      <c r="CE140" s="258">
        <f t="shared" si="389"/>
        <v>0</v>
      </c>
      <c r="CF140" s="258">
        <f t="shared" si="390"/>
        <v>0</v>
      </c>
      <c r="CG140" s="258">
        <f t="shared" si="391"/>
        <v>0</v>
      </c>
      <c r="CH140" s="258">
        <f t="shared" si="392"/>
        <v>0</v>
      </c>
      <c r="CI140" s="258">
        <f t="shared" si="393"/>
        <v>0</v>
      </c>
      <c r="CJ140" s="113"/>
      <c r="CK140" s="258">
        <f t="shared" ref="CK140:CN140" si="396">IFERROR(ROUND(BY140*$P140,2),"")</f>
        <v>0</v>
      </c>
      <c r="CL140" s="258">
        <f t="shared" si="396"/>
        <v>0</v>
      </c>
      <c r="CM140" s="258">
        <f t="shared" si="396"/>
        <v>0</v>
      </c>
      <c r="CN140" s="258">
        <f t="shared" si="396"/>
        <v>0</v>
      </c>
      <c r="CO140" s="258">
        <f t="shared" si="371"/>
        <v>0</v>
      </c>
    </row>
    <row r="141" s="258" customFormat="1" ht="17.6" spans="1:93">
      <c r="A141" s="330"/>
      <c r="B141" s="334" t="str">
        <f>_xlfn.XLOOKUP(G141,销售需求表!A:A,销售需求表!C:C)</f>
        <v>北美</v>
      </c>
      <c r="C141" s="335" t="str">
        <f t="shared" si="377"/>
        <v>22.5</v>
      </c>
      <c r="D141" s="334" t="str">
        <f t="shared" si="382"/>
        <v>北美22.5寸</v>
      </c>
      <c r="E141" s="339" t="str">
        <f t="shared" si="395"/>
        <v>295/75R22.5-16PR(146/143L)-RLINE-S1</v>
      </c>
      <c r="F141" s="340" t="str">
        <f t="shared" si="343"/>
        <v>295/75R22.5-16PR-RLINE-S1</v>
      </c>
      <c r="G141" s="339" t="s">
        <v>513</v>
      </c>
      <c r="H141" s="334">
        <v>280</v>
      </c>
      <c r="I141" s="345"/>
      <c r="J141" s="346" t="str">
        <f t="shared" ref="J141:J172" si="397">IFERROR(LEFT(F141,FIND("-",F141))&amp;MID(F141,FIND("PR",F141,FIND("-",F141))+3,LEN(F141)),F141)</f>
        <v>295/75R22.5-RLINE-S1</v>
      </c>
      <c r="K141" s="347" t="str">
        <f>_xlfn.XLOOKUP(F141,投产规格!E:E,投产规格!D:D,"未投产")</f>
        <v>未投产</v>
      </c>
      <c r="L141" s="347">
        <f>IFERROR(_xlfn.XLOOKUP(F141,硫化工艺!B:B,硫化工艺!C:C),"")</f>
        <v>38.5</v>
      </c>
      <c r="M141" s="349">
        <f t="shared" si="383"/>
        <v>0.868421052631579</v>
      </c>
      <c r="N141" s="347" t="str">
        <f t="shared" si="333"/>
        <v>22.5全钢</v>
      </c>
      <c r="O141" s="347">
        <f>IFERROR(_xlfn.XLOOKUP(F141,轮胎重量!J:J,轮胎重量!G:G),"")</f>
        <v>52.912</v>
      </c>
      <c r="P141" s="350">
        <f t="shared" si="380"/>
        <v>735.4768</v>
      </c>
      <c r="Q141" s="347">
        <f t="shared" si="384"/>
        <v>0</v>
      </c>
      <c r="R141" s="347"/>
      <c r="S141" s="347"/>
      <c r="T141" s="347"/>
      <c r="U141" s="347"/>
      <c r="V141" s="347"/>
      <c r="W141" s="347"/>
      <c r="X141" s="347"/>
      <c r="Y141" s="347"/>
      <c r="Z141" s="347"/>
      <c r="AA141" s="347"/>
      <c r="AB141" s="347"/>
      <c r="AC141" s="347"/>
      <c r="AD141" s="347"/>
      <c r="AE141" s="347"/>
      <c r="AF141" s="347"/>
      <c r="AG141" s="347"/>
      <c r="AH141" s="347"/>
      <c r="AI141" s="347"/>
      <c r="AJ141" s="347"/>
      <c r="AK141" s="347"/>
      <c r="AL141" s="347"/>
      <c r="AM141" s="347"/>
      <c r="AN141" s="347"/>
      <c r="AO141" s="347"/>
      <c r="AP141" s="347"/>
      <c r="AQ141" s="347"/>
      <c r="AR141" s="347"/>
      <c r="AS141" s="347"/>
      <c r="AT141" s="347"/>
      <c r="AU141" s="347"/>
      <c r="AV141" s="347"/>
      <c r="AW141" s="347" t="str">
        <f t="shared" si="385"/>
        <v/>
      </c>
      <c r="AX141" s="365" t="str">
        <f t="shared" si="386"/>
        <v/>
      </c>
      <c r="AY141" s="365" t="str">
        <f t="shared" si="387"/>
        <v/>
      </c>
      <c r="AZ141" s="367"/>
      <c r="BA141" s="376"/>
      <c r="BB141" s="376"/>
      <c r="BC141" s="330"/>
      <c r="BD141" s="330"/>
      <c r="BE141" s="330"/>
      <c r="BF141" s="330"/>
      <c r="BG141" s="330"/>
      <c r="BH141" s="330"/>
      <c r="BI141" s="330"/>
      <c r="BJ141" s="370" cm="1">
        <f t="array" ref="BJ141:BM141">_xlfn.LET(_xlpm.data,$R141:$AV141,_xlpm.starts,{1,8,16,23},_xlpm.lengths,{7,7,8,9},_xlpm.arr,_xlfn.MAP(_xlpm.starts,_xlpm.lengths,_xlfn.LAMBDA(_xlpm.s,_xlpm.l,SUM(INDEX(_xlpm.data,,_xlfn.SEQUENCE(,_xlpm.l,_xlpm.s))))),ROUND(_xlpm.arr*$O141/1000,2))</f>
        <v>0</v>
      </c>
      <c r="BK141" s="330">
        <v>0</v>
      </c>
      <c r="BL141" s="330">
        <v>0</v>
      </c>
      <c r="BM141" s="330">
        <v>0</v>
      </c>
      <c r="BN141" s="258">
        <f t="shared" si="388"/>
        <v>0</v>
      </c>
      <c r="BO141" s="258">
        <v>6.83</v>
      </c>
      <c r="BP141" s="258">
        <v>23.92</v>
      </c>
      <c r="BQ141" s="258">
        <v>27.34</v>
      </c>
      <c r="BR141" s="258">
        <v>30.75</v>
      </c>
      <c r="BS141" s="115"/>
      <c r="BT141" s="258" cm="1">
        <f ca="1" t="array" ref="BT141:BW141">_xlfn.HSTACK(SUM(INDEX($R141:$AV141,1,1):INDEX($R141:$AV141,1,7)),SUM(INDEX($R141:$AV141,1,7):INDEX($R141:$AV141,1,13)),SUM(INDEX($R141:$AV141,1,16):INDEX($R141:$AV141,1,23)),SUM(INDEX($R141:$AV141,1,23):INDEX($R141:$AV141,1,31)))</f>
        <v>0</v>
      </c>
      <c r="BU141" s="258">
        <v>0</v>
      </c>
      <c r="BV141" s="258">
        <v>0</v>
      </c>
      <c r="BW141" s="258">
        <v>0</v>
      </c>
      <c r="BY141" s="258">
        <f t="shared" si="372"/>
        <v>0</v>
      </c>
      <c r="BZ141" s="258">
        <f t="shared" si="373"/>
        <v>0</v>
      </c>
      <c r="CA141" s="258">
        <f t="shared" si="374"/>
        <v>0</v>
      </c>
      <c r="CB141" s="258">
        <f t="shared" si="375"/>
        <v>0</v>
      </c>
      <c r="CD141" s="113"/>
      <c r="CE141" s="258">
        <f t="shared" si="389"/>
        <v>0</v>
      </c>
      <c r="CF141" s="258">
        <f t="shared" si="390"/>
        <v>0</v>
      </c>
      <c r="CG141" s="258">
        <f t="shared" si="391"/>
        <v>0</v>
      </c>
      <c r="CH141" s="258">
        <f t="shared" si="392"/>
        <v>0</v>
      </c>
      <c r="CI141" s="258">
        <f t="shared" si="393"/>
        <v>0</v>
      </c>
      <c r="CJ141" s="113"/>
      <c r="CK141" s="258">
        <f t="shared" ref="CK141:CN141" si="398">IFERROR(ROUND(BY141*$P141,2),"")</f>
        <v>0</v>
      </c>
      <c r="CL141" s="258">
        <f t="shared" si="398"/>
        <v>0</v>
      </c>
      <c r="CM141" s="258">
        <f t="shared" si="398"/>
        <v>0</v>
      </c>
      <c r="CN141" s="258">
        <f t="shared" si="398"/>
        <v>0</v>
      </c>
      <c r="CO141" s="258">
        <f t="shared" si="371"/>
        <v>0</v>
      </c>
    </row>
    <row r="142" s="258" customFormat="1" ht="17.6" spans="1:95">
      <c r="A142" s="330"/>
      <c r="B142" s="334" t="str">
        <f>_xlfn.XLOOKUP(G142,销售需求表!A:A,销售需求表!C:C)</f>
        <v>北美</v>
      </c>
      <c r="C142" s="335" t="str">
        <f t="shared" si="377"/>
        <v>22.5</v>
      </c>
      <c r="D142" s="334" t="str">
        <f t="shared" ref="D142:D152" si="399">B142&amp;C142&amp;"寸"</f>
        <v>北美22.5寸</v>
      </c>
      <c r="E142" s="339" t="str">
        <f t="shared" si="395"/>
        <v>295/75R22.5-16PR(146/143M)-CR915</v>
      </c>
      <c r="F142" s="340" t="str">
        <f t="shared" si="343"/>
        <v>295/75R22.5-16PR-CR915</v>
      </c>
      <c r="G142" s="341" t="s">
        <v>514</v>
      </c>
      <c r="H142" s="334">
        <v>1500</v>
      </c>
      <c r="I142" s="345">
        <v>6</v>
      </c>
      <c r="J142" s="346" t="str">
        <f t="shared" si="397"/>
        <v>295/75R22.5-CR915</v>
      </c>
      <c r="K142" s="347" t="str">
        <f>_xlfn.XLOOKUP(F142,投产规格!E:E,投产规格!D:D,"未投产")</f>
        <v>✔</v>
      </c>
      <c r="L142" s="347">
        <f>IFERROR(_xlfn.XLOOKUP(F142,硫化工艺!B:B,硫化工艺!C:C),"")</f>
        <v>32.5</v>
      </c>
      <c r="M142" s="349">
        <f t="shared" ref="M142:M152" si="400">IF(L142="","",L142/(L142+$L$1/60))</f>
        <v>0.847826086956522</v>
      </c>
      <c r="N142" s="347" t="str">
        <f t="shared" si="333"/>
        <v>22.5全钢</v>
      </c>
      <c r="O142" s="347">
        <f>IFERROR(_xlfn.XLOOKUP(F142,轮胎重量!J:J,轮胎重量!G:G),"")</f>
        <v>48.17</v>
      </c>
      <c r="P142" s="347">
        <f>IFERROR(_xlfn.XLOOKUP(G142,硫化工艺!I:I,硫化工艺!J:J),"")</f>
        <v>699.432139</v>
      </c>
      <c r="Q142" s="347">
        <f t="shared" si="384"/>
        <v>225</v>
      </c>
      <c r="R142" s="347">
        <v>220</v>
      </c>
      <c r="S142" s="347">
        <v>220</v>
      </c>
      <c r="T142" s="347">
        <v>220</v>
      </c>
      <c r="U142" s="347">
        <v>220</v>
      </c>
      <c r="V142" s="347">
        <v>220</v>
      </c>
      <c r="W142" s="347">
        <v>220</v>
      </c>
      <c r="X142" s="363">
        <v>220</v>
      </c>
      <c r="Y142" s="347"/>
      <c r="Z142" s="347"/>
      <c r="AA142" s="347"/>
      <c r="AB142" s="347"/>
      <c r="AC142" s="347"/>
      <c r="AD142" s="347"/>
      <c r="AE142" s="347"/>
      <c r="AF142" s="347"/>
      <c r="AG142" s="347"/>
      <c r="AH142" s="347"/>
      <c r="AI142" s="347"/>
      <c r="AJ142" s="347"/>
      <c r="AK142" s="347"/>
      <c r="AL142" s="347"/>
      <c r="AM142" s="347"/>
      <c r="AN142" s="347"/>
      <c r="AO142" s="347"/>
      <c r="AP142" s="347"/>
      <c r="AQ142" s="347"/>
      <c r="AR142" s="347"/>
      <c r="AS142" s="347"/>
      <c r="AT142" s="347"/>
      <c r="AU142" s="347"/>
      <c r="AV142" s="347"/>
      <c r="AW142" s="347">
        <f t="shared" ref="AW142:AW152" si="401">IF(SUM(R142:AV142)=0,"",SUM(R142:AV142))</f>
        <v>1540</v>
      </c>
      <c r="AX142" s="365">
        <f t="shared" ref="AX142:AX152" si="402">IFERROR(AW142*O142/1000,"")</f>
        <v>74.1818</v>
      </c>
      <c r="AY142" s="365">
        <f t="shared" ref="AY142:AY152" si="403">IFERROR(ROUND(AW142*P142/10000,3),"")</f>
        <v>107.713</v>
      </c>
      <c r="AZ142" s="367"/>
      <c r="BA142" s="376"/>
      <c r="BB142" s="376"/>
      <c r="BC142" s="330"/>
      <c r="BD142" s="330"/>
      <c r="BE142" s="330"/>
      <c r="BF142" s="330"/>
      <c r="BG142" s="330"/>
      <c r="BH142" s="330"/>
      <c r="BI142" s="330"/>
      <c r="BJ142" s="370" cm="1">
        <f t="array" ref="BJ142:BM142">_xlfn.LET(_xlpm.data,$R142:$AV142,_xlpm.starts,{1,8,16,23},_xlpm.lengths,{7,7,8,9},_xlpm.arr,_xlfn.MAP(_xlpm.starts,_xlpm.lengths,_xlfn.LAMBDA(_xlpm.s,_xlpm.l,SUM(INDEX(_xlpm.data,,_xlfn.SEQUENCE(,_xlpm.l,_xlpm.s))))),ROUND(_xlpm.arr*$O142/1000,2))</f>
        <v>74.18</v>
      </c>
      <c r="BK142" s="330">
        <v>0</v>
      </c>
      <c r="BL142" s="330">
        <v>0</v>
      </c>
      <c r="BM142" s="330">
        <v>0</v>
      </c>
      <c r="BN142" s="258">
        <f t="shared" ref="BN142:BN152" si="404">SUM(BJ142:BM142)</f>
        <v>74.18</v>
      </c>
      <c r="BO142" s="258">
        <v>6.83</v>
      </c>
      <c r="BP142" s="258">
        <v>23.92</v>
      </c>
      <c r="BQ142" s="258">
        <v>27.34</v>
      </c>
      <c r="BR142" s="258">
        <v>30.75</v>
      </c>
      <c r="BS142" s="115"/>
      <c r="BT142" s="258" cm="1">
        <f ca="1" t="array" ref="BT142:BW142">_xlfn.HSTACK(SUM(INDEX($R142:$AV142,1,1):INDEX($R142:$AV142,1,7)),SUM(INDEX($R142:$AV142,1,7):INDEX($R142:$AV142,1,13)),SUM(INDEX($R142:$AV142,1,16):INDEX($R142:$AV142,1,23)),SUM(INDEX($R142:$AV142,1,23):INDEX($R142:$AV142,1,31)))</f>
        <v>1540</v>
      </c>
      <c r="BU142" s="258">
        <v>220</v>
      </c>
      <c r="BV142" s="258">
        <v>0</v>
      </c>
      <c r="BW142" s="258">
        <v>0</v>
      </c>
      <c r="BY142" s="258">
        <f t="shared" si="372"/>
        <v>1540</v>
      </c>
      <c r="BZ142" s="258">
        <f t="shared" si="373"/>
        <v>0</v>
      </c>
      <c r="CA142" s="258">
        <f t="shared" si="374"/>
        <v>0</v>
      </c>
      <c r="CB142" s="258">
        <f t="shared" si="375"/>
        <v>0</v>
      </c>
      <c r="CD142" s="113"/>
      <c r="CE142" s="258">
        <f t="shared" ref="CE142:CE152" si="405">ROUND(BY142*$O142/1000,2)</f>
        <v>74.18</v>
      </c>
      <c r="CF142" s="258">
        <f t="shared" ref="CF142:CF152" si="406">ROUND(BZ142*$O142/1000,2)</f>
        <v>0</v>
      </c>
      <c r="CG142" s="258">
        <f t="shared" ref="CG142:CG152" si="407">ROUND(CA142*$O142/1000,2)</f>
        <v>0</v>
      </c>
      <c r="CH142" s="258">
        <f t="shared" ref="CH142:CH152" si="408">ROUND(CB142*$O142/1000,2)</f>
        <v>0</v>
      </c>
      <c r="CI142" s="258">
        <f t="shared" ref="CI142:CI152" si="409">SUM(CE142:CH142)</f>
        <v>74.18</v>
      </c>
      <c r="CJ142" s="113"/>
      <c r="CK142" s="258">
        <f t="shared" ref="CK142:CN142" si="410">IFERROR(ROUND(BY142*$P142,2),"")</f>
        <v>1077125.49</v>
      </c>
      <c r="CL142" s="258">
        <f t="shared" si="410"/>
        <v>0</v>
      </c>
      <c r="CM142" s="258">
        <f t="shared" si="410"/>
        <v>0</v>
      </c>
      <c r="CN142" s="258">
        <f t="shared" si="410"/>
        <v>0</v>
      </c>
      <c r="CO142" s="258">
        <f t="shared" si="371"/>
        <v>1077125.49</v>
      </c>
      <c r="CP142" s="258">
        <f>VLOOKUP(G142,[2]Sheet1!$C$3:$G$310,5,0)</f>
        <v>5000</v>
      </c>
      <c r="CQ142" s="258" t="e">
        <f>VLOOKUP(G142,[3]KCBB0101!$C$3:$F$691,4,0)</f>
        <v>#N/A</v>
      </c>
    </row>
    <row r="143" s="258" customFormat="1" ht="17.6" spans="1:95">
      <c r="A143" s="330"/>
      <c r="B143" s="334" t="str">
        <f>_xlfn.XLOOKUP(G143,销售需求表!A:A,销售需求表!C:C)</f>
        <v>北美</v>
      </c>
      <c r="C143" s="335" t="str">
        <f t="shared" si="377"/>
        <v>22.5</v>
      </c>
      <c r="D143" s="334" t="str">
        <f t="shared" si="399"/>
        <v>北美22.5寸</v>
      </c>
      <c r="E143" s="339" t="str">
        <f t="shared" si="395"/>
        <v>295/75R22.5-16PR(146/143M)-I-19A</v>
      </c>
      <c r="F143" s="340" t="str">
        <f t="shared" si="343"/>
        <v>295/75R22.5-16PR-I-19A</v>
      </c>
      <c r="G143" s="341" t="s">
        <v>515</v>
      </c>
      <c r="H143" s="334">
        <v>550</v>
      </c>
      <c r="I143" s="345"/>
      <c r="J143" s="346" t="str">
        <f t="shared" si="397"/>
        <v>295/75R22.5-I-19A</v>
      </c>
      <c r="K143" s="347" t="str">
        <f>_xlfn.XLOOKUP(F143,投产规格!E:E,投产规格!D:D,"未投产")</f>
        <v>✔</v>
      </c>
      <c r="L143" s="347">
        <f>IFERROR(_xlfn.XLOOKUP(F143,硫化工艺!B:B,硫化工艺!C:C),"")</f>
        <v>37.2</v>
      </c>
      <c r="M143" s="349">
        <f t="shared" si="400"/>
        <v>0.864446165762974</v>
      </c>
      <c r="N143" s="347" t="str">
        <f t="shared" si="333"/>
        <v>22.5全钢</v>
      </c>
      <c r="O143" s="347">
        <f>IFERROR(_xlfn.XLOOKUP(F143,轮胎重量!J:J,轮胎重量!G:G),"")</f>
        <v>51.423</v>
      </c>
      <c r="P143" s="347">
        <f>IFERROR(_xlfn.XLOOKUP(G143,硫化工艺!I:I,硫化工艺!J:J),"")</f>
        <v>750.0094</v>
      </c>
      <c r="Q143" s="347">
        <f t="shared" si="384"/>
        <v>0</v>
      </c>
      <c r="R143" s="347"/>
      <c r="S143" s="347"/>
      <c r="T143" s="347"/>
      <c r="U143" s="347"/>
      <c r="V143" s="347"/>
      <c r="W143" s="347"/>
      <c r="X143" s="347"/>
      <c r="Y143" s="347"/>
      <c r="Z143" s="347"/>
      <c r="AA143" s="347"/>
      <c r="AB143" s="347"/>
      <c r="AC143" s="347"/>
      <c r="AD143" s="347"/>
      <c r="AE143" s="347"/>
      <c r="AF143" s="347"/>
      <c r="AG143" s="347"/>
      <c r="AH143" s="347"/>
      <c r="AI143" s="347"/>
      <c r="AJ143" s="347"/>
      <c r="AK143" s="347"/>
      <c r="AL143" s="347"/>
      <c r="AM143" s="347"/>
      <c r="AN143" s="347"/>
      <c r="AO143" s="347"/>
      <c r="AP143" s="347"/>
      <c r="AQ143" s="347"/>
      <c r="AR143" s="347"/>
      <c r="AS143" s="356">
        <v>130</v>
      </c>
      <c r="AT143" s="347">
        <v>130</v>
      </c>
      <c r="AU143" s="347">
        <v>130</v>
      </c>
      <c r="AV143" s="347">
        <v>130</v>
      </c>
      <c r="AW143" s="347">
        <f t="shared" si="401"/>
        <v>520</v>
      </c>
      <c r="AX143" s="365">
        <f t="shared" si="402"/>
        <v>26.73996</v>
      </c>
      <c r="AY143" s="365">
        <f t="shared" si="403"/>
        <v>39</v>
      </c>
      <c r="AZ143" s="367"/>
      <c r="BA143" s="376"/>
      <c r="BB143" s="376"/>
      <c r="BC143" s="330"/>
      <c r="BD143" s="330"/>
      <c r="BE143" s="330"/>
      <c r="BF143" s="330"/>
      <c r="BG143" s="330"/>
      <c r="BH143" s="330"/>
      <c r="BI143" s="330"/>
      <c r="BJ143" s="370" cm="1">
        <f t="array" ref="BJ143:BM143">_xlfn.LET(_xlpm.data,$R143:$AV143,_xlpm.starts,{1,8,16,23},_xlpm.lengths,{7,7,8,9},_xlpm.arr,_xlfn.MAP(_xlpm.starts,_xlpm.lengths,_xlfn.LAMBDA(_xlpm.s,_xlpm.l,SUM(INDEX(_xlpm.data,,_xlfn.SEQUENCE(,_xlpm.l,_xlpm.s))))),ROUND(_xlpm.arr*$O143/1000,2))</f>
        <v>0</v>
      </c>
      <c r="BK143" s="330">
        <v>0</v>
      </c>
      <c r="BL143" s="330">
        <v>0</v>
      </c>
      <c r="BM143" s="330">
        <v>26.74</v>
      </c>
      <c r="BN143" s="258">
        <f t="shared" si="404"/>
        <v>26.74</v>
      </c>
      <c r="BO143" s="258">
        <v>6.83</v>
      </c>
      <c r="BP143" s="258">
        <v>23.92</v>
      </c>
      <c r="BQ143" s="258">
        <v>27.34</v>
      </c>
      <c r="BR143" s="258">
        <v>30.75</v>
      </c>
      <c r="BS143" s="115"/>
      <c r="BT143" s="258" cm="1">
        <f ca="1" t="array" ref="BT143:BW143">_xlfn.HSTACK(SUM(INDEX($R143:$AV143,1,1):INDEX($R143:$AV143,1,7)),SUM(INDEX($R143:$AV143,1,7):INDEX($R143:$AV143,1,13)),SUM(INDEX($R143:$AV143,1,16):INDEX($R143:$AV143,1,23)),SUM(INDEX($R143:$AV143,1,23):INDEX($R143:$AV143,1,31)))</f>
        <v>0</v>
      </c>
      <c r="BU143" s="258">
        <v>0</v>
      </c>
      <c r="BV143" s="258">
        <v>0</v>
      </c>
      <c r="BW143" s="258">
        <v>520</v>
      </c>
      <c r="BY143" s="258">
        <f t="shared" si="372"/>
        <v>0</v>
      </c>
      <c r="BZ143" s="258">
        <f t="shared" si="373"/>
        <v>0</v>
      </c>
      <c r="CA143" s="258">
        <f t="shared" si="374"/>
        <v>0</v>
      </c>
      <c r="CB143" s="258">
        <f t="shared" si="375"/>
        <v>520</v>
      </c>
      <c r="CD143" s="113"/>
      <c r="CE143" s="258">
        <f t="shared" si="405"/>
        <v>0</v>
      </c>
      <c r="CF143" s="258">
        <f t="shared" si="406"/>
        <v>0</v>
      </c>
      <c r="CG143" s="258">
        <f t="shared" si="407"/>
        <v>0</v>
      </c>
      <c r="CH143" s="258">
        <f t="shared" si="408"/>
        <v>26.74</v>
      </c>
      <c r="CI143" s="258">
        <f t="shared" si="409"/>
        <v>26.74</v>
      </c>
      <c r="CJ143" s="113"/>
      <c r="CK143" s="258">
        <f t="shared" ref="CK143:CN143" si="411">IFERROR(ROUND(BY143*$P143,2),"")</f>
        <v>0</v>
      </c>
      <c r="CL143" s="258">
        <f t="shared" si="411"/>
        <v>0</v>
      </c>
      <c r="CM143" s="258">
        <f t="shared" si="411"/>
        <v>0</v>
      </c>
      <c r="CN143" s="258">
        <f t="shared" si="411"/>
        <v>390004.89</v>
      </c>
      <c r="CO143" s="258">
        <f t="shared" si="371"/>
        <v>390004.89</v>
      </c>
      <c r="CP143" s="258">
        <f>VLOOKUP(G143,[2]Sheet1!$C$3:$G$310,5,0)</f>
        <v>11450</v>
      </c>
      <c r="CQ143" s="258" t="e">
        <f>VLOOKUP(G143,[3]KCBB0101!$C$3:$F$691,4,0)</f>
        <v>#N/A</v>
      </c>
    </row>
    <row r="144" s="258" customFormat="1" ht="17.6" spans="1:95">
      <c r="A144" s="330"/>
      <c r="B144" s="334" t="str">
        <f>_xlfn.XLOOKUP(G144,销售需求表!A:A,销售需求表!C:C)</f>
        <v>北美</v>
      </c>
      <c r="C144" s="335" t="str">
        <f t="shared" si="377"/>
        <v>22.5</v>
      </c>
      <c r="D144" s="334" t="str">
        <f t="shared" si="399"/>
        <v>北美22.5寸</v>
      </c>
      <c r="E144" s="339" t="str">
        <f t="shared" si="395"/>
        <v>295/75R22.5-16PR(146/143M)-KOBE TPM</v>
      </c>
      <c r="F144" s="340" t="str">
        <f t="shared" si="343"/>
        <v>295/75R22.5-16PR-KOBE TPM</v>
      </c>
      <c r="G144" s="342" t="s">
        <v>147</v>
      </c>
      <c r="H144" s="334">
        <v>2300</v>
      </c>
      <c r="I144" s="345">
        <v>4</v>
      </c>
      <c r="J144" s="346" t="str">
        <f t="shared" si="397"/>
        <v>295/75R22.5-KOBE TPM</v>
      </c>
      <c r="K144" s="347" t="str">
        <f>_xlfn.XLOOKUP(F144,投产规格!E:E,投产规格!D:D,"未投产")</f>
        <v>✔</v>
      </c>
      <c r="L144" s="347">
        <f>IFERROR(_xlfn.XLOOKUP(F144,硫化工艺!B:B,硫化工艺!C:C),"")</f>
        <v>36</v>
      </c>
      <c r="M144" s="349">
        <f t="shared" si="400"/>
        <v>0.860557768924303</v>
      </c>
      <c r="N144" s="347" t="str">
        <f t="shared" si="333"/>
        <v>22.5全钢</v>
      </c>
      <c r="O144" s="347">
        <f>IFERROR(_xlfn.XLOOKUP(F144,轮胎重量!J:J,轮胎重量!G:G),"")</f>
        <v>47.326</v>
      </c>
      <c r="P144" s="347">
        <f>IFERROR(_xlfn.XLOOKUP(G144,硫化工艺!I:I,硫化工艺!J:J),"")</f>
        <v>665.070889</v>
      </c>
      <c r="Q144" s="347">
        <f t="shared" si="384"/>
        <v>138</v>
      </c>
      <c r="R144" s="347">
        <v>130</v>
      </c>
      <c r="S144" s="347">
        <v>130</v>
      </c>
      <c r="T144" s="347">
        <v>130</v>
      </c>
      <c r="U144" s="347">
        <v>130</v>
      </c>
      <c r="V144" s="347">
        <v>130</v>
      </c>
      <c r="W144" s="347">
        <v>130</v>
      </c>
      <c r="X144" s="347">
        <v>130</v>
      </c>
      <c r="Y144" s="347">
        <v>130</v>
      </c>
      <c r="Z144" s="347">
        <v>130</v>
      </c>
      <c r="AA144" s="347">
        <v>130</v>
      </c>
      <c r="AB144" s="347">
        <v>130</v>
      </c>
      <c r="AC144" s="347">
        <v>130</v>
      </c>
      <c r="AD144" s="347">
        <v>130</v>
      </c>
      <c r="AE144" s="347">
        <v>130</v>
      </c>
      <c r="AF144" s="347">
        <v>130</v>
      </c>
      <c r="AG144" s="347">
        <v>130</v>
      </c>
      <c r="AH144" s="347">
        <v>130</v>
      </c>
      <c r="AI144" s="347">
        <v>130</v>
      </c>
      <c r="AJ144" s="381">
        <v>130</v>
      </c>
      <c r="AK144" s="347"/>
      <c r="AL144" s="347"/>
      <c r="AM144" s="347"/>
      <c r="AN144" s="347"/>
      <c r="AO144" s="347"/>
      <c r="AP144" s="347"/>
      <c r="AQ144" s="347"/>
      <c r="AR144" s="347"/>
      <c r="AS144" s="347"/>
      <c r="AT144" s="347"/>
      <c r="AU144" s="347"/>
      <c r="AV144" s="347"/>
      <c r="AW144" s="347">
        <v>3000</v>
      </c>
      <c r="AX144" s="365">
        <f t="shared" si="402"/>
        <v>141.978</v>
      </c>
      <c r="AY144" s="365">
        <f t="shared" si="403"/>
        <v>199.521</v>
      </c>
      <c r="AZ144" s="367"/>
      <c r="BA144" s="376"/>
      <c r="BB144" s="376"/>
      <c r="BC144" s="330"/>
      <c r="BD144" s="330"/>
      <c r="BE144" s="330"/>
      <c r="BF144" s="330"/>
      <c r="BG144" s="330"/>
      <c r="BH144" s="330"/>
      <c r="BI144" s="330"/>
      <c r="BJ144" s="370" cm="1">
        <f t="array" ref="BJ144:BM144">_xlfn.LET(_xlpm.data,$R144:$AV144,_xlpm.starts,{1,8,16,23},_xlpm.lengths,{7,7,8,9},_xlpm.arr,_xlfn.MAP(_xlpm.starts,_xlpm.lengths,_xlfn.LAMBDA(_xlpm.s,_xlpm.l,SUM(INDEX(_xlpm.data,,_xlfn.SEQUENCE(,_xlpm.l,_xlpm.s))))),ROUND(_xlpm.arr*$O144/1000,2))</f>
        <v>43.07</v>
      </c>
      <c r="BK144" s="330">
        <v>43.07</v>
      </c>
      <c r="BL144" s="330">
        <v>24.61</v>
      </c>
      <c r="BM144" s="330">
        <v>0</v>
      </c>
      <c r="BN144" s="258">
        <f t="shared" si="404"/>
        <v>110.75</v>
      </c>
      <c r="BO144" s="258">
        <v>6.83</v>
      </c>
      <c r="BP144" s="258">
        <v>23.92</v>
      </c>
      <c r="BQ144" s="258">
        <v>27.34</v>
      </c>
      <c r="BR144" s="258">
        <v>30.75</v>
      </c>
      <c r="BS144" s="115"/>
      <c r="BT144" s="258" cm="1">
        <f ca="1" t="array" ref="BT144:BW144">_xlfn.HSTACK(SUM(INDEX($R144:$AV144,1,1):INDEX($R144:$AV144,1,7)),SUM(INDEX($R144:$AV144,1,7):INDEX($R144:$AV144,1,13)),SUM(INDEX($R144:$AV144,1,16):INDEX($R144:$AV144,1,23)),SUM(INDEX($R144:$AV144,1,23):INDEX($R144:$AV144,1,31)))</f>
        <v>910</v>
      </c>
      <c r="BU144" s="258">
        <v>910</v>
      </c>
      <c r="BV144" s="258">
        <v>520</v>
      </c>
      <c r="BW144" s="258">
        <v>0</v>
      </c>
      <c r="BY144" s="258">
        <f t="shared" si="372"/>
        <v>910</v>
      </c>
      <c r="BZ144" s="258">
        <f t="shared" si="373"/>
        <v>910</v>
      </c>
      <c r="CA144" s="258">
        <f t="shared" si="374"/>
        <v>650</v>
      </c>
      <c r="CB144" s="258">
        <f t="shared" si="375"/>
        <v>0</v>
      </c>
      <c r="CD144" s="113"/>
      <c r="CE144" s="258">
        <f t="shared" si="405"/>
        <v>43.07</v>
      </c>
      <c r="CF144" s="258">
        <f t="shared" si="406"/>
        <v>43.07</v>
      </c>
      <c r="CG144" s="258">
        <f t="shared" si="407"/>
        <v>30.76</v>
      </c>
      <c r="CH144" s="258">
        <f t="shared" si="408"/>
        <v>0</v>
      </c>
      <c r="CI144" s="258">
        <f t="shared" si="409"/>
        <v>116.9</v>
      </c>
      <c r="CJ144" s="113"/>
      <c r="CK144" s="258">
        <f t="shared" ref="CK144:CN144" si="412">IFERROR(ROUND(BY144*$P144,2),"")</f>
        <v>605214.51</v>
      </c>
      <c r="CL144" s="258">
        <f t="shared" si="412"/>
        <v>605214.51</v>
      </c>
      <c r="CM144" s="258">
        <f t="shared" si="412"/>
        <v>432296.08</v>
      </c>
      <c r="CN144" s="258">
        <f t="shared" si="412"/>
        <v>0</v>
      </c>
      <c r="CO144" s="258">
        <f t="shared" si="371"/>
        <v>1642725.1</v>
      </c>
      <c r="CP144" s="258" t="e">
        <f>VLOOKUP(G144,[2]Sheet1!$C$3:$G$310,5,0)</f>
        <v>#N/A</v>
      </c>
      <c r="CQ144" s="258">
        <f>VLOOKUP(G144,[3]KCBB0101!$C$3:$F$691,4,0)</f>
        <v>4923</v>
      </c>
    </row>
    <row r="145" s="258" customFormat="1" ht="17.6" spans="1:95">
      <c r="A145" s="330"/>
      <c r="B145" s="334" t="str">
        <f>_xlfn.XLOOKUP(G145,销售需求表!A:A,销售需求表!C:C)</f>
        <v>北美</v>
      </c>
      <c r="C145" s="335" t="str">
        <f t="shared" si="377"/>
        <v>22.5</v>
      </c>
      <c r="D145" s="334" t="str">
        <f t="shared" si="399"/>
        <v>北美22.5寸</v>
      </c>
      <c r="E145" s="339" t="str">
        <f t="shared" si="395"/>
        <v>295/75R22.5-16PR(146/143M)-RLINE-TⅡ</v>
      </c>
      <c r="F145" s="340" t="str">
        <f t="shared" si="343"/>
        <v>295/75R22.5-16PR-RLINE-TⅡ</v>
      </c>
      <c r="G145" s="341" t="s">
        <v>516</v>
      </c>
      <c r="H145" s="334">
        <v>500</v>
      </c>
      <c r="I145" s="345">
        <v>2</v>
      </c>
      <c r="J145" s="346" t="str">
        <f t="shared" si="397"/>
        <v>295/75R22.5-RLINE-TⅡ</v>
      </c>
      <c r="K145" s="347" t="str">
        <f>_xlfn.XLOOKUP(F145,投产规格!E:E,投产规格!D:D,"未投产")</f>
        <v>✔</v>
      </c>
      <c r="L145" s="347">
        <f>IFERROR(_xlfn.XLOOKUP(F145,硫化工艺!B:B,硫化工艺!C:C),"")</f>
        <v>32.5</v>
      </c>
      <c r="M145" s="349">
        <f t="shared" si="400"/>
        <v>0.847826086956522</v>
      </c>
      <c r="N145" s="347" t="str">
        <f t="shared" si="333"/>
        <v>22.5全钢</v>
      </c>
      <c r="O145" s="347">
        <f>IFERROR(_xlfn.XLOOKUP(F145,轮胎重量!J:J,轮胎重量!G:G),"")</f>
        <v>59.57</v>
      </c>
      <c r="P145" s="350">
        <f>O145*13.9</f>
        <v>828.023</v>
      </c>
      <c r="Q145" s="347">
        <f t="shared" si="384"/>
        <v>75</v>
      </c>
      <c r="R145" s="347">
        <v>70</v>
      </c>
      <c r="S145" s="347">
        <v>70</v>
      </c>
      <c r="T145" s="347">
        <v>70</v>
      </c>
      <c r="U145" s="347">
        <v>70</v>
      </c>
      <c r="V145" s="347">
        <v>70</v>
      </c>
      <c r="W145" s="347">
        <v>70</v>
      </c>
      <c r="X145" s="378">
        <v>70</v>
      </c>
      <c r="Y145" s="347"/>
      <c r="Z145" s="347"/>
      <c r="AA145" s="347"/>
      <c r="AB145" s="347"/>
      <c r="AC145" s="347"/>
      <c r="AD145" s="347"/>
      <c r="AE145" s="347"/>
      <c r="AF145" s="347"/>
      <c r="AG145" s="347"/>
      <c r="AH145" s="347"/>
      <c r="AI145" s="347"/>
      <c r="AJ145" s="347"/>
      <c r="AK145" s="347"/>
      <c r="AL145" s="347"/>
      <c r="AM145" s="347"/>
      <c r="AN145" s="347"/>
      <c r="AO145" s="347"/>
      <c r="AP145" s="347"/>
      <c r="AQ145" s="347"/>
      <c r="AR145" s="347"/>
      <c r="AS145" s="347"/>
      <c r="AT145" s="347"/>
      <c r="AU145" s="347"/>
      <c r="AV145" s="347"/>
      <c r="AW145" s="347">
        <f t="shared" si="401"/>
        <v>490</v>
      </c>
      <c r="AX145" s="365">
        <f t="shared" si="402"/>
        <v>29.1893</v>
      </c>
      <c r="AY145" s="365">
        <f t="shared" si="403"/>
        <v>40.573</v>
      </c>
      <c r="AZ145" s="367"/>
      <c r="BA145" s="376"/>
      <c r="BB145" s="376"/>
      <c r="BC145" s="330"/>
      <c r="BD145" s="330"/>
      <c r="BE145" s="330"/>
      <c r="BF145" s="330"/>
      <c r="BG145" s="330"/>
      <c r="BH145" s="330"/>
      <c r="BI145" s="330"/>
      <c r="BJ145" s="370" cm="1">
        <f t="array" ref="BJ145:BM145">_xlfn.LET(_xlpm.data,$R145:$AV145,_xlpm.starts,{1,8,16,23},_xlpm.lengths,{7,7,8,9},_xlpm.arr,_xlfn.MAP(_xlpm.starts,_xlpm.lengths,_xlfn.LAMBDA(_xlpm.s,_xlpm.l,SUM(INDEX(_xlpm.data,,_xlfn.SEQUENCE(,_xlpm.l,_xlpm.s))))),ROUND(_xlpm.arr*$O145/1000,2))</f>
        <v>29.19</v>
      </c>
      <c r="BK145" s="330">
        <v>0</v>
      </c>
      <c r="BL145" s="330">
        <v>0</v>
      </c>
      <c r="BM145" s="330">
        <v>0</v>
      </c>
      <c r="BN145" s="258">
        <f t="shared" si="404"/>
        <v>29.19</v>
      </c>
      <c r="BO145" s="258">
        <v>6.83</v>
      </c>
      <c r="BP145" s="258">
        <v>23.92</v>
      </c>
      <c r="BQ145" s="258">
        <v>27.34</v>
      </c>
      <c r="BR145" s="258">
        <v>30.75</v>
      </c>
      <c r="BS145" s="115"/>
      <c r="BT145" s="258" cm="1">
        <f ca="1" t="array" ref="BT145:BW145">_xlfn.HSTACK(SUM(INDEX($R145:$AV145,1,1):INDEX($R145:$AV145,1,7)),SUM(INDEX($R145:$AV145,1,7):INDEX($R145:$AV145,1,13)),SUM(INDEX($R145:$AV145,1,16):INDEX($R145:$AV145,1,23)),SUM(INDEX($R145:$AV145,1,23):INDEX($R145:$AV145,1,31)))</f>
        <v>490</v>
      </c>
      <c r="BU145" s="258">
        <v>70</v>
      </c>
      <c r="BV145" s="258">
        <v>0</v>
      </c>
      <c r="BW145" s="258">
        <v>0</v>
      </c>
      <c r="BY145" s="258">
        <f t="shared" si="372"/>
        <v>490</v>
      </c>
      <c r="BZ145" s="258">
        <f t="shared" si="373"/>
        <v>0</v>
      </c>
      <c r="CA145" s="258">
        <f t="shared" si="374"/>
        <v>0</v>
      </c>
      <c r="CB145" s="258">
        <f t="shared" si="375"/>
        <v>0</v>
      </c>
      <c r="CD145" s="113"/>
      <c r="CE145" s="258">
        <f t="shared" si="405"/>
        <v>29.19</v>
      </c>
      <c r="CF145" s="258">
        <f t="shared" si="406"/>
        <v>0</v>
      </c>
      <c r="CG145" s="258">
        <f t="shared" si="407"/>
        <v>0</v>
      </c>
      <c r="CH145" s="258">
        <f t="shared" si="408"/>
        <v>0</v>
      </c>
      <c r="CI145" s="258">
        <f t="shared" si="409"/>
        <v>29.19</v>
      </c>
      <c r="CJ145" s="113"/>
      <c r="CK145" s="258">
        <f t="shared" ref="CK145:CN145" si="413">IFERROR(ROUND(BY145*$P145,2),"")</f>
        <v>405731.27</v>
      </c>
      <c r="CL145" s="258">
        <f t="shared" si="413"/>
        <v>0</v>
      </c>
      <c r="CM145" s="258">
        <f t="shared" si="413"/>
        <v>0</v>
      </c>
      <c r="CN145" s="258">
        <f t="shared" si="413"/>
        <v>0</v>
      </c>
      <c r="CO145" s="258">
        <f t="shared" si="371"/>
        <v>405731.27</v>
      </c>
      <c r="CP145" s="258" t="e">
        <f>VLOOKUP(G145,[2]Sheet1!$C$3:$G$310,5,0)</f>
        <v>#N/A</v>
      </c>
      <c r="CQ145" s="258">
        <f>VLOOKUP(G145,[3]KCBB0101!$C$3:$F$691,4,0)</f>
        <v>3000</v>
      </c>
    </row>
    <row r="146" s="258" customFormat="1" ht="17.6" spans="1:95">
      <c r="A146" s="330"/>
      <c r="B146" s="334" t="str">
        <f>_xlfn.XLOOKUP(G146,销售需求表!A:A,销售需求表!C:C)</f>
        <v>北美</v>
      </c>
      <c r="C146" s="335" t="str">
        <f t="shared" si="377"/>
        <v>22.5</v>
      </c>
      <c r="D146" s="334" t="str">
        <f t="shared" si="399"/>
        <v>北美22.5寸</v>
      </c>
      <c r="E146" s="339" t="str">
        <f t="shared" si="395"/>
        <v>295/75R22.5-16PR(146/143M)-Strong Guard H-RA</v>
      </c>
      <c r="F146" s="340" t="str">
        <f t="shared" si="343"/>
        <v>295/75R22.5-16PR-H-RA</v>
      </c>
      <c r="G146" s="341" t="s">
        <v>517</v>
      </c>
      <c r="H146" s="334">
        <v>360</v>
      </c>
      <c r="I146" s="345">
        <v>2</v>
      </c>
      <c r="J146" s="346" t="str">
        <f t="shared" si="397"/>
        <v>295/75R22.5-H-RA</v>
      </c>
      <c r="K146" s="347" t="str">
        <f>_xlfn.XLOOKUP(F146,投产规格!E:E,投产规格!D:D,"未投产")</f>
        <v>✔</v>
      </c>
      <c r="L146" s="347">
        <f>IFERROR(_xlfn.XLOOKUP(F146,硫化工艺!B:B,硫化工艺!C:C),"")</f>
        <v>35.5</v>
      </c>
      <c r="M146" s="349">
        <f t="shared" si="400"/>
        <v>0.858870967741935</v>
      </c>
      <c r="N146" s="347" t="str">
        <f t="shared" si="333"/>
        <v>22.5全钢</v>
      </c>
      <c r="O146" s="347">
        <f>IFERROR(_xlfn.XLOOKUP(F146,轮胎重量!J:J,轮胎重量!G:G),"")</f>
        <v>51.27</v>
      </c>
      <c r="P146" s="347">
        <f>IFERROR(_xlfn.XLOOKUP(G146,硫化工艺!I:I,硫化工艺!J:J),"")</f>
        <v>742.554288</v>
      </c>
      <c r="Q146" s="347">
        <f t="shared" si="384"/>
        <v>70</v>
      </c>
      <c r="R146" s="347">
        <v>70</v>
      </c>
      <c r="S146" s="347">
        <v>70</v>
      </c>
      <c r="T146" s="347">
        <v>70</v>
      </c>
      <c r="U146" s="347">
        <v>70</v>
      </c>
      <c r="V146" s="347">
        <v>70</v>
      </c>
      <c r="W146" s="356">
        <v>70</v>
      </c>
      <c r="X146" s="347"/>
      <c r="Y146" s="347"/>
      <c r="Z146" s="347"/>
      <c r="AA146" s="347"/>
      <c r="AB146" s="347"/>
      <c r="AC146" s="347"/>
      <c r="AD146" s="347"/>
      <c r="AE146" s="347"/>
      <c r="AF146" s="347"/>
      <c r="AG146" s="347"/>
      <c r="AH146" s="347"/>
      <c r="AI146" s="347"/>
      <c r="AJ146" s="347"/>
      <c r="AK146" s="347"/>
      <c r="AL146" s="347"/>
      <c r="AM146" s="347"/>
      <c r="AN146" s="347"/>
      <c r="AO146" s="347"/>
      <c r="AP146" s="347"/>
      <c r="AQ146" s="347"/>
      <c r="AR146" s="347"/>
      <c r="AS146" s="347"/>
      <c r="AT146" s="347"/>
      <c r="AU146" s="347"/>
      <c r="AV146" s="347"/>
      <c r="AW146" s="347">
        <f t="shared" si="401"/>
        <v>420</v>
      </c>
      <c r="AX146" s="365">
        <f t="shared" si="402"/>
        <v>21.5334</v>
      </c>
      <c r="AY146" s="365">
        <f t="shared" si="403"/>
        <v>31.187</v>
      </c>
      <c r="AZ146" s="367"/>
      <c r="BA146" s="376"/>
      <c r="BB146" s="376"/>
      <c r="BC146" s="330"/>
      <c r="BD146" s="330"/>
      <c r="BE146" s="330"/>
      <c r="BF146" s="330"/>
      <c r="BG146" s="330"/>
      <c r="BH146" s="330"/>
      <c r="BI146" s="330"/>
      <c r="BJ146" s="370" cm="1">
        <f t="array" ref="BJ146:BM146">_xlfn.LET(_xlpm.data,$R146:$AV146,_xlpm.starts,{1,8,16,23},_xlpm.lengths,{7,7,8,9},_xlpm.arr,_xlfn.MAP(_xlpm.starts,_xlpm.lengths,_xlfn.LAMBDA(_xlpm.s,_xlpm.l,SUM(INDEX(_xlpm.data,,_xlfn.SEQUENCE(,_xlpm.l,_xlpm.s))))),ROUND(_xlpm.arr*$O146/1000,2))</f>
        <v>21.53</v>
      </c>
      <c r="BK146" s="330">
        <v>0</v>
      </c>
      <c r="BL146" s="330">
        <v>0</v>
      </c>
      <c r="BM146" s="330">
        <v>0</v>
      </c>
      <c r="BN146" s="258">
        <f t="shared" si="404"/>
        <v>21.53</v>
      </c>
      <c r="BO146" s="258">
        <v>6.83</v>
      </c>
      <c r="BP146" s="258">
        <v>23.92</v>
      </c>
      <c r="BQ146" s="258">
        <v>27.34</v>
      </c>
      <c r="BR146" s="258">
        <v>30.75</v>
      </c>
      <c r="BS146" s="115"/>
      <c r="BT146" s="258" cm="1">
        <f ca="1" t="array" ref="BT146:BW146">_xlfn.HSTACK(SUM(INDEX($R146:$AV146,1,1):INDEX($R146:$AV146,1,7)),SUM(INDEX($R146:$AV146,1,7):INDEX($R146:$AV146,1,13)),SUM(INDEX($R146:$AV146,1,16):INDEX($R146:$AV146,1,23)),SUM(INDEX($R146:$AV146,1,23):INDEX($R146:$AV146,1,31)))</f>
        <v>420</v>
      </c>
      <c r="BU146" s="258">
        <v>0</v>
      </c>
      <c r="BV146" s="258">
        <v>0</v>
      </c>
      <c r="BW146" s="258">
        <v>0</v>
      </c>
      <c r="BY146" s="258">
        <f t="shared" si="372"/>
        <v>420</v>
      </c>
      <c r="BZ146" s="258">
        <f t="shared" si="373"/>
        <v>0</v>
      </c>
      <c r="CA146" s="258">
        <f t="shared" si="374"/>
        <v>0</v>
      </c>
      <c r="CB146" s="258">
        <f t="shared" si="375"/>
        <v>0</v>
      </c>
      <c r="CD146" s="113"/>
      <c r="CE146" s="258">
        <f t="shared" si="405"/>
        <v>21.53</v>
      </c>
      <c r="CF146" s="258">
        <f t="shared" si="406"/>
        <v>0</v>
      </c>
      <c r="CG146" s="258">
        <f t="shared" si="407"/>
        <v>0</v>
      </c>
      <c r="CH146" s="258">
        <f t="shared" si="408"/>
        <v>0</v>
      </c>
      <c r="CI146" s="258">
        <f t="shared" si="409"/>
        <v>21.53</v>
      </c>
      <c r="CJ146" s="113"/>
      <c r="CK146" s="258">
        <f t="shared" ref="CK146:CN146" si="414">IFERROR(ROUND(BY146*$P146,2),"")</f>
        <v>311872.8</v>
      </c>
      <c r="CL146" s="258">
        <f t="shared" si="414"/>
        <v>0</v>
      </c>
      <c r="CM146" s="258">
        <f t="shared" si="414"/>
        <v>0</v>
      </c>
      <c r="CN146" s="258">
        <f t="shared" si="414"/>
        <v>0</v>
      </c>
      <c r="CO146" s="258">
        <f t="shared" si="371"/>
        <v>311872.8</v>
      </c>
      <c r="CP146" s="258">
        <f>VLOOKUP(G146,[2]Sheet1!$C$3:$G$310,5,0)</f>
        <v>2700</v>
      </c>
      <c r="CQ146" s="258" t="e">
        <f>VLOOKUP(G146,[3]KCBB0101!$C$3:$F$691,4,0)</f>
        <v>#N/A</v>
      </c>
    </row>
    <row r="147" s="258" customFormat="1" ht="17.6" spans="1:95">
      <c r="A147" s="330"/>
      <c r="B147" s="334" t="str">
        <f>_xlfn.XLOOKUP(G147,销售需求表!A:A,销售需求表!C:C)</f>
        <v>北美</v>
      </c>
      <c r="C147" s="335" t="str">
        <f t="shared" si="377"/>
        <v>22.5</v>
      </c>
      <c r="D147" s="334" t="str">
        <f t="shared" si="399"/>
        <v>北美22.5寸</v>
      </c>
      <c r="E147" s="339" t="str">
        <f t="shared" si="395"/>
        <v>295/75R22.5-16PR(146/143M)-STEALTH S01</v>
      </c>
      <c r="F147" s="340" t="str">
        <f t="shared" si="343"/>
        <v>295/75R22.5-16PR-STEALTH S01</v>
      </c>
      <c r="G147" s="341" t="s">
        <v>518</v>
      </c>
      <c r="H147" s="334">
        <v>300</v>
      </c>
      <c r="I147" s="345">
        <v>2</v>
      </c>
      <c r="J147" s="346" t="str">
        <f t="shared" si="397"/>
        <v>295/75R22.5-STEALTH S01</v>
      </c>
      <c r="K147" s="347" t="str">
        <f>_xlfn.XLOOKUP(F147,投产规格!E:E,投产规格!D:D,"未投产")</f>
        <v>✔</v>
      </c>
      <c r="L147" s="347">
        <f>IFERROR(_xlfn.XLOOKUP(F147,硫化工艺!B:B,硫化工艺!C:C),"")</f>
        <v>37</v>
      </c>
      <c r="M147" s="349">
        <f t="shared" si="400"/>
        <v>0.863813229571984</v>
      </c>
      <c r="N147" s="347" t="str">
        <f t="shared" si="333"/>
        <v>22.5全钢</v>
      </c>
      <c r="O147" s="347">
        <f>IFERROR(_xlfn.XLOOKUP(F147,轮胎重量!J:J,轮胎重量!G:G),"")</f>
        <v>52.912</v>
      </c>
      <c r="P147" s="347">
        <f>IFERROR(_xlfn.XLOOKUP(G147,硫化工艺!I:I,硫化工艺!J:J),"")</f>
        <v>769.604059</v>
      </c>
      <c r="Q147" s="347">
        <f t="shared" si="384"/>
        <v>67</v>
      </c>
      <c r="R147" s="347">
        <v>60</v>
      </c>
      <c r="S147" s="347">
        <v>60</v>
      </c>
      <c r="T147" s="347">
        <v>60</v>
      </c>
      <c r="U147" s="347">
        <v>60</v>
      </c>
      <c r="V147" s="347">
        <v>60</v>
      </c>
      <c r="W147" s="379">
        <v>60</v>
      </c>
      <c r="X147" s="347"/>
      <c r="Y147" s="347"/>
      <c r="Z147" s="347"/>
      <c r="AA147" s="347"/>
      <c r="AB147" s="347"/>
      <c r="AC147" s="347"/>
      <c r="AD147" s="347"/>
      <c r="AE147" s="347"/>
      <c r="AF147" s="347"/>
      <c r="AG147" s="347"/>
      <c r="AH147" s="347"/>
      <c r="AI147" s="347"/>
      <c r="AJ147" s="347"/>
      <c r="AK147" s="347"/>
      <c r="AL147" s="347"/>
      <c r="AM147" s="347"/>
      <c r="AN147" s="347"/>
      <c r="AO147" s="347"/>
      <c r="AP147" s="347"/>
      <c r="AQ147" s="347"/>
      <c r="AR147" s="347"/>
      <c r="AS147" s="347"/>
      <c r="AT147" s="347"/>
      <c r="AU147" s="347"/>
      <c r="AV147" s="347"/>
      <c r="AW147" s="347">
        <f t="shared" si="401"/>
        <v>360</v>
      </c>
      <c r="AX147" s="365">
        <f t="shared" si="402"/>
        <v>19.04832</v>
      </c>
      <c r="AY147" s="365">
        <f t="shared" si="403"/>
        <v>27.706</v>
      </c>
      <c r="AZ147" s="367"/>
      <c r="BA147" s="376"/>
      <c r="BB147" s="376"/>
      <c r="BC147" s="330"/>
      <c r="BD147" s="330"/>
      <c r="BE147" s="330"/>
      <c r="BF147" s="330"/>
      <c r="BG147" s="330"/>
      <c r="BH147" s="330"/>
      <c r="BI147" s="330"/>
      <c r="BJ147" s="370" cm="1">
        <f t="array" ref="BJ147:BM147">_xlfn.LET(_xlpm.data,$R147:$AV147,_xlpm.starts,{1,8,16,23},_xlpm.lengths,{7,7,8,9},_xlpm.arr,_xlfn.MAP(_xlpm.starts,_xlpm.lengths,_xlfn.LAMBDA(_xlpm.s,_xlpm.l,SUM(INDEX(_xlpm.data,,_xlfn.SEQUENCE(,_xlpm.l,_xlpm.s))))),ROUND(_xlpm.arr*$O147/1000,2))</f>
        <v>19.05</v>
      </c>
      <c r="BK147" s="330">
        <v>0</v>
      </c>
      <c r="BL147" s="330">
        <v>0</v>
      </c>
      <c r="BM147" s="330">
        <v>0</v>
      </c>
      <c r="BN147" s="258">
        <f t="shared" si="404"/>
        <v>19.05</v>
      </c>
      <c r="BO147" s="258">
        <v>6.83</v>
      </c>
      <c r="BP147" s="258">
        <v>23.92</v>
      </c>
      <c r="BQ147" s="258">
        <v>27.34</v>
      </c>
      <c r="BR147" s="258">
        <v>30.75</v>
      </c>
      <c r="BS147" s="115"/>
      <c r="BT147" s="258" cm="1">
        <f ca="1" t="array" ref="BT147:BW147">_xlfn.HSTACK(SUM(INDEX($R147:$AV147,1,1):INDEX($R147:$AV147,1,7)),SUM(INDEX($R147:$AV147,1,7):INDEX($R147:$AV147,1,13)),SUM(INDEX($R147:$AV147,1,16):INDEX($R147:$AV147,1,23)),SUM(INDEX($R147:$AV147,1,23):INDEX($R147:$AV147,1,31)))</f>
        <v>360</v>
      </c>
      <c r="BU147" s="258">
        <v>0</v>
      </c>
      <c r="BV147" s="258">
        <v>0</v>
      </c>
      <c r="BW147" s="258">
        <v>0</v>
      </c>
      <c r="BY147" s="258">
        <f t="shared" si="372"/>
        <v>360</v>
      </c>
      <c r="BZ147" s="258">
        <f t="shared" si="373"/>
        <v>0</v>
      </c>
      <c r="CA147" s="258">
        <f t="shared" si="374"/>
        <v>0</v>
      </c>
      <c r="CB147" s="258">
        <f t="shared" si="375"/>
        <v>0</v>
      </c>
      <c r="CD147" s="113"/>
      <c r="CE147" s="258">
        <f t="shared" si="405"/>
        <v>19.05</v>
      </c>
      <c r="CF147" s="258">
        <f t="shared" si="406"/>
        <v>0</v>
      </c>
      <c r="CG147" s="258">
        <f t="shared" si="407"/>
        <v>0</v>
      </c>
      <c r="CH147" s="258">
        <f t="shared" si="408"/>
        <v>0</v>
      </c>
      <c r="CI147" s="258">
        <f t="shared" si="409"/>
        <v>19.05</v>
      </c>
      <c r="CJ147" s="113"/>
      <c r="CK147" s="258">
        <f t="shared" ref="CK147:CN147" si="415">IFERROR(ROUND(BY147*$P147,2),"")</f>
        <v>277057.46</v>
      </c>
      <c r="CL147" s="258">
        <f t="shared" si="415"/>
        <v>0</v>
      </c>
      <c r="CM147" s="258">
        <f t="shared" si="415"/>
        <v>0</v>
      </c>
      <c r="CN147" s="258">
        <f t="shared" si="415"/>
        <v>0</v>
      </c>
      <c r="CO147" s="258">
        <f t="shared" si="371"/>
        <v>277057.46</v>
      </c>
      <c r="CP147" s="258" t="e">
        <f>VLOOKUP(G147,[2]Sheet1!$C$3:$G$310,5,0)</f>
        <v>#N/A</v>
      </c>
      <c r="CQ147" s="258">
        <f>VLOOKUP(G147,[3]KCBB0101!$C$3:$F$691,4,0)</f>
        <v>3000</v>
      </c>
    </row>
    <row r="148" s="258" customFormat="1" ht="17.6" spans="1:95">
      <c r="A148" s="330"/>
      <c r="B148" s="334" t="str">
        <f>_xlfn.XLOOKUP(G148,销售需求表!A:A,销售需求表!C:C)</f>
        <v>亚</v>
      </c>
      <c r="C148" s="335" t="str">
        <f t="shared" si="377"/>
        <v>22.5</v>
      </c>
      <c r="D148" s="334" t="str">
        <f t="shared" si="399"/>
        <v>亚22.5寸</v>
      </c>
      <c r="E148" s="339" t="str">
        <f t="shared" si="395"/>
        <v>295/75R22.5-16PR(146/143L)-VXD932</v>
      </c>
      <c r="F148" s="340" t="str">
        <f t="shared" si="343"/>
        <v>295/75R22.5-16PR-VXD932</v>
      </c>
      <c r="G148" s="341" t="s">
        <v>519</v>
      </c>
      <c r="H148" s="334">
        <v>800</v>
      </c>
      <c r="I148" s="345"/>
      <c r="J148" s="346" t="str">
        <f t="shared" si="397"/>
        <v>295/75R22.5-VXD932</v>
      </c>
      <c r="K148" s="347" t="str">
        <f>_xlfn.XLOOKUP(F148,投产规格!E:E,投产规格!D:D,"未投产")</f>
        <v>✔</v>
      </c>
      <c r="L148" s="347">
        <f>IFERROR(_xlfn.XLOOKUP(F148,硫化工艺!B:B,硫化工艺!C:C),"")</f>
        <v>43.5</v>
      </c>
      <c r="M148" s="349">
        <f t="shared" si="400"/>
        <v>0.881756756756757</v>
      </c>
      <c r="N148" s="347" t="str">
        <f t="shared" si="333"/>
        <v>22.5全钢</v>
      </c>
      <c r="O148" s="347">
        <f>IFERROR(_xlfn.XLOOKUP(F148,轮胎重量!J:J,轮胎重量!G:G),"")</f>
        <v>59.143</v>
      </c>
      <c r="P148" s="347">
        <f>IFERROR(_xlfn.XLOOKUP(G148,硫化工艺!I:I,硫化工艺!J:J),"")</f>
        <v>861.015099</v>
      </c>
      <c r="Q148" s="347">
        <f t="shared" si="384"/>
        <v>0</v>
      </c>
      <c r="R148" s="347"/>
      <c r="S148" s="347"/>
      <c r="T148" s="347"/>
      <c r="U148" s="347"/>
      <c r="V148" s="347"/>
      <c r="W148" s="347"/>
      <c r="X148" s="356">
        <v>58</v>
      </c>
      <c r="Y148" s="347">
        <v>58</v>
      </c>
      <c r="Z148" s="347">
        <v>58</v>
      </c>
      <c r="AA148" s="347">
        <v>58</v>
      </c>
      <c r="AB148" s="347">
        <v>58</v>
      </c>
      <c r="AC148" s="347">
        <v>58</v>
      </c>
      <c r="AD148" s="347">
        <v>58</v>
      </c>
      <c r="AE148" s="347">
        <v>58</v>
      </c>
      <c r="AF148" s="347">
        <v>58</v>
      </c>
      <c r="AG148" s="347">
        <v>58</v>
      </c>
      <c r="AH148" s="347">
        <v>58</v>
      </c>
      <c r="AI148" s="347">
        <v>58</v>
      </c>
      <c r="AJ148" s="347">
        <v>58</v>
      </c>
      <c r="AK148" s="347">
        <v>58</v>
      </c>
      <c r="AL148" s="356">
        <v>58</v>
      </c>
      <c r="AM148" s="347"/>
      <c r="AN148" s="347"/>
      <c r="AO148" s="347"/>
      <c r="AP148" s="347"/>
      <c r="AQ148" s="347"/>
      <c r="AR148" s="347"/>
      <c r="AS148" s="347"/>
      <c r="AT148" s="347"/>
      <c r="AU148" s="347"/>
      <c r="AV148" s="347"/>
      <c r="AW148" s="347">
        <f t="shared" si="401"/>
        <v>870</v>
      </c>
      <c r="AX148" s="365">
        <f t="shared" si="402"/>
        <v>51.45441</v>
      </c>
      <c r="AY148" s="365">
        <f t="shared" si="403"/>
        <v>74.908</v>
      </c>
      <c r="AZ148" s="367"/>
      <c r="BA148" s="376"/>
      <c r="BB148" s="376"/>
      <c r="BC148" s="330"/>
      <c r="BD148" s="330"/>
      <c r="BE148" s="330"/>
      <c r="BF148" s="330"/>
      <c r="BG148" s="330"/>
      <c r="BH148" s="330"/>
      <c r="BI148" s="330"/>
      <c r="BJ148" s="370" cm="1">
        <f t="array" ref="BJ148:BM148">_xlfn.LET(_xlpm.data,$R148:$AV148,_xlpm.starts,{1,8,16,23},_xlpm.lengths,{7,7,8,9},_xlpm.arr,_xlfn.MAP(_xlpm.starts,_xlpm.lengths,_xlfn.LAMBDA(_xlpm.s,_xlpm.l,SUM(INDEX(_xlpm.data,,_xlfn.SEQUENCE(,_xlpm.l,_xlpm.s))))),ROUND(_xlpm.arr*$O148/1000,2))</f>
        <v>3.43</v>
      </c>
      <c r="BK148" s="330">
        <v>24.01</v>
      </c>
      <c r="BL148" s="330">
        <v>20.58</v>
      </c>
      <c r="BM148" s="330">
        <v>0</v>
      </c>
      <c r="BN148" s="258">
        <f t="shared" si="404"/>
        <v>48.02</v>
      </c>
      <c r="BO148" s="258">
        <v>6.83</v>
      </c>
      <c r="BP148" s="258">
        <v>23.92</v>
      </c>
      <c r="BQ148" s="258">
        <v>27.34</v>
      </c>
      <c r="BR148" s="258">
        <v>30.75</v>
      </c>
      <c r="BS148" s="115"/>
      <c r="BT148" s="258" cm="1">
        <f ca="1" t="array" ref="BT148:BW148">_xlfn.HSTACK(SUM(INDEX($R148:$AV148,1,1):INDEX($R148:$AV148,1,7)),SUM(INDEX($R148:$AV148,1,7):INDEX($R148:$AV148,1,13)),SUM(INDEX($R148:$AV148,1,16):INDEX($R148:$AV148,1,23)),SUM(INDEX($R148:$AV148,1,23):INDEX($R148:$AV148,1,31)))</f>
        <v>58</v>
      </c>
      <c r="BU148" s="258">
        <v>406</v>
      </c>
      <c r="BV148" s="258">
        <v>348</v>
      </c>
      <c r="BW148" s="258">
        <v>0</v>
      </c>
      <c r="BY148" s="258">
        <f t="shared" si="372"/>
        <v>58</v>
      </c>
      <c r="BZ148" s="258">
        <f t="shared" si="373"/>
        <v>406</v>
      </c>
      <c r="CA148" s="258">
        <f t="shared" si="374"/>
        <v>406</v>
      </c>
      <c r="CB148" s="258">
        <f t="shared" si="375"/>
        <v>0</v>
      </c>
      <c r="CD148" s="113"/>
      <c r="CE148" s="258">
        <f t="shared" si="405"/>
        <v>3.43</v>
      </c>
      <c r="CF148" s="258">
        <f t="shared" si="406"/>
        <v>24.01</v>
      </c>
      <c r="CG148" s="258">
        <f t="shared" si="407"/>
        <v>24.01</v>
      </c>
      <c r="CH148" s="258">
        <f t="shared" si="408"/>
        <v>0</v>
      </c>
      <c r="CI148" s="258">
        <f t="shared" si="409"/>
        <v>51.45</v>
      </c>
      <c r="CJ148" s="113"/>
      <c r="CK148" s="258">
        <f t="shared" ref="CK148:CN148" si="416">IFERROR(ROUND(BY148*$P148,2),"")</f>
        <v>49938.88</v>
      </c>
      <c r="CL148" s="258">
        <f t="shared" si="416"/>
        <v>349572.13</v>
      </c>
      <c r="CM148" s="258">
        <f t="shared" si="416"/>
        <v>349572.13</v>
      </c>
      <c r="CN148" s="258">
        <f t="shared" si="416"/>
        <v>0</v>
      </c>
      <c r="CO148" s="258">
        <f t="shared" si="371"/>
        <v>749083.14</v>
      </c>
      <c r="CP148" s="258">
        <f>VLOOKUP(G148,[2]Sheet1!$C$3:$G$310,5,0)</f>
        <v>5100</v>
      </c>
      <c r="CQ148" s="258" t="e">
        <f>VLOOKUP(G148,[3]KCBB0101!$C$3:$F$691,4,0)</f>
        <v>#N/A</v>
      </c>
    </row>
    <row r="149" ht="17.6" spans="2:95">
      <c r="B149" s="334" t="str">
        <f>_xlfn.XLOOKUP(G149,销售需求表!A:A,销售需求表!C:C)</f>
        <v>亚</v>
      </c>
      <c r="C149" s="335" t="str">
        <f t="shared" si="377"/>
        <v>22.5</v>
      </c>
      <c r="D149" s="334" t="str">
        <f t="shared" si="399"/>
        <v>亚22.5寸</v>
      </c>
      <c r="E149" s="339" t="str">
        <f t="shared" si="395"/>
        <v>295/75R22.5-16PR(146/143M)-VA996</v>
      </c>
      <c r="F149" s="340" t="str">
        <f t="shared" ref="F149:F187" si="417">IFERROR(MID(G149,3,FIND("(",G149)-3)&amp;"-"&amp;SUBSTITUTE(MID(G149,FIND("[",G149)+1,FIND("]",G149)-FIND("[",G149)-1),"Strong Guard ",""),"")</f>
        <v>295/75R22.5-16PR-VA996</v>
      </c>
      <c r="G149" s="341" t="s">
        <v>520</v>
      </c>
      <c r="H149" s="334">
        <v>800</v>
      </c>
      <c r="I149" s="345"/>
      <c r="J149" s="346" t="str">
        <f t="shared" si="397"/>
        <v>295/75R22.5-VA996</v>
      </c>
      <c r="K149" s="347" t="str">
        <f>_xlfn.XLOOKUP(F149,投产规格!E:E,投产规格!D:D,"未投产")</f>
        <v>✔</v>
      </c>
      <c r="L149" s="347">
        <f>IFERROR(_xlfn.XLOOKUP(F149,硫化工艺!B:B,硫化工艺!C:C),"")</f>
        <v>38.5</v>
      </c>
      <c r="M149" s="349">
        <f t="shared" si="400"/>
        <v>0.868421052631579</v>
      </c>
      <c r="N149" s="347" t="str">
        <f t="shared" si="333"/>
        <v>22.5全钢</v>
      </c>
      <c r="O149" s="347">
        <f>IFERROR(_xlfn.XLOOKUP(F149,轮胎重量!J:J,轮胎重量!G:G),"")</f>
        <v>55.17</v>
      </c>
      <c r="P149" s="347">
        <f>IFERROR(_xlfn.XLOOKUP(G149,硫化工艺!I:I,硫化工艺!J:J),"")</f>
        <v>796.0386</v>
      </c>
      <c r="Q149" s="347">
        <f t="shared" si="384"/>
        <v>0</v>
      </c>
      <c r="R149" s="347"/>
      <c r="S149" s="347"/>
      <c r="T149" s="347"/>
      <c r="U149" s="347"/>
      <c r="V149" s="347"/>
      <c r="W149" s="347"/>
      <c r="X149" s="347"/>
      <c r="Y149" s="378">
        <v>60</v>
      </c>
      <c r="Z149" s="347">
        <v>60</v>
      </c>
      <c r="AA149" s="347">
        <v>60</v>
      </c>
      <c r="AB149" s="347">
        <v>60</v>
      </c>
      <c r="AC149" s="347">
        <v>60</v>
      </c>
      <c r="AD149" s="347">
        <v>60</v>
      </c>
      <c r="AE149" s="347">
        <v>60</v>
      </c>
      <c r="AF149" s="347">
        <v>60</v>
      </c>
      <c r="AG149" s="347">
        <v>60</v>
      </c>
      <c r="AH149" s="347">
        <v>60</v>
      </c>
      <c r="AI149" s="347">
        <v>60</v>
      </c>
      <c r="AJ149" s="347">
        <v>60</v>
      </c>
      <c r="AK149" s="347">
        <v>60</v>
      </c>
      <c r="AL149" s="378">
        <v>60</v>
      </c>
      <c r="AM149" s="347"/>
      <c r="AN149" s="347"/>
      <c r="AO149" s="347"/>
      <c r="AP149" s="347"/>
      <c r="AQ149" s="347"/>
      <c r="AR149" s="347"/>
      <c r="AS149" s="347"/>
      <c r="AT149" s="347"/>
      <c r="AU149" s="347"/>
      <c r="AV149" s="347"/>
      <c r="AW149" s="347">
        <f t="shared" si="401"/>
        <v>840</v>
      </c>
      <c r="AX149" s="365">
        <f t="shared" si="402"/>
        <v>46.3428</v>
      </c>
      <c r="AY149" s="365">
        <f t="shared" si="403"/>
        <v>66.867</v>
      </c>
      <c r="AZ149" s="367"/>
      <c r="BA149" s="376"/>
      <c r="BB149" s="376"/>
      <c r="BJ149" s="370" cm="1">
        <f t="array" ref="BJ149:BM149">_xlfn.LET(_xlpm.data,$R149:$AV149,_xlpm.starts,{1,8,16,23},_xlpm.lengths,{7,7,8,9},_xlpm.arr,_xlfn.MAP(_xlpm.starts,_xlpm.lengths,_xlfn.LAMBDA(_xlpm.s,_xlpm.l,SUM(INDEX(_xlpm.data,,_xlfn.SEQUENCE(,_xlpm.l,_xlpm.s))))),ROUND(_xlpm.arr*$O149/1000,2))</f>
        <v>0</v>
      </c>
      <c r="BK149" s="330">
        <v>23.17</v>
      </c>
      <c r="BL149" s="330">
        <v>19.86</v>
      </c>
      <c r="BM149" s="330">
        <v>0</v>
      </c>
      <c r="BN149" s="258">
        <f t="shared" si="404"/>
        <v>43.03</v>
      </c>
      <c r="BO149" s="258">
        <v>12.22</v>
      </c>
      <c r="BP149" s="258">
        <v>12.22</v>
      </c>
      <c r="BQ149" s="258">
        <v>13.96</v>
      </c>
      <c r="BR149" s="258">
        <v>15.71</v>
      </c>
      <c r="BT149" s="258" cm="1">
        <f ca="1" t="array" ref="BT149:BW149">_xlfn.HSTACK(SUM(INDEX($R149:$AV149,1,1):INDEX($R149:$AV149,1,7)),SUM(INDEX($R149:$AV149,1,7):INDEX($R149:$AV149,1,13)),SUM(INDEX($R149:$AV149,1,16):INDEX($R149:$AV149,1,23)),SUM(INDEX($R149:$AV149,1,23):INDEX($R149:$AV149,1,31)))</f>
        <v>0</v>
      </c>
      <c r="BU149" s="258">
        <v>360</v>
      </c>
      <c r="BV149" s="258">
        <v>360</v>
      </c>
      <c r="BW149" s="258">
        <v>0</v>
      </c>
      <c r="BY149" s="258">
        <f t="shared" si="372"/>
        <v>0</v>
      </c>
      <c r="BZ149" s="258">
        <f t="shared" si="373"/>
        <v>420</v>
      </c>
      <c r="CA149" s="258">
        <f t="shared" si="374"/>
        <v>420</v>
      </c>
      <c r="CB149" s="258">
        <f t="shared" si="375"/>
        <v>0</v>
      </c>
      <c r="CE149" s="258">
        <f t="shared" si="405"/>
        <v>0</v>
      </c>
      <c r="CF149" s="258">
        <f t="shared" si="406"/>
        <v>23.17</v>
      </c>
      <c r="CG149" s="258">
        <f t="shared" si="407"/>
        <v>23.17</v>
      </c>
      <c r="CH149" s="258">
        <f t="shared" si="408"/>
        <v>0</v>
      </c>
      <c r="CI149" s="258">
        <f t="shared" si="409"/>
        <v>46.34</v>
      </c>
      <c r="CK149" s="258">
        <f t="shared" ref="CK149:CN149" si="418">IFERROR(ROUND(BY149*$P149,2),"")</f>
        <v>0</v>
      </c>
      <c r="CL149" s="258">
        <f t="shared" si="418"/>
        <v>334336.21</v>
      </c>
      <c r="CM149" s="258">
        <f t="shared" si="418"/>
        <v>334336.21</v>
      </c>
      <c r="CN149" s="258">
        <f t="shared" si="418"/>
        <v>0</v>
      </c>
      <c r="CO149" s="258">
        <f t="shared" si="371"/>
        <v>668672.42</v>
      </c>
      <c r="CP149" s="258">
        <f>VLOOKUP(G149,[2]Sheet1!$C$3:$G$310,5,0)</f>
        <v>5700</v>
      </c>
      <c r="CQ149" s="258" t="e">
        <f>VLOOKUP(G149,[3]KCBB0101!$C$3:$F$691,4,0)</f>
        <v>#N/A</v>
      </c>
    </row>
    <row r="150" s="258" customFormat="1" ht="17.6" spans="1:95">
      <c r="A150" s="330"/>
      <c r="B150" s="334" t="str">
        <f>_xlfn.XLOOKUP(G150,销售需求表!A:A,销售需求表!C:C)</f>
        <v>亚</v>
      </c>
      <c r="C150" s="335" t="str">
        <f t="shared" si="377"/>
        <v>22.5</v>
      </c>
      <c r="D150" s="334" t="str">
        <f t="shared" si="399"/>
        <v>亚22.5寸</v>
      </c>
      <c r="E150" s="339" t="str">
        <f t="shared" si="395"/>
        <v>295/75R22.5-16PR(146/143M)-VT993</v>
      </c>
      <c r="F150" s="340" t="str">
        <f t="shared" si="417"/>
        <v>295/75R22.5-16PR-VT993</v>
      </c>
      <c r="G150" s="341" t="s">
        <v>521</v>
      </c>
      <c r="H150" s="334">
        <v>1500</v>
      </c>
      <c r="I150" s="345"/>
      <c r="J150" s="346" t="str">
        <f t="shared" si="397"/>
        <v>295/75R22.5-VT993</v>
      </c>
      <c r="K150" s="347" t="str">
        <f>_xlfn.XLOOKUP(F150,投产规格!E:E,投产规格!D:D,"未投产")</f>
        <v>✔</v>
      </c>
      <c r="L150" s="347">
        <f>IFERROR(_xlfn.XLOOKUP(F150,硫化工艺!B:B,硫化工艺!C:C),"")</f>
        <v>40.5</v>
      </c>
      <c r="M150" s="349">
        <f t="shared" si="400"/>
        <v>0.87410071942446</v>
      </c>
      <c r="N150" s="347" t="str">
        <f t="shared" si="333"/>
        <v>22.5全钢</v>
      </c>
      <c r="O150" s="347">
        <f>IFERROR(_xlfn.XLOOKUP(F150,轮胎重量!J:J,轮胎重量!G:G),"")</f>
        <v>46.95</v>
      </c>
      <c r="P150" s="347">
        <f>IFERROR(_xlfn.XLOOKUP(G150,硫化工艺!I:I,硫化工艺!J:J),"")</f>
        <v>689.01</v>
      </c>
      <c r="Q150" s="347">
        <f t="shared" si="384"/>
        <v>0</v>
      </c>
      <c r="R150" s="347"/>
      <c r="S150" s="347"/>
      <c r="T150" s="347"/>
      <c r="U150" s="347"/>
      <c r="V150" s="347"/>
      <c r="W150" s="347"/>
      <c r="X150" s="379">
        <v>60</v>
      </c>
      <c r="Y150" s="347">
        <v>60</v>
      </c>
      <c r="Z150" s="347">
        <v>60</v>
      </c>
      <c r="AA150" s="347">
        <v>60</v>
      </c>
      <c r="AB150" s="347">
        <v>60</v>
      </c>
      <c r="AC150" s="347">
        <v>60</v>
      </c>
      <c r="AD150" s="347">
        <v>60</v>
      </c>
      <c r="AE150" s="347">
        <v>60</v>
      </c>
      <c r="AF150" s="347">
        <v>60</v>
      </c>
      <c r="AG150" s="347">
        <v>60</v>
      </c>
      <c r="AH150" s="347">
        <v>60</v>
      </c>
      <c r="AI150" s="347">
        <v>60</v>
      </c>
      <c r="AJ150" s="347">
        <v>60</v>
      </c>
      <c r="AK150" s="347">
        <v>60</v>
      </c>
      <c r="AL150" s="347">
        <v>60</v>
      </c>
      <c r="AM150" s="347">
        <v>60</v>
      </c>
      <c r="AN150" s="347">
        <v>60</v>
      </c>
      <c r="AO150" s="347">
        <v>60</v>
      </c>
      <c r="AP150" s="347">
        <v>60</v>
      </c>
      <c r="AQ150" s="347">
        <v>60</v>
      </c>
      <c r="AR150" s="347">
        <v>60</v>
      </c>
      <c r="AS150" s="347">
        <v>60</v>
      </c>
      <c r="AT150" s="347">
        <v>60</v>
      </c>
      <c r="AU150" s="347">
        <v>60</v>
      </c>
      <c r="AV150" s="347">
        <v>60</v>
      </c>
      <c r="AW150" s="347">
        <f t="shared" si="401"/>
        <v>1500</v>
      </c>
      <c r="AX150" s="365">
        <f t="shared" si="402"/>
        <v>70.425</v>
      </c>
      <c r="AY150" s="365">
        <f t="shared" si="403"/>
        <v>103.352</v>
      </c>
      <c r="AZ150" s="367"/>
      <c r="BA150" s="376"/>
      <c r="BB150" s="376"/>
      <c r="BC150" s="330"/>
      <c r="BD150" s="330"/>
      <c r="BE150" s="330"/>
      <c r="BF150" s="330"/>
      <c r="BG150" s="330"/>
      <c r="BH150" s="330"/>
      <c r="BI150" s="330"/>
      <c r="BJ150" s="370" cm="1">
        <f t="array" ref="BJ150:BM150">_xlfn.LET(_xlpm.data,$R150:$AV150,_xlpm.starts,{1,8,16,23},_xlpm.lengths,{7,7,8,9},_xlpm.arr,_xlfn.MAP(_xlpm.starts,_xlpm.lengths,_xlfn.LAMBDA(_xlpm.s,_xlpm.l,SUM(INDEX(_xlpm.data,,_xlfn.SEQUENCE(,_xlpm.l,_xlpm.s))))),ROUND(_xlpm.arr*$O150/1000,2))</f>
        <v>2.82</v>
      </c>
      <c r="BK150" s="330">
        <v>19.72</v>
      </c>
      <c r="BL150" s="330">
        <v>22.54</v>
      </c>
      <c r="BM150" s="330">
        <v>25.35</v>
      </c>
      <c r="BN150" s="258">
        <f t="shared" si="404"/>
        <v>70.43</v>
      </c>
      <c r="BO150" s="258">
        <v>12.22</v>
      </c>
      <c r="BP150" s="258">
        <v>12.22</v>
      </c>
      <c r="BQ150" s="258">
        <v>13.96</v>
      </c>
      <c r="BR150" s="258">
        <v>15.71</v>
      </c>
      <c r="BS150" s="115"/>
      <c r="BT150" s="258" cm="1">
        <f ca="1" t="array" ref="BT150:BW150">_xlfn.HSTACK(SUM(INDEX($R150:$AV150,1,1):INDEX($R150:$AV150,1,7)),SUM(INDEX($R150:$AV150,1,7):INDEX($R150:$AV150,1,13)),SUM(INDEX($R150:$AV150,1,16):INDEX($R150:$AV150,1,23)),SUM(INDEX($R150:$AV150,1,23):INDEX($R150:$AV150,1,31)))</f>
        <v>60</v>
      </c>
      <c r="BU150" s="258">
        <v>420</v>
      </c>
      <c r="BV150" s="258">
        <v>480</v>
      </c>
      <c r="BW150" s="258">
        <v>540</v>
      </c>
      <c r="BY150" s="258">
        <f t="shared" si="372"/>
        <v>60</v>
      </c>
      <c r="BZ150" s="258">
        <f t="shared" si="373"/>
        <v>420</v>
      </c>
      <c r="CA150" s="258">
        <f t="shared" si="374"/>
        <v>480</v>
      </c>
      <c r="CB150" s="258">
        <f t="shared" si="375"/>
        <v>540</v>
      </c>
      <c r="CD150" s="113"/>
      <c r="CE150" s="258">
        <f t="shared" si="405"/>
        <v>2.82</v>
      </c>
      <c r="CF150" s="258">
        <f t="shared" si="406"/>
        <v>19.72</v>
      </c>
      <c r="CG150" s="258">
        <f t="shared" si="407"/>
        <v>22.54</v>
      </c>
      <c r="CH150" s="258">
        <f t="shared" si="408"/>
        <v>25.35</v>
      </c>
      <c r="CI150" s="258">
        <f t="shared" si="409"/>
        <v>70.43</v>
      </c>
      <c r="CJ150" s="113"/>
      <c r="CK150" s="258">
        <f t="shared" ref="CK150:CN150" si="419">IFERROR(ROUND(BY150*$P150,2),"")</f>
        <v>41340.6</v>
      </c>
      <c r="CL150" s="258">
        <f t="shared" si="419"/>
        <v>289384.2</v>
      </c>
      <c r="CM150" s="258">
        <f t="shared" si="419"/>
        <v>330724.8</v>
      </c>
      <c r="CN150" s="258">
        <f t="shared" si="419"/>
        <v>372065.4</v>
      </c>
      <c r="CO150" s="258">
        <f t="shared" si="371"/>
        <v>1033515</v>
      </c>
      <c r="CP150" s="258">
        <f>VLOOKUP(G150,[2]Sheet1!$C$3:$G$310,5,0)</f>
        <v>14200</v>
      </c>
      <c r="CQ150" s="258" t="e">
        <f>VLOOKUP(G150,[3]KCBB0101!$C$3:$F$691,4,0)</f>
        <v>#N/A</v>
      </c>
    </row>
    <row r="151" s="258" customFormat="1" ht="17.6" spans="1:93">
      <c r="A151" s="330"/>
      <c r="B151" s="334" t="str">
        <f>_xlfn.XLOOKUP(G151,销售需求表!A:A,销售需求表!C:C)</f>
        <v>北美</v>
      </c>
      <c r="C151" s="335" t="str">
        <f t="shared" si="377"/>
        <v>22.5</v>
      </c>
      <c r="D151" s="359" t="str">
        <f t="shared" si="399"/>
        <v>北美22.5寸</v>
      </c>
      <c r="E151" s="339" t="str">
        <f t="shared" si="395"/>
        <v>275/70R22.5-16PR(148/145L)-M-TRAC AP</v>
      </c>
      <c r="F151" s="340" t="str">
        <f t="shared" si="417"/>
        <v>275/70R22.5-16PR-M-TRAC AP</v>
      </c>
      <c r="G151" s="377" t="s">
        <v>461</v>
      </c>
      <c r="H151" s="334">
        <v>1000</v>
      </c>
      <c r="I151" s="345"/>
      <c r="J151" s="346" t="str">
        <f t="shared" si="397"/>
        <v>275/70R22.5-M-TRAC AP</v>
      </c>
      <c r="K151" s="347" t="str">
        <f>_xlfn.XLOOKUP(F151,投产规格!E:E,投产规格!D:D,"未投产")</f>
        <v>未投产</v>
      </c>
      <c r="L151" s="347">
        <f>IFERROR(_xlfn.XLOOKUP(F151,硫化工艺!B:B,硫化工艺!C:C),"")</f>
        <v>35</v>
      </c>
      <c r="M151" s="349">
        <f t="shared" si="400"/>
        <v>0.857142857142857</v>
      </c>
      <c r="N151" s="347" t="str">
        <f t="shared" si="333"/>
        <v>22.5全钢</v>
      </c>
      <c r="O151" s="347">
        <f>IFERROR(_xlfn.XLOOKUP(F151,轮胎重量!J:J,轮胎重量!G:G),"")</f>
        <v>47.04</v>
      </c>
      <c r="P151" s="350">
        <f t="shared" ref="P151:P156" si="420">O151*13.9</f>
        <v>653.856</v>
      </c>
      <c r="Q151" s="347">
        <f t="shared" si="384"/>
        <v>0</v>
      </c>
      <c r="R151" s="347"/>
      <c r="S151" s="347"/>
      <c r="T151" s="347"/>
      <c r="U151" s="347"/>
      <c r="V151" s="347"/>
      <c r="W151" s="347"/>
      <c r="X151" s="347"/>
      <c r="Y151" s="347"/>
      <c r="Z151" s="347"/>
      <c r="AA151" s="347"/>
      <c r="AB151" s="347"/>
      <c r="AC151" s="347"/>
      <c r="AD151" s="347"/>
      <c r="AE151" s="347"/>
      <c r="AF151" s="347"/>
      <c r="AG151" s="347"/>
      <c r="AH151" s="347"/>
      <c r="AI151" s="347"/>
      <c r="AJ151" s="347"/>
      <c r="AK151" s="347"/>
      <c r="AL151" s="347"/>
      <c r="AM151" s="347"/>
      <c r="AN151" s="347"/>
      <c r="AO151" s="347"/>
      <c r="AP151" s="347"/>
      <c r="AQ151" s="347"/>
      <c r="AR151" s="347"/>
      <c r="AS151" s="347"/>
      <c r="AT151" s="347"/>
      <c r="AU151" s="347"/>
      <c r="AV151" s="347"/>
      <c r="AW151" s="347" t="str">
        <f t="shared" si="401"/>
        <v/>
      </c>
      <c r="AX151" s="365" t="str">
        <f t="shared" si="402"/>
        <v/>
      </c>
      <c r="AY151" s="365" t="str">
        <f t="shared" si="403"/>
        <v/>
      </c>
      <c r="AZ151" s="367"/>
      <c r="BA151" s="376"/>
      <c r="BB151" s="376"/>
      <c r="BC151" s="330"/>
      <c r="BD151" s="330"/>
      <c r="BE151" s="330"/>
      <c r="BF151" s="330"/>
      <c r="BG151" s="330"/>
      <c r="BH151" s="330"/>
      <c r="BI151" s="330"/>
      <c r="BJ151" s="370" cm="1">
        <f t="array" ref="BJ151:BM151">_xlfn.LET(_xlpm.data,$R151:$AV151,_xlpm.starts,{1,8,16,23},_xlpm.lengths,{7,7,8,9},_xlpm.arr,_xlfn.MAP(_xlpm.starts,_xlpm.lengths,_xlfn.LAMBDA(_xlpm.s,_xlpm.l,SUM(INDEX(_xlpm.data,,_xlfn.SEQUENCE(,_xlpm.l,_xlpm.s))))),ROUND(_xlpm.arr*$O151/1000,2))</f>
        <v>0</v>
      </c>
      <c r="BK151" s="330">
        <v>0</v>
      </c>
      <c r="BL151" s="330">
        <v>0</v>
      </c>
      <c r="BM151" s="330">
        <v>0</v>
      </c>
      <c r="BN151" s="258">
        <f t="shared" si="404"/>
        <v>0</v>
      </c>
      <c r="BO151" s="258">
        <v>12.22</v>
      </c>
      <c r="BP151" s="258">
        <v>12.22</v>
      </c>
      <c r="BQ151" s="258">
        <v>13.96</v>
      </c>
      <c r="BR151" s="258">
        <v>15.71</v>
      </c>
      <c r="BS151" s="115"/>
      <c r="BT151" s="258" cm="1">
        <f ca="1" t="array" ref="BT151:BW151">_xlfn.HSTACK(SUM(INDEX($R151:$AV151,1,1):INDEX($R151:$AV151,1,7)),SUM(INDEX($R151:$AV151,1,7):INDEX($R151:$AV151,1,13)),SUM(INDEX($R151:$AV151,1,16):INDEX($R151:$AV151,1,23)),SUM(INDEX($R151:$AV151,1,23):INDEX($R151:$AV151,1,31)))</f>
        <v>0</v>
      </c>
      <c r="BU151" s="258">
        <v>0</v>
      </c>
      <c r="BV151" s="258">
        <v>0</v>
      </c>
      <c r="BW151" s="258">
        <v>0</v>
      </c>
      <c r="BY151" s="258">
        <f t="shared" si="372"/>
        <v>0</v>
      </c>
      <c r="BZ151" s="258">
        <f t="shared" si="373"/>
        <v>0</v>
      </c>
      <c r="CA151" s="258">
        <f t="shared" si="374"/>
        <v>0</v>
      </c>
      <c r="CB151" s="258">
        <f t="shared" si="375"/>
        <v>0</v>
      </c>
      <c r="CD151" s="113"/>
      <c r="CE151" s="258">
        <f t="shared" si="405"/>
        <v>0</v>
      </c>
      <c r="CF151" s="258">
        <f t="shared" si="406"/>
        <v>0</v>
      </c>
      <c r="CG151" s="258">
        <f t="shared" si="407"/>
        <v>0</v>
      </c>
      <c r="CH151" s="258">
        <f t="shared" si="408"/>
        <v>0</v>
      </c>
      <c r="CI151" s="258">
        <f t="shared" si="409"/>
        <v>0</v>
      </c>
      <c r="CJ151" s="113"/>
      <c r="CK151" s="258">
        <f t="shared" ref="CK151:CN151" si="421">IFERROR(ROUND(BY151*$P151,2),"")</f>
        <v>0</v>
      </c>
      <c r="CL151" s="258">
        <f t="shared" si="421"/>
        <v>0</v>
      </c>
      <c r="CM151" s="258">
        <f t="shared" si="421"/>
        <v>0</v>
      </c>
      <c r="CN151" s="258">
        <f t="shared" si="421"/>
        <v>0</v>
      </c>
      <c r="CO151" s="258">
        <f t="shared" si="371"/>
        <v>0</v>
      </c>
    </row>
    <row r="152" ht="17.6" spans="2:93">
      <c r="B152" s="334" t="str">
        <f>_xlfn.XLOOKUP(G152,销售需求表!A:A,销售需求表!C:C)</f>
        <v>北美</v>
      </c>
      <c r="C152" s="335" t="str">
        <f t="shared" si="377"/>
        <v>22.5</v>
      </c>
      <c r="D152" s="359" t="str">
        <f t="shared" si="399"/>
        <v>北美22.5寸</v>
      </c>
      <c r="E152" s="339" t="str">
        <f t="shared" si="395"/>
        <v>275/70R22.5-16PR(148/145M)-Strong Guard H-RA</v>
      </c>
      <c r="F152" s="340" t="str">
        <f t="shared" si="417"/>
        <v>275/70R22.5-16PR-H-RA</v>
      </c>
      <c r="G152" s="377" t="s">
        <v>462</v>
      </c>
      <c r="H152" s="334">
        <v>900</v>
      </c>
      <c r="I152" s="345"/>
      <c r="J152" s="346" t="str">
        <f t="shared" si="397"/>
        <v>275/70R22.5-H-RA</v>
      </c>
      <c r="K152" s="347" t="str">
        <f>_xlfn.XLOOKUP(F152,投产规格!E:E,投产规格!D:D,"未投产")</f>
        <v>✔</v>
      </c>
      <c r="L152" s="347">
        <f>IFERROR(_xlfn.XLOOKUP(F152,硫化工艺!B:B,硫化工艺!C:C),"")</f>
        <v>34.5</v>
      </c>
      <c r="M152" s="349">
        <f t="shared" si="400"/>
        <v>0.855371900826446</v>
      </c>
      <c r="N152" s="347" t="str">
        <f t="shared" si="333"/>
        <v>22.5全钢</v>
      </c>
      <c r="O152" s="347">
        <f>IFERROR(_xlfn.XLOOKUP(F152,轮胎重量!J:J,轮胎重量!G:G),"")</f>
        <v>47.465</v>
      </c>
      <c r="P152" s="347">
        <f>IFERROR(_xlfn.XLOOKUP(G152,硫化工艺!I:I,硫化工艺!J:J),"")</f>
        <v>689.877629</v>
      </c>
      <c r="Q152" s="347">
        <f t="shared" si="384"/>
        <v>0</v>
      </c>
      <c r="R152" s="347"/>
      <c r="S152" s="347"/>
      <c r="T152" s="347"/>
      <c r="U152" s="347"/>
      <c r="V152" s="347"/>
      <c r="W152" s="347"/>
      <c r="X152" s="347"/>
      <c r="Y152" s="347"/>
      <c r="Z152" s="347"/>
      <c r="AA152" s="347"/>
      <c r="AB152" s="347"/>
      <c r="AC152" s="347"/>
      <c r="AD152" s="347"/>
      <c r="AE152" s="347"/>
      <c r="AF152" s="347"/>
      <c r="AG152" s="347"/>
      <c r="AH152" s="347"/>
      <c r="AI152" s="347"/>
      <c r="AJ152" s="347"/>
      <c r="AK152" s="347"/>
      <c r="AL152" s="347"/>
      <c r="AM152" s="347"/>
      <c r="AN152" s="347"/>
      <c r="AO152" s="347"/>
      <c r="AP152" s="347"/>
      <c r="AQ152" s="347"/>
      <c r="AR152" s="347"/>
      <c r="AS152" s="347"/>
      <c r="AT152" s="347"/>
      <c r="AU152" s="347"/>
      <c r="AV152" s="347"/>
      <c r="AW152" s="347" t="str">
        <f t="shared" si="401"/>
        <v/>
      </c>
      <c r="AX152" s="365" t="str">
        <f t="shared" si="402"/>
        <v/>
      </c>
      <c r="AY152" s="365" t="str">
        <f t="shared" si="403"/>
        <v/>
      </c>
      <c r="AZ152" s="367"/>
      <c r="BA152" s="376"/>
      <c r="BB152" s="376"/>
      <c r="BJ152" s="370" cm="1">
        <f t="array" ref="BJ152:BM152">_xlfn.LET(_xlpm.data,$R152:$AV152,_xlpm.starts,{1,8,16,23},_xlpm.lengths,{7,7,8,9},_xlpm.arr,_xlfn.MAP(_xlpm.starts,_xlpm.lengths,_xlfn.LAMBDA(_xlpm.s,_xlpm.l,SUM(INDEX(_xlpm.data,,_xlfn.SEQUENCE(,_xlpm.l,_xlpm.s))))),ROUND(_xlpm.arr*$O152/1000,2))</f>
        <v>0</v>
      </c>
      <c r="BK152" s="330">
        <v>0</v>
      </c>
      <c r="BL152" s="330">
        <v>0</v>
      </c>
      <c r="BM152" s="330">
        <v>0</v>
      </c>
      <c r="BN152" s="258">
        <f t="shared" si="404"/>
        <v>0</v>
      </c>
      <c r="BO152" s="258">
        <v>12.81</v>
      </c>
      <c r="BP152" s="258">
        <v>12.81</v>
      </c>
      <c r="BQ152" s="258">
        <v>14.64</v>
      </c>
      <c r="BR152" s="258">
        <v>16.47</v>
      </c>
      <c r="BT152" s="258" cm="1">
        <f ca="1" t="array" ref="BT152:BW152">_xlfn.HSTACK(SUM(INDEX($R152:$AV152,1,1):INDEX($R152:$AV152,1,7)),SUM(INDEX($R152:$AV152,1,7):INDEX($R152:$AV152,1,13)),SUM(INDEX($R152:$AV152,1,16):INDEX($R152:$AV152,1,23)),SUM(INDEX($R152:$AV152,1,23):INDEX($R152:$AV152,1,31)))</f>
        <v>0</v>
      </c>
      <c r="BU152" s="258">
        <v>0</v>
      </c>
      <c r="BV152" s="258">
        <v>0</v>
      </c>
      <c r="BW152" s="258">
        <v>0</v>
      </c>
      <c r="BY152" s="258">
        <f t="shared" si="372"/>
        <v>0</v>
      </c>
      <c r="BZ152" s="258">
        <f t="shared" si="373"/>
        <v>0</v>
      </c>
      <c r="CA152" s="258">
        <f t="shared" si="374"/>
        <v>0</v>
      </c>
      <c r="CB152" s="258">
        <f t="shared" si="375"/>
        <v>0</v>
      </c>
      <c r="CE152" s="258">
        <f t="shared" si="405"/>
        <v>0</v>
      </c>
      <c r="CF152" s="258">
        <f t="shared" si="406"/>
        <v>0</v>
      </c>
      <c r="CG152" s="258">
        <f t="shared" si="407"/>
        <v>0</v>
      </c>
      <c r="CH152" s="258">
        <f t="shared" si="408"/>
        <v>0</v>
      </c>
      <c r="CI152" s="258">
        <f t="shared" si="409"/>
        <v>0</v>
      </c>
      <c r="CK152" s="258">
        <f t="shared" ref="CK152:CN152" si="422">IFERROR(ROUND(BY152*$P152,2),"")</f>
        <v>0</v>
      </c>
      <c r="CL152" s="258">
        <f t="shared" si="422"/>
        <v>0</v>
      </c>
      <c r="CM152" s="258">
        <f t="shared" si="422"/>
        <v>0</v>
      </c>
      <c r="CN152" s="258">
        <f t="shared" si="422"/>
        <v>0</v>
      </c>
      <c r="CO152" s="258">
        <f t="shared" si="371"/>
        <v>0</v>
      </c>
    </row>
    <row r="153" s="258" customFormat="1" ht="17.6" spans="1:93">
      <c r="A153" s="330"/>
      <c r="B153" s="334" t="str">
        <f>_xlfn.XLOOKUP(G153,销售需求表!A:A,销售需求表!C:C)</f>
        <v>北美</v>
      </c>
      <c r="C153" s="335" t="str">
        <f t="shared" si="377"/>
        <v>22.5</v>
      </c>
      <c r="D153" s="359" t="str">
        <f t="shared" ref="D153:D158" si="423">B153&amp;C153&amp;"寸"</f>
        <v>北美22.5寸</v>
      </c>
      <c r="E153" s="339" t="str">
        <f t="shared" si="395"/>
        <v>275/70R22.5-18PR(152/148L)-I-19A</v>
      </c>
      <c r="F153" s="340" t="str">
        <f t="shared" si="417"/>
        <v>275/70R22.5-18PR-I-19A</v>
      </c>
      <c r="G153" s="377" t="s">
        <v>463</v>
      </c>
      <c r="H153" s="334">
        <v>1200</v>
      </c>
      <c r="I153" s="345"/>
      <c r="J153" s="346" t="str">
        <f t="shared" si="397"/>
        <v>275/70R22.5-I-19A</v>
      </c>
      <c r="K153" s="347" t="str">
        <f>_xlfn.XLOOKUP(F153,投产规格!E:E,投产规格!D:D,"未投产")</f>
        <v>✔</v>
      </c>
      <c r="L153" s="347">
        <f>IFERROR(_xlfn.XLOOKUP(F153,硫化工艺!B:B,硫化工艺!C:C),"")</f>
        <v>35</v>
      </c>
      <c r="M153" s="349">
        <f t="shared" ref="M153:M158" si="424">IF(L153="","",L153/(L153+$L$1/60))</f>
        <v>0.857142857142857</v>
      </c>
      <c r="N153" s="347" t="str">
        <f t="shared" si="333"/>
        <v>22.5全钢</v>
      </c>
      <c r="O153" s="347">
        <f>IFERROR(_xlfn.XLOOKUP(F153,轮胎重量!J:J,轮胎重量!G:G),"")</f>
        <v>48.93</v>
      </c>
      <c r="P153" s="347">
        <f>IFERROR(_xlfn.XLOOKUP(G153,硫化工艺!I:I,硫化工艺!J:J),"")</f>
        <v>710.066723</v>
      </c>
      <c r="Q153" s="347">
        <f t="shared" si="384"/>
        <v>0</v>
      </c>
      <c r="R153" s="347"/>
      <c r="S153" s="347"/>
      <c r="T153" s="347"/>
      <c r="U153" s="347"/>
      <c r="V153" s="347"/>
      <c r="W153" s="347"/>
      <c r="X153" s="347"/>
      <c r="Y153" s="347"/>
      <c r="Z153" s="347"/>
      <c r="AA153" s="347"/>
      <c r="AB153" s="347"/>
      <c r="AC153" s="347"/>
      <c r="AD153" s="347"/>
      <c r="AE153" s="347"/>
      <c r="AF153" s="347"/>
      <c r="AG153" s="347"/>
      <c r="AH153" s="347"/>
      <c r="AI153" s="347"/>
      <c r="AJ153" s="347"/>
      <c r="AK153" s="347"/>
      <c r="AL153" s="347"/>
      <c r="AM153" s="347"/>
      <c r="AN153" s="347"/>
      <c r="AO153" s="347"/>
      <c r="AP153" s="347"/>
      <c r="AQ153" s="347"/>
      <c r="AR153" s="347"/>
      <c r="AS153" s="347"/>
      <c r="AT153" s="347"/>
      <c r="AU153" s="347"/>
      <c r="AV153" s="347"/>
      <c r="AW153" s="347" t="str">
        <f t="shared" ref="AW153:AW158" si="425">IF(SUM(R153:AV153)=0,"",SUM(R153:AV153))</f>
        <v/>
      </c>
      <c r="AX153" s="365" t="str">
        <f t="shared" ref="AX153:AX158" si="426">IFERROR(AW153*O153/1000,"")</f>
        <v/>
      </c>
      <c r="AY153" s="365" t="str">
        <f t="shared" ref="AY153:AY158" si="427">IFERROR(ROUND(AW153*P153/10000,3),"")</f>
        <v/>
      </c>
      <c r="AZ153" s="367"/>
      <c r="BA153" s="376"/>
      <c r="BB153" s="376"/>
      <c r="BC153" s="330"/>
      <c r="BD153" s="330"/>
      <c r="BE153" s="330"/>
      <c r="BF153" s="330"/>
      <c r="BG153" s="330"/>
      <c r="BH153" s="330"/>
      <c r="BI153" s="330"/>
      <c r="BJ153" s="370" cm="1">
        <f t="array" ref="BJ153:BM153">_xlfn.LET(_xlpm.data,$R153:$AV153,_xlpm.starts,{1,8,16,23},_xlpm.lengths,{7,7,8,9},_xlpm.arr,_xlfn.MAP(_xlpm.starts,_xlpm.lengths,_xlfn.LAMBDA(_xlpm.s,_xlpm.l,SUM(INDEX(_xlpm.data,,_xlfn.SEQUENCE(,_xlpm.l,_xlpm.s))))),ROUND(_xlpm.arr*$O153/1000,2))</f>
        <v>0</v>
      </c>
      <c r="BK153" s="330">
        <v>0</v>
      </c>
      <c r="BL153" s="330">
        <v>0</v>
      </c>
      <c r="BM153" s="330">
        <v>0</v>
      </c>
      <c r="BN153" s="258">
        <f t="shared" ref="BN153:BN158" si="428">SUM(BJ153:BM153)</f>
        <v>0</v>
      </c>
      <c r="BO153" s="258">
        <v>12.22</v>
      </c>
      <c r="BP153" s="258">
        <v>12.22</v>
      </c>
      <c r="BQ153" s="258">
        <v>13.96</v>
      </c>
      <c r="BR153" s="258">
        <v>15.71</v>
      </c>
      <c r="BS153" s="115"/>
      <c r="BT153" s="258" cm="1">
        <f ca="1" t="array" ref="BT153:BW153">_xlfn.HSTACK(SUM(INDEX($R153:$AV153,1,1):INDEX($R153:$AV153,1,7)),SUM(INDEX($R153:$AV153,1,7):INDEX($R153:$AV153,1,13)),SUM(INDEX($R153:$AV153,1,16):INDEX($R153:$AV153,1,23)),SUM(INDEX($R153:$AV153,1,23):INDEX($R153:$AV153,1,31)))</f>
        <v>0</v>
      </c>
      <c r="BU153" s="258">
        <v>0</v>
      </c>
      <c r="BV153" s="258">
        <v>0</v>
      </c>
      <c r="BW153" s="258">
        <v>0</v>
      </c>
      <c r="BY153" s="258">
        <f t="shared" si="372"/>
        <v>0</v>
      </c>
      <c r="BZ153" s="258">
        <f t="shared" si="373"/>
        <v>0</v>
      </c>
      <c r="CA153" s="258">
        <f t="shared" si="374"/>
        <v>0</v>
      </c>
      <c r="CB153" s="258">
        <f t="shared" si="375"/>
        <v>0</v>
      </c>
      <c r="CD153" s="113"/>
      <c r="CE153" s="258">
        <f t="shared" ref="CE153:CE158" si="429">ROUND(BY153*$O153/1000,2)</f>
        <v>0</v>
      </c>
      <c r="CF153" s="258">
        <f t="shared" ref="CF153:CF158" si="430">ROUND(BZ153*$O153/1000,2)</f>
        <v>0</v>
      </c>
      <c r="CG153" s="258">
        <f t="shared" ref="CG153:CG158" si="431">ROUND(CA153*$O153/1000,2)</f>
        <v>0</v>
      </c>
      <c r="CH153" s="258">
        <f t="shared" ref="CH153:CH158" si="432">ROUND(CB153*$O153/1000,2)</f>
        <v>0</v>
      </c>
      <c r="CI153" s="258">
        <f t="shared" ref="CI153:CI158" si="433">SUM(CE153:CH153)</f>
        <v>0</v>
      </c>
      <c r="CJ153" s="113"/>
      <c r="CK153" s="258">
        <f t="shared" ref="CK153:CN153" si="434">IFERROR(ROUND(BY153*$P153,2),"")</f>
        <v>0</v>
      </c>
      <c r="CL153" s="258">
        <f t="shared" si="434"/>
        <v>0</v>
      </c>
      <c r="CM153" s="258">
        <f t="shared" si="434"/>
        <v>0</v>
      </c>
      <c r="CN153" s="258">
        <f t="shared" si="434"/>
        <v>0</v>
      </c>
      <c r="CO153" s="258">
        <f t="shared" si="371"/>
        <v>0</v>
      </c>
    </row>
    <row r="154" ht="17.6" spans="2:95">
      <c r="B154" s="334" t="str">
        <f>_xlfn.XLOOKUP(G154,销售需求表!A:A,销售需求表!C:C)</f>
        <v>南美</v>
      </c>
      <c r="C154" s="335" t="str">
        <f t="shared" si="377"/>
        <v>22.5</v>
      </c>
      <c r="D154" s="334" t="str">
        <f t="shared" si="423"/>
        <v>南美22.5寸</v>
      </c>
      <c r="E154" s="339" t="str">
        <f t="shared" si="395"/>
        <v>275/80R22.5-16PR(149/146L)-AD153</v>
      </c>
      <c r="F154" s="340" t="str">
        <f t="shared" si="417"/>
        <v>275/80R22.5-16PR-AD153</v>
      </c>
      <c r="G154" s="341" t="s">
        <v>464</v>
      </c>
      <c r="H154" s="334">
        <v>400</v>
      </c>
      <c r="I154" s="345">
        <v>2</v>
      </c>
      <c r="J154" s="346" t="str">
        <f t="shared" si="397"/>
        <v>275/80R22.5-AD153</v>
      </c>
      <c r="K154" s="347" t="str">
        <f>_xlfn.XLOOKUP(F154,投产规格!E:E,投产规格!D:D,"未投产")</f>
        <v>✔</v>
      </c>
      <c r="L154" s="347">
        <f>IFERROR(_xlfn.XLOOKUP(F154,硫化工艺!B:B,硫化工艺!C:C),"")</f>
        <v>40</v>
      </c>
      <c r="M154" s="349">
        <f t="shared" si="424"/>
        <v>0.872727272727273</v>
      </c>
      <c r="N154" s="347" t="str">
        <f t="shared" si="333"/>
        <v>22.5全钢</v>
      </c>
      <c r="O154" s="347">
        <f>IFERROR(_xlfn.XLOOKUP(F154,轮胎重量!J:J,轮胎重量!G:G),"")</f>
        <v>53.25</v>
      </c>
      <c r="P154" s="347">
        <f>IFERROR(_xlfn.XLOOKUP(G154,硫化工艺!I:I,硫化工艺!J:J),"")</f>
        <v>783.496</v>
      </c>
      <c r="Q154" s="347">
        <f t="shared" si="384"/>
        <v>63</v>
      </c>
      <c r="R154" s="347">
        <v>60</v>
      </c>
      <c r="S154" s="347">
        <v>60</v>
      </c>
      <c r="T154" s="347">
        <v>60</v>
      </c>
      <c r="U154" s="347">
        <v>60</v>
      </c>
      <c r="V154" s="347">
        <v>60</v>
      </c>
      <c r="W154" s="347">
        <v>60</v>
      </c>
      <c r="X154" s="347">
        <v>60</v>
      </c>
      <c r="Y154" s="347"/>
      <c r="Z154" s="347"/>
      <c r="AA154" s="347"/>
      <c r="AB154" s="347"/>
      <c r="AC154" s="347"/>
      <c r="AD154" s="347"/>
      <c r="AE154" s="347"/>
      <c r="AF154" s="347"/>
      <c r="AG154" s="347"/>
      <c r="AH154" s="347"/>
      <c r="AI154" s="347"/>
      <c r="AJ154" s="347"/>
      <c r="AK154" s="347"/>
      <c r="AL154" s="347"/>
      <c r="AM154" s="347"/>
      <c r="AN154" s="347"/>
      <c r="AO154" s="347"/>
      <c r="AP154" s="347"/>
      <c r="AQ154" s="347"/>
      <c r="AR154" s="347"/>
      <c r="AS154" s="347"/>
      <c r="AT154" s="347"/>
      <c r="AU154" s="347"/>
      <c r="AV154" s="347"/>
      <c r="AW154" s="347">
        <f t="shared" si="425"/>
        <v>420</v>
      </c>
      <c r="AX154" s="365">
        <f t="shared" si="426"/>
        <v>22.365</v>
      </c>
      <c r="AY154" s="365">
        <f t="shared" si="427"/>
        <v>32.907</v>
      </c>
      <c r="AZ154" s="366">
        <v>516.51</v>
      </c>
      <c r="BA154" s="368">
        <v>32.43</v>
      </c>
      <c r="BB154" s="368">
        <v>53.28</v>
      </c>
      <c r="BC154" s="368">
        <v>55.75</v>
      </c>
      <c r="BE154" s="330">
        <f t="shared" ref="BE154:BE179" si="435">AZ154*AW154</f>
        <v>216934.2</v>
      </c>
      <c r="BF154" s="330">
        <f t="shared" ref="BF154:BF179" si="436">BA154*AW154</f>
        <v>13620.6</v>
      </c>
      <c r="BG154" s="330">
        <f t="shared" ref="BG154:BG179" si="437">BB154*AW154</f>
        <v>22377.6</v>
      </c>
      <c r="BH154" s="330">
        <f t="shared" ref="BH154:BH179" si="438">BC154*AW154</f>
        <v>23415</v>
      </c>
      <c r="BJ154" s="370" cm="1">
        <f t="array" ref="BJ154:BM154">_xlfn.LET(_xlpm.data,$R154:$AV154,_xlpm.starts,{1,8,16,23},_xlpm.lengths,{7,7,8,9},_xlpm.arr,_xlfn.MAP(_xlpm.starts,_xlpm.lengths,_xlfn.LAMBDA(_xlpm.s,_xlpm.l,SUM(INDEX(_xlpm.data,,_xlfn.SEQUENCE(,_xlpm.l,_xlpm.s))))),ROUND(_xlpm.arr*$O154/1000,2))</f>
        <v>22.37</v>
      </c>
      <c r="BK154" s="330">
        <v>0</v>
      </c>
      <c r="BL154" s="330">
        <v>0</v>
      </c>
      <c r="BM154" s="330">
        <v>0</v>
      </c>
      <c r="BN154" s="258">
        <f t="shared" si="428"/>
        <v>22.37</v>
      </c>
      <c r="BO154" s="258">
        <v>104.49</v>
      </c>
      <c r="BP154" s="258">
        <v>104.49</v>
      </c>
      <c r="BQ154" s="258">
        <v>119.42</v>
      </c>
      <c r="BR154" s="258">
        <v>134.35</v>
      </c>
      <c r="BT154" s="258" cm="1">
        <f ca="1" t="array" ref="BT154:BW154">_xlfn.HSTACK(SUM(INDEX($R154:$AV154,1,1):INDEX($R154:$AV154,1,7)),SUM(INDEX($R154:$AV154,1,7):INDEX($R154:$AV154,1,13)),SUM(INDEX($R154:$AV154,1,16):INDEX($R154:$AV154,1,23)),SUM(INDEX($R154:$AV154,1,23):INDEX($R154:$AV154,1,31)))</f>
        <v>420</v>
      </c>
      <c r="BU154" s="258">
        <v>60</v>
      </c>
      <c r="BV154" s="258">
        <v>0</v>
      </c>
      <c r="BW154" s="258">
        <v>0</v>
      </c>
      <c r="BY154" s="258">
        <f t="shared" si="372"/>
        <v>420</v>
      </c>
      <c r="BZ154" s="258">
        <f t="shared" si="373"/>
        <v>0</v>
      </c>
      <c r="CA154" s="258">
        <f t="shared" si="374"/>
        <v>0</v>
      </c>
      <c r="CB154" s="258">
        <f t="shared" si="375"/>
        <v>0</v>
      </c>
      <c r="CE154" s="258">
        <f t="shared" si="429"/>
        <v>22.37</v>
      </c>
      <c r="CF154" s="258">
        <f t="shared" si="430"/>
        <v>0</v>
      </c>
      <c r="CG154" s="258">
        <f t="shared" si="431"/>
        <v>0</v>
      </c>
      <c r="CH154" s="258">
        <f t="shared" si="432"/>
        <v>0</v>
      </c>
      <c r="CI154" s="258">
        <f t="shared" si="433"/>
        <v>22.37</v>
      </c>
      <c r="CK154" s="258">
        <f t="shared" ref="CK154:CN154" si="439">IFERROR(ROUND(BY154*$P154,2),"")</f>
        <v>329068.32</v>
      </c>
      <c r="CL154" s="258">
        <f t="shared" si="439"/>
        <v>0</v>
      </c>
      <c r="CM154" s="258">
        <f t="shared" si="439"/>
        <v>0</v>
      </c>
      <c r="CN154" s="258">
        <f t="shared" si="439"/>
        <v>0</v>
      </c>
      <c r="CO154" s="258">
        <f t="shared" si="371"/>
        <v>329068.32</v>
      </c>
      <c r="CP154" s="258">
        <f>VLOOKUP(G154,[2]Sheet1!$C$3:$G$310,5,0)</f>
        <v>3000</v>
      </c>
      <c r="CQ154" s="258" t="e">
        <f>VLOOKUP(G154,[3]KCBB0101!$C$3:$F$691,4,0)</f>
        <v>#N/A</v>
      </c>
    </row>
    <row r="155" s="258" customFormat="1" ht="17.6" spans="1:93">
      <c r="A155" s="330"/>
      <c r="B155" s="334" t="str">
        <f>_xlfn.XLOOKUP(G155,销售需求表!A:A,销售需求表!C:C)</f>
        <v>南美</v>
      </c>
      <c r="C155" s="335" t="str">
        <f t="shared" si="377"/>
        <v>22.5</v>
      </c>
      <c r="D155" s="334" t="str">
        <f t="shared" si="423"/>
        <v>南美22.5寸</v>
      </c>
      <c r="E155" s="339" t="str">
        <f t="shared" si="395"/>
        <v>275/80R22.5-16PR(149/146L)-EZ573A</v>
      </c>
      <c r="F155" s="340" t="str">
        <f t="shared" si="417"/>
        <v>275/80R22.5-16PR-EZ573A</v>
      </c>
      <c r="G155" s="339" t="s">
        <v>466</v>
      </c>
      <c r="H155" s="334">
        <v>650</v>
      </c>
      <c r="I155" s="345"/>
      <c r="J155" s="346" t="str">
        <f t="shared" si="397"/>
        <v>275/80R22.5-EZ573A</v>
      </c>
      <c r="K155" s="347" t="str">
        <f>_xlfn.XLOOKUP(F155,投产规格!E:E,投产规格!D:D,"未投产")</f>
        <v>未投产</v>
      </c>
      <c r="L155" s="347">
        <f>IFERROR(_xlfn.XLOOKUP(F155,硫化工艺!B:B,硫化工艺!C:C),"")</f>
        <v>42</v>
      </c>
      <c r="M155" s="349">
        <f t="shared" si="424"/>
        <v>0.878048780487805</v>
      </c>
      <c r="N155" s="347" t="str">
        <f t="shared" si="333"/>
        <v>22.5全钢</v>
      </c>
      <c r="O155" s="347">
        <f>IFERROR(_xlfn.XLOOKUP(F155,轮胎重量!J:J,轮胎重量!G:G),"")</f>
        <v>52.08</v>
      </c>
      <c r="P155" s="350">
        <f t="shared" si="420"/>
        <v>723.912</v>
      </c>
      <c r="Q155" s="347">
        <f t="shared" si="384"/>
        <v>0</v>
      </c>
      <c r="R155" s="347"/>
      <c r="S155" s="347"/>
      <c r="T155" s="347"/>
      <c r="U155" s="347"/>
      <c r="V155" s="347"/>
      <c r="W155" s="347"/>
      <c r="X155" s="347"/>
      <c r="Y155" s="347"/>
      <c r="Z155" s="347"/>
      <c r="AA155" s="347"/>
      <c r="AB155" s="347"/>
      <c r="AC155" s="347"/>
      <c r="AD155" s="347"/>
      <c r="AE155" s="347"/>
      <c r="AF155" s="347"/>
      <c r="AG155" s="347"/>
      <c r="AH155" s="347"/>
      <c r="AI155" s="347"/>
      <c r="AJ155" s="347"/>
      <c r="AK155" s="347"/>
      <c r="AL155" s="347"/>
      <c r="AM155" s="347"/>
      <c r="AN155" s="347"/>
      <c r="AO155" s="347"/>
      <c r="AP155" s="347"/>
      <c r="AQ155" s="347"/>
      <c r="AR155" s="347"/>
      <c r="AS155" s="347"/>
      <c r="AT155" s="347"/>
      <c r="AU155" s="347"/>
      <c r="AV155" s="347"/>
      <c r="AW155" s="347" t="str">
        <f t="shared" si="425"/>
        <v/>
      </c>
      <c r="AX155" s="365" t="str">
        <f t="shared" si="426"/>
        <v/>
      </c>
      <c r="AY155" s="365" t="str">
        <f t="shared" si="427"/>
        <v/>
      </c>
      <c r="AZ155" s="366">
        <v>516.51</v>
      </c>
      <c r="BA155" s="368">
        <v>32.43</v>
      </c>
      <c r="BB155" s="368">
        <v>53.28</v>
      </c>
      <c r="BC155" s="368">
        <v>55.75</v>
      </c>
      <c r="BD155" s="330"/>
      <c r="BE155" s="330" t="e">
        <f t="shared" si="435"/>
        <v>#VALUE!</v>
      </c>
      <c r="BF155" s="330" t="e">
        <f t="shared" si="436"/>
        <v>#VALUE!</v>
      </c>
      <c r="BG155" s="330" t="e">
        <f t="shared" si="437"/>
        <v>#VALUE!</v>
      </c>
      <c r="BH155" s="330" t="e">
        <f t="shared" si="438"/>
        <v>#VALUE!</v>
      </c>
      <c r="BI155" s="330"/>
      <c r="BJ155" s="370" cm="1">
        <f t="array" ref="BJ155:BM155">_xlfn.LET(_xlpm.data,$R155:$AV155,_xlpm.starts,{1,8,16,23},_xlpm.lengths,{7,7,8,9},_xlpm.arr,_xlfn.MAP(_xlpm.starts,_xlpm.lengths,_xlfn.LAMBDA(_xlpm.s,_xlpm.l,SUM(INDEX(_xlpm.data,,_xlfn.SEQUENCE(,_xlpm.l,_xlpm.s))))),ROUND(_xlpm.arr*$O155/1000,2))</f>
        <v>0</v>
      </c>
      <c r="BK155" s="330">
        <v>0</v>
      </c>
      <c r="BL155" s="330">
        <v>0</v>
      </c>
      <c r="BM155" s="330">
        <v>0</v>
      </c>
      <c r="BN155" s="258">
        <f t="shared" si="428"/>
        <v>0</v>
      </c>
      <c r="BO155" s="258">
        <v>104.49</v>
      </c>
      <c r="BP155" s="258">
        <v>104.49</v>
      </c>
      <c r="BQ155" s="258">
        <v>119.42</v>
      </c>
      <c r="BR155" s="258">
        <v>134.35</v>
      </c>
      <c r="BS155" s="115"/>
      <c r="BT155" s="258" cm="1">
        <f ca="1" t="array" ref="BT155:BW155">_xlfn.HSTACK(SUM(INDEX($R155:$AV155,1,1):INDEX($R155:$AV155,1,7)),SUM(INDEX($R155:$AV155,1,7):INDEX($R155:$AV155,1,13)),SUM(INDEX($R155:$AV155,1,16):INDEX($R155:$AV155,1,23)),SUM(INDEX($R155:$AV155,1,23):INDEX($R155:$AV155,1,31)))</f>
        <v>0</v>
      </c>
      <c r="BU155" s="258">
        <v>0</v>
      </c>
      <c r="BV155" s="258">
        <v>0</v>
      </c>
      <c r="BW155" s="258">
        <v>0</v>
      </c>
      <c r="BY155" s="258">
        <f t="shared" si="372"/>
        <v>0</v>
      </c>
      <c r="BZ155" s="258">
        <f t="shared" si="373"/>
        <v>0</v>
      </c>
      <c r="CA155" s="258">
        <f t="shared" si="374"/>
        <v>0</v>
      </c>
      <c r="CB155" s="258">
        <f t="shared" si="375"/>
        <v>0</v>
      </c>
      <c r="CD155" s="113"/>
      <c r="CE155" s="258">
        <f t="shared" si="429"/>
        <v>0</v>
      </c>
      <c r="CF155" s="258">
        <f t="shared" si="430"/>
        <v>0</v>
      </c>
      <c r="CG155" s="258">
        <f t="shared" si="431"/>
        <v>0</v>
      </c>
      <c r="CH155" s="258">
        <f t="shared" si="432"/>
        <v>0</v>
      </c>
      <c r="CI155" s="258">
        <f t="shared" si="433"/>
        <v>0</v>
      </c>
      <c r="CJ155" s="113"/>
      <c r="CK155" s="258">
        <f t="shared" ref="CK155:CN155" si="440">IFERROR(ROUND(BY155*$P155,2),"")</f>
        <v>0</v>
      </c>
      <c r="CL155" s="258">
        <f t="shared" si="440"/>
        <v>0</v>
      </c>
      <c r="CM155" s="258">
        <f t="shared" si="440"/>
        <v>0</v>
      </c>
      <c r="CN155" s="258">
        <f t="shared" si="440"/>
        <v>0</v>
      </c>
      <c r="CO155" s="258">
        <f t="shared" si="371"/>
        <v>0</v>
      </c>
    </row>
    <row r="156" s="258" customFormat="1" ht="17.6" spans="1:93">
      <c r="A156" s="330"/>
      <c r="B156" s="334" t="str">
        <f>_xlfn.XLOOKUP(G156,销售需求表!A:A,销售需求表!C:C)</f>
        <v>南美</v>
      </c>
      <c r="C156" s="335" t="str">
        <f t="shared" si="377"/>
        <v>22.5</v>
      </c>
      <c r="D156" s="334" t="str">
        <f t="shared" si="423"/>
        <v>南美22.5寸</v>
      </c>
      <c r="E156" s="339" t="str">
        <f t="shared" si="395"/>
        <v>275/80R22.5-16PR(149/146L)-EZ573A</v>
      </c>
      <c r="F156" s="340" t="str">
        <f t="shared" si="417"/>
        <v>275/80R22.5-16PR-EZ573A</v>
      </c>
      <c r="G156" s="339" t="s">
        <v>467</v>
      </c>
      <c r="H156" s="334">
        <v>280</v>
      </c>
      <c r="I156" s="345"/>
      <c r="J156" s="346" t="str">
        <f t="shared" si="397"/>
        <v>275/80R22.5-EZ573A</v>
      </c>
      <c r="K156" s="347" t="str">
        <f>_xlfn.XLOOKUP(F156,投产规格!E:E,投产规格!D:D,"未投产")</f>
        <v>未投产</v>
      </c>
      <c r="L156" s="347">
        <f>IFERROR(_xlfn.XLOOKUP(F156,硫化工艺!B:B,硫化工艺!C:C),"")</f>
        <v>42</v>
      </c>
      <c r="M156" s="349">
        <f t="shared" si="424"/>
        <v>0.878048780487805</v>
      </c>
      <c r="N156" s="347" t="str">
        <f t="shared" si="333"/>
        <v>22.5全钢</v>
      </c>
      <c r="O156" s="347">
        <f>IFERROR(_xlfn.XLOOKUP(F156,轮胎重量!J:J,轮胎重量!G:G),"")</f>
        <v>52.08</v>
      </c>
      <c r="P156" s="350">
        <f t="shared" si="420"/>
        <v>723.912</v>
      </c>
      <c r="Q156" s="347">
        <f t="shared" si="384"/>
        <v>0</v>
      </c>
      <c r="R156" s="347"/>
      <c r="S156" s="347"/>
      <c r="T156" s="347"/>
      <c r="U156" s="347"/>
      <c r="V156" s="347"/>
      <c r="W156" s="347"/>
      <c r="X156" s="347"/>
      <c r="Y156" s="347"/>
      <c r="Z156" s="347"/>
      <c r="AA156" s="347"/>
      <c r="AB156" s="347"/>
      <c r="AC156" s="347"/>
      <c r="AD156" s="347"/>
      <c r="AE156" s="347"/>
      <c r="AF156" s="347"/>
      <c r="AG156" s="347"/>
      <c r="AH156" s="347"/>
      <c r="AI156" s="347"/>
      <c r="AJ156" s="347"/>
      <c r="AK156" s="347"/>
      <c r="AL156" s="347"/>
      <c r="AM156" s="347"/>
      <c r="AN156" s="347"/>
      <c r="AO156" s="347"/>
      <c r="AP156" s="347"/>
      <c r="AQ156" s="347"/>
      <c r="AR156" s="347"/>
      <c r="AS156" s="347"/>
      <c r="AT156" s="347"/>
      <c r="AU156" s="347"/>
      <c r="AV156" s="347"/>
      <c r="AW156" s="347" t="str">
        <f t="shared" si="425"/>
        <v/>
      </c>
      <c r="AX156" s="365" t="str">
        <f t="shared" si="426"/>
        <v/>
      </c>
      <c r="AY156" s="365" t="str">
        <f t="shared" si="427"/>
        <v/>
      </c>
      <c r="AZ156" s="366">
        <v>516.51</v>
      </c>
      <c r="BA156" s="368">
        <v>32.43</v>
      </c>
      <c r="BB156" s="368">
        <v>53.28</v>
      </c>
      <c r="BC156" s="368">
        <v>55.75</v>
      </c>
      <c r="BD156" s="330"/>
      <c r="BE156" s="330" t="e">
        <f t="shared" si="435"/>
        <v>#VALUE!</v>
      </c>
      <c r="BF156" s="330" t="e">
        <f t="shared" si="436"/>
        <v>#VALUE!</v>
      </c>
      <c r="BG156" s="330" t="e">
        <f t="shared" si="437"/>
        <v>#VALUE!</v>
      </c>
      <c r="BH156" s="330" t="e">
        <f t="shared" si="438"/>
        <v>#VALUE!</v>
      </c>
      <c r="BI156" s="330"/>
      <c r="BJ156" s="370" cm="1">
        <f t="array" ref="BJ156:BM156">_xlfn.LET(_xlpm.data,$R156:$AV156,_xlpm.starts,{1,8,16,23},_xlpm.lengths,{7,7,8,9},_xlpm.arr,_xlfn.MAP(_xlpm.starts,_xlpm.lengths,_xlfn.LAMBDA(_xlpm.s,_xlpm.l,SUM(INDEX(_xlpm.data,,_xlfn.SEQUENCE(,_xlpm.l,_xlpm.s))))),ROUND(_xlpm.arr*$O156/1000,2))</f>
        <v>0</v>
      </c>
      <c r="BK156" s="330">
        <v>0</v>
      </c>
      <c r="BL156" s="330">
        <v>0</v>
      </c>
      <c r="BM156" s="330">
        <v>0</v>
      </c>
      <c r="BN156" s="258">
        <f t="shared" si="428"/>
        <v>0</v>
      </c>
      <c r="BO156" s="258">
        <v>104.49</v>
      </c>
      <c r="BP156" s="258">
        <v>104.49</v>
      </c>
      <c r="BQ156" s="258">
        <v>119.42</v>
      </c>
      <c r="BR156" s="258">
        <v>134.35</v>
      </c>
      <c r="BS156" s="115"/>
      <c r="BT156" s="258" cm="1">
        <f ca="1" t="array" ref="BT156:BW156">_xlfn.HSTACK(SUM(INDEX($R156:$AV156,1,1):INDEX($R156:$AV156,1,7)),SUM(INDEX($R156:$AV156,1,7):INDEX($R156:$AV156,1,13)),SUM(INDEX($R156:$AV156,1,16):INDEX($R156:$AV156,1,23)),SUM(INDEX($R156:$AV156,1,23):INDEX($R156:$AV156,1,31)))</f>
        <v>0</v>
      </c>
      <c r="BU156" s="258">
        <v>0</v>
      </c>
      <c r="BV156" s="258">
        <v>0</v>
      </c>
      <c r="BW156" s="258">
        <v>0</v>
      </c>
      <c r="BY156" s="258">
        <f t="shared" si="372"/>
        <v>0</v>
      </c>
      <c r="BZ156" s="258">
        <f t="shared" si="373"/>
        <v>0</v>
      </c>
      <c r="CA156" s="258">
        <f t="shared" si="374"/>
        <v>0</v>
      </c>
      <c r="CB156" s="258">
        <f t="shared" si="375"/>
        <v>0</v>
      </c>
      <c r="CD156" s="113"/>
      <c r="CE156" s="258">
        <f t="shared" si="429"/>
        <v>0</v>
      </c>
      <c r="CF156" s="258">
        <f t="shared" si="430"/>
        <v>0</v>
      </c>
      <c r="CG156" s="258">
        <f t="shared" si="431"/>
        <v>0</v>
      </c>
      <c r="CH156" s="258">
        <f t="shared" si="432"/>
        <v>0</v>
      </c>
      <c r="CI156" s="258">
        <f t="shared" si="433"/>
        <v>0</v>
      </c>
      <c r="CJ156" s="113"/>
      <c r="CK156" s="258">
        <f t="shared" ref="CK156:CN156" si="441">IFERROR(ROUND(BY156*$P156,2),"")</f>
        <v>0</v>
      </c>
      <c r="CL156" s="258">
        <f t="shared" si="441"/>
        <v>0</v>
      </c>
      <c r="CM156" s="258">
        <f t="shared" si="441"/>
        <v>0</v>
      </c>
      <c r="CN156" s="258">
        <f t="shared" si="441"/>
        <v>0</v>
      </c>
      <c r="CO156" s="258">
        <f t="shared" si="371"/>
        <v>0</v>
      </c>
    </row>
    <row r="157" ht="17.6" spans="2:95">
      <c r="B157" s="334" t="str">
        <f>_xlfn.XLOOKUP(G157,销售需求表!A:A,销售需求表!C:C)</f>
        <v>南美</v>
      </c>
      <c r="C157" s="335" t="str">
        <f t="shared" si="377"/>
        <v>22.5</v>
      </c>
      <c r="D157" s="334" t="str">
        <f t="shared" si="423"/>
        <v>南美22.5寸</v>
      </c>
      <c r="E157" s="339" t="str">
        <f t="shared" si="395"/>
        <v>275/80R22.5-16PR(149/146L)-G-PERFORM D</v>
      </c>
      <c r="F157" s="340" t="str">
        <f t="shared" si="417"/>
        <v>275/80R22.5-16PR-G-PERFORM D</v>
      </c>
      <c r="G157" s="341" t="s">
        <v>468</v>
      </c>
      <c r="H157" s="334">
        <v>1800</v>
      </c>
      <c r="I157" s="345">
        <v>4</v>
      </c>
      <c r="J157" s="346" t="str">
        <f t="shared" si="397"/>
        <v>275/80R22.5-G-PERFORM D</v>
      </c>
      <c r="K157" s="347" t="str">
        <f>_xlfn.XLOOKUP(F157,投产规格!E:E,投产规格!D:D,"未投产")</f>
        <v>✔</v>
      </c>
      <c r="L157" s="347">
        <f>IFERROR(_xlfn.XLOOKUP(F157,硫化工艺!B:B,硫化工艺!C:C),"")</f>
        <v>40</v>
      </c>
      <c r="M157" s="349">
        <f t="shared" si="424"/>
        <v>0.872727272727273</v>
      </c>
      <c r="N157" s="347" t="str">
        <f t="shared" si="333"/>
        <v>22.5全钢</v>
      </c>
      <c r="O157" s="347">
        <v>56.574</v>
      </c>
      <c r="P157" s="347">
        <f>IFERROR(_xlfn.XLOOKUP(G157,硫化工艺!I:I,硫化工艺!J:J),"")</f>
        <v>780.786132</v>
      </c>
      <c r="Q157" s="347">
        <f t="shared" si="384"/>
        <v>126</v>
      </c>
      <c r="R157" s="347">
        <v>120</v>
      </c>
      <c r="S157" s="347">
        <v>120</v>
      </c>
      <c r="T157" s="347">
        <v>120</v>
      </c>
      <c r="U157" s="347">
        <v>120</v>
      </c>
      <c r="V157" s="347">
        <v>120</v>
      </c>
      <c r="W157" s="347">
        <v>120</v>
      </c>
      <c r="X157" s="347">
        <v>120</v>
      </c>
      <c r="Y157" s="347">
        <v>120</v>
      </c>
      <c r="Z157" s="347">
        <v>120</v>
      </c>
      <c r="AA157" s="347">
        <v>120</v>
      </c>
      <c r="AB157" s="347">
        <v>120</v>
      </c>
      <c r="AC157" s="347">
        <v>120</v>
      </c>
      <c r="AD157" s="347">
        <v>120</v>
      </c>
      <c r="AE157" s="347">
        <v>120</v>
      </c>
      <c r="AF157" s="347">
        <v>120</v>
      </c>
      <c r="AG157" s="347">
        <v>120</v>
      </c>
      <c r="AH157" s="347"/>
      <c r="AI157" s="347"/>
      <c r="AJ157" s="347"/>
      <c r="AK157" s="347"/>
      <c r="AL157" s="347"/>
      <c r="AM157" s="347"/>
      <c r="AN157" s="347"/>
      <c r="AO157" s="347"/>
      <c r="AP157" s="347"/>
      <c r="AQ157" s="347"/>
      <c r="AR157" s="347"/>
      <c r="AS157" s="347"/>
      <c r="AT157" s="347"/>
      <c r="AU157" s="347"/>
      <c r="AV157" s="347"/>
      <c r="AW157" s="347">
        <f t="shared" si="425"/>
        <v>1920</v>
      </c>
      <c r="AX157" s="365">
        <f t="shared" si="426"/>
        <v>108.62208</v>
      </c>
      <c r="AY157" s="365">
        <f t="shared" si="427"/>
        <v>149.911</v>
      </c>
      <c r="AZ157" s="366">
        <v>536</v>
      </c>
      <c r="BA157" s="368">
        <v>34.09</v>
      </c>
      <c r="BB157" s="368">
        <v>54.99</v>
      </c>
      <c r="BC157" s="368">
        <v>58.18</v>
      </c>
      <c r="BE157" s="330">
        <f t="shared" si="435"/>
        <v>1029120</v>
      </c>
      <c r="BF157" s="330">
        <f t="shared" si="436"/>
        <v>65452.8</v>
      </c>
      <c r="BG157" s="330">
        <f t="shared" si="437"/>
        <v>105580.8</v>
      </c>
      <c r="BH157" s="330">
        <f t="shared" si="438"/>
        <v>111705.6</v>
      </c>
      <c r="BJ157" s="370" cm="1">
        <f t="array" ref="BJ157:BM157">_xlfn.LET(_xlpm.data,$R157:$AV157,_xlpm.starts,{1,8,16,23},_xlpm.lengths,{7,7,8,9},_xlpm.arr,_xlfn.MAP(_xlpm.starts,_xlpm.lengths,_xlfn.LAMBDA(_xlpm.s,_xlpm.l,SUM(INDEX(_xlpm.data,,_xlfn.SEQUENCE(,_xlpm.l,_xlpm.s))))),ROUND(_xlpm.arr*$O157/1000,2))</f>
        <v>47.52</v>
      </c>
      <c r="BK157" s="330">
        <v>47.52</v>
      </c>
      <c r="BL157" s="330">
        <v>6.79</v>
      </c>
      <c r="BM157" s="330">
        <v>0</v>
      </c>
      <c r="BN157" s="258">
        <f t="shared" si="428"/>
        <v>101.83</v>
      </c>
      <c r="BO157" s="258">
        <v>0</v>
      </c>
      <c r="BP157" s="258">
        <v>14.02</v>
      </c>
      <c r="BQ157" s="258">
        <v>56.07</v>
      </c>
      <c r="BR157" s="258">
        <v>63.08</v>
      </c>
      <c r="BT157" s="258" cm="1">
        <f ca="1" t="array" ref="BT157:BW157">_xlfn.HSTACK(SUM(INDEX($R157:$AV157,1,1):INDEX($R157:$AV157,1,7)),SUM(INDEX($R157:$AV157,1,7):INDEX($R157:$AV157,1,13)),SUM(INDEX($R157:$AV157,1,16):INDEX($R157:$AV157,1,23)),SUM(INDEX($R157:$AV157,1,23):INDEX($R157:$AV157,1,31)))</f>
        <v>840</v>
      </c>
      <c r="BU157" s="258">
        <v>840</v>
      </c>
      <c r="BV157" s="258">
        <v>120</v>
      </c>
      <c r="BW157" s="258">
        <v>0</v>
      </c>
      <c r="BY157" s="258">
        <f t="shared" si="372"/>
        <v>840</v>
      </c>
      <c r="BZ157" s="258">
        <f t="shared" si="373"/>
        <v>840</v>
      </c>
      <c r="CA157" s="258">
        <f t="shared" si="374"/>
        <v>240</v>
      </c>
      <c r="CB157" s="258">
        <f t="shared" si="375"/>
        <v>0</v>
      </c>
      <c r="CE157" s="258">
        <f t="shared" si="429"/>
        <v>47.52</v>
      </c>
      <c r="CF157" s="258">
        <f t="shared" si="430"/>
        <v>47.52</v>
      </c>
      <c r="CG157" s="258">
        <f t="shared" si="431"/>
        <v>13.58</v>
      </c>
      <c r="CH157" s="258">
        <f t="shared" si="432"/>
        <v>0</v>
      </c>
      <c r="CI157" s="258">
        <f t="shared" si="433"/>
        <v>108.62</v>
      </c>
      <c r="CK157" s="258">
        <f t="shared" ref="CK157:CN157" si="442">IFERROR(ROUND(BY157*$P157,2),"")</f>
        <v>655860.35</v>
      </c>
      <c r="CL157" s="258">
        <f t="shared" si="442"/>
        <v>655860.35</v>
      </c>
      <c r="CM157" s="258">
        <f t="shared" si="442"/>
        <v>187388.67</v>
      </c>
      <c r="CN157" s="258">
        <f t="shared" si="442"/>
        <v>0</v>
      </c>
      <c r="CO157" s="258">
        <f t="shared" si="371"/>
        <v>1499109.37</v>
      </c>
      <c r="CP157" s="258" t="e">
        <f>VLOOKUP(G157,[2]Sheet1!$C$3:$G$310,5,0)</f>
        <v>#N/A</v>
      </c>
      <c r="CQ157" s="258">
        <f>VLOOKUP(G157,[3]KCBB0101!$C$3:$F$691,4,0)</f>
        <v>6578</v>
      </c>
    </row>
    <row r="158" customFormat="1" ht="17.6" spans="1:95">
      <c r="A158" s="330"/>
      <c r="B158" s="334" t="str">
        <f>_xlfn.XLOOKUP(G158,销售需求表!A:A,销售需求表!C:C)</f>
        <v>南美</v>
      </c>
      <c r="C158" s="335" t="str">
        <f t="shared" si="377"/>
        <v>22.5</v>
      </c>
      <c r="D158" s="334" t="str">
        <f t="shared" si="423"/>
        <v>南美22.5寸</v>
      </c>
      <c r="E158" s="339" t="str">
        <f t="shared" si="395"/>
        <v>275/80R22.5-16PR(149/146L)-G-PRO MSA</v>
      </c>
      <c r="F158" s="340" t="str">
        <f t="shared" si="417"/>
        <v>275/80R22.5-16PR-G-PRO MSA</v>
      </c>
      <c r="G158" s="341" t="s">
        <v>469</v>
      </c>
      <c r="H158" s="334">
        <v>700</v>
      </c>
      <c r="I158" s="345">
        <v>2</v>
      </c>
      <c r="J158" s="346" t="str">
        <f t="shared" si="397"/>
        <v>275/80R22.5-G-PRO MSA</v>
      </c>
      <c r="K158" s="347" t="str">
        <f>_xlfn.XLOOKUP(F158,投产规格!E:E,投产规格!D:D,"未投产")</f>
        <v>✔</v>
      </c>
      <c r="L158" s="347">
        <f>IFERROR(_xlfn.XLOOKUP(F158,硫化工艺!B:B,硫化工艺!C:C),"")</f>
        <v>42</v>
      </c>
      <c r="M158" s="349">
        <f t="shared" si="424"/>
        <v>0.878048780487805</v>
      </c>
      <c r="N158" s="347" t="str">
        <f t="shared" si="333"/>
        <v>22.5全钢</v>
      </c>
      <c r="O158" s="347">
        <f>IFERROR(_xlfn.XLOOKUP(F158,轮胎重量!J:J,轮胎重量!G:G),"")</f>
        <v>55.104</v>
      </c>
      <c r="P158" s="347">
        <f>IFERROR(_xlfn.XLOOKUP(G158,硫化工艺!I:I,硫化工艺!J:J),"")</f>
        <v>807.891</v>
      </c>
      <c r="Q158" s="347">
        <f t="shared" si="384"/>
        <v>60</v>
      </c>
      <c r="R158" s="347">
        <v>60</v>
      </c>
      <c r="S158" s="347">
        <v>60</v>
      </c>
      <c r="T158" s="347">
        <v>60</v>
      </c>
      <c r="U158" s="347">
        <v>60</v>
      </c>
      <c r="V158" s="347">
        <v>60</v>
      </c>
      <c r="W158" s="347">
        <v>60</v>
      </c>
      <c r="X158" s="347">
        <v>60</v>
      </c>
      <c r="Y158" s="347"/>
      <c r="Z158" s="347"/>
      <c r="AA158" s="347"/>
      <c r="AB158" s="347"/>
      <c r="AC158" s="347"/>
      <c r="AD158" s="347"/>
      <c r="AE158" s="347"/>
      <c r="AF158" s="347"/>
      <c r="AG158" s="347"/>
      <c r="AH158" s="347"/>
      <c r="AI158" s="347"/>
      <c r="AJ158" s="347"/>
      <c r="AK158" s="347"/>
      <c r="AL158" s="347"/>
      <c r="AM158" s="347"/>
      <c r="AN158" s="347"/>
      <c r="AO158" s="347"/>
      <c r="AP158" s="347"/>
      <c r="AQ158" s="347"/>
      <c r="AR158" s="347"/>
      <c r="AS158" s="347"/>
      <c r="AT158" s="347"/>
      <c r="AU158" s="347"/>
      <c r="AV158" s="347"/>
      <c r="AW158" s="347">
        <f t="shared" si="425"/>
        <v>420</v>
      </c>
      <c r="AX158" s="365">
        <f t="shared" si="426"/>
        <v>23.14368</v>
      </c>
      <c r="AY158" s="365">
        <f t="shared" si="427"/>
        <v>33.931</v>
      </c>
      <c r="AZ158" s="366">
        <v>536</v>
      </c>
      <c r="BA158" s="368">
        <v>34.09</v>
      </c>
      <c r="BB158" s="368">
        <v>54.99</v>
      </c>
      <c r="BC158" s="368">
        <v>58.18</v>
      </c>
      <c r="BD158" s="330"/>
      <c r="BE158" s="330">
        <f t="shared" si="435"/>
        <v>225120</v>
      </c>
      <c r="BF158" s="330">
        <f t="shared" si="436"/>
        <v>14317.8</v>
      </c>
      <c r="BG158" s="330">
        <f t="shared" si="437"/>
        <v>23095.8</v>
      </c>
      <c r="BH158" s="330">
        <f t="shared" si="438"/>
        <v>24435.6</v>
      </c>
      <c r="BI158" s="330"/>
      <c r="BJ158" s="370" cm="1">
        <f t="array" ref="BJ158:BM158">_xlfn.LET(_xlpm.data,$R158:$AV158,_xlpm.starts,{1,8,16,23},_xlpm.lengths,{7,7,8,9},_xlpm.arr,_xlfn.MAP(_xlpm.starts,_xlpm.lengths,_xlfn.LAMBDA(_xlpm.s,_xlpm.l,SUM(INDEX(_xlpm.data,,_xlfn.SEQUENCE(,_xlpm.l,_xlpm.s))))),ROUND(_xlpm.arr*$O158/1000,2))</f>
        <v>23.14</v>
      </c>
      <c r="BK158" s="330">
        <v>0</v>
      </c>
      <c r="BL158" s="330">
        <v>0</v>
      </c>
      <c r="BM158" s="330">
        <v>0</v>
      </c>
      <c r="BN158" s="258">
        <f t="shared" si="428"/>
        <v>23.14</v>
      </c>
      <c r="BO158" s="258">
        <v>0</v>
      </c>
      <c r="BP158" s="258">
        <v>14.02</v>
      </c>
      <c r="BQ158" s="258">
        <v>56.07</v>
      </c>
      <c r="BR158" s="258">
        <v>63.08</v>
      </c>
      <c r="BS158" s="115"/>
      <c r="BT158" s="258" cm="1">
        <f ca="1" t="array" ref="BT158:BW158">_xlfn.HSTACK(SUM(INDEX($R158:$AV158,1,1):INDEX($R158:$AV158,1,7)),SUM(INDEX($R158:$AV158,1,7):INDEX($R158:$AV158,1,13)),SUM(INDEX($R158:$AV158,1,16):INDEX($R158:$AV158,1,23)),SUM(INDEX($R158:$AV158,1,23):INDEX($R158:$AV158,1,31)))</f>
        <v>420</v>
      </c>
      <c r="BU158" s="258">
        <v>60</v>
      </c>
      <c r="BV158" s="258">
        <v>0</v>
      </c>
      <c r="BW158" s="258">
        <v>0</v>
      </c>
      <c r="BY158" s="258">
        <f t="shared" si="372"/>
        <v>420</v>
      </c>
      <c r="BZ158" s="258">
        <f t="shared" si="373"/>
        <v>0</v>
      </c>
      <c r="CA158" s="258">
        <f t="shared" si="374"/>
        <v>0</v>
      </c>
      <c r="CB158" s="258">
        <f t="shared" si="375"/>
        <v>0</v>
      </c>
      <c r="CC158" s="258"/>
      <c r="CD158" s="113"/>
      <c r="CE158" s="258">
        <f t="shared" si="429"/>
        <v>23.14</v>
      </c>
      <c r="CF158" s="258">
        <f t="shared" si="430"/>
        <v>0</v>
      </c>
      <c r="CG158" s="258">
        <f t="shared" si="431"/>
        <v>0</v>
      </c>
      <c r="CH158" s="258">
        <f t="shared" si="432"/>
        <v>0</v>
      </c>
      <c r="CI158" s="258">
        <f t="shared" si="433"/>
        <v>23.14</v>
      </c>
      <c r="CJ158" s="113"/>
      <c r="CK158" s="258">
        <f t="shared" ref="CK158:CN158" si="443">IFERROR(ROUND(BY158*$P158,2),"")</f>
        <v>339314.22</v>
      </c>
      <c r="CL158" s="258">
        <f t="shared" si="443"/>
        <v>0</v>
      </c>
      <c r="CM158" s="258">
        <f t="shared" si="443"/>
        <v>0</v>
      </c>
      <c r="CN158" s="258">
        <f t="shared" si="443"/>
        <v>0</v>
      </c>
      <c r="CO158" s="258">
        <f t="shared" si="371"/>
        <v>339314.22</v>
      </c>
      <c r="CP158" s="258" t="e">
        <f>VLOOKUP(G158,[2]Sheet1!$C$3:$G$310,5,0)</f>
        <v>#N/A</v>
      </c>
      <c r="CQ158" s="258">
        <f>VLOOKUP(G158,[3]KCBB0101!$C$3:$F$691,4,0)</f>
        <v>6194</v>
      </c>
    </row>
    <row r="159" s="258" customFormat="1" ht="17.6" spans="1:95">
      <c r="A159" s="330"/>
      <c r="B159" s="334" t="str">
        <f>_xlfn.XLOOKUP(G159,销售需求表!A:A,销售需求表!C:C)</f>
        <v>南美</v>
      </c>
      <c r="C159" s="335" t="str">
        <f t="shared" si="377"/>
        <v>22.5</v>
      </c>
      <c r="D159" s="334" t="str">
        <f t="shared" ref="D159:D179" si="444">B159&amp;C159&amp;"寸"</f>
        <v>南美22.5寸</v>
      </c>
      <c r="E159" s="339" t="str">
        <f t="shared" si="395"/>
        <v>275/80R22.5-16PR(149/146M)-AD528</v>
      </c>
      <c r="F159" s="340" t="str">
        <f t="shared" si="417"/>
        <v>275/80R22.5-16PR-AD528</v>
      </c>
      <c r="G159" s="341" t="s">
        <v>470</v>
      </c>
      <c r="H159" s="334">
        <v>120</v>
      </c>
      <c r="I159" s="345"/>
      <c r="J159" s="346" t="str">
        <f t="shared" si="397"/>
        <v>275/80R22.5-AD528</v>
      </c>
      <c r="K159" s="347" t="str">
        <f>_xlfn.XLOOKUP(F159,投产规格!E:E,投产规格!D:D,"未投产")</f>
        <v>✔</v>
      </c>
      <c r="L159" s="347">
        <f>IFERROR(_xlfn.XLOOKUP(F159,硫化工艺!B:B,硫化工艺!C:C),"")</f>
        <v>42</v>
      </c>
      <c r="M159" s="349">
        <f t="shared" ref="M159:M179" si="445">IF(L159="","",L159/(L159+$L$1/60))</f>
        <v>0.878048780487805</v>
      </c>
      <c r="N159" s="347" t="str">
        <f t="shared" si="333"/>
        <v>22.5全钢</v>
      </c>
      <c r="O159" s="347">
        <f>IFERROR(_xlfn.XLOOKUP(F159,轮胎重量!J:J,轮胎重量!G:G),"")</f>
        <v>53.185</v>
      </c>
      <c r="P159" s="347">
        <f>IFERROR(_xlfn.XLOOKUP(G159,硫化工艺!I:I,硫化工艺!J:J),"")</f>
        <v>792.3258</v>
      </c>
      <c r="Q159" s="347">
        <f t="shared" si="384"/>
        <v>0</v>
      </c>
      <c r="R159" s="347"/>
      <c r="S159" s="347"/>
      <c r="T159" s="347"/>
      <c r="U159" s="347"/>
      <c r="V159" s="347"/>
      <c r="W159" s="347"/>
      <c r="X159" s="347"/>
      <c r="Y159" s="347"/>
      <c r="Z159" s="347"/>
      <c r="AA159" s="347"/>
      <c r="AB159" s="347"/>
      <c r="AC159" s="347"/>
      <c r="AD159" s="347"/>
      <c r="AE159" s="347"/>
      <c r="AF159" s="347"/>
      <c r="AG159" s="347"/>
      <c r="AH159" s="347">
        <v>60</v>
      </c>
      <c r="AI159" s="347">
        <v>60</v>
      </c>
      <c r="AJ159" s="347">
        <v>60</v>
      </c>
      <c r="AK159" s="347">
        <v>60</v>
      </c>
      <c r="AL159" s="347">
        <v>60</v>
      </c>
      <c r="AM159" s="347"/>
      <c r="AN159" s="347"/>
      <c r="AO159" s="347"/>
      <c r="AP159" s="347"/>
      <c r="AQ159" s="347"/>
      <c r="AR159" s="347"/>
      <c r="AS159" s="347"/>
      <c r="AT159" s="347"/>
      <c r="AU159" s="347"/>
      <c r="AV159" s="347"/>
      <c r="AW159" s="347">
        <f t="shared" ref="AW159:AW179" si="446">IF(SUM(R159:AV159)=0,"",SUM(R159:AV159))</f>
        <v>300</v>
      </c>
      <c r="AX159" s="365">
        <f t="shared" ref="AX159:AX179" si="447">IFERROR(AW159*O159/1000,"")</f>
        <v>15.9555</v>
      </c>
      <c r="AY159" s="365">
        <f t="shared" ref="AY159:AY179" si="448">IFERROR(ROUND(AW159*P159/10000,3),"")</f>
        <v>23.77</v>
      </c>
      <c r="AZ159" s="366">
        <v>536</v>
      </c>
      <c r="BA159" s="368">
        <v>34.09</v>
      </c>
      <c r="BB159" s="368">
        <v>54.99</v>
      </c>
      <c r="BC159" s="368">
        <v>58.18</v>
      </c>
      <c r="BD159" s="330"/>
      <c r="BE159" s="330">
        <f t="shared" si="435"/>
        <v>160800</v>
      </c>
      <c r="BF159" s="330">
        <f t="shared" si="436"/>
        <v>10227</v>
      </c>
      <c r="BG159" s="330">
        <f t="shared" si="437"/>
        <v>16497</v>
      </c>
      <c r="BH159" s="330">
        <f t="shared" si="438"/>
        <v>17454</v>
      </c>
      <c r="BI159" s="330"/>
      <c r="BJ159" s="370" cm="1">
        <f t="array" ref="BJ159:BM159">_xlfn.LET(_xlpm.data,$R159:$AV159,_xlpm.starts,{1,8,16,23},_xlpm.lengths,{7,7,8,9},_xlpm.arr,_xlfn.MAP(_xlpm.starts,_xlpm.lengths,_xlfn.LAMBDA(_xlpm.s,_xlpm.l,SUM(INDEX(_xlpm.data,,_xlfn.SEQUENCE(,_xlpm.l,_xlpm.s))))),ROUND(_xlpm.arr*$O159/1000,2))</f>
        <v>0</v>
      </c>
      <c r="BK159" s="330">
        <v>0</v>
      </c>
      <c r="BL159" s="330">
        <v>15.96</v>
      </c>
      <c r="BM159" s="330">
        <v>0</v>
      </c>
      <c r="BN159" s="258">
        <f t="shared" ref="BN159:BN179" si="449">SUM(BJ159:BM159)</f>
        <v>15.96</v>
      </c>
      <c r="BO159" s="258">
        <v>0</v>
      </c>
      <c r="BP159" s="258">
        <v>14.02</v>
      </c>
      <c r="BQ159" s="258">
        <v>56.07</v>
      </c>
      <c r="BR159" s="258">
        <v>63.08</v>
      </c>
      <c r="BS159" s="115"/>
      <c r="BT159" s="258" cm="1">
        <f ca="1" t="array" ref="BT159:BW159">_xlfn.HSTACK(SUM(INDEX($R159:$AV159,1,1):INDEX($R159:$AV159,1,7)),SUM(INDEX($R159:$AV159,1,7):INDEX($R159:$AV159,1,13)),SUM(INDEX($R159:$AV159,1,16):INDEX($R159:$AV159,1,23)),SUM(INDEX($R159:$AV159,1,23):INDEX($R159:$AV159,1,31)))</f>
        <v>0</v>
      </c>
      <c r="BU159" s="258">
        <v>0</v>
      </c>
      <c r="BV159" s="258">
        <v>300</v>
      </c>
      <c r="BW159" s="258">
        <v>0</v>
      </c>
      <c r="BY159" s="258">
        <f t="shared" si="372"/>
        <v>0</v>
      </c>
      <c r="BZ159" s="258">
        <f t="shared" si="373"/>
        <v>0</v>
      </c>
      <c r="CA159" s="258">
        <f t="shared" si="374"/>
        <v>300</v>
      </c>
      <c r="CB159" s="258">
        <f t="shared" si="375"/>
        <v>0</v>
      </c>
      <c r="CD159" s="113"/>
      <c r="CE159" s="258">
        <f t="shared" ref="CE159:CE179" si="450">ROUND(BY159*$O159/1000,2)</f>
        <v>0</v>
      </c>
      <c r="CF159" s="258">
        <f t="shared" ref="CF159:CF179" si="451">ROUND(BZ159*$O159/1000,2)</f>
        <v>0</v>
      </c>
      <c r="CG159" s="258">
        <f t="shared" ref="CG159:CG179" si="452">ROUND(CA159*$O159/1000,2)</f>
        <v>15.96</v>
      </c>
      <c r="CH159" s="258">
        <f t="shared" ref="CH159:CH179" si="453">ROUND(CB159*$O159/1000,2)</f>
        <v>0</v>
      </c>
      <c r="CI159" s="258">
        <f t="shared" ref="CI159:CI179" si="454">SUM(CE159:CH159)</f>
        <v>15.96</v>
      </c>
      <c r="CJ159" s="113"/>
      <c r="CK159" s="258">
        <f t="shared" ref="CK159:CN159" si="455">IFERROR(ROUND(BY159*$P159,2),"")</f>
        <v>0</v>
      </c>
      <c r="CL159" s="258">
        <f t="shared" si="455"/>
        <v>0</v>
      </c>
      <c r="CM159" s="258">
        <f t="shared" si="455"/>
        <v>237697.74</v>
      </c>
      <c r="CN159" s="258">
        <f t="shared" si="455"/>
        <v>0</v>
      </c>
      <c r="CO159" s="258">
        <f t="shared" si="371"/>
        <v>237697.74</v>
      </c>
      <c r="CP159" s="258" t="e">
        <f>VLOOKUP(G159,[2]Sheet1!$C$3:$G$310,5,0)</f>
        <v>#N/A</v>
      </c>
      <c r="CQ159" s="258">
        <f>VLOOKUP(G159,[3]KCBB0101!$C$3:$F$691,4,0)</f>
        <v>3000</v>
      </c>
    </row>
    <row r="160" ht="17.6" spans="2:95">
      <c r="B160" s="334" t="str">
        <f>_xlfn.XLOOKUP(G160,销售需求表!A:A,销售需求表!C:C)</f>
        <v>南美</v>
      </c>
      <c r="C160" s="335" t="str">
        <f t="shared" si="377"/>
        <v>22.5</v>
      </c>
      <c r="D160" s="334" t="str">
        <f t="shared" si="444"/>
        <v>南美22.5寸</v>
      </c>
      <c r="E160" s="339" t="str">
        <f t="shared" si="395"/>
        <v>275/80R22.5-16PR(149/146M)-AD528</v>
      </c>
      <c r="F160" s="340" t="str">
        <f t="shared" si="417"/>
        <v>275/80R22.5-16PR-AD528</v>
      </c>
      <c r="G160" s="341" t="s">
        <v>471</v>
      </c>
      <c r="H160" s="334">
        <v>120</v>
      </c>
      <c r="I160" s="345"/>
      <c r="J160" s="346" t="str">
        <f t="shared" si="397"/>
        <v>275/80R22.5-AD528</v>
      </c>
      <c r="K160" s="347" t="str">
        <f>_xlfn.XLOOKUP(F160,投产规格!E:E,投产规格!D:D,"未投产")</f>
        <v>✔</v>
      </c>
      <c r="L160" s="347">
        <f>IFERROR(_xlfn.XLOOKUP(F160,硫化工艺!B:B,硫化工艺!C:C),"")</f>
        <v>42</v>
      </c>
      <c r="M160" s="349">
        <f t="shared" si="445"/>
        <v>0.878048780487805</v>
      </c>
      <c r="N160" s="347" t="str">
        <f t="shared" si="333"/>
        <v>22.5全钢</v>
      </c>
      <c r="O160" s="347">
        <f>IFERROR(_xlfn.XLOOKUP(F160,轮胎重量!J:J,轮胎重量!G:G),"")</f>
        <v>53.185</v>
      </c>
      <c r="P160" s="347">
        <f>IFERROR(_xlfn.XLOOKUP(G160,硫化工艺!I:I,硫化工艺!J:J),"")</f>
        <v>789.8506</v>
      </c>
      <c r="Q160" s="347">
        <f t="shared" si="384"/>
        <v>0</v>
      </c>
      <c r="R160" s="347"/>
      <c r="S160" s="347"/>
      <c r="T160" s="347"/>
      <c r="U160" s="347"/>
      <c r="V160" s="347"/>
      <c r="W160" s="347"/>
      <c r="X160" s="347"/>
      <c r="Y160" s="347"/>
      <c r="Z160" s="347"/>
      <c r="AA160" s="347"/>
      <c r="AB160" s="347"/>
      <c r="AC160" s="347"/>
      <c r="AD160" s="347"/>
      <c r="AE160" s="347"/>
      <c r="AF160" s="347"/>
      <c r="AG160" s="347"/>
      <c r="AH160" s="347">
        <v>60</v>
      </c>
      <c r="AI160" s="347">
        <v>60</v>
      </c>
      <c r="AJ160" s="347">
        <v>60</v>
      </c>
      <c r="AK160" s="347">
        <v>60</v>
      </c>
      <c r="AL160" s="347">
        <v>60</v>
      </c>
      <c r="AM160" s="347"/>
      <c r="AN160" s="347"/>
      <c r="AO160" s="347"/>
      <c r="AP160" s="347"/>
      <c r="AQ160" s="347"/>
      <c r="AR160" s="347"/>
      <c r="AS160" s="347"/>
      <c r="AT160" s="347"/>
      <c r="AU160" s="347"/>
      <c r="AV160" s="347"/>
      <c r="AW160" s="347">
        <f t="shared" si="446"/>
        <v>300</v>
      </c>
      <c r="AX160" s="365">
        <f t="shared" si="447"/>
        <v>15.9555</v>
      </c>
      <c r="AY160" s="365">
        <f t="shared" si="448"/>
        <v>23.696</v>
      </c>
      <c r="AZ160" s="366">
        <v>571.43</v>
      </c>
      <c r="BA160" s="368">
        <v>35.3</v>
      </c>
      <c r="BB160" s="368">
        <v>56.33</v>
      </c>
      <c r="BC160" s="368">
        <v>60.34</v>
      </c>
      <c r="BE160" s="330">
        <f t="shared" si="435"/>
        <v>171429</v>
      </c>
      <c r="BF160" s="330">
        <f t="shared" si="436"/>
        <v>10590</v>
      </c>
      <c r="BG160" s="330">
        <f t="shared" si="437"/>
        <v>16899</v>
      </c>
      <c r="BH160" s="330">
        <f t="shared" si="438"/>
        <v>18102</v>
      </c>
      <c r="BJ160" s="370" cm="1">
        <f t="array" ref="BJ160:BM160">_xlfn.LET(_xlpm.data,$R160:$AV160,_xlpm.starts,{1,8,16,23},_xlpm.lengths,{7,7,8,9},_xlpm.arr,_xlfn.MAP(_xlpm.starts,_xlpm.lengths,_xlfn.LAMBDA(_xlpm.s,_xlpm.l,SUM(INDEX(_xlpm.data,,_xlfn.SEQUENCE(,_xlpm.l,_xlpm.s))))),ROUND(_xlpm.arr*$O160/1000,2))</f>
        <v>0</v>
      </c>
      <c r="BK160" s="330">
        <v>0</v>
      </c>
      <c r="BL160" s="330">
        <v>15.96</v>
      </c>
      <c r="BM160" s="330">
        <v>0</v>
      </c>
      <c r="BN160" s="258">
        <f t="shared" si="449"/>
        <v>15.96</v>
      </c>
      <c r="BO160" s="258">
        <v>0</v>
      </c>
      <c r="BP160" s="258">
        <v>0</v>
      </c>
      <c r="BQ160" s="258">
        <v>0</v>
      </c>
      <c r="BR160" s="258">
        <v>0</v>
      </c>
      <c r="BT160" s="258" cm="1">
        <f ca="1" t="array" ref="BT160:BW160">_xlfn.HSTACK(SUM(INDEX($R160:$AV160,1,1):INDEX($R160:$AV160,1,7)),SUM(INDEX($R160:$AV160,1,7):INDEX($R160:$AV160,1,13)),SUM(INDEX($R160:$AV160,1,16):INDEX($R160:$AV160,1,23)),SUM(INDEX($R160:$AV160,1,23):INDEX($R160:$AV160,1,31)))</f>
        <v>0</v>
      </c>
      <c r="BU160" s="258">
        <v>0</v>
      </c>
      <c r="BV160" s="258">
        <v>300</v>
      </c>
      <c r="BW160" s="258">
        <v>0</v>
      </c>
      <c r="BY160" s="258">
        <f t="shared" si="372"/>
        <v>0</v>
      </c>
      <c r="BZ160" s="258">
        <f t="shared" si="373"/>
        <v>0</v>
      </c>
      <c r="CA160" s="258">
        <f t="shared" si="374"/>
        <v>300</v>
      </c>
      <c r="CB160" s="258">
        <f t="shared" si="375"/>
        <v>0</v>
      </c>
      <c r="CE160" s="258">
        <f t="shared" si="450"/>
        <v>0</v>
      </c>
      <c r="CF160" s="258">
        <f t="shared" si="451"/>
        <v>0</v>
      </c>
      <c r="CG160" s="258">
        <f t="shared" si="452"/>
        <v>15.96</v>
      </c>
      <c r="CH160" s="258">
        <f t="shared" si="453"/>
        <v>0</v>
      </c>
      <c r="CI160" s="258">
        <f t="shared" si="454"/>
        <v>15.96</v>
      </c>
      <c r="CK160" s="258">
        <f t="shared" ref="CK160:CN160" si="456">IFERROR(ROUND(BY160*$P160,2),"")</f>
        <v>0</v>
      </c>
      <c r="CL160" s="258">
        <f t="shared" si="456"/>
        <v>0</v>
      </c>
      <c r="CM160" s="258">
        <f t="shared" si="456"/>
        <v>236955.18</v>
      </c>
      <c r="CN160" s="258">
        <f t="shared" si="456"/>
        <v>0</v>
      </c>
      <c r="CO160" s="258">
        <f t="shared" si="371"/>
        <v>236955.18</v>
      </c>
      <c r="CP160" s="258">
        <f>VLOOKUP(G160,[2]Sheet1!$C$3:$G$310,5,0)</f>
        <v>4500</v>
      </c>
      <c r="CQ160" s="258" t="e">
        <f>VLOOKUP(G160,[3]KCBB0101!$C$3:$F$691,4,0)</f>
        <v>#N/A</v>
      </c>
    </row>
    <row r="161" ht="17.6" spans="2:95">
      <c r="B161" s="334" t="str">
        <f>_xlfn.XLOOKUP(G161,销售需求表!A:A,销售需求表!C:C)</f>
        <v>南美</v>
      </c>
      <c r="C161" s="335" t="str">
        <f t="shared" si="377"/>
        <v>22.5</v>
      </c>
      <c r="D161" s="334" t="str">
        <f t="shared" si="444"/>
        <v>南美22.5寸</v>
      </c>
      <c r="E161" s="339" t="str">
        <f t="shared" si="395"/>
        <v>275/80R22.5-16PR(149/146M)-AD528</v>
      </c>
      <c r="F161" s="340" t="str">
        <f t="shared" si="417"/>
        <v>275/80R22.5-16PR-AD528</v>
      </c>
      <c r="G161" s="341" t="s">
        <v>472</v>
      </c>
      <c r="H161" s="334">
        <v>120</v>
      </c>
      <c r="I161" s="345"/>
      <c r="J161" s="346" t="str">
        <f t="shared" si="397"/>
        <v>275/80R22.5-AD528</v>
      </c>
      <c r="K161" s="347" t="str">
        <f>_xlfn.XLOOKUP(F161,投产规格!E:E,投产规格!D:D,"未投产")</f>
        <v>✔</v>
      </c>
      <c r="L161" s="347">
        <f>IFERROR(_xlfn.XLOOKUP(F161,硫化工艺!B:B,硫化工艺!C:C),"")</f>
        <v>42</v>
      </c>
      <c r="M161" s="349">
        <f t="shared" si="445"/>
        <v>0.878048780487805</v>
      </c>
      <c r="N161" s="347" t="str">
        <f t="shared" si="333"/>
        <v>22.5全钢</v>
      </c>
      <c r="O161" s="347">
        <f>IFERROR(_xlfn.XLOOKUP(F161,轮胎重量!J:J,轮胎重量!G:G),"")</f>
        <v>53.185</v>
      </c>
      <c r="P161" s="350">
        <f t="shared" ref="P161:P165" si="457">O161*13.9</f>
        <v>739.2715</v>
      </c>
      <c r="Q161" s="347">
        <f t="shared" si="384"/>
        <v>0</v>
      </c>
      <c r="R161" s="347"/>
      <c r="S161" s="347"/>
      <c r="T161" s="347"/>
      <c r="U161" s="347"/>
      <c r="V161" s="347"/>
      <c r="W161" s="347"/>
      <c r="X161" s="347"/>
      <c r="Y161" s="347"/>
      <c r="Z161" s="347"/>
      <c r="AA161" s="347"/>
      <c r="AB161" s="347"/>
      <c r="AC161" s="347"/>
      <c r="AD161" s="347"/>
      <c r="AE161" s="347"/>
      <c r="AF161" s="347"/>
      <c r="AG161" s="347"/>
      <c r="AH161" s="347"/>
      <c r="AI161" s="347"/>
      <c r="AJ161" s="347"/>
      <c r="AK161" s="347"/>
      <c r="AL161" s="347"/>
      <c r="AM161" s="347">
        <v>120</v>
      </c>
      <c r="AN161" s="347">
        <v>120</v>
      </c>
      <c r="AO161" s="347">
        <v>120</v>
      </c>
      <c r="AP161" s="347">
        <v>120</v>
      </c>
      <c r="AQ161" s="347"/>
      <c r="AR161" s="347"/>
      <c r="AS161" s="347"/>
      <c r="AT161" s="347"/>
      <c r="AU161" s="347"/>
      <c r="AV161" s="347"/>
      <c r="AW161" s="347">
        <f t="shared" si="446"/>
        <v>480</v>
      </c>
      <c r="AX161" s="365">
        <f t="shared" si="447"/>
        <v>25.5288</v>
      </c>
      <c r="AY161" s="365">
        <f t="shared" si="448"/>
        <v>35.485</v>
      </c>
      <c r="AZ161" s="366">
        <v>525.88</v>
      </c>
      <c r="BA161" s="368">
        <v>33.46</v>
      </c>
      <c r="BB161" s="368">
        <v>54.3</v>
      </c>
      <c r="BC161" s="368">
        <v>57.57</v>
      </c>
      <c r="BE161" s="330">
        <f t="shared" si="435"/>
        <v>252422.4</v>
      </c>
      <c r="BF161" s="330">
        <f t="shared" si="436"/>
        <v>16060.8</v>
      </c>
      <c r="BG161" s="330">
        <f t="shared" si="437"/>
        <v>26064</v>
      </c>
      <c r="BH161" s="330">
        <f t="shared" si="438"/>
        <v>27633.6</v>
      </c>
      <c r="BJ161" s="370" cm="1">
        <f t="array" ref="BJ161:BM161">_xlfn.LET(_xlpm.data,$R161:$AV161,_xlpm.starts,{1,8,16,23},_xlpm.lengths,{7,7,8,9},_xlpm.arr,_xlfn.MAP(_xlpm.starts,_xlpm.lengths,_xlfn.LAMBDA(_xlpm.s,_xlpm.l,SUM(INDEX(_xlpm.data,,_xlfn.SEQUENCE(,_xlpm.l,_xlpm.s))))),ROUND(_xlpm.arr*$O161/1000,2))</f>
        <v>0</v>
      </c>
      <c r="BK161" s="330">
        <v>0</v>
      </c>
      <c r="BL161" s="330">
        <v>12.76</v>
      </c>
      <c r="BM161" s="330">
        <v>19.15</v>
      </c>
      <c r="BN161" s="258">
        <f t="shared" si="449"/>
        <v>31.91</v>
      </c>
      <c r="BO161" s="258">
        <v>0</v>
      </c>
      <c r="BP161" s="258">
        <v>0</v>
      </c>
      <c r="BQ161" s="258">
        <v>0</v>
      </c>
      <c r="BR161" s="258">
        <v>0</v>
      </c>
      <c r="BT161" s="258" cm="1">
        <f ca="1" t="array" ref="BT161:BW161">_xlfn.HSTACK(SUM(INDEX($R161:$AV161,1,1):INDEX($R161:$AV161,1,7)),SUM(INDEX($R161:$AV161,1,7):INDEX($R161:$AV161,1,13)),SUM(INDEX($R161:$AV161,1,16):INDEX($R161:$AV161,1,23)),SUM(INDEX($R161:$AV161,1,23):INDEX($R161:$AV161,1,31)))</f>
        <v>0</v>
      </c>
      <c r="BU161" s="258">
        <v>0</v>
      </c>
      <c r="BV161" s="258">
        <v>240</v>
      </c>
      <c r="BW161" s="258">
        <v>360</v>
      </c>
      <c r="BY161" s="258">
        <f t="shared" si="372"/>
        <v>0</v>
      </c>
      <c r="BZ161" s="258">
        <f t="shared" si="373"/>
        <v>0</v>
      </c>
      <c r="CA161" s="258">
        <f t="shared" si="374"/>
        <v>120</v>
      </c>
      <c r="CB161" s="258">
        <f t="shared" si="375"/>
        <v>360</v>
      </c>
      <c r="CE161" s="258">
        <f t="shared" si="450"/>
        <v>0</v>
      </c>
      <c r="CF161" s="258">
        <f t="shared" si="451"/>
        <v>0</v>
      </c>
      <c r="CG161" s="258">
        <f t="shared" si="452"/>
        <v>6.38</v>
      </c>
      <c r="CH161" s="258">
        <f t="shared" si="453"/>
        <v>19.15</v>
      </c>
      <c r="CI161" s="258">
        <f t="shared" si="454"/>
        <v>25.53</v>
      </c>
      <c r="CK161" s="258">
        <f t="shared" ref="CK161:CN161" si="458">IFERROR(ROUND(BY161*$P161,2),"")</f>
        <v>0</v>
      </c>
      <c r="CL161" s="258">
        <f t="shared" si="458"/>
        <v>0</v>
      </c>
      <c r="CM161" s="258">
        <f t="shared" si="458"/>
        <v>88712.58</v>
      </c>
      <c r="CN161" s="258">
        <f t="shared" si="458"/>
        <v>266137.74</v>
      </c>
      <c r="CO161" s="258">
        <f t="shared" si="371"/>
        <v>354850.32</v>
      </c>
      <c r="CP161" s="258" t="e">
        <f>VLOOKUP(G161,[2]Sheet1!$C$3:$G$310,5,0)</f>
        <v>#N/A</v>
      </c>
      <c r="CQ161" s="258">
        <f>VLOOKUP(G161,[3]KCBB0101!$C$3:$F$691,4,0)</f>
        <v>8000</v>
      </c>
    </row>
    <row r="162" s="258" customFormat="1" ht="17.6" spans="1:95">
      <c r="A162" s="330"/>
      <c r="B162" s="334" t="str">
        <f>_xlfn.XLOOKUP(G162,销售需求表!A:A,销售需求表!C:C)</f>
        <v>南美</v>
      </c>
      <c r="C162" s="335" t="str">
        <f t="shared" si="377"/>
        <v>22.5</v>
      </c>
      <c r="D162" s="334" t="str">
        <f t="shared" si="444"/>
        <v>南美22.5寸</v>
      </c>
      <c r="E162" s="339" t="str">
        <f t="shared" si="395"/>
        <v>275/80R22.5-16PR(149/146M)-AS678</v>
      </c>
      <c r="F162" s="340" t="str">
        <f t="shared" si="417"/>
        <v>275/80R22.5-16PR-AS678</v>
      </c>
      <c r="G162" s="341" t="s">
        <v>473</v>
      </c>
      <c r="H162" s="334">
        <v>1600</v>
      </c>
      <c r="I162" s="345"/>
      <c r="J162" s="346" t="str">
        <f t="shared" si="397"/>
        <v>275/80R22.5-AS678</v>
      </c>
      <c r="K162" s="347" t="str">
        <f>_xlfn.XLOOKUP(F162,投产规格!E:E,投产规格!D:D,"未投产")</f>
        <v>✔</v>
      </c>
      <c r="L162" s="347">
        <f>IFERROR(_xlfn.XLOOKUP(F162,硫化工艺!B:B,硫化工艺!C:C),"")</f>
        <v>42</v>
      </c>
      <c r="M162" s="349">
        <f t="shared" si="445"/>
        <v>0.878048780487805</v>
      </c>
      <c r="N162" s="347" t="str">
        <f t="shared" si="333"/>
        <v>22.5全钢</v>
      </c>
      <c r="O162" s="347">
        <f>IFERROR(_xlfn.XLOOKUP(F162,轮胎重量!J:J,轮胎重量!G:G),"")</f>
        <v>50.643</v>
      </c>
      <c r="P162" s="347">
        <f>IFERROR(_xlfn.XLOOKUP(G162,硫化工艺!I:I,硫化工艺!J:J),"")</f>
        <v>744.268853</v>
      </c>
      <c r="Q162" s="347">
        <f t="shared" si="384"/>
        <v>0</v>
      </c>
      <c r="R162" s="347"/>
      <c r="S162" s="347"/>
      <c r="T162" s="347"/>
      <c r="U162" s="347"/>
      <c r="V162" s="347"/>
      <c r="W162" s="347"/>
      <c r="X162" s="347"/>
      <c r="Y162" s="347"/>
      <c r="Z162" s="347"/>
      <c r="AA162" s="347"/>
      <c r="AB162" s="347"/>
      <c r="AC162" s="347"/>
      <c r="AD162" s="347"/>
      <c r="AE162" s="347"/>
      <c r="AF162" s="347"/>
      <c r="AG162" s="347"/>
      <c r="AH162" s="347"/>
      <c r="AI162" s="347">
        <v>60</v>
      </c>
      <c r="AJ162" s="347">
        <v>60</v>
      </c>
      <c r="AK162" s="347">
        <v>60</v>
      </c>
      <c r="AL162" s="347">
        <v>60</v>
      </c>
      <c r="AM162" s="347">
        <v>60</v>
      </c>
      <c r="AN162" s="347">
        <v>60</v>
      </c>
      <c r="AO162" s="347">
        <v>60</v>
      </c>
      <c r="AP162" s="347">
        <v>60</v>
      </c>
      <c r="AQ162" s="347">
        <v>60</v>
      </c>
      <c r="AR162" s="347">
        <v>60</v>
      </c>
      <c r="AS162" s="347">
        <v>60</v>
      </c>
      <c r="AT162" s="347">
        <v>60</v>
      </c>
      <c r="AU162" s="347">
        <v>60</v>
      </c>
      <c r="AV162" s="347">
        <v>60</v>
      </c>
      <c r="AW162" s="347">
        <f t="shared" si="446"/>
        <v>840</v>
      </c>
      <c r="AX162" s="365">
        <f t="shared" si="447"/>
        <v>42.54012</v>
      </c>
      <c r="AY162" s="365">
        <f t="shared" si="448"/>
        <v>62.519</v>
      </c>
      <c r="AZ162" s="366">
        <v>525.88</v>
      </c>
      <c r="BA162" s="368">
        <v>33.46</v>
      </c>
      <c r="BB162" s="368">
        <v>54.3</v>
      </c>
      <c r="BC162" s="368">
        <v>57.57</v>
      </c>
      <c r="BD162" s="330"/>
      <c r="BE162" s="330">
        <f t="shared" si="435"/>
        <v>441739.2</v>
      </c>
      <c r="BF162" s="330">
        <f t="shared" si="436"/>
        <v>28106.4</v>
      </c>
      <c r="BG162" s="330">
        <f t="shared" si="437"/>
        <v>45612</v>
      </c>
      <c r="BH162" s="330">
        <f t="shared" si="438"/>
        <v>48358.8</v>
      </c>
      <c r="BI162" s="330"/>
      <c r="BJ162" s="370" cm="1">
        <f t="array" ref="BJ162:BM162">_xlfn.LET(_xlpm.data,$R162:$AV162,_xlpm.starts,{1,8,16,23},_xlpm.lengths,{7,7,8,9},_xlpm.arr,_xlfn.MAP(_xlpm.starts,_xlpm.lengths,_xlfn.LAMBDA(_xlpm.s,_xlpm.l,SUM(INDEX(_xlpm.data,,_xlfn.SEQUENCE(,_xlpm.l,_xlpm.s))))),ROUND(_xlpm.arr*$O162/1000,2))</f>
        <v>0</v>
      </c>
      <c r="BK162" s="330">
        <v>0</v>
      </c>
      <c r="BL162" s="330">
        <v>18.23</v>
      </c>
      <c r="BM162" s="330">
        <v>27.35</v>
      </c>
      <c r="BN162" s="258">
        <f t="shared" si="449"/>
        <v>45.58</v>
      </c>
      <c r="BO162" s="258">
        <v>0</v>
      </c>
      <c r="BP162" s="258">
        <v>0</v>
      </c>
      <c r="BQ162" s="258">
        <v>0</v>
      </c>
      <c r="BR162" s="258">
        <v>0</v>
      </c>
      <c r="BS162" s="115"/>
      <c r="BT162" s="258" cm="1">
        <f ca="1" t="array" ref="BT162:BW162">_xlfn.HSTACK(SUM(INDEX($R162:$AV162,1,1):INDEX($R162:$AV162,1,7)),SUM(INDEX($R162:$AV162,1,7):INDEX($R162:$AV162,1,13)),SUM(INDEX($R162:$AV162,1,16):INDEX($R162:$AV162,1,23)),SUM(INDEX($R162:$AV162,1,23):INDEX($R162:$AV162,1,31)))</f>
        <v>0</v>
      </c>
      <c r="BU162" s="258">
        <v>0</v>
      </c>
      <c r="BV162" s="258">
        <v>360</v>
      </c>
      <c r="BW162" s="258">
        <v>540</v>
      </c>
      <c r="BY162" s="258">
        <f t="shared" si="372"/>
        <v>0</v>
      </c>
      <c r="BZ162" s="258">
        <f t="shared" si="373"/>
        <v>0</v>
      </c>
      <c r="CA162" s="258">
        <f t="shared" si="374"/>
        <v>300</v>
      </c>
      <c r="CB162" s="258">
        <f t="shared" si="375"/>
        <v>540</v>
      </c>
      <c r="CD162" s="113"/>
      <c r="CE162" s="258">
        <f t="shared" si="450"/>
        <v>0</v>
      </c>
      <c r="CF162" s="258">
        <f t="shared" si="451"/>
        <v>0</v>
      </c>
      <c r="CG162" s="258">
        <f t="shared" si="452"/>
        <v>15.19</v>
      </c>
      <c r="CH162" s="258">
        <f t="shared" si="453"/>
        <v>27.35</v>
      </c>
      <c r="CI162" s="258">
        <f t="shared" si="454"/>
        <v>42.54</v>
      </c>
      <c r="CJ162" s="113"/>
      <c r="CK162" s="258">
        <f t="shared" ref="CK162:CN162" si="459">IFERROR(ROUND(BY162*$P162,2),"")</f>
        <v>0</v>
      </c>
      <c r="CL162" s="258">
        <f t="shared" si="459"/>
        <v>0</v>
      </c>
      <c r="CM162" s="258">
        <f t="shared" si="459"/>
        <v>223280.66</v>
      </c>
      <c r="CN162" s="258">
        <f t="shared" si="459"/>
        <v>401905.18</v>
      </c>
      <c r="CO162" s="258">
        <f t="shared" si="371"/>
        <v>625185.84</v>
      </c>
      <c r="CP162" s="258" t="e">
        <f>VLOOKUP(G162,[2]Sheet1!$C$3:$G$310,5,0)</f>
        <v>#N/A</v>
      </c>
      <c r="CQ162" s="258">
        <f>VLOOKUP(G162,[3]KCBB0101!$C$3:$F$691,4,0)</f>
        <v>7000</v>
      </c>
    </row>
    <row r="163" s="258" customFormat="1" ht="17.6" spans="1:95">
      <c r="A163" s="330"/>
      <c r="B163" s="334" t="str">
        <f>_xlfn.XLOOKUP(G163,销售需求表!A:A,销售需求表!C:C)</f>
        <v>南美</v>
      </c>
      <c r="C163" s="335" t="str">
        <f t="shared" si="377"/>
        <v>22.5</v>
      </c>
      <c r="D163" s="334" t="str">
        <f t="shared" si="444"/>
        <v>南美22.5寸</v>
      </c>
      <c r="E163" s="339" t="str">
        <f t="shared" si="395"/>
        <v>275/80R22.5-16PR(149/146M)-AS678</v>
      </c>
      <c r="F163" s="340" t="str">
        <f t="shared" si="417"/>
        <v>275/80R22.5-16PR-AS678</v>
      </c>
      <c r="G163" s="341" t="s">
        <v>474</v>
      </c>
      <c r="H163" s="334">
        <v>1100</v>
      </c>
      <c r="I163" s="345">
        <v>2</v>
      </c>
      <c r="J163" s="346" t="str">
        <f t="shared" si="397"/>
        <v>275/80R22.5-AS678</v>
      </c>
      <c r="K163" s="347" t="str">
        <f>_xlfn.XLOOKUP(F163,投产规格!E:E,投产规格!D:D,"未投产")</f>
        <v>✔</v>
      </c>
      <c r="L163" s="347">
        <f>IFERROR(_xlfn.XLOOKUP(F163,硫化工艺!B:B,硫化工艺!C:C),"")</f>
        <v>42</v>
      </c>
      <c r="M163" s="349">
        <f t="shared" si="445"/>
        <v>0.878048780487805</v>
      </c>
      <c r="N163" s="347" t="str">
        <f t="shared" si="333"/>
        <v>22.5全钢</v>
      </c>
      <c r="O163" s="347">
        <f>IFERROR(_xlfn.XLOOKUP(F163,轮胎重量!J:J,轮胎重量!G:G),"")</f>
        <v>50.643</v>
      </c>
      <c r="P163" s="350">
        <f t="shared" si="457"/>
        <v>703.9377</v>
      </c>
      <c r="Q163" s="347">
        <f t="shared" si="384"/>
        <v>60</v>
      </c>
      <c r="R163" s="347">
        <v>60</v>
      </c>
      <c r="S163" s="347">
        <v>60</v>
      </c>
      <c r="T163" s="347">
        <v>60</v>
      </c>
      <c r="U163" s="347">
        <v>60</v>
      </c>
      <c r="V163" s="347">
        <v>60</v>
      </c>
      <c r="W163" s="347">
        <v>60</v>
      </c>
      <c r="X163" s="347">
        <v>60</v>
      </c>
      <c r="Y163" s="347">
        <v>60</v>
      </c>
      <c r="Z163" s="347">
        <v>60</v>
      </c>
      <c r="AA163" s="347">
        <v>60</v>
      </c>
      <c r="AB163" s="347">
        <v>60</v>
      </c>
      <c r="AC163" s="347">
        <v>60</v>
      </c>
      <c r="AD163" s="347">
        <v>60</v>
      </c>
      <c r="AE163" s="347">
        <v>60</v>
      </c>
      <c r="AF163" s="347">
        <v>60</v>
      </c>
      <c r="AG163" s="347">
        <v>60</v>
      </c>
      <c r="AH163" s="347">
        <v>60</v>
      </c>
      <c r="AI163" s="347"/>
      <c r="AJ163" s="347"/>
      <c r="AK163" s="347"/>
      <c r="AL163" s="347"/>
      <c r="AM163" s="347"/>
      <c r="AN163" s="347"/>
      <c r="AO163" s="347"/>
      <c r="AP163" s="347"/>
      <c r="AQ163" s="347"/>
      <c r="AR163" s="347"/>
      <c r="AS163" s="347"/>
      <c r="AT163" s="347"/>
      <c r="AU163" s="347"/>
      <c r="AV163" s="347"/>
      <c r="AW163" s="347">
        <f t="shared" si="446"/>
        <v>1020</v>
      </c>
      <c r="AX163" s="365">
        <f t="shared" si="447"/>
        <v>51.65586</v>
      </c>
      <c r="AY163" s="365">
        <f t="shared" si="448"/>
        <v>71.802</v>
      </c>
      <c r="AZ163" s="366">
        <v>525.88</v>
      </c>
      <c r="BA163" s="368">
        <v>33.46</v>
      </c>
      <c r="BB163" s="368">
        <v>54.3</v>
      </c>
      <c r="BC163" s="368">
        <v>57.57</v>
      </c>
      <c r="BD163" s="330"/>
      <c r="BE163" s="330">
        <f t="shared" si="435"/>
        <v>536397.6</v>
      </c>
      <c r="BF163" s="330">
        <f t="shared" si="436"/>
        <v>34129.2</v>
      </c>
      <c r="BG163" s="330">
        <f t="shared" si="437"/>
        <v>55386</v>
      </c>
      <c r="BH163" s="330">
        <f t="shared" si="438"/>
        <v>58721.4</v>
      </c>
      <c r="BI163" s="330"/>
      <c r="BJ163" s="370" cm="1">
        <f t="array" ref="BJ163:BM163">_xlfn.LET(_xlpm.data,$R163:$AV163,_xlpm.starts,{1,8,16,23},_xlpm.lengths,{7,7,8,9},_xlpm.arr,_xlfn.MAP(_xlpm.starts,_xlpm.lengths,_xlfn.LAMBDA(_xlpm.s,_xlpm.l,SUM(INDEX(_xlpm.data,,_xlfn.SEQUENCE(,_xlpm.l,_xlpm.s))))),ROUND(_xlpm.arr*$O163/1000,2))</f>
        <v>21.27</v>
      </c>
      <c r="BK163" s="330">
        <v>21.27</v>
      </c>
      <c r="BL163" s="330">
        <v>6.08</v>
      </c>
      <c r="BM163" s="330">
        <v>0</v>
      </c>
      <c r="BN163" s="258">
        <f t="shared" si="449"/>
        <v>48.62</v>
      </c>
      <c r="BO163" s="258">
        <v>0</v>
      </c>
      <c r="BP163" s="258">
        <v>0</v>
      </c>
      <c r="BQ163" s="258">
        <v>0</v>
      </c>
      <c r="BR163" s="258">
        <v>0</v>
      </c>
      <c r="BS163" s="115"/>
      <c r="BT163" s="258" cm="1">
        <f ca="1" t="array" ref="BT163:BW163">_xlfn.HSTACK(SUM(INDEX($R163:$AV163,1,1):INDEX($R163:$AV163,1,7)),SUM(INDEX($R163:$AV163,1,7):INDEX($R163:$AV163,1,13)),SUM(INDEX($R163:$AV163,1,16):INDEX($R163:$AV163,1,23)),SUM(INDEX($R163:$AV163,1,23):INDEX($R163:$AV163,1,31)))</f>
        <v>420</v>
      </c>
      <c r="BU163" s="258">
        <v>420</v>
      </c>
      <c r="BV163" s="258">
        <v>120</v>
      </c>
      <c r="BW163" s="258">
        <v>0</v>
      </c>
      <c r="BY163" s="258">
        <f t="shared" si="372"/>
        <v>420</v>
      </c>
      <c r="BZ163" s="258">
        <f t="shared" si="373"/>
        <v>420</v>
      </c>
      <c r="CA163" s="258">
        <f t="shared" si="374"/>
        <v>180</v>
      </c>
      <c r="CB163" s="258">
        <f t="shared" si="375"/>
        <v>0</v>
      </c>
      <c r="CD163" s="113"/>
      <c r="CE163" s="258">
        <f t="shared" si="450"/>
        <v>21.27</v>
      </c>
      <c r="CF163" s="258">
        <f t="shared" si="451"/>
        <v>21.27</v>
      </c>
      <c r="CG163" s="258">
        <f t="shared" si="452"/>
        <v>9.12</v>
      </c>
      <c r="CH163" s="258">
        <f t="shared" si="453"/>
        <v>0</v>
      </c>
      <c r="CI163" s="258">
        <f t="shared" si="454"/>
        <v>51.66</v>
      </c>
      <c r="CJ163" s="113"/>
      <c r="CK163" s="258">
        <f t="shared" ref="CK163:CN163" si="460">IFERROR(ROUND(BY163*$P163,2),"")</f>
        <v>295653.83</v>
      </c>
      <c r="CL163" s="258">
        <f t="shared" si="460"/>
        <v>295653.83</v>
      </c>
      <c r="CM163" s="258">
        <f t="shared" si="460"/>
        <v>126708.79</v>
      </c>
      <c r="CN163" s="258">
        <f t="shared" si="460"/>
        <v>0</v>
      </c>
      <c r="CO163" s="258">
        <f t="shared" si="371"/>
        <v>718016.45</v>
      </c>
      <c r="CP163" s="258">
        <f>VLOOKUP(G163,[2]Sheet1!$C$3:$G$310,5,0)</f>
        <v>3000</v>
      </c>
      <c r="CQ163" s="258" t="e">
        <f>VLOOKUP(G163,[3]KCBB0101!$C$3:$F$691,4,0)</f>
        <v>#N/A</v>
      </c>
    </row>
    <row r="164" s="258" customFormat="1" ht="17.6" spans="1:95">
      <c r="A164" s="330"/>
      <c r="B164" s="334" t="str">
        <f>_xlfn.XLOOKUP(G164,销售需求表!A:A,销售需求表!C:C)</f>
        <v>南美</v>
      </c>
      <c r="C164" s="335" t="str">
        <f t="shared" si="377"/>
        <v>22.5</v>
      </c>
      <c r="D164" s="334" t="str">
        <f t="shared" si="444"/>
        <v>南美22.5寸</v>
      </c>
      <c r="E164" s="339" t="str">
        <f t="shared" si="395"/>
        <v>275/80R22.5-16PR(149/146M)-AZ179</v>
      </c>
      <c r="F164" s="340" t="str">
        <f t="shared" si="417"/>
        <v>275/80R22.5-16PR-AZ179</v>
      </c>
      <c r="G164" s="341" t="s">
        <v>475</v>
      </c>
      <c r="H164" s="334">
        <v>3200</v>
      </c>
      <c r="I164" s="345"/>
      <c r="J164" s="346" t="str">
        <f t="shared" si="397"/>
        <v>275/80R22.5-AZ179</v>
      </c>
      <c r="K164" s="347" t="str">
        <f>_xlfn.XLOOKUP(F164,投产规格!E:E,投产规格!D:D,"未投产")</f>
        <v>✔</v>
      </c>
      <c r="L164" s="347">
        <f>IFERROR(_xlfn.XLOOKUP(F164,硫化工艺!B:B,硫化工艺!C:C),"")</f>
        <v>35</v>
      </c>
      <c r="M164" s="349">
        <f t="shared" si="445"/>
        <v>0.857142857142857</v>
      </c>
      <c r="N164" s="347" t="str">
        <f t="shared" si="333"/>
        <v>22.5全钢</v>
      </c>
      <c r="O164" s="347">
        <f>IFERROR(_xlfn.XLOOKUP(F164,轮胎重量!J:J,轮胎重量!G:G),"")</f>
        <v>47.649</v>
      </c>
      <c r="P164" s="347">
        <f>IFERROR(_xlfn.XLOOKUP(G164,硫化工艺!I:I,硫化工艺!J:J),"")</f>
        <v>687.725395</v>
      </c>
      <c r="Q164" s="347">
        <f t="shared" si="384"/>
        <v>0</v>
      </c>
      <c r="R164" s="347"/>
      <c r="S164" s="347"/>
      <c r="T164" s="347"/>
      <c r="U164" s="347"/>
      <c r="V164" s="347"/>
      <c r="W164" s="347"/>
      <c r="X164" s="347"/>
      <c r="Y164" s="347">
        <v>140</v>
      </c>
      <c r="Z164" s="347">
        <v>140</v>
      </c>
      <c r="AA164" s="347">
        <v>140</v>
      </c>
      <c r="AB164" s="347">
        <v>140</v>
      </c>
      <c r="AC164" s="347">
        <v>140</v>
      </c>
      <c r="AD164" s="347">
        <v>140</v>
      </c>
      <c r="AE164" s="347">
        <v>140</v>
      </c>
      <c r="AF164" s="347">
        <v>140</v>
      </c>
      <c r="AG164" s="347">
        <v>140</v>
      </c>
      <c r="AH164" s="347">
        <v>140</v>
      </c>
      <c r="AI164" s="347">
        <v>140</v>
      </c>
      <c r="AJ164" s="347">
        <v>140</v>
      </c>
      <c r="AK164" s="347">
        <v>140</v>
      </c>
      <c r="AL164" s="347">
        <v>140</v>
      </c>
      <c r="AM164" s="347">
        <v>140</v>
      </c>
      <c r="AN164" s="347">
        <v>140</v>
      </c>
      <c r="AO164" s="347">
        <v>140</v>
      </c>
      <c r="AP164" s="347">
        <v>140</v>
      </c>
      <c r="AQ164" s="347">
        <v>140</v>
      </c>
      <c r="AR164" s="347">
        <v>140</v>
      </c>
      <c r="AS164" s="347">
        <v>140</v>
      </c>
      <c r="AT164" s="347">
        <v>140</v>
      </c>
      <c r="AU164" s="347">
        <v>140</v>
      </c>
      <c r="AV164" s="347">
        <v>140</v>
      </c>
      <c r="AW164" s="347">
        <f t="shared" si="446"/>
        <v>3360</v>
      </c>
      <c r="AX164" s="365">
        <f t="shared" si="447"/>
        <v>160.10064</v>
      </c>
      <c r="AY164" s="365">
        <f t="shared" si="448"/>
        <v>231.076</v>
      </c>
      <c r="AZ164" s="366">
        <v>525.88</v>
      </c>
      <c r="BA164" s="368">
        <v>33.46</v>
      </c>
      <c r="BB164" s="368">
        <v>54.3</v>
      </c>
      <c r="BC164" s="368">
        <v>57.57</v>
      </c>
      <c r="BD164" s="330"/>
      <c r="BE164" s="330">
        <f t="shared" si="435"/>
        <v>1766956.8</v>
      </c>
      <c r="BF164" s="330">
        <f t="shared" si="436"/>
        <v>112425.6</v>
      </c>
      <c r="BG164" s="330">
        <f t="shared" si="437"/>
        <v>182448</v>
      </c>
      <c r="BH164" s="330">
        <f t="shared" si="438"/>
        <v>193435.2</v>
      </c>
      <c r="BI164" s="330"/>
      <c r="BJ164" s="370" cm="1">
        <f t="array" ref="BJ164:BM164">_xlfn.LET(_xlpm.data,$R164:$AV164,_xlpm.starts,{1,8,16,23},_xlpm.lengths,{7,7,8,9},_xlpm.arr,_xlfn.MAP(_xlpm.starts,_xlpm.lengths,_xlfn.LAMBDA(_xlpm.s,_xlpm.l,SUM(INDEX(_xlpm.data,,_xlfn.SEQUENCE(,_xlpm.l,_xlpm.s))))),ROUND(_xlpm.arr*$O164/1000,2))</f>
        <v>0</v>
      </c>
      <c r="BK164" s="330">
        <v>46.7</v>
      </c>
      <c r="BL164" s="330">
        <v>53.37</v>
      </c>
      <c r="BM164" s="330">
        <v>60.04</v>
      </c>
      <c r="BN164" s="258">
        <f t="shared" si="449"/>
        <v>160.11</v>
      </c>
      <c r="BO164" s="258">
        <v>0</v>
      </c>
      <c r="BP164" s="258">
        <v>0</v>
      </c>
      <c r="BQ164" s="258">
        <v>0</v>
      </c>
      <c r="BR164" s="258">
        <v>0</v>
      </c>
      <c r="BS164" s="115"/>
      <c r="BT164" s="258" cm="1">
        <f ca="1" t="array" ref="BT164:BW164">_xlfn.HSTACK(SUM(INDEX($R164:$AV164,1,1):INDEX($R164:$AV164,1,7)),SUM(INDEX($R164:$AV164,1,7):INDEX($R164:$AV164,1,13)),SUM(INDEX($R164:$AV164,1,16):INDEX($R164:$AV164,1,23)),SUM(INDEX($R164:$AV164,1,23):INDEX($R164:$AV164,1,31)))</f>
        <v>0</v>
      </c>
      <c r="BU164" s="258">
        <v>840</v>
      </c>
      <c r="BV164" s="258">
        <v>1120</v>
      </c>
      <c r="BW164" s="258">
        <v>1260</v>
      </c>
      <c r="BY164" s="258">
        <f t="shared" si="372"/>
        <v>0</v>
      </c>
      <c r="BZ164" s="258">
        <f t="shared" si="373"/>
        <v>980</v>
      </c>
      <c r="CA164" s="258">
        <f t="shared" si="374"/>
        <v>1120</v>
      </c>
      <c r="CB164" s="258">
        <f t="shared" si="375"/>
        <v>1260</v>
      </c>
      <c r="CD164" s="113"/>
      <c r="CE164" s="258">
        <f t="shared" si="450"/>
        <v>0</v>
      </c>
      <c r="CF164" s="258">
        <f t="shared" si="451"/>
        <v>46.7</v>
      </c>
      <c r="CG164" s="258">
        <f t="shared" si="452"/>
        <v>53.37</v>
      </c>
      <c r="CH164" s="258">
        <f t="shared" si="453"/>
        <v>60.04</v>
      </c>
      <c r="CI164" s="258">
        <f t="shared" si="454"/>
        <v>160.11</v>
      </c>
      <c r="CJ164" s="113"/>
      <c r="CK164" s="258">
        <f t="shared" ref="CK164:CN164" si="461">IFERROR(ROUND(BY164*$P164,2),"")</f>
        <v>0</v>
      </c>
      <c r="CL164" s="258">
        <f t="shared" si="461"/>
        <v>673970.89</v>
      </c>
      <c r="CM164" s="258">
        <f t="shared" si="461"/>
        <v>770252.44</v>
      </c>
      <c r="CN164" s="258">
        <f t="shared" si="461"/>
        <v>866534</v>
      </c>
      <c r="CO164" s="258">
        <f t="shared" si="371"/>
        <v>2310757.33</v>
      </c>
      <c r="CP164" s="258" t="e">
        <f>VLOOKUP(G164,[2]Sheet1!$C$3:$G$310,5,0)</f>
        <v>#N/A</v>
      </c>
      <c r="CQ164" s="258">
        <f>VLOOKUP(G164,[3]KCBB0101!$C$3:$F$691,4,0)</f>
        <v>8915</v>
      </c>
    </row>
    <row r="165" s="258" customFormat="1" ht="17.6" spans="1:95">
      <c r="A165" s="330"/>
      <c r="B165" s="334" t="str">
        <f>_xlfn.XLOOKUP(G165,销售需求表!A:A,销售需求表!C:C)</f>
        <v>南美</v>
      </c>
      <c r="C165" s="335" t="str">
        <f t="shared" si="377"/>
        <v>22.5</v>
      </c>
      <c r="D165" s="334" t="str">
        <f t="shared" si="444"/>
        <v>南美22.5寸</v>
      </c>
      <c r="E165" s="339" t="str">
        <f t="shared" si="395"/>
        <v>275/80R22.5-16PR(149/146M)-BMD06 PRO</v>
      </c>
      <c r="F165" s="340" t="str">
        <f t="shared" si="417"/>
        <v>275/80R22.5-16PR-BMD06 PRO</v>
      </c>
      <c r="G165" s="341" t="s">
        <v>476</v>
      </c>
      <c r="H165" s="334">
        <v>400</v>
      </c>
      <c r="I165" s="345"/>
      <c r="J165" s="346" t="str">
        <f t="shared" si="397"/>
        <v>275/80R22.5-BMD06 PRO</v>
      </c>
      <c r="K165" s="347" t="str">
        <f>_xlfn.XLOOKUP(F165,投产规格!E:E,投产规格!D:D,"未投产")</f>
        <v>✔</v>
      </c>
      <c r="L165" s="347">
        <f>IFERROR(_xlfn.XLOOKUP(F165,硫化工艺!B:B,硫化工艺!C:C),"")</f>
        <v>40</v>
      </c>
      <c r="M165" s="349">
        <f t="shared" si="445"/>
        <v>0.872727272727273</v>
      </c>
      <c r="N165" s="347" t="str">
        <f t="shared" si="333"/>
        <v>22.5全钢</v>
      </c>
      <c r="O165" s="347">
        <f>IFERROR(_xlfn.XLOOKUP(F165,轮胎重量!J:J,轮胎重量!G:G),"")</f>
        <v>57.581</v>
      </c>
      <c r="P165" s="350">
        <f t="shared" si="457"/>
        <v>800.3759</v>
      </c>
      <c r="Q165" s="347">
        <f t="shared" si="384"/>
        <v>0</v>
      </c>
      <c r="R165" s="347"/>
      <c r="S165" s="347"/>
      <c r="T165" s="347"/>
      <c r="U165" s="347"/>
      <c r="V165" s="347"/>
      <c r="W165" s="347"/>
      <c r="X165" s="347"/>
      <c r="Y165" s="347"/>
      <c r="Z165" s="347"/>
      <c r="AA165" s="347"/>
      <c r="AB165" s="347"/>
      <c r="AC165" s="347"/>
      <c r="AD165" s="347"/>
      <c r="AE165" s="347"/>
      <c r="AF165" s="347"/>
      <c r="AG165" s="347"/>
      <c r="AH165" s="347"/>
      <c r="AI165" s="347"/>
      <c r="AJ165" s="347"/>
      <c r="AK165" s="347"/>
      <c r="AL165" s="347"/>
      <c r="AM165" s="347"/>
      <c r="AN165" s="347"/>
      <c r="AO165" s="347"/>
      <c r="AP165" s="347"/>
      <c r="AQ165" s="347">
        <v>60</v>
      </c>
      <c r="AR165" s="347">
        <v>60</v>
      </c>
      <c r="AS165" s="347">
        <v>60</v>
      </c>
      <c r="AT165" s="347">
        <v>60</v>
      </c>
      <c r="AU165" s="347">
        <v>60</v>
      </c>
      <c r="AV165" s="347">
        <v>60</v>
      </c>
      <c r="AW165" s="347">
        <f t="shared" si="446"/>
        <v>360</v>
      </c>
      <c r="AX165" s="365">
        <f t="shared" si="447"/>
        <v>20.72916</v>
      </c>
      <c r="AY165" s="365">
        <f t="shared" si="448"/>
        <v>28.814</v>
      </c>
      <c r="AZ165" s="366">
        <v>525.88</v>
      </c>
      <c r="BA165" s="368">
        <v>33.46</v>
      </c>
      <c r="BB165" s="368">
        <v>54.3</v>
      </c>
      <c r="BC165" s="368">
        <v>57.57</v>
      </c>
      <c r="BD165" s="330"/>
      <c r="BE165" s="330">
        <f t="shared" si="435"/>
        <v>189316.8</v>
      </c>
      <c r="BF165" s="330">
        <f t="shared" si="436"/>
        <v>12045.6</v>
      </c>
      <c r="BG165" s="330">
        <f t="shared" si="437"/>
        <v>19548</v>
      </c>
      <c r="BH165" s="330">
        <f t="shared" si="438"/>
        <v>20725.2</v>
      </c>
      <c r="BI165" s="330"/>
      <c r="BJ165" s="370" cm="1">
        <f t="array" ref="BJ165:BM165">_xlfn.LET(_xlpm.data,$R165:$AV165,_xlpm.starts,{1,8,16,23},_xlpm.lengths,{7,7,8,9},_xlpm.arr,_xlfn.MAP(_xlpm.starts,_xlpm.lengths,_xlfn.LAMBDA(_xlpm.s,_xlpm.l,SUM(INDEX(_xlpm.data,,_xlfn.SEQUENCE(,_xlpm.l,_xlpm.s))))),ROUND(_xlpm.arr*$O165/1000,2))</f>
        <v>0</v>
      </c>
      <c r="BK165" s="330">
        <v>0</v>
      </c>
      <c r="BL165" s="330">
        <v>0</v>
      </c>
      <c r="BM165" s="330">
        <v>20.73</v>
      </c>
      <c r="BN165" s="258">
        <f t="shared" si="449"/>
        <v>20.73</v>
      </c>
      <c r="BO165" s="258">
        <v>0</v>
      </c>
      <c r="BP165" s="258">
        <v>0</v>
      </c>
      <c r="BQ165" s="258">
        <v>0</v>
      </c>
      <c r="BR165" s="258">
        <v>0</v>
      </c>
      <c r="BS165" s="115"/>
      <c r="BT165" s="258" cm="1">
        <f ca="1" t="array" ref="BT165:BW165">_xlfn.HSTACK(SUM(INDEX($R165:$AV165,1,1):INDEX($R165:$AV165,1,7)),SUM(INDEX($R165:$AV165,1,7):INDEX($R165:$AV165,1,13)),SUM(INDEX($R165:$AV165,1,16):INDEX($R165:$AV165,1,23)),SUM(INDEX($R165:$AV165,1,23):INDEX($R165:$AV165,1,31)))</f>
        <v>0</v>
      </c>
      <c r="BU165" s="258">
        <v>0</v>
      </c>
      <c r="BV165" s="258">
        <v>0</v>
      </c>
      <c r="BW165" s="258">
        <v>360</v>
      </c>
      <c r="BY165" s="258">
        <f t="shared" si="372"/>
        <v>0</v>
      </c>
      <c r="BZ165" s="258">
        <f t="shared" si="373"/>
        <v>0</v>
      </c>
      <c r="CA165" s="258">
        <f t="shared" si="374"/>
        <v>0</v>
      </c>
      <c r="CB165" s="258">
        <f t="shared" si="375"/>
        <v>360</v>
      </c>
      <c r="CD165" s="113"/>
      <c r="CE165" s="258">
        <f t="shared" si="450"/>
        <v>0</v>
      </c>
      <c r="CF165" s="258">
        <f t="shared" si="451"/>
        <v>0</v>
      </c>
      <c r="CG165" s="258">
        <f t="shared" si="452"/>
        <v>0</v>
      </c>
      <c r="CH165" s="258">
        <f t="shared" si="453"/>
        <v>20.73</v>
      </c>
      <c r="CI165" s="258">
        <f t="shared" si="454"/>
        <v>20.73</v>
      </c>
      <c r="CJ165" s="113"/>
      <c r="CK165" s="258">
        <f t="shared" ref="CK165:CN165" si="462">IFERROR(ROUND(BY165*$P165,2),"")</f>
        <v>0</v>
      </c>
      <c r="CL165" s="258">
        <f t="shared" si="462"/>
        <v>0</v>
      </c>
      <c r="CM165" s="258">
        <f t="shared" si="462"/>
        <v>0</v>
      </c>
      <c r="CN165" s="258">
        <f t="shared" si="462"/>
        <v>288135.32</v>
      </c>
      <c r="CO165" s="258">
        <f t="shared" si="371"/>
        <v>288135.32</v>
      </c>
      <c r="CP165" s="258" t="e">
        <f>VLOOKUP(G165,[2]Sheet1!$C$3:$G$310,5,0)</f>
        <v>#N/A</v>
      </c>
      <c r="CQ165" s="258">
        <f>VLOOKUP(G165,[3]KCBB0101!$C$3:$F$691,4,0)</f>
        <v>8000</v>
      </c>
    </row>
    <row r="166" ht="17.6" spans="2:95">
      <c r="B166" s="334" t="str">
        <f>_xlfn.XLOOKUP(G166,销售需求表!A:A,销售需求表!C:C)</f>
        <v>南美</v>
      </c>
      <c r="C166" s="335" t="str">
        <f t="shared" si="377"/>
        <v>22.5</v>
      </c>
      <c r="D166" s="334" t="str">
        <f t="shared" si="444"/>
        <v>南美22.5寸</v>
      </c>
      <c r="E166" s="339" t="str">
        <f t="shared" si="395"/>
        <v>275/80R22.5-16PR(149/146M)-BRA04</v>
      </c>
      <c r="F166" s="340" t="str">
        <f t="shared" si="417"/>
        <v>275/80R22.5-16PR-BRA04</v>
      </c>
      <c r="G166" s="341" t="s">
        <v>477</v>
      </c>
      <c r="H166" s="334">
        <v>350</v>
      </c>
      <c r="I166" s="345"/>
      <c r="J166" s="346" t="str">
        <f t="shared" si="397"/>
        <v>275/80R22.5-BRA04</v>
      </c>
      <c r="K166" s="347" t="str">
        <f>_xlfn.XLOOKUP(F166,投产规格!E:E,投产规格!D:D,"未投产")</f>
        <v>✔</v>
      </c>
      <c r="L166" s="347">
        <f>IFERROR(_xlfn.XLOOKUP(F166,硫化工艺!B:B,硫化工艺!C:C),"")</f>
        <v>35</v>
      </c>
      <c r="M166" s="349">
        <f t="shared" si="445"/>
        <v>0.857142857142857</v>
      </c>
      <c r="N166" s="347" t="str">
        <f t="shared" si="333"/>
        <v>22.5全钢</v>
      </c>
      <c r="O166" s="347">
        <f>IFERROR(_xlfn.XLOOKUP(F166,轮胎重量!J:J,轮胎重量!G:G),"")</f>
        <v>50.317</v>
      </c>
      <c r="P166" s="347">
        <f>IFERROR(_xlfn.XLOOKUP(G166,硫化工艺!I:I,硫化工艺!J:J),"")</f>
        <v>738.5616</v>
      </c>
      <c r="Q166" s="347">
        <f t="shared" si="384"/>
        <v>0</v>
      </c>
      <c r="R166" s="347"/>
      <c r="S166" s="347"/>
      <c r="T166" s="347"/>
      <c r="U166" s="347"/>
      <c r="V166" s="347"/>
      <c r="W166" s="347"/>
      <c r="X166" s="347"/>
      <c r="Y166" s="347"/>
      <c r="Z166" s="347"/>
      <c r="AA166" s="347"/>
      <c r="AB166" s="347"/>
      <c r="AC166" s="347"/>
      <c r="AD166" s="347"/>
      <c r="AE166" s="347"/>
      <c r="AF166" s="347"/>
      <c r="AG166" s="347"/>
      <c r="AH166" s="347"/>
      <c r="AI166" s="347"/>
      <c r="AJ166" s="347"/>
      <c r="AK166" s="347"/>
      <c r="AL166" s="347"/>
      <c r="AM166" s="347"/>
      <c r="AN166" s="347"/>
      <c r="AO166" s="347"/>
      <c r="AP166" s="347"/>
      <c r="AQ166" s="347">
        <v>60</v>
      </c>
      <c r="AR166" s="347">
        <v>60</v>
      </c>
      <c r="AS166" s="347">
        <v>60</v>
      </c>
      <c r="AT166" s="347">
        <v>60</v>
      </c>
      <c r="AU166" s="347">
        <v>60</v>
      </c>
      <c r="AV166" s="347">
        <v>60</v>
      </c>
      <c r="AW166" s="347">
        <f t="shared" si="446"/>
        <v>360</v>
      </c>
      <c r="AX166" s="365">
        <f t="shared" si="447"/>
        <v>18.11412</v>
      </c>
      <c r="AY166" s="365">
        <f t="shared" si="448"/>
        <v>26.588</v>
      </c>
      <c r="AZ166" s="366">
        <v>525.88</v>
      </c>
      <c r="BA166" s="368">
        <v>33.46</v>
      </c>
      <c r="BB166" s="368">
        <v>54.3</v>
      </c>
      <c r="BC166" s="368">
        <v>57.57</v>
      </c>
      <c r="BE166" s="330">
        <f t="shared" si="435"/>
        <v>189316.8</v>
      </c>
      <c r="BF166" s="330">
        <f t="shared" si="436"/>
        <v>12045.6</v>
      </c>
      <c r="BG166" s="330">
        <f t="shared" si="437"/>
        <v>19548</v>
      </c>
      <c r="BH166" s="330">
        <f t="shared" si="438"/>
        <v>20725.2</v>
      </c>
      <c r="BJ166" s="370" cm="1">
        <f t="array" ref="BJ166:BM166">_xlfn.LET(_xlpm.data,$R166:$AV166,_xlpm.starts,{1,8,16,23},_xlpm.lengths,{7,7,8,9},_xlpm.arr,_xlfn.MAP(_xlpm.starts,_xlpm.lengths,_xlfn.LAMBDA(_xlpm.s,_xlpm.l,SUM(INDEX(_xlpm.data,,_xlfn.SEQUENCE(,_xlpm.l,_xlpm.s))))),ROUND(_xlpm.arr*$O166/1000,2))</f>
        <v>0</v>
      </c>
      <c r="BK166" s="330">
        <v>0</v>
      </c>
      <c r="BL166" s="330">
        <v>0</v>
      </c>
      <c r="BM166" s="330">
        <v>18.11</v>
      </c>
      <c r="BN166" s="258">
        <f t="shared" si="449"/>
        <v>18.11</v>
      </c>
      <c r="BO166" s="258">
        <v>0</v>
      </c>
      <c r="BP166" s="258">
        <v>0</v>
      </c>
      <c r="BQ166" s="258">
        <v>0</v>
      </c>
      <c r="BR166" s="258">
        <v>0</v>
      </c>
      <c r="BT166" s="258" cm="1">
        <f ca="1" t="array" ref="BT166:BW166">_xlfn.HSTACK(SUM(INDEX($R166:$AV166,1,1):INDEX($R166:$AV166,1,7)),SUM(INDEX($R166:$AV166,1,7):INDEX($R166:$AV166,1,13)),SUM(INDEX($R166:$AV166,1,16):INDEX($R166:$AV166,1,23)),SUM(INDEX($R166:$AV166,1,23):INDEX($R166:$AV166,1,31)))</f>
        <v>0</v>
      </c>
      <c r="BU166" s="258">
        <v>0</v>
      </c>
      <c r="BV166" s="258">
        <v>0</v>
      </c>
      <c r="BW166" s="258">
        <v>360</v>
      </c>
      <c r="BY166" s="258">
        <f t="shared" si="372"/>
        <v>0</v>
      </c>
      <c r="BZ166" s="258">
        <f t="shared" si="373"/>
        <v>0</v>
      </c>
      <c r="CA166" s="258">
        <f t="shared" si="374"/>
        <v>0</v>
      </c>
      <c r="CB166" s="258">
        <f t="shared" si="375"/>
        <v>360</v>
      </c>
      <c r="CE166" s="258">
        <f t="shared" si="450"/>
        <v>0</v>
      </c>
      <c r="CF166" s="258">
        <f t="shared" si="451"/>
        <v>0</v>
      </c>
      <c r="CG166" s="258">
        <f t="shared" si="452"/>
        <v>0</v>
      </c>
      <c r="CH166" s="258">
        <f t="shared" si="453"/>
        <v>18.11</v>
      </c>
      <c r="CI166" s="258">
        <f t="shared" si="454"/>
        <v>18.11</v>
      </c>
      <c r="CK166" s="258">
        <f t="shared" ref="CK166:CN166" si="463">IFERROR(ROUND(BY166*$P166,2),"")</f>
        <v>0</v>
      </c>
      <c r="CL166" s="258">
        <f t="shared" si="463"/>
        <v>0</v>
      </c>
      <c r="CM166" s="258">
        <f t="shared" si="463"/>
        <v>0</v>
      </c>
      <c r="CN166" s="258">
        <f t="shared" si="463"/>
        <v>265882.18</v>
      </c>
      <c r="CO166" s="258">
        <f t="shared" si="371"/>
        <v>265882.18</v>
      </c>
      <c r="CP166" s="258" t="e">
        <f>VLOOKUP(G166,[2]Sheet1!$C$3:$G$310,5,0)</f>
        <v>#N/A</v>
      </c>
      <c r="CQ166" s="258">
        <f>VLOOKUP(G166,[3]KCBB0101!$C$3:$F$691,4,0)</f>
        <v>2450</v>
      </c>
    </row>
    <row r="167" ht="17.6" spans="2:95">
      <c r="B167" s="334" t="str">
        <f>_xlfn.XLOOKUP(G167,销售需求表!A:A,销售需求表!C:C)</f>
        <v>南美</v>
      </c>
      <c r="C167" s="335" t="str">
        <f t="shared" si="377"/>
        <v>22.5</v>
      </c>
      <c r="D167" s="334" t="str">
        <f t="shared" si="444"/>
        <v>南美22.5寸</v>
      </c>
      <c r="E167" s="339" t="str">
        <f t="shared" si="395"/>
        <v>275/80R22.5-16PR(149/146M)-CR976A</v>
      </c>
      <c r="F167" s="340" t="str">
        <f t="shared" si="417"/>
        <v>275/80R22.5-16PR-CR976A</v>
      </c>
      <c r="G167" s="341" t="s">
        <v>478</v>
      </c>
      <c r="H167" s="334">
        <v>850</v>
      </c>
      <c r="I167" s="345">
        <v>2</v>
      </c>
      <c r="J167" s="346" t="str">
        <f t="shared" si="397"/>
        <v>275/80R22.5-CR976A</v>
      </c>
      <c r="K167" s="347" t="str">
        <f>_xlfn.XLOOKUP(F167,投产规格!E:E,投产规格!D:D,"未投产")</f>
        <v>✔</v>
      </c>
      <c r="L167" s="347">
        <f>IFERROR(_xlfn.XLOOKUP(F167,硫化工艺!B:B,硫化工艺!C:C),"")</f>
        <v>35</v>
      </c>
      <c r="M167" s="349">
        <f t="shared" si="445"/>
        <v>0.857142857142857</v>
      </c>
      <c r="N167" s="347" t="str">
        <f t="shared" si="333"/>
        <v>22.5全钢</v>
      </c>
      <c r="O167" s="347">
        <f>IFERROR(_xlfn.XLOOKUP(F167,轮胎重量!J:J,轮胎重量!G:G),"")</f>
        <v>50.317</v>
      </c>
      <c r="P167" s="347">
        <f>IFERROR(_xlfn.XLOOKUP(G167,硫化工艺!I:I,硫化工艺!J:J),"")</f>
        <v>741.1915</v>
      </c>
      <c r="Q167" s="347">
        <f t="shared" si="384"/>
        <v>71</v>
      </c>
      <c r="R167" s="347">
        <v>60</v>
      </c>
      <c r="S167" s="347">
        <v>60</v>
      </c>
      <c r="T167" s="347">
        <v>60</v>
      </c>
      <c r="U167" s="347">
        <v>60</v>
      </c>
      <c r="V167" s="347">
        <v>60</v>
      </c>
      <c r="W167" s="347">
        <v>60</v>
      </c>
      <c r="X167" s="347">
        <v>60</v>
      </c>
      <c r="Y167" s="347">
        <v>60</v>
      </c>
      <c r="Z167" s="347">
        <v>60</v>
      </c>
      <c r="AA167" s="347">
        <v>60</v>
      </c>
      <c r="AB167" s="347">
        <v>60</v>
      </c>
      <c r="AC167" s="347">
        <v>60</v>
      </c>
      <c r="AD167" s="347">
        <v>60</v>
      </c>
      <c r="AE167" s="347"/>
      <c r="AF167" s="347"/>
      <c r="AG167" s="347"/>
      <c r="AH167" s="347"/>
      <c r="AI167" s="347"/>
      <c r="AJ167" s="347"/>
      <c r="AK167" s="347"/>
      <c r="AL167" s="347"/>
      <c r="AM167" s="347"/>
      <c r="AN167" s="347"/>
      <c r="AO167" s="347"/>
      <c r="AP167" s="347"/>
      <c r="AQ167" s="347"/>
      <c r="AR167" s="347"/>
      <c r="AS167" s="347"/>
      <c r="AT167" s="347"/>
      <c r="AU167" s="347"/>
      <c r="AV167" s="347"/>
      <c r="AW167" s="347">
        <f t="shared" si="446"/>
        <v>780</v>
      </c>
      <c r="AX167" s="365">
        <f t="shared" si="447"/>
        <v>39.24726</v>
      </c>
      <c r="AY167" s="365">
        <f t="shared" si="448"/>
        <v>57.813</v>
      </c>
      <c r="AZ167" s="367"/>
      <c r="BE167" s="330">
        <f t="shared" si="435"/>
        <v>0</v>
      </c>
      <c r="BF167" s="330">
        <f t="shared" si="436"/>
        <v>0</v>
      </c>
      <c r="BG167" s="330">
        <f t="shared" si="437"/>
        <v>0</v>
      </c>
      <c r="BH167" s="330">
        <f t="shared" si="438"/>
        <v>0</v>
      </c>
      <c r="BJ167" s="370" cm="1">
        <f t="array" ref="BJ167:BM167">_xlfn.LET(_xlpm.data,$R167:$AV167,_xlpm.starts,{1,8,16,23},_xlpm.lengths,{7,7,8,9},_xlpm.arr,_xlfn.MAP(_xlpm.starts,_xlpm.lengths,_xlfn.LAMBDA(_xlpm.s,_xlpm.l,SUM(INDEX(_xlpm.data,,_xlfn.SEQUENCE(,_xlpm.l,_xlpm.s))))),ROUND(_xlpm.arr*$O167/1000,2))</f>
        <v>21.13</v>
      </c>
      <c r="BK167" s="330">
        <v>18.11</v>
      </c>
      <c r="BL167" s="330">
        <v>0</v>
      </c>
      <c r="BM167" s="330">
        <v>0</v>
      </c>
      <c r="BN167" s="258">
        <f t="shared" si="449"/>
        <v>39.24</v>
      </c>
      <c r="BO167" s="258">
        <v>47.04</v>
      </c>
      <c r="BP167" s="258">
        <v>47.04</v>
      </c>
      <c r="BQ167" s="258">
        <v>53.76</v>
      </c>
      <c r="BR167" s="258">
        <v>60.48</v>
      </c>
      <c r="BT167" s="258" cm="1">
        <f ca="1" t="array" ref="BT167:BW167">_xlfn.HSTACK(SUM(INDEX($R167:$AV167,1,1):INDEX($R167:$AV167,1,7)),SUM(INDEX($R167:$AV167,1,7):INDEX($R167:$AV167,1,13)),SUM(INDEX($R167:$AV167,1,16):INDEX($R167:$AV167,1,23)),SUM(INDEX($R167:$AV167,1,23):INDEX($R167:$AV167,1,31)))</f>
        <v>420</v>
      </c>
      <c r="BU167" s="258">
        <v>420</v>
      </c>
      <c r="BV167" s="258">
        <v>0</v>
      </c>
      <c r="BW167" s="258">
        <v>0</v>
      </c>
      <c r="BY167" s="258">
        <f t="shared" si="372"/>
        <v>420</v>
      </c>
      <c r="BZ167" s="258">
        <f t="shared" si="373"/>
        <v>360</v>
      </c>
      <c r="CA167" s="258">
        <f t="shared" si="374"/>
        <v>0</v>
      </c>
      <c r="CB167" s="258">
        <f t="shared" si="375"/>
        <v>0</v>
      </c>
      <c r="CE167" s="258">
        <f t="shared" si="450"/>
        <v>21.13</v>
      </c>
      <c r="CF167" s="258">
        <f t="shared" si="451"/>
        <v>18.11</v>
      </c>
      <c r="CG167" s="258">
        <f t="shared" si="452"/>
        <v>0</v>
      </c>
      <c r="CH167" s="258">
        <f t="shared" si="453"/>
        <v>0</v>
      </c>
      <c r="CI167" s="258">
        <f t="shared" si="454"/>
        <v>39.24</v>
      </c>
      <c r="CK167" s="258">
        <f t="shared" ref="CK167:CN167" si="464">IFERROR(ROUND(BY167*$P167,2),"")</f>
        <v>311300.43</v>
      </c>
      <c r="CL167" s="258">
        <f t="shared" si="464"/>
        <v>266828.94</v>
      </c>
      <c r="CM167" s="258">
        <f t="shared" si="464"/>
        <v>0</v>
      </c>
      <c r="CN167" s="258">
        <f t="shared" si="464"/>
        <v>0</v>
      </c>
      <c r="CO167" s="258">
        <f t="shared" si="371"/>
        <v>578129.37</v>
      </c>
      <c r="CP167" s="258">
        <f>VLOOKUP(G167,[2]Sheet1!$C$3:$G$310,5,0)</f>
        <v>20200</v>
      </c>
      <c r="CQ167" s="258" t="e">
        <f>VLOOKUP(G167,[3]KCBB0101!$C$3:$F$691,4,0)</f>
        <v>#N/A</v>
      </c>
    </row>
    <row r="168" s="258" customFormat="1" ht="17.6" spans="1:95">
      <c r="A168" s="330"/>
      <c r="B168" s="334" t="str">
        <f>_xlfn.XLOOKUP(G168,销售需求表!A:A,销售需求表!C:C)</f>
        <v>南美</v>
      </c>
      <c r="C168" s="335" t="str">
        <f t="shared" si="377"/>
        <v>22.5</v>
      </c>
      <c r="D168" s="334" t="str">
        <f t="shared" si="444"/>
        <v>南美22.5寸</v>
      </c>
      <c r="E168" s="339" t="str">
        <f t="shared" si="395"/>
        <v>275/80R22.5-16PR(149/146M)-G-PRO MSD</v>
      </c>
      <c r="F168" s="340" t="str">
        <f t="shared" si="417"/>
        <v>275/80R22.5-16PR-G-PRO MSD</v>
      </c>
      <c r="G168" s="341" t="s">
        <v>479</v>
      </c>
      <c r="H168" s="334">
        <v>1500</v>
      </c>
      <c r="I168" s="345"/>
      <c r="J168" s="346" t="str">
        <f t="shared" si="397"/>
        <v>275/80R22.5-G-PRO MSD</v>
      </c>
      <c r="K168" s="347" t="str">
        <f>_xlfn.XLOOKUP(F168,投产规格!E:E,投产规格!D:D,"未投产")</f>
        <v>✔</v>
      </c>
      <c r="L168" s="347">
        <f>IFERROR(_xlfn.XLOOKUP(F168,硫化工艺!B:B,硫化工艺!C:C),"")</f>
        <v>40</v>
      </c>
      <c r="M168" s="349">
        <f t="shared" si="445"/>
        <v>0.872727272727273</v>
      </c>
      <c r="N168" s="347" t="str">
        <f t="shared" si="333"/>
        <v>22.5全钢</v>
      </c>
      <c r="O168" s="347">
        <f>IFERROR(_xlfn.XLOOKUP(F168,轮胎重量!J:J,轮胎重量!G:G),"")</f>
        <v>57.581</v>
      </c>
      <c r="P168" s="347">
        <f>IFERROR(_xlfn.XLOOKUP(G168,硫化工艺!I:I,硫化工艺!J:J),"")</f>
        <v>819.791</v>
      </c>
      <c r="Q168" s="347">
        <f t="shared" si="384"/>
        <v>0</v>
      </c>
      <c r="R168" s="347"/>
      <c r="S168" s="347"/>
      <c r="T168" s="347"/>
      <c r="U168" s="347"/>
      <c r="V168" s="347"/>
      <c r="W168" s="347"/>
      <c r="X168" s="347"/>
      <c r="Y168" s="347"/>
      <c r="Z168" s="347"/>
      <c r="AA168" s="347"/>
      <c r="AB168" s="347"/>
      <c r="AC168" s="347"/>
      <c r="AD168" s="347"/>
      <c r="AE168" s="347">
        <v>60</v>
      </c>
      <c r="AF168" s="347">
        <v>60</v>
      </c>
      <c r="AG168" s="347">
        <v>60</v>
      </c>
      <c r="AH168" s="347">
        <v>60</v>
      </c>
      <c r="AI168" s="347">
        <v>60</v>
      </c>
      <c r="AJ168" s="347">
        <v>60</v>
      </c>
      <c r="AK168" s="347">
        <v>60</v>
      </c>
      <c r="AL168" s="347">
        <v>60</v>
      </c>
      <c r="AM168" s="347">
        <v>60</v>
      </c>
      <c r="AN168" s="347">
        <v>60</v>
      </c>
      <c r="AO168" s="347">
        <v>60</v>
      </c>
      <c r="AP168" s="347">
        <v>60</v>
      </c>
      <c r="AQ168" s="347">
        <v>60</v>
      </c>
      <c r="AR168" s="347">
        <v>60</v>
      </c>
      <c r="AS168" s="347">
        <v>60</v>
      </c>
      <c r="AT168" s="347">
        <v>60</v>
      </c>
      <c r="AU168" s="347">
        <v>60</v>
      </c>
      <c r="AV168" s="347">
        <v>60</v>
      </c>
      <c r="AW168" s="347">
        <f t="shared" si="446"/>
        <v>1080</v>
      </c>
      <c r="AX168" s="365">
        <f t="shared" si="447"/>
        <v>62.18748</v>
      </c>
      <c r="AY168" s="365">
        <f t="shared" si="448"/>
        <v>88.537</v>
      </c>
      <c r="AZ168" s="367"/>
      <c r="BC168" s="330"/>
      <c r="BD168" s="330"/>
      <c r="BE168" s="330">
        <f t="shared" si="435"/>
        <v>0</v>
      </c>
      <c r="BF168" s="330">
        <f t="shared" si="436"/>
        <v>0</v>
      </c>
      <c r="BG168" s="330">
        <f t="shared" si="437"/>
        <v>0</v>
      </c>
      <c r="BH168" s="330">
        <f t="shared" si="438"/>
        <v>0</v>
      </c>
      <c r="BI168" s="330"/>
      <c r="BJ168" s="370" cm="1">
        <f t="array" ref="BJ168:BM168">_xlfn.LET(_xlpm.data,$R168:$AV168,_xlpm.starts,{1,8,16,23},_xlpm.lengths,{7,7,8,9},_xlpm.arr,_xlfn.MAP(_xlpm.starts,_xlpm.lengths,_xlfn.LAMBDA(_xlpm.s,_xlpm.l,SUM(INDEX(_xlpm.data,,_xlfn.SEQUENCE(,_xlpm.l,_xlpm.s))))),ROUND(_xlpm.arr*$O168/1000,2))</f>
        <v>0</v>
      </c>
      <c r="BK168" s="330">
        <v>3.45</v>
      </c>
      <c r="BL168" s="330">
        <v>27.64</v>
      </c>
      <c r="BM168" s="330">
        <v>31.09</v>
      </c>
      <c r="BN168" s="258">
        <f t="shared" si="449"/>
        <v>62.18</v>
      </c>
      <c r="BO168" s="258">
        <v>47.04</v>
      </c>
      <c r="BP168" s="258">
        <v>47.04</v>
      </c>
      <c r="BQ168" s="258">
        <v>53.76</v>
      </c>
      <c r="BR168" s="258">
        <v>60.48</v>
      </c>
      <c r="BS168" s="115"/>
      <c r="BT168" s="258" cm="1">
        <f ca="1" t="array" ref="BT168:BW168">_xlfn.HSTACK(SUM(INDEX($R168:$AV168,1,1):INDEX($R168:$AV168,1,7)),SUM(INDEX($R168:$AV168,1,7):INDEX($R168:$AV168,1,13)),SUM(INDEX($R168:$AV168,1,16):INDEX($R168:$AV168,1,23)),SUM(INDEX($R168:$AV168,1,23):INDEX($R168:$AV168,1,31)))</f>
        <v>0</v>
      </c>
      <c r="BU168" s="258">
        <v>0</v>
      </c>
      <c r="BV168" s="258">
        <v>480</v>
      </c>
      <c r="BW168" s="258">
        <v>540</v>
      </c>
      <c r="BY168" s="258">
        <f t="shared" si="372"/>
        <v>0</v>
      </c>
      <c r="BZ168" s="258">
        <f t="shared" si="373"/>
        <v>60</v>
      </c>
      <c r="CA168" s="258">
        <f t="shared" si="374"/>
        <v>480</v>
      </c>
      <c r="CB168" s="258">
        <f t="shared" si="375"/>
        <v>540</v>
      </c>
      <c r="CD168" s="113"/>
      <c r="CE168" s="258">
        <f t="shared" si="450"/>
        <v>0</v>
      </c>
      <c r="CF168" s="258">
        <f t="shared" si="451"/>
        <v>3.45</v>
      </c>
      <c r="CG168" s="258">
        <f t="shared" si="452"/>
        <v>27.64</v>
      </c>
      <c r="CH168" s="258">
        <f t="shared" si="453"/>
        <v>31.09</v>
      </c>
      <c r="CI168" s="258">
        <f t="shared" si="454"/>
        <v>62.18</v>
      </c>
      <c r="CJ168" s="113"/>
      <c r="CK168" s="258">
        <f t="shared" ref="CK168:CN168" si="465">IFERROR(ROUND(BY168*$P168,2),"")</f>
        <v>0</v>
      </c>
      <c r="CL168" s="258">
        <f t="shared" si="465"/>
        <v>49187.46</v>
      </c>
      <c r="CM168" s="258">
        <f t="shared" si="465"/>
        <v>393499.68</v>
      </c>
      <c r="CN168" s="258">
        <f t="shared" si="465"/>
        <v>442687.14</v>
      </c>
      <c r="CO168" s="258">
        <f t="shared" si="371"/>
        <v>885374.28</v>
      </c>
      <c r="CP168" s="258" t="e">
        <f>VLOOKUP(G168,[2]Sheet1!$C$3:$G$310,5,0)</f>
        <v>#N/A</v>
      </c>
      <c r="CQ168" s="258">
        <f>VLOOKUP(G168,[3]KCBB0101!$C$3:$F$691,4,0)</f>
        <v>1995</v>
      </c>
    </row>
    <row r="169" s="258" customFormat="1" ht="17.6" spans="1:93">
      <c r="A169" s="330"/>
      <c r="B169" s="334" t="str">
        <f>_xlfn.XLOOKUP(G169,销售需求表!A:A,销售需求表!C:C)</f>
        <v>南美</v>
      </c>
      <c r="C169" s="335" t="str">
        <f t="shared" si="377"/>
        <v>22.5</v>
      </c>
      <c r="D169" s="334" t="str">
        <f t="shared" si="444"/>
        <v>南美22.5寸</v>
      </c>
      <c r="E169" s="339" t="str">
        <f t="shared" si="395"/>
        <v>275/80R22.5-18PR(149/146L)-AZ179</v>
      </c>
      <c r="F169" s="340" t="str">
        <f t="shared" si="417"/>
        <v>275/80R22.5-18PR-AZ179</v>
      </c>
      <c r="G169" s="339" t="s">
        <v>480</v>
      </c>
      <c r="H169" s="334">
        <v>600</v>
      </c>
      <c r="I169" s="345"/>
      <c r="J169" s="346" t="str">
        <f t="shared" si="397"/>
        <v>275/80R22.5-AZ179</v>
      </c>
      <c r="K169" s="347" t="str">
        <f>_xlfn.XLOOKUP(F169,投产规格!E:E,投产规格!D:D,"未投产")</f>
        <v>✔</v>
      </c>
      <c r="L169" s="347">
        <f>IFERROR(_xlfn.XLOOKUP(F169,硫化工艺!B:B,硫化工艺!C:C),"")</f>
        <v>35</v>
      </c>
      <c r="M169" s="349">
        <f t="shared" si="445"/>
        <v>0.857142857142857</v>
      </c>
      <c r="N169" s="347" t="str">
        <f t="shared" si="333"/>
        <v>22.5全钢</v>
      </c>
      <c r="O169" s="347">
        <f>IFERROR(_xlfn.XLOOKUP(F169,轮胎重量!J:J,轮胎重量!G:G),"")</f>
        <v>47.649</v>
      </c>
      <c r="P169" s="347">
        <f>IFERROR(_xlfn.XLOOKUP(G169,硫化工艺!I:I,硫化工艺!J:J),"")</f>
        <v>687.725395</v>
      </c>
      <c r="Q169" s="347">
        <f t="shared" si="384"/>
        <v>0</v>
      </c>
      <c r="R169" s="347"/>
      <c r="S169" s="347"/>
      <c r="T169" s="347"/>
      <c r="U169" s="347"/>
      <c r="V169" s="347"/>
      <c r="W169" s="347"/>
      <c r="X169" s="347"/>
      <c r="Y169" s="347"/>
      <c r="Z169" s="347"/>
      <c r="AA169" s="347"/>
      <c r="AB169" s="347"/>
      <c r="AC169" s="347"/>
      <c r="AD169" s="347"/>
      <c r="AE169" s="347"/>
      <c r="AF169" s="347"/>
      <c r="AG169" s="347"/>
      <c r="AH169" s="347"/>
      <c r="AI169" s="347"/>
      <c r="AJ169" s="347"/>
      <c r="AK169" s="347"/>
      <c r="AL169" s="347"/>
      <c r="AM169" s="347"/>
      <c r="AN169" s="347"/>
      <c r="AO169" s="347"/>
      <c r="AP169" s="347"/>
      <c r="AQ169" s="347"/>
      <c r="AR169" s="347"/>
      <c r="AS169" s="347"/>
      <c r="AT169" s="347"/>
      <c r="AU169" s="347"/>
      <c r="AV169" s="347"/>
      <c r="AW169" s="347" t="str">
        <f t="shared" si="446"/>
        <v/>
      </c>
      <c r="AX169" s="365" t="str">
        <f t="shared" si="447"/>
        <v/>
      </c>
      <c r="AY169" s="365" t="str">
        <f t="shared" si="448"/>
        <v/>
      </c>
      <c r="AZ169" s="367"/>
      <c r="BC169" s="330"/>
      <c r="BD169" s="330"/>
      <c r="BE169" s="330" t="e">
        <f t="shared" si="435"/>
        <v>#VALUE!</v>
      </c>
      <c r="BF169" s="330" t="e">
        <f t="shared" si="436"/>
        <v>#VALUE!</v>
      </c>
      <c r="BG169" s="330" t="e">
        <f t="shared" si="437"/>
        <v>#VALUE!</v>
      </c>
      <c r="BH169" s="330" t="e">
        <f t="shared" si="438"/>
        <v>#VALUE!</v>
      </c>
      <c r="BI169" s="330"/>
      <c r="BJ169" s="370" cm="1">
        <f t="array" ref="BJ169:BM169">_xlfn.LET(_xlpm.data,$R169:$AV169,_xlpm.starts,{1,8,16,23},_xlpm.lengths,{7,7,8,9},_xlpm.arr,_xlfn.MAP(_xlpm.starts,_xlpm.lengths,_xlfn.LAMBDA(_xlpm.s,_xlpm.l,SUM(INDEX(_xlpm.data,,_xlfn.SEQUENCE(,_xlpm.l,_xlpm.s))))),ROUND(_xlpm.arr*$O169/1000,2))</f>
        <v>0</v>
      </c>
      <c r="BK169" s="330">
        <v>0</v>
      </c>
      <c r="BL169" s="330">
        <v>0</v>
      </c>
      <c r="BM169" s="330">
        <v>0</v>
      </c>
      <c r="BN169" s="258">
        <f t="shared" si="449"/>
        <v>0</v>
      </c>
      <c r="BO169" s="258">
        <v>47.04</v>
      </c>
      <c r="BP169" s="258">
        <v>47.04</v>
      </c>
      <c r="BQ169" s="258">
        <v>53.76</v>
      </c>
      <c r="BR169" s="258">
        <v>60.48</v>
      </c>
      <c r="BS169" s="115"/>
      <c r="BT169" s="258" cm="1">
        <f ca="1" t="array" ref="BT169:BW169">_xlfn.HSTACK(SUM(INDEX($R169:$AV169,1,1):INDEX($R169:$AV169,1,7)),SUM(INDEX($R169:$AV169,1,7):INDEX($R169:$AV169,1,13)),SUM(INDEX($R169:$AV169,1,16):INDEX($R169:$AV169,1,23)),SUM(INDEX($R169:$AV169,1,23):INDEX($R169:$AV169,1,31)))</f>
        <v>0</v>
      </c>
      <c r="BU169" s="258">
        <v>0</v>
      </c>
      <c r="BV169" s="258">
        <v>0</v>
      </c>
      <c r="BW169" s="258">
        <v>0</v>
      </c>
      <c r="BY169" s="258">
        <f t="shared" si="372"/>
        <v>0</v>
      </c>
      <c r="BZ169" s="258">
        <f t="shared" si="373"/>
        <v>0</v>
      </c>
      <c r="CA169" s="258">
        <f t="shared" si="374"/>
        <v>0</v>
      </c>
      <c r="CB169" s="258">
        <f t="shared" si="375"/>
        <v>0</v>
      </c>
      <c r="CD169" s="113"/>
      <c r="CE169" s="258">
        <f t="shared" si="450"/>
        <v>0</v>
      </c>
      <c r="CF169" s="258">
        <f t="shared" si="451"/>
        <v>0</v>
      </c>
      <c r="CG169" s="258">
        <f t="shared" si="452"/>
        <v>0</v>
      </c>
      <c r="CH169" s="258">
        <f t="shared" si="453"/>
        <v>0</v>
      </c>
      <c r="CI169" s="258">
        <f t="shared" si="454"/>
        <v>0</v>
      </c>
      <c r="CJ169" s="113"/>
      <c r="CK169" s="258">
        <f t="shared" ref="CK169:CN169" si="466">IFERROR(ROUND(BY169*$P169,2),"")</f>
        <v>0</v>
      </c>
      <c r="CL169" s="258">
        <f t="shared" si="466"/>
        <v>0</v>
      </c>
      <c r="CM169" s="258">
        <f t="shared" si="466"/>
        <v>0</v>
      </c>
      <c r="CN169" s="258">
        <f t="shared" si="466"/>
        <v>0</v>
      </c>
      <c r="CO169" s="258">
        <f t="shared" si="371"/>
        <v>0</v>
      </c>
    </row>
    <row r="170" ht="17.6" spans="2:93">
      <c r="B170" s="334" t="str">
        <f>_xlfn.XLOOKUP(G170,销售需求表!A:A,销售需求表!C:C)</f>
        <v>南美</v>
      </c>
      <c r="C170" s="335" t="str">
        <f t="shared" si="377"/>
        <v>22.5</v>
      </c>
      <c r="D170" s="334" t="str">
        <f t="shared" si="444"/>
        <v>南美22.5寸</v>
      </c>
      <c r="E170" s="339" t="str">
        <f t="shared" si="395"/>
        <v>275/80R22.5-18PR(149/146L)-AZ179</v>
      </c>
      <c r="F170" s="340" t="str">
        <f t="shared" si="417"/>
        <v>275/80R22.5-18PR-AZ179</v>
      </c>
      <c r="G170" s="339" t="s">
        <v>481</v>
      </c>
      <c r="H170" s="334">
        <v>1000</v>
      </c>
      <c r="I170" s="345"/>
      <c r="J170" s="346" t="str">
        <f t="shared" si="397"/>
        <v>275/80R22.5-AZ179</v>
      </c>
      <c r="K170" s="347" t="str">
        <f>_xlfn.XLOOKUP(F170,投产规格!E:E,投产规格!D:D,"未投产")</f>
        <v>✔</v>
      </c>
      <c r="L170" s="347">
        <f>IFERROR(_xlfn.XLOOKUP(F170,硫化工艺!B:B,硫化工艺!C:C),"")</f>
        <v>35</v>
      </c>
      <c r="M170" s="349">
        <f t="shared" si="445"/>
        <v>0.857142857142857</v>
      </c>
      <c r="N170" s="347" t="str">
        <f t="shared" si="333"/>
        <v>22.5全钢</v>
      </c>
      <c r="O170" s="347">
        <f>IFERROR(_xlfn.XLOOKUP(F170,轮胎重量!J:J,轮胎重量!G:G),"")</f>
        <v>47.649</v>
      </c>
      <c r="P170" s="350">
        <f>O170*13.9</f>
        <v>662.3211</v>
      </c>
      <c r="Q170" s="347">
        <f t="shared" si="384"/>
        <v>0</v>
      </c>
      <c r="R170" s="347"/>
      <c r="S170" s="347"/>
      <c r="T170" s="347"/>
      <c r="U170" s="347"/>
      <c r="V170" s="347"/>
      <c r="W170" s="347"/>
      <c r="X170" s="347"/>
      <c r="Y170" s="347"/>
      <c r="Z170" s="347"/>
      <c r="AA170" s="347"/>
      <c r="AB170" s="347"/>
      <c r="AC170" s="347"/>
      <c r="AD170" s="347"/>
      <c r="AE170" s="347"/>
      <c r="AF170" s="347"/>
      <c r="AG170" s="347"/>
      <c r="AH170" s="347"/>
      <c r="AI170" s="347"/>
      <c r="AJ170" s="347"/>
      <c r="AK170" s="347"/>
      <c r="AL170" s="347"/>
      <c r="AM170" s="347"/>
      <c r="AN170" s="347"/>
      <c r="AO170" s="347"/>
      <c r="AP170" s="347"/>
      <c r="AQ170" s="347"/>
      <c r="AR170" s="347"/>
      <c r="AS170" s="347"/>
      <c r="AT170" s="347"/>
      <c r="AU170" s="347"/>
      <c r="AV170" s="347"/>
      <c r="AW170" s="347" t="str">
        <f t="shared" si="446"/>
        <v/>
      </c>
      <c r="AX170" s="365" t="str">
        <f t="shared" si="447"/>
        <v/>
      </c>
      <c r="AY170" s="365" t="str">
        <f t="shared" si="448"/>
        <v/>
      </c>
      <c r="AZ170" s="367"/>
      <c r="BE170" s="330" t="e">
        <f t="shared" si="435"/>
        <v>#VALUE!</v>
      </c>
      <c r="BF170" s="330" t="e">
        <f t="shared" si="436"/>
        <v>#VALUE!</v>
      </c>
      <c r="BG170" s="330" t="e">
        <f t="shared" si="437"/>
        <v>#VALUE!</v>
      </c>
      <c r="BH170" s="330" t="e">
        <f t="shared" si="438"/>
        <v>#VALUE!</v>
      </c>
      <c r="BJ170" s="370" cm="1">
        <f t="array" ref="BJ170:BM170">_xlfn.LET(_xlpm.data,$R170:$AV170,_xlpm.starts,{1,8,16,23},_xlpm.lengths,{7,7,8,9},_xlpm.arr,_xlfn.MAP(_xlpm.starts,_xlpm.lengths,_xlfn.LAMBDA(_xlpm.s,_xlpm.l,SUM(INDEX(_xlpm.data,,_xlfn.SEQUENCE(,_xlpm.l,_xlpm.s))))),ROUND(_xlpm.arr*$O170/1000,2))</f>
        <v>0</v>
      </c>
      <c r="BK170" s="330">
        <v>0</v>
      </c>
      <c r="BL170" s="330">
        <v>0</v>
      </c>
      <c r="BM170" s="330">
        <v>0</v>
      </c>
      <c r="BN170" s="258">
        <f t="shared" si="449"/>
        <v>0</v>
      </c>
      <c r="BO170" s="258">
        <v>50.31</v>
      </c>
      <c r="BP170" s="258">
        <v>58.05</v>
      </c>
      <c r="BQ170" s="258">
        <v>88.46</v>
      </c>
      <c r="BR170" s="258">
        <v>115</v>
      </c>
      <c r="BT170" s="258" cm="1">
        <f ca="1" t="array" ref="BT170:BW170">_xlfn.HSTACK(SUM(INDEX($R170:$AV170,1,1):INDEX($R170:$AV170,1,7)),SUM(INDEX($R170:$AV170,1,7):INDEX($R170:$AV170,1,13)),SUM(INDEX($R170:$AV170,1,16):INDEX($R170:$AV170,1,23)),SUM(INDEX($R170:$AV170,1,23):INDEX($R170:$AV170,1,31)))</f>
        <v>0</v>
      </c>
      <c r="BU170" s="258">
        <v>0</v>
      </c>
      <c r="BV170" s="258">
        <v>0</v>
      </c>
      <c r="BW170" s="258">
        <v>0</v>
      </c>
      <c r="BY170" s="258">
        <f t="shared" si="372"/>
        <v>0</v>
      </c>
      <c r="BZ170" s="258">
        <f t="shared" si="373"/>
        <v>0</v>
      </c>
      <c r="CA170" s="258">
        <f t="shared" si="374"/>
        <v>0</v>
      </c>
      <c r="CB170" s="258">
        <f t="shared" si="375"/>
        <v>0</v>
      </c>
      <c r="CE170" s="258">
        <f t="shared" si="450"/>
        <v>0</v>
      </c>
      <c r="CF170" s="258">
        <f t="shared" si="451"/>
        <v>0</v>
      </c>
      <c r="CG170" s="258">
        <f t="shared" si="452"/>
        <v>0</v>
      </c>
      <c r="CH170" s="258">
        <f t="shared" si="453"/>
        <v>0</v>
      </c>
      <c r="CI170" s="258">
        <f t="shared" si="454"/>
        <v>0</v>
      </c>
      <c r="CK170" s="258">
        <f t="shared" ref="CK170:CN170" si="467">IFERROR(ROUND(BY170*$P170,2),"")</f>
        <v>0</v>
      </c>
      <c r="CL170" s="258">
        <f t="shared" si="467"/>
        <v>0</v>
      </c>
      <c r="CM170" s="258">
        <f t="shared" si="467"/>
        <v>0</v>
      </c>
      <c r="CN170" s="258">
        <f t="shared" si="467"/>
        <v>0</v>
      </c>
      <c r="CO170" s="258">
        <f t="shared" si="371"/>
        <v>0</v>
      </c>
    </row>
    <row r="171" customFormat="1" ht="17.6" spans="1:93">
      <c r="A171" s="330"/>
      <c r="B171" s="334" t="str">
        <f>_xlfn.XLOOKUP(G171,销售需求表!A:A,销售需求表!C:C)</f>
        <v>南美</v>
      </c>
      <c r="C171" s="335" t="str">
        <f t="shared" si="377"/>
        <v>22.5</v>
      </c>
      <c r="D171" s="334" t="str">
        <f t="shared" si="444"/>
        <v>南美22.5寸</v>
      </c>
      <c r="E171" s="339" t="str">
        <f t="shared" si="395"/>
        <v>275/80R22.5-18PR(149/146L)-AZ179</v>
      </c>
      <c r="F171" s="340" t="str">
        <f t="shared" si="417"/>
        <v>275/80R22.5-18PR-AZ179</v>
      </c>
      <c r="G171" s="339" t="s">
        <v>482</v>
      </c>
      <c r="H171" s="334">
        <v>1000</v>
      </c>
      <c r="I171" s="345"/>
      <c r="J171" s="346" t="str">
        <f t="shared" si="397"/>
        <v>275/80R22.5-AZ179</v>
      </c>
      <c r="K171" s="347" t="str">
        <f>_xlfn.XLOOKUP(F171,投产规格!E:E,投产规格!D:D,"未投产")</f>
        <v>✔</v>
      </c>
      <c r="L171" s="347">
        <f>IFERROR(_xlfn.XLOOKUP(F171,硫化工艺!B:B,硫化工艺!C:C),"")</f>
        <v>35</v>
      </c>
      <c r="M171" s="349">
        <f t="shared" si="445"/>
        <v>0.857142857142857</v>
      </c>
      <c r="N171" s="347" t="str">
        <f t="shared" si="333"/>
        <v>22.5全钢</v>
      </c>
      <c r="O171" s="347">
        <f>IFERROR(_xlfn.XLOOKUP(F171,轮胎重量!J:J,轮胎重量!G:G),"")</f>
        <v>47.649</v>
      </c>
      <c r="P171" s="350">
        <f>O171*13.9</f>
        <v>662.3211</v>
      </c>
      <c r="Q171" s="347">
        <f t="shared" si="384"/>
        <v>0</v>
      </c>
      <c r="R171" s="347"/>
      <c r="S171" s="347"/>
      <c r="T171" s="347"/>
      <c r="U171" s="347"/>
      <c r="V171" s="347"/>
      <c r="W171" s="347"/>
      <c r="X171" s="347"/>
      <c r="Y171" s="347"/>
      <c r="Z171" s="347"/>
      <c r="AA171" s="347"/>
      <c r="AB171" s="347"/>
      <c r="AC171" s="347"/>
      <c r="AD171" s="347"/>
      <c r="AE171" s="347"/>
      <c r="AF171" s="347"/>
      <c r="AG171" s="347"/>
      <c r="AH171" s="347"/>
      <c r="AI171" s="347"/>
      <c r="AJ171" s="347"/>
      <c r="AK171" s="347"/>
      <c r="AL171" s="347"/>
      <c r="AM171" s="347"/>
      <c r="AN171" s="347"/>
      <c r="AO171" s="347"/>
      <c r="AP171" s="347"/>
      <c r="AQ171" s="347"/>
      <c r="AR171" s="347"/>
      <c r="AS171" s="347"/>
      <c r="AT171" s="347"/>
      <c r="AU171" s="347"/>
      <c r="AV171" s="347"/>
      <c r="AW171" s="347" t="str">
        <f t="shared" si="446"/>
        <v/>
      </c>
      <c r="AX171" s="365" t="str">
        <f t="shared" si="447"/>
        <v/>
      </c>
      <c r="AY171" s="365" t="str">
        <f t="shared" si="448"/>
        <v/>
      </c>
      <c r="AZ171" s="367"/>
      <c r="BA171" s="258"/>
      <c r="BB171" s="258"/>
      <c r="BC171" s="330"/>
      <c r="BD171" s="330"/>
      <c r="BE171" s="330" t="e">
        <f t="shared" si="435"/>
        <v>#VALUE!</v>
      </c>
      <c r="BF171" s="330" t="e">
        <f t="shared" si="436"/>
        <v>#VALUE!</v>
      </c>
      <c r="BG171" s="330" t="e">
        <f t="shared" si="437"/>
        <v>#VALUE!</v>
      </c>
      <c r="BH171" s="330" t="e">
        <f t="shared" si="438"/>
        <v>#VALUE!</v>
      </c>
      <c r="BI171" s="330"/>
      <c r="BJ171" s="370" cm="1">
        <f t="array" ref="BJ171:BM171">_xlfn.LET(_xlpm.data,$R171:$AV171,_xlpm.starts,{1,8,16,23},_xlpm.lengths,{7,7,8,9},_xlpm.arr,_xlfn.MAP(_xlpm.starts,_xlpm.lengths,_xlfn.LAMBDA(_xlpm.s,_xlpm.l,SUM(INDEX(_xlpm.data,,_xlfn.SEQUENCE(,_xlpm.l,_xlpm.s))))),ROUND(_xlpm.arr*$O171/1000,2))</f>
        <v>0</v>
      </c>
      <c r="BK171" s="330">
        <v>0</v>
      </c>
      <c r="BL171" s="330">
        <v>0</v>
      </c>
      <c r="BM171" s="330">
        <v>0</v>
      </c>
      <c r="BN171" s="258">
        <f t="shared" si="449"/>
        <v>0</v>
      </c>
      <c r="BO171" s="258">
        <v>50.31</v>
      </c>
      <c r="BP171" s="258">
        <v>58.05</v>
      </c>
      <c r="BQ171" s="258">
        <v>88.46</v>
      </c>
      <c r="BR171" s="258">
        <v>115</v>
      </c>
      <c r="BS171" s="115"/>
      <c r="BT171" s="258" cm="1">
        <f ca="1" t="array" ref="BT171:BW171">_xlfn.HSTACK(SUM(INDEX($R171:$AV171,1,1):INDEX($R171:$AV171,1,7)),SUM(INDEX($R171:$AV171,1,7):INDEX($R171:$AV171,1,13)),SUM(INDEX($R171:$AV171,1,16):INDEX($R171:$AV171,1,23)),SUM(INDEX($R171:$AV171,1,23):INDEX($R171:$AV171,1,31)))</f>
        <v>0</v>
      </c>
      <c r="BU171" s="258">
        <v>0</v>
      </c>
      <c r="BV171" s="258">
        <v>0</v>
      </c>
      <c r="BW171" s="258">
        <v>0</v>
      </c>
      <c r="BY171" s="258">
        <f t="shared" si="372"/>
        <v>0</v>
      </c>
      <c r="BZ171" s="258">
        <f t="shared" si="373"/>
        <v>0</v>
      </c>
      <c r="CA171" s="258">
        <f t="shared" si="374"/>
        <v>0</v>
      </c>
      <c r="CB171" s="258">
        <f t="shared" si="375"/>
        <v>0</v>
      </c>
      <c r="CC171" s="258"/>
      <c r="CD171" s="113"/>
      <c r="CE171" s="258">
        <f t="shared" si="450"/>
        <v>0</v>
      </c>
      <c r="CF171" s="258">
        <f t="shared" si="451"/>
        <v>0</v>
      </c>
      <c r="CG171" s="258">
        <f t="shared" si="452"/>
        <v>0</v>
      </c>
      <c r="CH171" s="258">
        <f t="shared" si="453"/>
        <v>0</v>
      </c>
      <c r="CI171" s="258">
        <f t="shared" si="454"/>
        <v>0</v>
      </c>
      <c r="CJ171" s="113"/>
      <c r="CK171" s="258">
        <f t="shared" ref="CK171:CN171" si="468">IFERROR(ROUND(BY171*$P171,2),"")</f>
        <v>0</v>
      </c>
      <c r="CL171" s="258">
        <f t="shared" si="468"/>
        <v>0</v>
      </c>
      <c r="CM171" s="258">
        <f t="shared" si="468"/>
        <v>0</v>
      </c>
      <c r="CN171" s="258">
        <f t="shared" si="468"/>
        <v>0</v>
      </c>
      <c r="CO171" s="258">
        <f t="shared" si="371"/>
        <v>0</v>
      </c>
    </row>
    <row r="172" s="258" customFormat="1" ht="17.6" spans="1:95">
      <c r="A172" s="330"/>
      <c r="B172" s="334" t="str">
        <f>_xlfn.XLOOKUP(G172,销售需求表!A:A,销售需求表!C:C)</f>
        <v>南美</v>
      </c>
      <c r="C172" s="335" t="str">
        <f t="shared" si="377"/>
        <v>22.5</v>
      </c>
      <c r="D172" s="359" t="str">
        <f t="shared" si="444"/>
        <v>南美22.5寸</v>
      </c>
      <c r="E172" s="339" t="str">
        <f t="shared" si="395"/>
        <v>295/80R22.5-18PR(150/147M)-ECOPLUS</v>
      </c>
      <c r="F172" s="340" t="str">
        <f t="shared" si="417"/>
        <v>295/80R22.5-18PR-ECOPLUS</v>
      </c>
      <c r="G172" s="342" t="s">
        <v>150</v>
      </c>
      <c r="H172" s="334">
        <v>8000</v>
      </c>
      <c r="I172" s="345">
        <v>8</v>
      </c>
      <c r="J172" s="346" t="str">
        <f t="shared" si="397"/>
        <v>295/80R22.5-ECOPLUS</v>
      </c>
      <c r="K172" s="347" t="str">
        <f>_xlfn.XLOOKUP(F172,投产规格!E:E,投产规格!D:D,"未投产")</f>
        <v>✔</v>
      </c>
      <c r="L172" s="347">
        <f>IFERROR(_xlfn.XLOOKUP(F172,硫化工艺!B:B,硫化工艺!C:C),"")</f>
        <v>36</v>
      </c>
      <c r="M172" s="349">
        <f t="shared" si="445"/>
        <v>0.860557768924303</v>
      </c>
      <c r="N172" s="347" t="str">
        <f t="shared" si="333"/>
        <v>22.5全钢</v>
      </c>
      <c r="O172" s="347">
        <f>IFERROR(_xlfn.XLOOKUP(F172,轮胎重量!J:J,轮胎重量!G:G),"")</f>
        <v>53.159</v>
      </c>
      <c r="P172" s="347">
        <f>IFERROR(_xlfn.XLOOKUP(G172,硫化工艺!I:I,硫化工艺!J:J),"")</f>
        <v>754.8051</v>
      </c>
      <c r="Q172" s="347">
        <f t="shared" si="384"/>
        <v>275</v>
      </c>
      <c r="R172" s="347">
        <v>260</v>
      </c>
      <c r="S172" s="347">
        <v>260</v>
      </c>
      <c r="T172" s="347">
        <v>260</v>
      </c>
      <c r="U172" s="347">
        <v>260</v>
      </c>
      <c r="V172" s="347">
        <v>260</v>
      </c>
      <c r="W172" s="347">
        <v>260</v>
      </c>
      <c r="X172" s="347">
        <v>260</v>
      </c>
      <c r="Y172" s="347">
        <v>260</v>
      </c>
      <c r="Z172" s="347">
        <v>260</v>
      </c>
      <c r="AA172" s="347">
        <v>260</v>
      </c>
      <c r="AB172" s="347">
        <v>260</v>
      </c>
      <c r="AC172" s="347">
        <v>260</v>
      </c>
      <c r="AD172" s="347">
        <v>260</v>
      </c>
      <c r="AE172" s="347">
        <v>260</v>
      </c>
      <c r="AF172" s="347">
        <v>260</v>
      </c>
      <c r="AG172" s="347">
        <v>260</v>
      </c>
      <c r="AH172" s="347">
        <v>260</v>
      </c>
      <c r="AI172" s="347">
        <v>260</v>
      </c>
      <c r="AJ172" s="347">
        <v>260</v>
      </c>
      <c r="AK172" s="347">
        <v>260</v>
      </c>
      <c r="AL172" s="347">
        <v>260</v>
      </c>
      <c r="AM172" s="347">
        <v>260</v>
      </c>
      <c r="AN172" s="347">
        <v>260</v>
      </c>
      <c r="AO172" s="347">
        <v>260</v>
      </c>
      <c r="AP172" s="347">
        <v>260</v>
      </c>
      <c r="AQ172" s="347">
        <v>260</v>
      </c>
      <c r="AR172" s="347">
        <v>260</v>
      </c>
      <c r="AS172" s="347">
        <v>260</v>
      </c>
      <c r="AT172" s="347">
        <v>260</v>
      </c>
      <c r="AU172" s="347">
        <v>260</v>
      </c>
      <c r="AV172" s="347">
        <v>260</v>
      </c>
      <c r="AW172" s="347">
        <v>10000</v>
      </c>
      <c r="AX172" s="365">
        <f t="shared" si="447"/>
        <v>531.59</v>
      </c>
      <c r="AY172" s="365">
        <f t="shared" si="448"/>
        <v>754.805</v>
      </c>
      <c r="AZ172" s="367"/>
      <c r="BC172" s="330"/>
      <c r="BD172" s="330"/>
      <c r="BE172" s="330">
        <f t="shared" si="435"/>
        <v>0</v>
      </c>
      <c r="BF172" s="330">
        <f t="shared" si="436"/>
        <v>0</v>
      </c>
      <c r="BG172" s="330">
        <f t="shared" si="437"/>
        <v>0</v>
      </c>
      <c r="BH172" s="330">
        <f t="shared" si="438"/>
        <v>0</v>
      </c>
      <c r="BI172" s="330"/>
      <c r="BJ172" s="370" cm="1">
        <f t="array" ref="BJ172:BM172">_xlfn.LET(_xlpm.data,$R172:$AV172,_xlpm.starts,{1,8,16,23},_xlpm.lengths,{7,7,8,9},_xlpm.arr,_xlfn.MAP(_xlpm.starts,_xlpm.lengths,_xlfn.LAMBDA(_xlpm.s,_xlpm.l,SUM(INDEX(_xlpm.data,,_xlfn.SEQUENCE(,_xlpm.l,_xlpm.s))))),ROUND(_xlpm.arr*$O172/1000,2))</f>
        <v>96.75</v>
      </c>
      <c r="BK172" s="330">
        <v>96.75</v>
      </c>
      <c r="BL172" s="330">
        <v>110.57</v>
      </c>
      <c r="BM172" s="330">
        <v>124.39</v>
      </c>
      <c r="BN172" s="258">
        <f t="shared" si="449"/>
        <v>428.46</v>
      </c>
      <c r="BO172" s="258">
        <v>50.31</v>
      </c>
      <c r="BP172" s="258">
        <v>58.05</v>
      </c>
      <c r="BQ172" s="258">
        <v>88.46</v>
      </c>
      <c r="BR172" s="258">
        <v>115</v>
      </c>
      <c r="BS172" s="115"/>
      <c r="BT172" s="258" cm="1">
        <f ca="1" t="array" ref="BT172:BW172">_xlfn.HSTACK(SUM(INDEX($R172:$AV172,1,1):INDEX($R172:$AV172,1,7)),SUM(INDEX($R172:$AV172,1,7):INDEX($R172:$AV172,1,13)),SUM(INDEX($R172:$AV172,1,16):INDEX($R172:$AV172,1,23)),SUM(INDEX($R172:$AV172,1,23):INDEX($R172:$AV172,1,31)))</f>
        <v>1820</v>
      </c>
      <c r="BU172" s="258">
        <v>1820</v>
      </c>
      <c r="BV172" s="258">
        <v>2080</v>
      </c>
      <c r="BW172" s="258">
        <v>2340</v>
      </c>
      <c r="BY172" s="258">
        <f t="shared" si="372"/>
        <v>1820</v>
      </c>
      <c r="BZ172" s="258">
        <f t="shared" si="373"/>
        <v>1820</v>
      </c>
      <c r="CA172" s="258">
        <f t="shared" si="374"/>
        <v>2080</v>
      </c>
      <c r="CB172" s="258">
        <f t="shared" si="375"/>
        <v>2340</v>
      </c>
      <c r="CD172" s="113"/>
      <c r="CE172" s="258">
        <f t="shared" si="450"/>
        <v>96.75</v>
      </c>
      <c r="CF172" s="258">
        <f t="shared" si="451"/>
        <v>96.75</v>
      </c>
      <c r="CG172" s="258">
        <f t="shared" si="452"/>
        <v>110.57</v>
      </c>
      <c r="CH172" s="258">
        <f t="shared" si="453"/>
        <v>124.39</v>
      </c>
      <c r="CI172" s="258">
        <f t="shared" si="454"/>
        <v>428.46</v>
      </c>
      <c r="CJ172" s="113"/>
      <c r="CK172" s="258">
        <f t="shared" ref="CK172:CN172" si="469">IFERROR(ROUND(BY172*$P172,2),"")</f>
        <v>1373745.28</v>
      </c>
      <c r="CL172" s="258">
        <f t="shared" si="469"/>
        <v>1373745.28</v>
      </c>
      <c r="CM172" s="258">
        <f t="shared" si="469"/>
        <v>1569994.61</v>
      </c>
      <c r="CN172" s="258">
        <f t="shared" si="469"/>
        <v>1766243.93</v>
      </c>
      <c r="CO172" s="258">
        <f t="shared" si="371"/>
        <v>6083729.1</v>
      </c>
      <c r="CP172" s="258">
        <f>VLOOKUP(G172,[2]Sheet1!$C$3:$G$310,5,0)</f>
        <v>5500</v>
      </c>
      <c r="CQ172" s="258" t="e">
        <f>VLOOKUP(G172,[3]KCBB0101!$C$3:$F$691,4,0)</f>
        <v>#N/A</v>
      </c>
    </row>
    <row r="173" ht="17.6" spans="2:93">
      <c r="B173" s="334" t="str">
        <f>_xlfn.XLOOKUP(G173,销售需求表!A:A,销售需求表!C:C)</f>
        <v>南美</v>
      </c>
      <c r="C173" s="335" t="str">
        <f t="shared" si="377"/>
        <v>22.5</v>
      </c>
      <c r="D173" s="359" t="str">
        <f t="shared" si="444"/>
        <v>南美22.5寸</v>
      </c>
      <c r="E173" s="339" t="str">
        <f t="shared" si="395"/>
        <v>295/80R22.5-18PR(152/149J)-EZ177</v>
      </c>
      <c r="F173" s="340" t="str">
        <f t="shared" si="417"/>
        <v>295/80R22.5-18PR-EZ177</v>
      </c>
      <c r="G173" s="377" t="s">
        <v>522</v>
      </c>
      <c r="H173" s="334">
        <v>500</v>
      </c>
      <c r="I173" s="345"/>
      <c r="J173" s="346" t="str">
        <f t="shared" ref="J173:J218" si="470">IFERROR(LEFT(F173,FIND("-",F173))&amp;MID(F173,FIND("PR",F173,FIND("-",F173))+3,LEN(F173)),F173)</f>
        <v>295/80R22.5-EZ177</v>
      </c>
      <c r="K173" s="347" t="str">
        <f>_xlfn.XLOOKUP(F173,投产规格!E:E,投产规格!D:D,"未投产")</f>
        <v>✔</v>
      </c>
      <c r="L173" s="347">
        <f>IFERROR(_xlfn.XLOOKUP(F173,硫化工艺!B:B,硫化工艺!C:C),"")</f>
        <v>42.5</v>
      </c>
      <c r="M173" s="349">
        <f t="shared" si="445"/>
        <v>0.879310344827586</v>
      </c>
      <c r="N173" s="347" t="str">
        <f t="shared" si="333"/>
        <v>22.5全钢</v>
      </c>
      <c r="O173" s="347">
        <f>IFERROR(_xlfn.XLOOKUP(F173,轮胎重量!J:J,轮胎重量!G:G),"")</f>
        <v>55.076</v>
      </c>
      <c r="P173" s="347">
        <f>IFERROR(_xlfn.XLOOKUP(G173,硫化工艺!I:I,硫化工艺!J:J),"")</f>
        <v>801.7149</v>
      </c>
      <c r="Q173" s="347">
        <f t="shared" si="384"/>
        <v>0</v>
      </c>
      <c r="R173" s="347"/>
      <c r="S173" s="347"/>
      <c r="T173" s="347"/>
      <c r="U173" s="347"/>
      <c r="V173" s="347"/>
      <c r="W173" s="347"/>
      <c r="X173" s="347"/>
      <c r="Y173" s="347"/>
      <c r="Z173" s="347"/>
      <c r="AA173" s="347"/>
      <c r="AB173" s="347"/>
      <c r="AC173" s="347"/>
      <c r="AD173" s="347"/>
      <c r="AE173" s="347"/>
      <c r="AF173" s="347"/>
      <c r="AG173" s="347"/>
      <c r="AH173" s="347"/>
      <c r="AI173" s="347"/>
      <c r="AJ173" s="347"/>
      <c r="AK173" s="347"/>
      <c r="AL173" s="347"/>
      <c r="AM173" s="347"/>
      <c r="AN173" s="347"/>
      <c r="AO173" s="347"/>
      <c r="AP173" s="347"/>
      <c r="AQ173" s="347"/>
      <c r="AR173" s="347"/>
      <c r="AS173" s="347"/>
      <c r="AT173" s="347"/>
      <c r="AU173" s="347"/>
      <c r="AV173" s="347"/>
      <c r="AW173" s="347" t="str">
        <f t="shared" si="446"/>
        <v/>
      </c>
      <c r="AX173" s="365" t="str">
        <f t="shared" si="447"/>
        <v/>
      </c>
      <c r="AY173" s="365" t="str">
        <f t="shared" si="448"/>
        <v/>
      </c>
      <c r="AZ173" s="367"/>
      <c r="BE173" s="330" t="e">
        <f t="shared" si="435"/>
        <v>#VALUE!</v>
      </c>
      <c r="BF173" s="330" t="e">
        <f t="shared" si="436"/>
        <v>#VALUE!</v>
      </c>
      <c r="BG173" s="330" t="e">
        <f t="shared" si="437"/>
        <v>#VALUE!</v>
      </c>
      <c r="BH173" s="330" t="e">
        <f t="shared" si="438"/>
        <v>#VALUE!</v>
      </c>
      <c r="BJ173" s="370" cm="1">
        <f t="array" ref="BJ173:BM173">_xlfn.LET(_xlpm.data,$R173:$AV173,_xlpm.starts,{1,8,16,23},_xlpm.lengths,{7,7,8,9},_xlpm.arr,_xlfn.MAP(_xlpm.starts,_xlpm.lengths,_xlfn.LAMBDA(_xlpm.s,_xlpm.l,SUM(INDEX(_xlpm.data,,_xlfn.SEQUENCE(,_xlpm.l,_xlpm.s))))),ROUND(_xlpm.arr*$O173/1000,2))</f>
        <v>0</v>
      </c>
      <c r="BK173" s="330">
        <v>0</v>
      </c>
      <c r="BL173" s="330">
        <v>0</v>
      </c>
      <c r="BM173" s="330">
        <v>0</v>
      </c>
      <c r="BN173" s="258">
        <f t="shared" si="449"/>
        <v>0</v>
      </c>
      <c r="BO173" s="258">
        <v>13.94</v>
      </c>
      <c r="BP173" s="258">
        <v>24.39</v>
      </c>
      <c r="BQ173" s="258">
        <v>27.88</v>
      </c>
      <c r="BR173" s="258">
        <v>31.36</v>
      </c>
      <c r="BT173" s="258" cm="1">
        <f ca="1" t="array" ref="BT173:BW173">_xlfn.HSTACK(SUM(INDEX($R173:$AV173,1,1):INDEX($R173:$AV173,1,7)),SUM(INDEX($R173:$AV173,1,7):INDEX($R173:$AV173,1,13)),SUM(INDEX($R173:$AV173,1,16):INDEX($R173:$AV173,1,23)),SUM(INDEX($R173:$AV173,1,23):INDEX($R173:$AV173,1,31)))</f>
        <v>0</v>
      </c>
      <c r="BU173" s="258">
        <v>0</v>
      </c>
      <c r="BV173" s="258">
        <v>0</v>
      </c>
      <c r="BW173" s="258">
        <v>0</v>
      </c>
      <c r="BY173" s="258">
        <f t="shared" si="372"/>
        <v>0</v>
      </c>
      <c r="BZ173" s="258">
        <f t="shared" si="373"/>
        <v>0</v>
      </c>
      <c r="CA173" s="258">
        <f t="shared" si="374"/>
        <v>0</v>
      </c>
      <c r="CB173" s="258">
        <f t="shared" si="375"/>
        <v>0</v>
      </c>
      <c r="CE173" s="258">
        <f t="shared" si="450"/>
        <v>0</v>
      </c>
      <c r="CF173" s="258">
        <f t="shared" si="451"/>
        <v>0</v>
      </c>
      <c r="CG173" s="258">
        <f t="shared" si="452"/>
        <v>0</v>
      </c>
      <c r="CH173" s="258">
        <f t="shared" si="453"/>
        <v>0</v>
      </c>
      <c r="CI173" s="258">
        <f t="shared" si="454"/>
        <v>0</v>
      </c>
      <c r="CK173" s="258">
        <f t="shared" ref="CK173:CN173" si="471">IFERROR(ROUND(BY173*$P173,2),"")</f>
        <v>0</v>
      </c>
      <c r="CL173" s="258">
        <f t="shared" si="471"/>
        <v>0</v>
      </c>
      <c r="CM173" s="258">
        <f t="shared" si="471"/>
        <v>0</v>
      </c>
      <c r="CN173" s="258">
        <f t="shared" si="471"/>
        <v>0</v>
      </c>
      <c r="CO173" s="258">
        <f t="shared" si="371"/>
        <v>0</v>
      </c>
    </row>
    <row r="174" s="258" customFormat="1" ht="17.6" spans="1:95">
      <c r="A174" s="330"/>
      <c r="B174" s="334" t="str">
        <f>_xlfn.XLOOKUP(G174,销售需求表!A:A,销售需求表!C:C)</f>
        <v>南美</v>
      </c>
      <c r="C174" s="335" t="str">
        <f t="shared" si="377"/>
        <v>22.5</v>
      </c>
      <c r="D174" s="359" t="str">
        <f t="shared" si="444"/>
        <v>南美22.5寸</v>
      </c>
      <c r="E174" s="339" t="str">
        <f t="shared" si="395"/>
        <v>295/80R22.5-18PR(152/149K)-G-PRO MSD</v>
      </c>
      <c r="F174" s="340" t="str">
        <f t="shared" si="417"/>
        <v>295/80R22.5-18PR-G-PRO MSD</v>
      </c>
      <c r="G174" s="341" t="s">
        <v>523</v>
      </c>
      <c r="H174" s="334">
        <v>4000</v>
      </c>
      <c r="I174" s="354">
        <v>2</v>
      </c>
      <c r="J174" s="346" t="str">
        <f t="shared" si="470"/>
        <v>295/80R22.5-G-PRO MSD</v>
      </c>
      <c r="K174" s="347" t="str">
        <f>_xlfn.XLOOKUP(F174,投产规格!E:E,投产规格!D:D,"未投产")</f>
        <v>✔</v>
      </c>
      <c r="L174" s="347">
        <f>IFERROR(_xlfn.XLOOKUP(F174,硫化工艺!B:B,硫化工艺!C:C),"")</f>
        <v>44.5</v>
      </c>
      <c r="M174" s="349">
        <f t="shared" si="445"/>
        <v>0.884105960264901</v>
      </c>
      <c r="N174" s="347" t="str">
        <f t="shared" si="333"/>
        <v>22.5全钢</v>
      </c>
      <c r="O174" s="347">
        <f>IFERROR(_xlfn.XLOOKUP(F174,轮胎重量!J:J,轮胎重量!G:G),"")</f>
        <v>64.244</v>
      </c>
      <c r="P174" s="347">
        <f>IFERROR(_xlfn.XLOOKUP(G174,硫化工艺!I:I,硫化工艺!J:J),"")</f>
        <v>948.8465</v>
      </c>
      <c r="Q174" s="347">
        <f t="shared" si="384"/>
        <v>57</v>
      </c>
      <c r="R174" s="347">
        <v>50</v>
      </c>
      <c r="S174" s="347">
        <v>50</v>
      </c>
      <c r="T174" s="347">
        <v>50</v>
      </c>
      <c r="U174" s="347">
        <v>50</v>
      </c>
      <c r="V174" s="347">
        <v>50</v>
      </c>
      <c r="W174" s="347">
        <v>50</v>
      </c>
      <c r="X174" s="347">
        <v>50</v>
      </c>
      <c r="Y174" s="347">
        <v>50</v>
      </c>
      <c r="Z174" s="347">
        <v>50</v>
      </c>
      <c r="AA174" s="347">
        <v>50</v>
      </c>
      <c r="AB174" s="347">
        <v>50</v>
      </c>
      <c r="AC174" s="347">
        <v>50</v>
      </c>
      <c r="AD174" s="347">
        <v>50</v>
      </c>
      <c r="AE174" s="347">
        <v>50</v>
      </c>
      <c r="AF174" s="347">
        <v>50</v>
      </c>
      <c r="AG174" s="347">
        <v>50</v>
      </c>
      <c r="AH174" s="347">
        <v>50</v>
      </c>
      <c r="AI174" s="347">
        <v>50</v>
      </c>
      <c r="AJ174" s="347">
        <v>50</v>
      </c>
      <c r="AK174" s="347">
        <v>50</v>
      </c>
      <c r="AL174" s="347">
        <v>50</v>
      </c>
      <c r="AM174" s="347">
        <v>50</v>
      </c>
      <c r="AN174" s="347">
        <v>50</v>
      </c>
      <c r="AO174" s="347">
        <v>50</v>
      </c>
      <c r="AP174" s="347">
        <v>50</v>
      </c>
      <c r="AQ174" s="347">
        <v>50</v>
      </c>
      <c r="AR174" s="347">
        <v>50</v>
      </c>
      <c r="AS174" s="347">
        <v>50</v>
      </c>
      <c r="AT174" s="347">
        <v>50</v>
      </c>
      <c r="AU174" s="347">
        <v>50</v>
      </c>
      <c r="AV174" s="347">
        <v>50</v>
      </c>
      <c r="AW174" s="347">
        <f t="shared" si="446"/>
        <v>1550</v>
      </c>
      <c r="AX174" s="365">
        <f t="shared" si="447"/>
        <v>99.5782</v>
      </c>
      <c r="AY174" s="365">
        <f t="shared" si="448"/>
        <v>147.071</v>
      </c>
      <c r="AZ174" s="367"/>
      <c r="BA174" s="258"/>
      <c r="BB174" s="258"/>
      <c r="BC174" s="330"/>
      <c r="BD174" s="330"/>
      <c r="BE174" s="330">
        <f t="shared" si="435"/>
        <v>0</v>
      </c>
      <c r="BF174" s="330">
        <f t="shared" si="436"/>
        <v>0</v>
      </c>
      <c r="BG174" s="330">
        <f t="shared" si="437"/>
        <v>0</v>
      </c>
      <c r="BH174" s="330">
        <f t="shared" si="438"/>
        <v>0</v>
      </c>
      <c r="BI174" s="330"/>
      <c r="BJ174" s="370" cm="1">
        <f t="array" ref="BJ174:BM174">_xlfn.LET(_xlpm.data,$R174:$AV174,_xlpm.starts,{1,8,16,23},_xlpm.lengths,{7,7,8,9},_xlpm.arr,_xlfn.MAP(_xlpm.starts,_xlpm.lengths,_xlfn.LAMBDA(_xlpm.s,_xlpm.l,SUM(INDEX(_xlpm.data,,_xlfn.SEQUENCE(,_xlpm.l,_xlpm.s))))),ROUND(_xlpm.arr*$O174/1000,2))</f>
        <v>22.49</v>
      </c>
      <c r="BK174" s="330">
        <v>22.49</v>
      </c>
      <c r="BL174" s="330">
        <v>25.7</v>
      </c>
      <c r="BM174" s="330">
        <v>28.91</v>
      </c>
      <c r="BN174" s="258">
        <f t="shared" si="449"/>
        <v>99.59</v>
      </c>
      <c r="BO174" s="258">
        <v>13.94</v>
      </c>
      <c r="BP174" s="258">
        <v>24.39</v>
      </c>
      <c r="BQ174" s="258">
        <v>27.88</v>
      </c>
      <c r="BR174" s="258">
        <v>31.36</v>
      </c>
      <c r="BS174" s="115"/>
      <c r="BT174" s="258" cm="1">
        <f ca="1" t="array" ref="BT174:BW174">_xlfn.HSTACK(SUM(INDEX($R174:$AV174,1,1):INDEX($R174:$AV174,1,7)),SUM(INDEX($R174:$AV174,1,7):INDEX($R174:$AV174,1,13)),SUM(INDEX($R174:$AV174,1,16):INDEX($R174:$AV174,1,23)),SUM(INDEX($R174:$AV174,1,23):INDEX($R174:$AV174,1,31)))</f>
        <v>350</v>
      </c>
      <c r="BU174" s="258">
        <v>350</v>
      </c>
      <c r="BV174" s="258">
        <v>400</v>
      </c>
      <c r="BW174" s="258">
        <v>450</v>
      </c>
      <c r="BY174" s="258">
        <f t="shared" si="372"/>
        <v>350</v>
      </c>
      <c r="BZ174" s="258">
        <f t="shared" si="373"/>
        <v>350</v>
      </c>
      <c r="CA174" s="258">
        <f t="shared" si="374"/>
        <v>400</v>
      </c>
      <c r="CB174" s="258">
        <f t="shared" si="375"/>
        <v>450</v>
      </c>
      <c r="CD174" s="113"/>
      <c r="CE174" s="258">
        <f t="shared" si="450"/>
        <v>22.49</v>
      </c>
      <c r="CF174" s="258">
        <f t="shared" si="451"/>
        <v>22.49</v>
      </c>
      <c r="CG174" s="258">
        <f t="shared" si="452"/>
        <v>25.7</v>
      </c>
      <c r="CH174" s="258">
        <f t="shared" si="453"/>
        <v>28.91</v>
      </c>
      <c r="CI174" s="258">
        <f t="shared" si="454"/>
        <v>99.59</v>
      </c>
      <c r="CJ174" s="113"/>
      <c r="CK174" s="258">
        <f t="shared" ref="CK174:CN174" si="472">IFERROR(ROUND(BY174*$P174,2),"")</f>
        <v>332096.28</v>
      </c>
      <c r="CL174" s="258">
        <f t="shared" si="472"/>
        <v>332096.28</v>
      </c>
      <c r="CM174" s="258">
        <f t="shared" si="472"/>
        <v>379538.6</v>
      </c>
      <c r="CN174" s="258">
        <f t="shared" si="472"/>
        <v>426980.93</v>
      </c>
      <c r="CO174" s="258">
        <f t="shared" si="371"/>
        <v>1470712.09</v>
      </c>
      <c r="CP174" s="258" t="e">
        <f>VLOOKUP(G174,[2]Sheet1!$C$3:$G$310,5,0)</f>
        <v>#N/A</v>
      </c>
      <c r="CQ174" s="258">
        <f>VLOOKUP(G174,[3]KCBB0101!$C$3:$F$691,4,0)</f>
        <v>10217</v>
      </c>
    </row>
    <row r="175" ht="17.6" spans="2:95">
      <c r="B175" s="334" t="str">
        <f>_xlfn.XLOOKUP(G175,销售需求表!A:A,销售需求表!C:C)</f>
        <v>南美</v>
      </c>
      <c r="C175" s="335" t="str">
        <f t="shared" si="377"/>
        <v>22.5</v>
      </c>
      <c r="D175" s="359" t="str">
        <f t="shared" si="444"/>
        <v>南美22.5寸</v>
      </c>
      <c r="E175" s="339" t="str">
        <f t="shared" si="395"/>
        <v>295/80R22.5-18PR(152/149K)-MD777</v>
      </c>
      <c r="F175" s="340" t="str">
        <f t="shared" si="417"/>
        <v>295/80R22.5-18PR-MD777</v>
      </c>
      <c r="G175" s="341" t="s">
        <v>524</v>
      </c>
      <c r="H175" s="334">
        <v>1800</v>
      </c>
      <c r="I175" s="345">
        <v>2</v>
      </c>
      <c r="J175" s="346" t="str">
        <f t="shared" si="470"/>
        <v>295/80R22.5-MD777</v>
      </c>
      <c r="K175" s="347" t="str">
        <f>_xlfn.XLOOKUP(F175,投产规格!E:E,投产规格!D:D,"未投产")</f>
        <v>✔</v>
      </c>
      <c r="L175" s="347">
        <f>IFERROR(_xlfn.XLOOKUP(F175,硫化工艺!B:B,硫化工艺!C:C),"")</f>
        <v>44.5</v>
      </c>
      <c r="M175" s="349">
        <f t="shared" si="445"/>
        <v>0.884105960264901</v>
      </c>
      <c r="N175" s="347" t="str">
        <f t="shared" si="333"/>
        <v>22.5全钢</v>
      </c>
      <c r="O175" s="347">
        <f>IFERROR(_xlfn.XLOOKUP(F175,轮胎重量!J:J,轮胎重量!G:G),"")</f>
        <v>64.244</v>
      </c>
      <c r="P175" s="347">
        <f>IFERROR(_xlfn.XLOOKUP(G175,硫化工艺!I:I,硫化工艺!J:J),"")</f>
        <v>948.852331</v>
      </c>
      <c r="Q175" s="347">
        <f t="shared" si="384"/>
        <v>57</v>
      </c>
      <c r="R175" s="347">
        <v>50</v>
      </c>
      <c r="S175" s="347">
        <v>50</v>
      </c>
      <c r="T175" s="347">
        <v>50</v>
      </c>
      <c r="U175" s="347">
        <v>50</v>
      </c>
      <c r="V175" s="347">
        <v>50</v>
      </c>
      <c r="W175" s="347">
        <v>50</v>
      </c>
      <c r="X175" s="347">
        <v>50</v>
      </c>
      <c r="Y175" s="347">
        <v>50</v>
      </c>
      <c r="Z175" s="347">
        <v>50</v>
      </c>
      <c r="AA175" s="347">
        <v>50</v>
      </c>
      <c r="AB175" s="347">
        <v>50</v>
      </c>
      <c r="AC175" s="347">
        <v>50</v>
      </c>
      <c r="AD175" s="347">
        <v>50</v>
      </c>
      <c r="AE175" s="347">
        <v>50</v>
      </c>
      <c r="AF175" s="347">
        <v>50</v>
      </c>
      <c r="AG175" s="347">
        <v>50</v>
      </c>
      <c r="AH175" s="347">
        <v>50</v>
      </c>
      <c r="AI175" s="347">
        <v>50</v>
      </c>
      <c r="AJ175" s="347">
        <v>50</v>
      </c>
      <c r="AK175" s="347">
        <v>50</v>
      </c>
      <c r="AL175" s="347">
        <v>50</v>
      </c>
      <c r="AM175" s="347">
        <v>50</v>
      </c>
      <c r="AN175" s="347">
        <v>50</v>
      </c>
      <c r="AO175" s="347">
        <v>50</v>
      </c>
      <c r="AP175" s="347">
        <v>50</v>
      </c>
      <c r="AQ175" s="347">
        <v>50</v>
      </c>
      <c r="AR175" s="347">
        <v>50</v>
      </c>
      <c r="AS175" s="347">
        <v>50</v>
      </c>
      <c r="AT175" s="347">
        <v>50</v>
      </c>
      <c r="AU175" s="347">
        <v>50</v>
      </c>
      <c r="AV175" s="347">
        <v>50</v>
      </c>
      <c r="AW175" s="347">
        <f t="shared" si="446"/>
        <v>1550</v>
      </c>
      <c r="AX175" s="365">
        <f t="shared" si="447"/>
        <v>99.5782</v>
      </c>
      <c r="AY175" s="365">
        <f t="shared" si="448"/>
        <v>147.072</v>
      </c>
      <c r="AZ175" s="366">
        <v>635.83</v>
      </c>
      <c r="BA175" s="368">
        <v>37.86</v>
      </c>
      <c r="BB175" s="368">
        <v>59.49</v>
      </c>
      <c r="BC175" s="368">
        <v>64.23</v>
      </c>
      <c r="BE175" s="330">
        <f t="shared" si="435"/>
        <v>985536.5</v>
      </c>
      <c r="BF175" s="330">
        <f t="shared" si="436"/>
        <v>58683</v>
      </c>
      <c r="BG175" s="330">
        <f t="shared" si="437"/>
        <v>92209.5</v>
      </c>
      <c r="BH175" s="330">
        <f t="shared" si="438"/>
        <v>99556.5</v>
      </c>
      <c r="BJ175" s="370" cm="1">
        <f t="array" ref="BJ175:BM175">_xlfn.LET(_xlpm.data,$R175:$AV175,_xlpm.starts,{1,8,16,23},_xlpm.lengths,{7,7,8,9},_xlpm.arr,_xlfn.MAP(_xlpm.starts,_xlpm.lengths,_xlfn.LAMBDA(_xlpm.s,_xlpm.l,SUM(INDEX(_xlpm.data,,_xlfn.SEQUENCE(,_xlpm.l,_xlpm.s))))),ROUND(_xlpm.arr*$O175/1000,2))</f>
        <v>22.49</v>
      </c>
      <c r="BK175" s="330">
        <v>22.49</v>
      </c>
      <c r="BL175" s="330">
        <v>25.7</v>
      </c>
      <c r="BM175" s="330">
        <v>28.91</v>
      </c>
      <c r="BN175" s="258">
        <f t="shared" si="449"/>
        <v>99.59</v>
      </c>
      <c r="BO175" s="258">
        <v>22.68</v>
      </c>
      <c r="BP175" s="258">
        <v>22.68</v>
      </c>
      <c r="BQ175" s="258">
        <v>25.92</v>
      </c>
      <c r="BR175" s="258">
        <v>29.16</v>
      </c>
      <c r="BT175" s="258" cm="1">
        <f ca="1" t="array" ref="BT175:BW175">_xlfn.HSTACK(SUM(INDEX($R175:$AV175,1,1):INDEX($R175:$AV175,1,7)),SUM(INDEX($R175:$AV175,1,7):INDEX($R175:$AV175,1,13)),SUM(INDEX($R175:$AV175,1,16):INDEX($R175:$AV175,1,23)),SUM(INDEX($R175:$AV175,1,23):INDEX($R175:$AV175,1,31)))</f>
        <v>350</v>
      </c>
      <c r="BU175" s="258">
        <v>350</v>
      </c>
      <c r="BV175" s="258">
        <v>400</v>
      </c>
      <c r="BW175" s="258">
        <v>450</v>
      </c>
      <c r="BY175" s="258">
        <f t="shared" si="372"/>
        <v>350</v>
      </c>
      <c r="BZ175" s="258">
        <f t="shared" si="373"/>
        <v>350</v>
      </c>
      <c r="CA175" s="258">
        <f t="shared" si="374"/>
        <v>400</v>
      </c>
      <c r="CB175" s="258">
        <f t="shared" si="375"/>
        <v>450</v>
      </c>
      <c r="CE175" s="258">
        <f t="shared" si="450"/>
        <v>22.49</v>
      </c>
      <c r="CF175" s="258">
        <f t="shared" si="451"/>
        <v>22.49</v>
      </c>
      <c r="CG175" s="258">
        <f t="shared" si="452"/>
        <v>25.7</v>
      </c>
      <c r="CH175" s="258">
        <f t="shared" si="453"/>
        <v>28.91</v>
      </c>
      <c r="CI175" s="258">
        <f t="shared" si="454"/>
        <v>99.59</v>
      </c>
      <c r="CK175" s="258">
        <f t="shared" ref="CK175:CN175" si="473">IFERROR(ROUND(BY175*$P175,2),"")</f>
        <v>332098.32</v>
      </c>
      <c r="CL175" s="258">
        <f t="shared" si="473"/>
        <v>332098.32</v>
      </c>
      <c r="CM175" s="258">
        <f t="shared" si="473"/>
        <v>379540.93</v>
      </c>
      <c r="CN175" s="258">
        <f t="shared" si="473"/>
        <v>426983.55</v>
      </c>
      <c r="CO175" s="258">
        <f t="shared" si="371"/>
        <v>1470721.12</v>
      </c>
      <c r="CP175" s="258" t="e">
        <f>VLOOKUP(G175,[2]Sheet1!$C$3:$G$310,5,0)</f>
        <v>#N/A</v>
      </c>
      <c r="CQ175" s="258">
        <f>VLOOKUP(G175,[3]KCBB0101!$C$3:$F$691,4,0)</f>
        <v>3800</v>
      </c>
    </row>
    <row r="176" s="258" customFormat="1" ht="17.6" spans="1:93">
      <c r="A176" s="330"/>
      <c r="B176" s="334" t="str">
        <f>_xlfn.XLOOKUP(G176,销售需求表!A:A,销售需求表!C:C)</f>
        <v>南美</v>
      </c>
      <c r="C176" s="335" t="str">
        <f t="shared" si="377"/>
        <v>22.5</v>
      </c>
      <c r="D176" s="359" t="str">
        <f t="shared" si="444"/>
        <v>南美22.5寸</v>
      </c>
      <c r="E176" s="339" t="str">
        <f t="shared" si="395"/>
        <v>295/80R22.5-18PR(152/149K)-MD777</v>
      </c>
      <c r="F176" s="340" t="str">
        <f t="shared" si="417"/>
        <v>295/80R22.5-18PR-MD777</v>
      </c>
      <c r="G176" s="377" t="s">
        <v>525</v>
      </c>
      <c r="H176" s="334">
        <v>320</v>
      </c>
      <c r="I176" s="345"/>
      <c r="J176" s="346" t="str">
        <f t="shared" si="470"/>
        <v>295/80R22.5-MD777</v>
      </c>
      <c r="K176" s="347" t="str">
        <f>_xlfn.XLOOKUP(F176,投产规格!E:E,投产规格!D:D,"未投产")</f>
        <v>✔</v>
      </c>
      <c r="L176" s="347">
        <f>IFERROR(_xlfn.XLOOKUP(F176,硫化工艺!B:B,硫化工艺!C:C),"")</f>
        <v>44.5</v>
      </c>
      <c r="M176" s="349">
        <f t="shared" si="445"/>
        <v>0.884105960264901</v>
      </c>
      <c r="N176" s="347" t="str">
        <f t="shared" si="333"/>
        <v>22.5全钢</v>
      </c>
      <c r="O176" s="347">
        <f>IFERROR(_xlfn.XLOOKUP(F176,轮胎重量!J:J,轮胎重量!G:G),"")</f>
        <v>64.244</v>
      </c>
      <c r="P176" s="347">
        <f>IFERROR(_xlfn.XLOOKUP(G176,硫化工艺!I:I,硫化工艺!J:J),"")</f>
        <v>954.5109</v>
      </c>
      <c r="Q176" s="347">
        <f t="shared" si="384"/>
        <v>0</v>
      </c>
      <c r="R176" s="347"/>
      <c r="S176" s="347"/>
      <c r="T176" s="347"/>
      <c r="U176" s="347"/>
      <c r="V176" s="347"/>
      <c r="W176" s="347"/>
      <c r="X176" s="347"/>
      <c r="Y176" s="347"/>
      <c r="Z176" s="347"/>
      <c r="AA176" s="347"/>
      <c r="AB176" s="347"/>
      <c r="AC176" s="347"/>
      <c r="AD176" s="347"/>
      <c r="AE176" s="347"/>
      <c r="AF176" s="347"/>
      <c r="AG176" s="347"/>
      <c r="AH176" s="347"/>
      <c r="AI176" s="347"/>
      <c r="AJ176" s="347"/>
      <c r="AK176" s="347"/>
      <c r="AL176" s="347"/>
      <c r="AM176" s="347"/>
      <c r="AN176" s="347"/>
      <c r="AO176" s="347"/>
      <c r="AP176" s="347"/>
      <c r="AQ176" s="347"/>
      <c r="AR176" s="347"/>
      <c r="AS176" s="347"/>
      <c r="AT176" s="347"/>
      <c r="AU176" s="347"/>
      <c r="AV176" s="347"/>
      <c r="AW176" s="347" t="str">
        <f t="shared" si="446"/>
        <v/>
      </c>
      <c r="AX176" s="365" t="str">
        <f t="shared" si="447"/>
        <v/>
      </c>
      <c r="AY176" s="365" t="str">
        <f t="shared" si="448"/>
        <v/>
      </c>
      <c r="AZ176" s="366">
        <v>635.83</v>
      </c>
      <c r="BA176" s="368">
        <v>37.86</v>
      </c>
      <c r="BB176" s="368">
        <v>59.49</v>
      </c>
      <c r="BC176" s="368">
        <v>64.23</v>
      </c>
      <c r="BD176" s="330"/>
      <c r="BE176" s="330" t="e">
        <f t="shared" si="435"/>
        <v>#VALUE!</v>
      </c>
      <c r="BF176" s="330" t="e">
        <f t="shared" si="436"/>
        <v>#VALUE!</v>
      </c>
      <c r="BG176" s="330" t="e">
        <f t="shared" si="437"/>
        <v>#VALUE!</v>
      </c>
      <c r="BH176" s="330" t="e">
        <f t="shared" si="438"/>
        <v>#VALUE!</v>
      </c>
      <c r="BI176" s="330"/>
      <c r="BJ176" s="370" cm="1">
        <f t="array" ref="BJ176:BM176">_xlfn.LET(_xlpm.data,$R176:$AV176,_xlpm.starts,{1,8,16,23},_xlpm.lengths,{7,7,8,9},_xlpm.arr,_xlfn.MAP(_xlpm.starts,_xlpm.lengths,_xlfn.LAMBDA(_xlpm.s,_xlpm.l,SUM(INDEX(_xlpm.data,,_xlfn.SEQUENCE(,_xlpm.l,_xlpm.s))))),ROUND(_xlpm.arr*$O176/1000,2))</f>
        <v>0</v>
      </c>
      <c r="BK176" s="330">
        <v>0</v>
      </c>
      <c r="BL176" s="330">
        <v>0</v>
      </c>
      <c r="BM176" s="330">
        <v>0</v>
      </c>
      <c r="BN176" s="258">
        <f t="shared" si="449"/>
        <v>0</v>
      </c>
      <c r="BO176" s="258">
        <v>22.68</v>
      </c>
      <c r="BP176" s="258">
        <v>22.68</v>
      </c>
      <c r="BQ176" s="258">
        <v>25.92</v>
      </c>
      <c r="BR176" s="258">
        <v>29.16</v>
      </c>
      <c r="BS176" s="115"/>
      <c r="BT176" s="258" cm="1">
        <f ca="1" t="array" ref="BT176:BW176">_xlfn.HSTACK(SUM(INDEX($R176:$AV176,1,1):INDEX($R176:$AV176,1,7)),SUM(INDEX($R176:$AV176,1,7):INDEX($R176:$AV176,1,13)),SUM(INDEX($R176:$AV176,1,16):INDEX($R176:$AV176,1,23)),SUM(INDEX($R176:$AV176,1,23):INDEX($R176:$AV176,1,31)))</f>
        <v>0</v>
      </c>
      <c r="BU176" s="258">
        <v>0</v>
      </c>
      <c r="BV176" s="258">
        <v>0</v>
      </c>
      <c r="BW176" s="258">
        <v>0</v>
      </c>
      <c r="BY176" s="258">
        <f t="shared" si="372"/>
        <v>0</v>
      </c>
      <c r="BZ176" s="258">
        <f t="shared" si="373"/>
        <v>0</v>
      </c>
      <c r="CA176" s="258">
        <f t="shared" si="374"/>
        <v>0</v>
      </c>
      <c r="CB176" s="258">
        <f t="shared" si="375"/>
        <v>0</v>
      </c>
      <c r="CD176" s="113"/>
      <c r="CE176" s="258">
        <f t="shared" si="450"/>
        <v>0</v>
      </c>
      <c r="CF176" s="258">
        <f t="shared" si="451"/>
        <v>0</v>
      </c>
      <c r="CG176" s="258">
        <f t="shared" si="452"/>
        <v>0</v>
      </c>
      <c r="CH176" s="258">
        <f t="shared" si="453"/>
        <v>0</v>
      </c>
      <c r="CI176" s="258">
        <f t="shared" si="454"/>
        <v>0</v>
      </c>
      <c r="CJ176" s="113"/>
      <c r="CK176" s="258">
        <f t="shared" ref="CK176:CN176" si="474">IFERROR(ROUND(BY176*$P176,2),"")</f>
        <v>0</v>
      </c>
      <c r="CL176" s="258">
        <f t="shared" si="474"/>
        <v>0</v>
      </c>
      <c r="CM176" s="258">
        <f t="shared" si="474"/>
        <v>0</v>
      </c>
      <c r="CN176" s="258">
        <f t="shared" si="474"/>
        <v>0</v>
      </c>
      <c r="CO176" s="258">
        <f t="shared" si="371"/>
        <v>0</v>
      </c>
    </row>
    <row r="177" s="258" customFormat="1" ht="17.6" spans="1:95">
      <c r="A177" s="330"/>
      <c r="B177" s="334" t="str">
        <f>_xlfn.XLOOKUP(G177,销售需求表!A:A,销售需求表!C:C)</f>
        <v>南美</v>
      </c>
      <c r="C177" s="335" t="str">
        <f t="shared" si="377"/>
        <v>22.5</v>
      </c>
      <c r="D177" s="359" t="str">
        <f t="shared" si="444"/>
        <v>南美22.5寸</v>
      </c>
      <c r="E177" s="339" t="str">
        <f t="shared" si="395"/>
        <v>295/80R22.5-18PR(152/149L)-AZ183</v>
      </c>
      <c r="F177" s="340" t="str">
        <f t="shared" si="417"/>
        <v>295/80R22.5-18PR-AZ183</v>
      </c>
      <c r="G177" s="341" t="s">
        <v>526</v>
      </c>
      <c r="H177" s="334">
        <v>620</v>
      </c>
      <c r="I177" s="345"/>
      <c r="J177" s="346" t="str">
        <f t="shared" si="470"/>
        <v>295/80R22.5-AZ183</v>
      </c>
      <c r="K177" s="347" t="str">
        <f>_xlfn.XLOOKUP(F177,投产规格!E:E,投产规格!D:D,"未投产")</f>
        <v>✔</v>
      </c>
      <c r="L177" s="347">
        <f>IFERROR(_xlfn.XLOOKUP(F177,硫化工艺!B:B,硫化工艺!C:C),"")</f>
        <v>38</v>
      </c>
      <c r="M177" s="349">
        <f t="shared" si="445"/>
        <v>0.866920152091255</v>
      </c>
      <c r="N177" s="347" t="str">
        <f t="shared" si="333"/>
        <v>22.5全钢</v>
      </c>
      <c r="O177" s="347">
        <f>IFERROR(_xlfn.XLOOKUP(F177,轮胎重量!J:J,轮胎重量!G:G),"")</f>
        <v>53.01</v>
      </c>
      <c r="P177" s="347">
        <f>IFERROR(_xlfn.XLOOKUP(G177,硫化工艺!I:I,硫化工艺!J:J),"")</f>
        <v>764.882496</v>
      </c>
      <c r="Q177" s="347">
        <f t="shared" si="384"/>
        <v>0</v>
      </c>
      <c r="R177" s="347"/>
      <c r="S177" s="347"/>
      <c r="T177" s="347"/>
      <c r="U177" s="347"/>
      <c r="V177" s="347"/>
      <c r="W177" s="347"/>
      <c r="X177" s="347"/>
      <c r="Y177" s="354">
        <v>60</v>
      </c>
      <c r="Z177" s="354">
        <v>60</v>
      </c>
      <c r="AA177" s="354">
        <v>60</v>
      </c>
      <c r="AB177" s="354">
        <v>60</v>
      </c>
      <c r="AC177" s="354">
        <v>60</v>
      </c>
      <c r="AD177" s="354">
        <v>60</v>
      </c>
      <c r="AE177" s="354">
        <v>60</v>
      </c>
      <c r="AF177" s="354">
        <v>60</v>
      </c>
      <c r="AG177" s="354">
        <v>60</v>
      </c>
      <c r="AH177" s="354">
        <v>60</v>
      </c>
      <c r="AI177" s="354">
        <v>60</v>
      </c>
      <c r="AJ177" s="354">
        <v>60</v>
      </c>
      <c r="AK177" s="354">
        <v>60</v>
      </c>
      <c r="AL177" s="354">
        <v>60</v>
      </c>
      <c r="AM177" s="354">
        <v>60</v>
      </c>
      <c r="AN177" s="354">
        <v>60</v>
      </c>
      <c r="AO177" s="354">
        <v>60</v>
      </c>
      <c r="AP177" s="354">
        <v>60</v>
      </c>
      <c r="AQ177" s="354">
        <v>60</v>
      </c>
      <c r="AR177" s="354">
        <v>60</v>
      </c>
      <c r="AS177" s="354">
        <v>60</v>
      </c>
      <c r="AT177" s="354">
        <v>60</v>
      </c>
      <c r="AU177" s="354">
        <v>60</v>
      </c>
      <c r="AV177" s="354">
        <v>60</v>
      </c>
      <c r="AW177" s="347">
        <f t="shared" si="446"/>
        <v>1440</v>
      </c>
      <c r="AX177" s="365">
        <f t="shared" si="447"/>
        <v>76.3344</v>
      </c>
      <c r="AY177" s="365">
        <f t="shared" si="448"/>
        <v>110.143</v>
      </c>
      <c r="AZ177" s="366">
        <v>635.83</v>
      </c>
      <c r="BA177" s="368">
        <v>37.86</v>
      </c>
      <c r="BB177" s="368">
        <v>59.49</v>
      </c>
      <c r="BC177" s="368">
        <v>64.23</v>
      </c>
      <c r="BD177" s="330"/>
      <c r="BE177" s="330">
        <f t="shared" si="435"/>
        <v>915595.2</v>
      </c>
      <c r="BF177" s="330">
        <f t="shared" si="436"/>
        <v>54518.4</v>
      </c>
      <c r="BG177" s="330">
        <f t="shared" si="437"/>
        <v>85665.6</v>
      </c>
      <c r="BH177" s="330">
        <f t="shared" si="438"/>
        <v>92491.2</v>
      </c>
      <c r="BI177" s="330"/>
      <c r="BJ177" s="370" cm="1">
        <f t="array" ref="BJ177:BM177">_xlfn.LET(_xlpm.data,$R177:$AV177,_xlpm.starts,{1,8,16,23},_xlpm.lengths,{7,7,8,9},_xlpm.arr,_xlfn.MAP(_xlpm.starts,_xlpm.lengths,_xlfn.LAMBDA(_xlpm.s,_xlpm.l,SUM(INDEX(_xlpm.data,,_xlfn.SEQUENCE(,_xlpm.l,_xlpm.s))))),ROUND(_xlpm.arr*$O177/1000,2))</f>
        <v>0</v>
      </c>
      <c r="BK177" s="330">
        <v>22.26</v>
      </c>
      <c r="BL177" s="330">
        <v>25.44</v>
      </c>
      <c r="BM177" s="330">
        <v>28.63</v>
      </c>
      <c r="BN177" s="258">
        <f t="shared" si="449"/>
        <v>76.33</v>
      </c>
      <c r="BO177" s="258">
        <v>9.72</v>
      </c>
      <c r="BP177" s="258">
        <v>0</v>
      </c>
      <c r="BQ177" s="258">
        <v>0</v>
      </c>
      <c r="BR177" s="258">
        <v>0</v>
      </c>
      <c r="BS177" s="115"/>
      <c r="BT177" s="258" cm="1">
        <f ca="1" t="array" ref="BT177:BW177">_xlfn.HSTACK(SUM(INDEX($R177:$AV177,1,1):INDEX($R177:$AV177,1,7)),SUM(INDEX($R177:$AV177,1,7):INDEX($R177:$AV177,1,13)),SUM(INDEX($R177:$AV177,1,16):INDEX($R177:$AV177,1,23)),SUM(INDEX($R177:$AV177,1,23):INDEX($R177:$AV177,1,31)))</f>
        <v>0</v>
      </c>
      <c r="BU177" s="258">
        <v>360</v>
      </c>
      <c r="BV177" s="258">
        <v>480</v>
      </c>
      <c r="BW177" s="258">
        <v>540</v>
      </c>
      <c r="BY177" s="258">
        <f t="shared" si="372"/>
        <v>0</v>
      </c>
      <c r="BZ177" s="258">
        <f t="shared" si="373"/>
        <v>420</v>
      </c>
      <c r="CA177" s="258">
        <f t="shared" si="374"/>
        <v>480</v>
      </c>
      <c r="CB177" s="258">
        <f t="shared" si="375"/>
        <v>540</v>
      </c>
      <c r="CD177" s="113"/>
      <c r="CE177" s="258">
        <f t="shared" si="450"/>
        <v>0</v>
      </c>
      <c r="CF177" s="258">
        <f t="shared" si="451"/>
        <v>22.26</v>
      </c>
      <c r="CG177" s="258">
        <f t="shared" si="452"/>
        <v>25.44</v>
      </c>
      <c r="CH177" s="258">
        <f t="shared" si="453"/>
        <v>28.63</v>
      </c>
      <c r="CI177" s="258">
        <f t="shared" si="454"/>
        <v>76.33</v>
      </c>
      <c r="CJ177" s="113"/>
      <c r="CK177" s="258">
        <f t="shared" ref="CK177:CN177" si="475">IFERROR(ROUND(BY177*$P177,2),"")</f>
        <v>0</v>
      </c>
      <c r="CL177" s="258">
        <f t="shared" si="475"/>
        <v>321250.65</v>
      </c>
      <c r="CM177" s="258">
        <f t="shared" si="475"/>
        <v>367143.6</v>
      </c>
      <c r="CN177" s="258">
        <f t="shared" si="475"/>
        <v>413036.55</v>
      </c>
      <c r="CO177" s="258">
        <f t="shared" si="371"/>
        <v>1101430.8</v>
      </c>
      <c r="CP177" s="258" t="e">
        <f>VLOOKUP(G177,[2]Sheet1!$C$3:$G$310,5,0)</f>
        <v>#N/A</v>
      </c>
      <c r="CQ177" s="258">
        <f>VLOOKUP(G177,[3]KCBB0101!$C$3:$F$691,4,0)</f>
        <v>4215</v>
      </c>
    </row>
    <row r="178" s="258" customFormat="1" ht="17.6" spans="1:93">
      <c r="A178" s="330"/>
      <c r="B178" s="334" t="str">
        <f>_xlfn.XLOOKUP(G178,销售需求表!A:A,销售需求表!C:C)</f>
        <v>南美</v>
      </c>
      <c r="C178" s="335" t="str">
        <f t="shared" si="377"/>
        <v>22.5</v>
      </c>
      <c r="D178" s="359" t="str">
        <f t="shared" si="444"/>
        <v>南美22.5寸</v>
      </c>
      <c r="E178" s="339" t="str">
        <f t="shared" si="395"/>
        <v>295/80R22.5-18PR(152/149L)-AZ183</v>
      </c>
      <c r="F178" s="340" t="str">
        <f t="shared" si="417"/>
        <v>295/80R22.5-18PR-AZ183</v>
      </c>
      <c r="G178" s="377" t="s">
        <v>527</v>
      </c>
      <c r="H178" s="334">
        <v>250</v>
      </c>
      <c r="I178" s="345"/>
      <c r="J178" s="346" t="str">
        <f t="shared" si="470"/>
        <v>295/80R22.5-AZ183</v>
      </c>
      <c r="K178" s="347" t="str">
        <f>_xlfn.XLOOKUP(F178,投产规格!E:E,投产规格!D:D,"未投产")</f>
        <v>✔</v>
      </c>
      <c r="L178" s="347">
        <f>IFERROR(_xlfn.XLOOKUP(F178,硫化工艺!B:B,硫化工艺!C:C),"")</f>
        <v>38</v>
      </c>
      <c r="M178" s="349">
        <f t="shared" si="445"/>
        <v>0.866920152091255</v>
      </c>
      <c r="N178" s="347" t="str">
        <f t="shared" si="333"/>
        <v>22.5全钢</v>
      </c>
      <c r="O178" s="347">
        <f>IFERROR(_xlfn.XLOOKUP(F178,轮胎重量!J:J,轮胎重量!G:G),"")</f>
        <v>53.01</v>
      </c>
      <c r="P178" s="350">
        <f>O178*13.9</f>
        <v>736.839</v>
      </c>
      <c r="Q178" s="347">
        <f t="shared" si="384"/>
        <v>0</v>
      </c>
      <c r="R178" s="347"/>
      <c r="S178" s="347"/>
      <c r="T178" s="347"/>
      <c r="U178" s="347"/>
      <c r="V178" s="347"/>
      <c r="W178" s="347"/>
      <c r="X178" s="347"/>
      <c r="Y178" s="347"/>
      <c r="Z178" s="347"/>
      <c r="AA178" s="347"/>
      <c r="AB178" s="347"/>
      <c r="AC178" s="347"/>
      <c r="AD178" s="347"/>
      <c r="AE178" s="347"/>
      <c r="AF178" s="347"/>
      <c r="AG178" s="347"/>
      <c r="AH178" s="347"/>
      <c r="AI178" s="347"/>
      <c r="AJ178" s="347"/>
      <c r="AK178" s="347"/>
      <c r="AL178" s="347"/>
      <c r="AM178" s="347"/>
      <c r="AN178" s="347"/>
      <c r="AO178" s="347"/>
      <c r="AP178" s="347"/>
      <c r="AQ178" s="347"/>
      <c r="AR178" s="347"/>
      <c r="AS178" s="347"/>
      <c r="AT178" s="347"/>
      <c r="AU178" s="347"/>
      <c r="AV178" s="347"/>
      <c r="AW178" s="347" t="str">
        <f t="shared" si="446"/>
        <v/>
      </c>
      <c r="AX178" s="365" t="str">
        <f t="shared" si="447"/>
        <v/>
      </c>
      <c r="AY178" s="365" t="str">
        <f t="shared" si="448"/>
        <v/>
      </c>
      <c r="AZ178" s="366">
        <v>635.83</v>
      </c>
      <c r="BA178" s="368">
        <v>37.86</v>
      </c>
      <c r="BB178" s="368">
        <v>59.49</v>
      </c>
      <c r="BC178" s="368">
        <v>64.23</v>
      </c>
      <c r="BD178" s="330"/>
      <c r="BE178" s="330" t="e">
        <f t="shared" si="435"/>
        <v>#VALUE!</v>
      </c>
      <c r="BF178" s="330" t="e">
        <f t="shared" si="436"/>
        <v>#VALUE!</v>
      </c>
      <c r="BG178" s="330" t="e">
        <f t="shared" si="437"/>
        <v>#VALUE!</v>
      </c>
      <c r="BH178" s="330" t="e">
        <f t="shared" si="438"/>
        <v>#VALUE!</v>
      </c>
      <c r="BI178" s="330"/>
      <c r="BJ178" s="370" cm="1">
        <f t="array" ref="BJ178:BM178">_xlfn.LET(_xlpm.data,$R178:$AV178,_xlpm.starts,{1,8,16,23},_xlpm.lengths,{7,7,8,9},_xlpm.arr,_xlfn.MAP(_xlpm.starts,_xlpm.lengths,_xlfn.LAMBDA(_xlpm.s,_xlpm.l,SUM(INDEX(_xlpm.data,,_xlfn.SEQUENCE(,_xlpm.l,_xlpm.s))))),ROUND(_xlpm.arr*$O178/1000,2))</f>
        <v>0</v>
      </c>
      <c r="BK178" s="330">
        <v>0</v>
      </c>
      <c r="BL178" s="330">
        <v>0</v>
      </c>
      <c r="BM178" s="330">
        <v>0</v>
      </c>
      <c r="BN178" s="258">
        <f t="shared" si="449"/>
        <v>0</v>
      </c>
      <c r="BO178" s="258">
        <v>0</v>
      </c>
      <c r="BP178" s="258">
        <v>0</v>
      </c>
      <c r="BQ178" s="258">
        <v>0</v>
      </c>
      <c r="BR178" s="258">
        <v>1.1</v>
      </c>
      <c r="BS178" s="115"/>
      <c r="BT178" s="258" cm="1">
        <f ca="1" t="array" ref="BT178:BW178">_xlfn.HSTACK(SUM(INDEX($R178:$AV178,1,1):INDEX($R178:$AV178,1,7)),SUM(INDEX($R178:$AV178,1,7):INDEX($R178:$AV178,1,13)),SUM(INDEX($R178:$AV178,1,16):INDEX($R178:$AV178,1,23)),SUM(INDEX($R178:$AV178,1,23):INDEX($R178:$AV178,1,31)))</f>
        <v>0</v>
      </c>
      <c r="BU178" s="258">
        <v>0</v>
      </c>
      <c r="BV178" s="258">
        <v>0</v>
      </c>
      <c r="BW178" s="258">
        <v>0</v>
      </c>
      <c r="BY178" s="258">
        <f t="shared" si="372"/>
        <v>0</v>
      </c>
      <c r="BZ178" s="258">
        <f t="shared" si="373"/>
        <v>0</v>
      </c>
      <c r="CA178" s="258">
        <f t="shared" si="374"/>
        <v>0</v>
      </c>
      <c r="CB178" s="258">
        <f t="shared" si="375"/>
        <v>0</v>
      </c>
      <c r="CD178" s="113"/>
      <c r="CE178" s="258">
        <f t="shared" si="450"/>
        <v>0</v>
      </c>
      <c r="CF178" s="258">
        <f t="shared" si="451"/>
        <v>0</v>
      </c>
      <c r="CG178" s="258">
        <f t="shared" si="452"/>
        <v>0</v>
      </c>
      <c r="CH178" s="258">
        <f t="shared" si="453"/>
        <v>0</v>
      </c>
      <c r="CI178" s="258">
        <f t="shared" si="454"/>
        <v>0</v>
      </c>
      <c r="CJ178" s="113"/>
      <c r="CK178" s="258">
        <f t="shared" ref="CK178:CN178" si="476">IFERROR(ROUND(BY178*$P178,2),"")</f>
        <v>0</v>
      </c>
      <c r="CL178" s="258">
        <f t="shared" si="476"/>
        <v>0</v>
      </c>
      <c r="CM178" s="258">
        <f t="shared" si="476"/>
        <v>0</v>
      </c>
      <c r="CN178" s="258">
        <f t="shared" si="476"/>
        <v>0</v>
      </c>
      <c r="CO178" s="258">
        <f t="shared" si="371"/>
        <v>0</v>
      </c>
    </row>
    <row r="179" ht="17.6" spans="2:95">
      <c r="B179" s="334" t="str">
        <f>_xlfn.XLOOKUP(G179,销售需求表!A:A,销售需求表!C:C)</f>
        <v>南美</v>
      </c>
      <c r="C179" s="335" t="str">
        <f t="shared" si="377"/>
        <v>22.5</v>
      </c>
      <c r="D179" s="359" t="str">
        <f t="shared" si="444"/>
        <v>南美22.5寸</v>
      </c>
      <c r="E179" s="339" t="str">
        <f t="shared" si="395"/>
        <v>295/80R22.5-18PR(152/149L)-BMA07 ECO</v>
      </c>
      <c r="F179" s="340" t="str">
        <f t="shared" si="417"/>
        <v>295/80R22.5-18PR-BMA07 ECO</v>
      </c>
      <c r="G179" s="341" t="s">
        <v>528</v>
      </c>
      <c r="H179" s="334">
        <v>1200</v>
      </c>
      <c r="I179" s="354"/>
      <c r="J179" s="346" t="str">
        <f t="shared" si="470"/>
        <v>295/80R22.5-BMA07 ECO</v>
      </c>
      <c r="K179" s="347" t="str">
        <f>_xlfn.XLOOKUP(F179,投产规格!E:E,投产规格!D:D,"未投产")</f>
        <v>✔</v>
      </c>
      <c r="L179" s="347">
        <f>IFERROR(_xlfn.XLOOKUP(F179,硫化工艺!B:B,硫化工艺!C:C),"")</f>
        <v>37</v>
      </c>
      <c r="M179" s="349">
        <f t="shared" si="445"/>
        <v>0.863813229571984</v>
      </c>
      <c r="N179" s="347" t="str">
        <f t="shared" si="333"/>
        <v>22.5全钢</v>
      </c>
      <c r="O179" s="347">
        <f>IFERROR(_xlfn.XLOOKUP(F179,轮胎重量!J:J,轮胎重量!G:G),"")</f>
        <v>55.298</v>
      </c>
      <c r="P179" s="347">
        <f>IFERROR(_xlfn.XLOOKUP(G179,硫化工艺!I:I,硫化工艺!J:J),"")</f>
        <v>800.7629</v>
      </c>
      <c r="Q179" s="347">
        <f t="shared" si="384"/>
        <v>0</v>
      </c>
      <c r="R179" s="347"/>
      <c r="S179" s="347"/>
      <c r="T179" s="347"/>
      <c r="U179" s="347"/>
      <c r="V179" s="347"/>
      <c r="W179" s="347"/>
      <c r="X179" s="347"/>
      <c r="Y179" s="347"/>
      <c r="Z179" s="347"/>
      <c r="AA179" s="347"/>
      <c r="AB179" s="354">
        <v>60</v>
      </c>
      <c r="AC179" s="347">
        <v>60</v>
      </c>
      <c r="AD179" s="347">
        <v>60</v>
      </c>
      <c r="AE179" s="347">
        <v>60</v>
      </c>
      <c r="AF179" s="347">
        <v>60</v>
      </c>
      <c r="AG179" s="347">
        <v>60</v>
      </c>
      <c r="AH179" s="347">
        <v>60</v>
      </c>
      <c r="AI179" s="347">
        <v>60</v>
      </c>
      <c r="AJ179" s="347">
        <v>60</v>
      </c>
      <c r="AK179" s="347">
        <v>60</v>
      </c>
      <c r="AL179" s="347">
        <v>60</v>
      </c>
      <c r="AM179" s="347">
        <v>60</v>
      </c>
      <c r="AN179" s="347">
        <v>60</v>
      </c>
      <c r="AO179" s="347">
        <v>60</v>
      </c>
      <c r="AP179" s="347">
        <v>60</v>
      </c>
      <c r="AQ179" s="347">
        <v>60</v>
      </c>
      <c r="AR179" s="347">
        <v>60</v>
      </c>
      <c r="AS179" s="347">
        <v>60</v>
      </c>
      <c r="AT179" s="347">
        <v>60</v>
      </c>
      <c r="AU179" s="347">
        <v>60</v>
      </c>
      <c r="AV179" s="347">
        <v>60</v>
      </c>
      <c r="AW179" s="347">
        <f t="shared" si="446"/>
        <v>1260</v>
      </c>
      <c r="AX179" s="365">
        <f t="shared" si="447"/>
        <v>69.67548</v>
      </c>
      <c r="AY179" s="365">
        <f t="shared" si="448"/>
        <v>100.896</v>
      </c>
      <c r="AZ179" s="367"/>
      <c r="BE179" s="330">
        <f t="shared" si="435"/>
        <v>0</v>
      </c>
      <c r="BF179" s="330">
        <f t="shared" si="436"/>
        <v>0</v>
      </c>
      <c r="BG179" s="330">
        <f t="shared" si="437"/>
        <v>0</v>
      </c>
      <c r="BH179" s="330">
        <f t="shared" si="438"/>
        <v>0</v>
      </c>
      <c r="BJ179" s="370" cm="1">
        <f t="array" ref="BJ179:BM179">_xlfn.LET(_xlpm.data,$R179:$AV179,_xlpm.starts,{1,8,16,23},_xlpm.lengths,{7,7,8,9},_xlpm.arr,_xlfn.MAP(_xlpm.starts,_xlpm.lengths,_xlfn.LAMBDA(_xlpm.s,_xlpm.l,SUM(INDEX(_xlpm.data,,_xlfn.SEQUENCE(,_xlpm.l,_xlpm.s))))),ROUND(_xlpm.arr*$O179/1000,2))</f>
        <v>0</v>
      </c>
      <c r="BK179" s="330">
        <v>13.27</v>
      </c>
      <c r="BL179" s="330">
        <v>26.54</v>
      </c>
      <c r="BM179" s="330">
        <v>29.86</v>
      </c>
      <c r="BN179" s="258">
        <f t="shared" si="449"/>
        <v>69.67</v>
      </c>
      <c r="BO179" s="258">
        <v>0</v>
      </c>
      <c r="BP179" s="258">
        <v>6.57</v>
      </c>
      <c r="BQ179" s="258">
        <v>13.14</v>
      </c>
      <c r="BR179" s="258">
        <v>0</v>
      </c>
      <c r="BT179" s="258" cm="1">
        <f ca="1" t="array" ref="BT179:BW179">_xlfn.HSTACK(SUM(INDEX($R179:$AV179,1,1):INDEX($R179:$AV179,1,7)),SUM(INDEX($R179:$AV179,1,7):INDEX($R179:$AV179,1,13)),SUM(INDEX($R179:$AV179,1,16):INDEX($R179:$AV179,1,23)),SUM(INDEX($R179:$AV179,1,23):INDEX($R179:$AV179,1,31)))</f>
        <v>0</v>
      </c>
      <c r="BU179" s="258">
        <v>180</v>
      </c>
      <c r="BV179" s="258">
        <v>480</v>
      </c>
      <c r="BW179" s="258">
        <v>540</v>
      </c>
      <c r="BY179" s="258">
        <f t="shared" si="372"/>
        <v>0</v>
      </c>
      <c r="BZ179" s="258">
        <f t="shared" si="373"/>
        <v>240</v>
      </c>
      <c r="CA179" s="258">
        <f t="shared" si="374"/>
        <v>480</v>
      </c>
      <c r="CB179" s="258">
        <f t="shared" si="375"/>
        <v>540</v>
      </c>
      <c r="CE179" s="258">
        <f t="shared" si="450"/>
        <v>0</v>
      </c>
      <c r="CF179" s="258">
        <f t="shared" si="451"/>
        <v>13.27</v>
      </c>
      <c r="CG179" s="258">
        <f t="shared" si="452"/>
        <v>26.54</v>
      </c>
      <c r="CH179" s="258">
        <f t="shared" si="453"/>
        <v>29.86</v>
      </c>
      <c r="CI179" s="258">
        <f t="shared" si="454"/>
        <v>69.67</v>
      </c>
      <c r="CK179" s="258">
        <f t="shared" ref="CK179:CN179" si="477">IFERROR(ROUND(BY179*$P179,2),"")</f>
        <v>0</v>
      </c>
      <c r="CL179" s="258">
        <f t="shared" si="477"/>
        <v>192183.1</v>
      </c>
      <c r="CM179" s="258">
        <f t="shared" si="477"/>
        <v>384366.19</v>
      </c>
      <c r="CN179" s="258">
        <f t="shared" si="477"/>
        <v>432411.97</v>
      </c>
      <c r="CO179" s="258">
        <f t="shared" si="371"/>
        <v>1008961.26</v>
      </c>
      <c r="CP179" s="258" t="e">
        <f>VLOOKUP(G179,[2]Sheet1!$C$3:$G$310,5,0)</f>
        <v>#N/A</v>
      </c>
      <c r="CQ179" s="258">
        <f>VLOOKUP(G179,[3]KCBB0101!$C$3:$F$691,4,0)</f>
        <v>6000</v>
      </c>
    </row>
    <row r="180" s="258" customFormat="1" ht="17.6" spans="1:95">
      <c r="A180" s="330"/>
      <c r="B180" s="334" t="str">
        <f>_xlfn.XLOOKUP(G180,销售需求表!A:A,销售需求表!C:C)</f>
        <v>南美</v>
      </c>
      <c r="C180" s="335" t="str">
        <f t="shared" si="377"/>
        <v>22.5</v>
      </c>
      <c r="D180" s="359" t="str">
        <f t="shared" ref="D180:D201" si="478">B180&amp;C180&amp;"寸"</f>
        <v>南美22.5寸</v>
      </c>
      <c r="E180" s="339" t="str">
        <f t="shared" si="395"/>
        <v>295/80R22.5-18PR(152/149L)-EZ573</v>
      </c>
      <c r="F180" s="340" t="str">
        <f t="shared" si="417"/>
        <v>295/80R22.5-18PR-EZ573</v>
      </c>
      <c r="G180" s="341" t="s">
        <v>529</v>
      </c>
      <c r="H180" s="334">
        <v>1700</v>
      </c>
      <c r="I180" s="354"/>
      <c r="J180" s="346" t="str">
        <f t="shared" si="470"/>
        <v>295/80R22.5-EZ573</v>
      </c>
      <c r="K180" s="347" t="str">
        <f>_xlfn.XLOOKUP(F180,投产规格!E:E,投产规格!D:D,"未投产")</f>
        <v>✔</v>
      </c>
      <c r="L180" s="347">
        <f>IFERROR(_xlfn.XLOOKUP(F180,硫化工艺!B:B,硫化工艺!C:C),"")</f>
        <v>37</v>
      </c>
      <c r="M180" s="349">
        <f t="shared" ref="M180:M201" si="479">IF(L180="","",L180/(L180+$L$1/60))</f>
        <v>0.863813229571984</v>
      </c>
      <c r="N180" s="347" t="str">
        <f t="shared" ref="N180:N243" si="480">C180&amp;"全钢"</f>
        <v>22.5全钢</v>
      </c>
      <c r="O180" s="347">
        <f>IFERROR(_xlfn.XLOOKUP(F180,轮胎重量!J:J,轮胎重量!G:G),"")</f>
        <v>55.44</v>
      </c>
      <c r="P180" s="347">
        <f>IFERROR(_xlfn.XLOOKUP(G180,硫化工艺!I:I,硫化工艺!J:J),"")</f>
        <v>799.3706</v>
      </c>
      <c r="Q180" s="347">
        <f t="shared" si="384"/>
        <v>0</v>
      </c>
      <c r="R180" s="347"/>
      <c r="S180" s="347"/>
      <c r="T180" s="347"/>
      <c r="U180" s="347"/>
      <c r="V180" s="347"/>
      <c r="W180" s="347"/>
      <c r="X180" s="347"/>
      <c r="Y180" s="347"/>
      <c r="Z180" s="347"/>
      <c r="AA180" s="347"/>
      <c r="AB180" s="354">
        <v>60</v>
      </c>
      <c r="AC180" s="354">
        <v>60</v>
      </c>
      <c r="AD180" s="354">
        <v>60</v>
      </c>
      <c r="AE180" s="354">
        <v>60</v>
      </c>
      <c r="AF180" s="354">
        <v>60</v>
      </c>
      <c r="AG180" s="354">
        <v>60</v>
      </c>
      <c r="AH180" s="354">
        <v>60</v>
      </c>
      <c r="AI180" s="354">
        <v>60</v>
      </c>
      <c r="AJ180" s="354">
        <v>60</v>
      </c>
      <c r="AK180" s="354">
        <v>60</v>
      </c>
      <c r="AL180" s="354">
        <v>60</v>
      </c>
      <c r="AM180" s="354">
        <v>60</v>
      </c>
      <c r="AN180" s="354">
        <v>60</v>
      </c>
      <c r="AO180" s="354">
        <v>60</v>
      </c>
      <c r="AP180" s="347"/>
      <c r="AQ180" s="347"/>
      <c r="AR180" s="347"/>
      <c r="AS180" s="347"/>
      <c r="AT180" s="347"/>
      <c r="AU180" s="347"/>
      <c r="AV180" s="347"/>
      <c r="AW180" s="347">
        <f t="shared" ref="AW180:AW201" si="481">IF(SUM(R180:AV180)=0,"",SUM(R180:AV180))</f>
        <v>840</v>
      </c>
      <c r="AX180" s="365">
        <f t="shared" ref="AX180:AX201" si="482">IFERROR(AW180*O180/1000,"")</f>
        <v>46.5696</v>
      </c>
      <c r="AY180" s="365">
        <f t="shared" ref="AY180:AY201" si="483">IFERROR(ROUND(AW180*P180/10000,3),"")</f>
        <v>67.147</v>
      </c>
      <c r="AZ180" s="367"/>
      <c r="BC180" s="330"/>
      <c r="BD180" s="330"/>
      <c r="BE180" s="330">
        <f t="shared" ref="BE180:BE201" si="484">AZ180*AW180</f>
        <v>0</v>
      </c>
      <c r="BF180" s="330">
        <f t="shared" ref="BF180:BF201" si="485">BA180*AW180</f>
        <v>0</v>
      </c>
      <c r="BG180" s="330">
        <f t="shared" ref="BG180:BG201" si="486">BB180*AW180</f>
        <v>0</v>
      </c>
      <c r="BH180" s="330">
        <f t="shared" ref="BH180:BH201" si="487">BC180*AW180</f>
        <v>0</v>
      </c>
      <c r="BI180" s="330"/>
      <c r="BJ180" s="370" cm="1">
        <f t="array" ref="BJ180:BM180">_xlfn.LET(_xlpm.data,$R180:$AV180,_xlpm.starts,{1,8,16,23},_xlpm.lengths,{7,7,8,9},_xlpm.arr,_xlfn.MAP(_xlpm.starts,_xlpm.lengths,_xlfn.LAMBDA(_xlpm.s,_xlpm.l,SUM(INDEX(_xlpm.data,,_xlfn.SEQUENCE(,_xlpm.l,_xlpm.s))))),ROUND(_xlpm.arr*$O180/1000,2))</f>
        <v>0</v>
      </c>
      <c r="BK180" s="330">
        <v>13.31</v>
      </c>
      <c r="BL180" s="330">
        <v>26.61</v>
      </c>
      <c r="BM180" s="330">
        <v>6.65</v>
      </c>
      <c r="BN180" s="258">
        <f t="shared" ref="BN180:BN201" si="488">SUM(BJ180:BM180)</f>
        <v>46.57</v>
      </c>
      <c r="BO180" s="258">
        <v>0</v>
      </c>
      <c r="BP180" s="258">
        <v>6.57</v>
      </c>
      <c r="BQ180" s="258">
        <v>13.14</v>
      </c>
      <c r="BR180" s="258">
        <v>0</v>
      </c>
      <c r="BS180" s="115"/>
      <c r="BT180" s="258" cm="1">
        <f ca="1" t="array" ref="BT180:BW180">_xlfn.HSTACK(SUM(INDEX($R180:$AV180,1,1):INDEX($R180:$AV180,1,7)),SUM(INDEX($R180:$AV180,1,7):INDEX($R180:$AV180,1,13)),SUM(INDEX($R180:$AV180,1,16):INDEX($R180:$AV180,1,23)),SUM(INDEX($R180:$AV180,1,23):INDEX($R180:$AV180,1,31)))</f>
        <v>0</v>
      </c>
      <c r="BU180" s="258">
        <v>180</v>
      </c>
      <c r="BV180" s="258">
        <v>480</v>
      </c>
      <c r="BW180" s="258">
        <v>120</v>
      </c>
      <c r="BY180" s="258">
        <f t="shared" si="372"/>
        <v>0</v>
      </c>
      <c r="BZ180" s="258">
        <f t="shared" si="373"/>
        <v>240</v>
      </c>
      <c r="CA180" s="258">
        <f t="shared" si="374"/>
        <v>480</v>
      </c>
      <c r="CB180" s="258">
        <f t="shared" si="375"/>
        <v>120</v>
      </c>
      <c r="CD180" s="113"/>
      <c r="CE180" s="258">
        <f t="shared" ref="CE180:CE186" si="489">ROUND(BY180*$O180/1000,2)</f>
        <v>0</v>
      </c>
      <c r="CF180" s="258">
        <f t="shared" ref="CF180:CF186" si="490">ROUND(BZ180*$O180/1000,2)</f>
        <v>13.31</v>
      </c>
      <c r="CG180" s="258">
        <f t="shared" ref="CG180:CG186" si="491">ROUND(CA180*$O180/1000,2)</f>
        <v>26.61</v>
      </c>
      <c r="CH180" s="258">
        <f t="shared" ref="CH180:CH186" si="492">ROUND(CB180*$O180/1000,2)</f>
        <v>6.65</v>
      </c>
      <c r="CI180" s="258">
        <f t="shared" ref="CI180:CI201" si="493">SUM(CE180:CH180)</f>
        <v>46.57</v>
      </c>
      <c r="CJ180" s="113"/>
      <c r="CK180" s="258">
        <f t="shared" ref="CK180:CN180" si="494">IFERROR(ROUND(BY180*$P180,2),"")</f>
        <v>0</v>
      </c>
      <c r="CL180" s="258">
        <f t="shared" si="494"/>
        <v>191848.94</v>
      </c>
      <c r="CM180" s="258">
        <f t="shared" si="494"/>
        <v>383697.89</v>
      </c>
      <c r="CN180" s="258">
        <f t="shared" si="494"/>
        <v>95924.47</v>
      </c>
      <c r="CO180" s="258">
        <f t="shared" si="371"/>
        <v>671471.3</v>
      </c>
      <c r="CP180" s="258">
        <f>VLOOKUP(G180,[2]Sheet1!$C$3:$G$310,5,0)</f>
        <v>7620</v>
      </c>
      <c r="CQ180" s="258" t="e">
        <f>VLOOKUP(G180,[3]KCBB0101!$C$3:$F$691,4,0)</f>
        <v>#N/A</v>
      </c>
    </row>
    <row r="181" s="258" customFormat="1" ht="17.6" spans="1:93">
      <c r="A181" s="330"/>
      <c r="B181" s="334" t="str">
        <f>_xlfn.XLOOKUP(G181,销售需求表!A:A,销售需求表!C:C)</f>
        <v>南美</v>
      </c>
      <c r="C181" s="335" t="str">
        <f t="shared" si="377"/>
        <v>22.5</v>
      </c>
      <c r="D181" s="359" t="str">
        <f t="shared" si="478"/>
        <v>南美22.5寸</v>
      </c>
      <c r="E181" s="339" t="str">
        <f t="shared" si="395"/>
        <v>295/80R22.5-18PR(152/149L)-G-PRO U</v>
      </c>
      <c r="F181" s="340" t="str">
        <f t="shared" si="417"/>
        <v>295/80R22.5-18PR-G-PRO U</v>
      </c>
      <c r="G181" s="377" t="s">
        <v>530</v>
      </c>
      <c r="H181" s="334">
        <v>350</v>
      </c>
      <c r="I181" s="345"/>
      <c r="J181" s="346" t="str">
        <f t="shared" si="470"/>
        <v>295/80R22.5-G-PRO U</v>
      </c>
      <c r="K181" s="347" t="str">
        <f>_xlfn.XLOOKUP(F181,投产规格!E:E,投产规格!D:D,"未投产")</f>
        <v>✔</v>
      </c>
      <c r="L181" s="347">
        <f>IFERROR(_xlfn.XLOOKUP(F181,硫化工艺!B:B,硫化工艺!C:C),"")</f>
        <v>43.5</v>
      </c>
      <c r="M181" s="349">
        <f t="shared" si="479"/>
        <v>0.881756756756757</v>
      </c>
      <c r="N181" s="347" t="str">
        <f t="shared" si="480"/>
        <v>22.5全钢</v>
      </c>
      <c r="O181" s="347">
        <f>IFERROR(_xlfn.XLOOKUP(F181,轮胎重量!J:J,轮胎重量!G:G),"")</f>
        <v>64.354</v>
      </c>
      <c r="P181" s="347">
        <f>IFERROR(_xlfn.XLOOKUP(G181,硫化工艺!I:I,硫化工艺!J:J),"")</f>
        <v>929.8303</v>
      </c>
      <c r="Q181" s="347">
        <f t="shared" si="384"/>
        <v>0</v>
      </c>
      <c r="R181" s="347"/>
      <c r="S181" s="347"/>
      <c r="T181" s="347"/>
      <c r="U181" s="347"/>
      <c r="V181" s="347"/>
      <c r="W181" s="347"/>
      <c r="X181" s="347"/>
      <c r="Y181" s="347"/>
      <c r="Z181" s="347"/>
      <c r="AA181" s="347"/>
      <c r="AB181" s="347"/>
      <c r="AC181" s="347"/>
      <c r="AD181" s="347"/>
      <c r="AE181" s="347"/>
      <c r="AF181" s="347"/>
      <c r="AG181" s="347"/>
      <c r="AH181" s="347"/>
      <c r="AI181" s="347"/>
      <c r="AJ181" s="347"/>
      <c r="AK181" s="347"/>
      <c r="AL181" s="347"/>
      <c r="AM181" s="347"/>
      <c r="AN181" s="347"/>
      <c r="AO181" s="347"/>
      <c r="AP181" s="347"/>
      <c r="AQ181" s="347"/>
      <c r="AR181" s="347"/>
      <c r="AS181" s="347"/>
      <c r="AT181" s="347"/>
      <c r="AU181" s="347"/>
      <c r="AV181" s="347"/>
      <c r="AW181" s="347" t="str">
        <f t="shared" si="481"/>
        <v/>
      </c>
      <c r="AX181" s="365" t="str">
        <f t="shared" si="482"/>
        <v/>
      </c>
      <c r="AY181" s="365" t="str">
        <f t="shared" si="483"/>
        <v/>
      </c>
      <c r="AZ181" s="367"/>
      <c r="BA181" s="258"/>
      <c r="BB181" s="258"/>
      <c r="BC181" s="330"/>
      <c r="BD181" s="330"/>
      <c r="BE181" s="330" t="e">
        <f t="shared" si="484"/>
        <v>#VALUE!</v>
      </c>
      <c r="BF181" s="330" t="e">
        <f t="shared" si="485"/>
        <v>#VALUE!</v>
      </c>
      <c r="BG181" s="330" t="e">
        <f t="shared" si="486"/>
        <v>#VALUE!</v>
      </c>
      <c r="BH181" s="330" t="e">
        <f t="shared" si="487"/>
        <v>#VALUE!</v>
      </c>
      <c r="BI181" s="330"/>
      <c r="BJ181" s="370" cm="1">
        <f t="array" ref="BJ181:BM181">_xlfn.LET(_xlpm.data,$R181:$AV181,_xlpm.starts,{1,8,16,23},_xlpm.lengths,{7,7,8,9},_xlpm.arr,_xlfn.MAP(_xlpm.starts,_xlpm.lengths,_xlfn.LAMBDA(_xlpm.s,_xlpm.l,SUM(INDEX(_xlpm.data,,_xlfn.SEQUENCE(,_xlpm.l,_xlpm.s))))),ROUND(_xlpm.arr*$O181/1000,2))</f>
        <v>0</v>
      </c>
      <c r="BK181" s="330">
        <v>0</v>
      </c>
      <c r="BL181" s="330">
        <v>0</v>
      </c>
      <c r="BM181" s="330">
        <v>0</v>
      </c>
      <c r="BN181" s="258">
        <f t="shared" si="488"/>
        <v>0</v>
      </c>
      <c r="BO181" s="258">
        <v>0</v>
      </c>
      <c r="BP181" s="258">
        <v>6.57</v>
      </c>
      <c r="BQ181" s="258">
        <v>13.14</v>
      </c>
      <c r="BR181" s="258">
        <v>0</v>
      </c>
      <c r="BS181" s="115"/>
      <c r="BT181" s="258" cm="1">
        <f ca="1" t="array" ref="BT181:BW181">_xlfn.HSTACK(SUM(INDEX($R181:$AV181,1,1):INDEX($R181:$AV181,1,7)),SUM(INDEX($R181:$AV181,1,7):INDEX($R181:$AV181,1,13)),SUM(INDEX($R181:$AV181,1,16):INDEX($R181:$AV181,1,23)),SUM(INDEX($R181:$AV181,1,23):INDEX($R181:$AV181,1,31)))</f>
        <v>0</v>
      </c>
      <c r="BU181" s="258">
        <v>0</v>
      </c>
      <c r="BV181" s="258">
        <v>0</v>
      </c>
      <c r="BW181" s="258">
        <v>0</v>
      </c>
      <c r="BY181" s="258">
        <f t="shared" si="372"/>
        <v>0</v>
      </c>
      <c r="BZ181" s="258">
        <f t="shared" si="373"/>
        <v>0</v>
      </c>
      <c r="CA181" s="258">
        <f t="shared" si="374"/>
        <v>0</v>
      </c>
      <c r="CB181" s="258">
        <f t="shared" si="375"/>
        <v>0</v>
      </c>
      <c r="CD181" s="113"/>
      <c r="CE181" s="258">
        <f t="shared" si="489"/>
        <v>0</v>
      </c>
      <c r="CF181" s="258">
        <f t="shared" si="490"/>
        <v>0</v>
      </c>
      <c r="CG181" s="258">
        <f t="shared" si="491"/>
        <v>0</v>
      </c>
      <c r="CH181" s="258">
        <f t="shared" si="492"/>
        <v>0</v>
      </c>
      <c r="CI181" s="258">
        <f t="shared" si="493"/>
        <v>0</v>
      </c>
      <c r="CJ181" s="113"/>
      <c r="CK181" s="258">
        <f t="shared" ref="CK181:CN181" si="495">IFERROR(ROUND(BY181*$P181,2),"")</f>
        <v>0</v>
      </c>
      <c r="CL181" s="258">
        <f t="shared" si="495"/>
        <v>0</v>
      </c>
      <c r="CM181" s="258">
        <f t="shared" si="495"/>
        <v>0</v>
      </c>
      <c r="CN181" s="258">
        <f t="shared" si="495"/>
        <v>0</v>
      </c>
      <c r="CO181" s="258">
        <f t="shared" si="371"/>
        <v>0</v>
      </c>
    </row>
    <row r="182" ht="17.6" spans="2:95">
      <c r="B182" s="334" t="str">
        <f>_xlfn.XLOOKUP(G182,销售需求表!A:A,销售需求表!C:C)</f>
        <v>南美</v>
      </c>
      <c r="C182" s="335" t="str">
        <f t="shared" si="377"/>
        <v>22.5</v>
      </c>
      <c r="D182" s="359" t="str">
        <f t="shared" si="478"/>
        <v>南美22.5寸</v>
      </c>
      <c r="E182" s="339" t="str">
        <f t="shared" si="395"/>
        <v>295/80R22.5-18PR(152/149M)-AD156A</v>
      </c>
      <c r="F182" s="340" t="str">
        <f t="shared" si="417"/>
        <v>295/80R22.5-18PR-AD156A</v>
      </c>
      <c r="G182" s="341" t="s">
        <v>531</v>
      </c>
      <c r="H182" s="334">
        <v>3000</v>
      </c>
      <c r="I182" s="345">
        <v>2</v>
      </c>
      <c r="J182" s="346" t="str">
        <f t="shared" si="470"/>
        <v>295/80R22.5-AD156A</v>
      </c>
      <c r="K182" s="347" t="str">
        <f>_xlfn.XLOOKUP(F182,投产规格!E:E,投产规格!D:D,"未投产")</f>
        <v>✔</v>
      </c>
      <c r="L182" s="347">
        <f>IFERROR(_xlfn.XLOOKUP(F182,硫化工艺!B:B,硫化工艺!C:C),"")</f>
        <v>38</v>
      </c>
      <c r="M182" s="349">
        <f t="shared" si="479"/>
        <v>0.866920152091255</v>
      </c>
      <c r="N182" s="347" t="str">
        <f t="shared" si="480"/>
        <v>22.5全钢</v>
      </c>
      <c r="O182" s="347">
        <f>IFERROR(_xlfn.XLOOKUP(F182,轮胎重量!J:J,轮胎重量!G:G),"")</f>
        <v>53.594</v>
      </c>
      <c r="P182" s="347">
        <f>IFERROR(_xlfn.XLOOKUP(G182,硫化工艺!I:I,硫化工艺!J:J),"")</f>
        <v>778.5218</v>
      </c>
      <c r="Q182" s="347">
        <f t="shared" si="384"/>
        <v>66</v>
      </c>
      <c r="R182" s="347">
        <v>60</v>
      </c>
      <c r="S182" s="347">
        <v>60</v>
      </c>
      <c r="T182" s="347">
        <v>60</v>
      </c>
      <c r="U182" s="347">
        <v>60</v>
      </c>
      <c r="V182" s="347">
        <v>60</v>
      </c>
      <c r="W182" s="347">
        <v>60</v>
      </c>
      <c r="X182" s="347">
        <v>60</v>
      </c>
      <c r="Y182" s="354">
        <v>120</v>
      </c>
      <c r="Z182" s="354">
        <v>120</v>
      </c>
      <c r="AA182" s="354">
        <v>120</v>
      </c>
      <c r="AB182" s="354">
        <v>120</v>
      </c>
      <c r="AC182" s="354">
        <v>120</v>
      </c>
      <c r="AD182" s="354">
        <v>120</v>
      </c>
      <c r="AE182" s="354">
        <v>120</v>
      </c>
      <c r="AF182" s="354">
        <v>120</v>
      </c>
      <c r="AG182" s="354">
        <v>120</v>
      </c>
      <c r="AH182" s="354">
        <v>120</v>
      </c>
      <c r="AI182" s="354">
        <v>120</v>
      </c>
      <c r="AJ182" s="354">
        <v>120</v>
      </c>
      <c r="AK182" s="354">
        <v>120</v>
      </c>
      <c r="AL182" s="354">
        <v>120</v>
      </c>
      <c r="AM182" s="354">
        <v>120</v>
      </c>
      <c r="AN182" s="354">
        <v>120</v>
      </c>
      <c r="AO182" s="354">
        <v>120</v>
      </c>
      <c r="AP182" s="354">
        <v>120</v>
      </c>
      <c r="AQ182" s="354">
        <v>180</v>
      </c>
      <c r="AR182" s="354">
        <v>180</v>
      </c>
      <c r="AS182" s="354">
        <v>180</v>
      </c>
      <c r="AT182" s="354">
        <v>180</v>
      </c>
      <c r="AU182" s="354">
        <v>180</v>
      </c>
      <c r="AV182" s="354">
        <v>180</v>
      </c>
      <c r="AW182" s="347">
        <f t="shared" si="481"/>
        <v>3660</v>
      </c>
      <c r="AX182" s="365">
        <f t="shared" si="482"/>
        <v>196.15404</v>
      </c>
      <c r="AY182" s="365">
        <f t="shared" si="483"/>
        <v>284.939</v>
      </c>
      <c r="AZ182" s="366">
        <v>623.27</v>
      </c>
      <c r="BA182" s="368">
        <v>37.54</v>
      </c>
      <c r="BB182" s="368">
        <v>58.97</v>
      </c>
      <c r="BC182" s="368">
        <v>64.23</v>
      </c>
      <c r="BE182" s="330">
        <f t="shared" si="484"/>
        <v>2281168.2</v>
      </c>
      <c r="BF182" s="330">
        <f t="shared" si="485"/>
        <v>137396.4</v>
      </c>
      <c r="BG182" s="330">
        <f t="shared" si="486"/>
        <v>215830.2</v>
      </c>
      <c r="BH182" s="330">
        <f t="shared" si="487"/>
        <v>235081.8</v>
      </c>
      <c r="BJ182" s="370" cm="1">
        <f t="array" ref="BJ182:BM182">_xlfn.LET(_xlpm.data,$R182:$AV182,_xlpm.starts,{1,8,16,23},_xlpm.lengths,{7,7,8,9},_xlpm.arr,_xlfn.MAP(_xlpm.starts,_xlpm.lengths,_xlfn.LAMBDA(_xlpm.s,_xlpm.l,SUM(INDEX(_xlpm.data,,_xlfn.SEQUENCE(,_xlpm.l,_xlpm.s))))),ROUND(_xlpm.arr*$O182/1000,2))</f>
        <v>22.51</v>
      </c>
      <c r="BK182" s="330">
        <v>45.02</v>
      </c>
      <c r="BL182" s="330">
        <v>51.45</v>
      </c>
      <c r="BM182" s="330">
        <v>77.18</v>
      </c>
      <c r="BN182" s="258">
        <f t="shared" si="488"/>
        <v>196.16</v>
      </c>
      <c r="BO182" s="258">
        <v>0</v>
      </c>
      <c r="BP182" s="258">
        <v>0</v>
      </c>
      <c r="BQ182" s="258">
        <v>0</v>
      </c>
      <c r="BR182" s="258">
        <v>0</v>
      </c>
      <c r="BT182" s="258" cm="1">
        <f ca="1" t="array" ref="BT182:BW182">_xlfn.HSTACK(SUM(INDEX($R182:$AV182,1,1):INDEX($R182:$AV182,1,7)),SUM(INDEX($R182:$AV182,1,7):INDEX($R182:$AV182,1,13)),SUM(INDEX($R182:$AV182,1,16):INDEX($R182:$AV182,1,23)),SUM(INDEX($R182:$AV182,1,23):INDEX($R182:$AV182,1,31)))</f>
        <v>420</v>
      </c>
      <c r="BU182" s="258">
        <v>780</v>
      </c>
      <c r="BV182" s="258">
        <v>960</v>
      </c>
      <c r="BW182" s="258">
        <v>1440</v>
      </c>
      <c r="BY182" s="258">
        <f t="shared" si="372"/>
        <v>420</v>
      </c>
      <c r="BZ182" s="258">
        <f t="shared" si="373"/>
        <v>840</v>
      </c>
      <c r="CA182" s="258">
        <f t="shared" si="374"/>
        <v>960</v>
      </c>
      <c r="CB182" s="258">
        <f t="shared" si="375"/>
        <v>1440</v>
      </c>
      <c r="CE182" s="258">
        <f t="shared" si="489"/>
        <v>22.51</v>
      </c>
      <c r="CF182" s="258">
        <f t="shared" si="490"/>
        <v>45.02</v>
      </c>
      <c r="CG182" s="258">
        <f t="shared" si="491"/>
        <v>51.45</v>
      </c>
      <c r="CH182" s="258">
        <f t="shared" si="492"/>
        <v>77.18</v>
      </c>
      <c r="CI182" s="258">
        <f t="shared" si="493"/>
        <v>196.16</v>
      </c>
      <c r="CK182" s="258">
        <f t="shared" ref="CK182:CN182" si="496">IFERROR(ROUND(BY182*$P182,2),"")</f>
        <v>326979.16</v>
      </c>
      <c r="CL182" s="258">
        <f t="shared" si="496"/>
        <v>653958.31</v>
      </c>
      <c r="CM182" s="258">
        <f t="shared" si="496"/>
        <v>747380.93</v>
      </c>
      <c r="CN182" s="258">
        <f t="shared" si="496"/>
        <v>1121071.39</v>
      </c>
      <c r="CO182" s="258">
        <f t="shared" si="371"/>
        <v>2849389.79</v>
      </c>
      <c r="CP182" s="258" t="e">
        <f>VLOOKUP(G182,[2]Sheet1!$C$3:$G$310,5,0)</f>
        <v>#N/A</v>
      </c>
      <c r="CQ182" s="258">
        <f>VLOOKUP(G182,[3]KCBB0101!$C$3:$F$691,4,0)</f>
        <v>8388</v>
      </c>
    </row>
    <row r="183" s="258" customFormat="1" ht="17.6" spans="1:95">
      <c r="A183" s="330"/>
      <c r="B183" s="334" t="str">
        <f>_xlfn.XLOOKUP(G183,销售需求表!A:A,销售需求表!C:C)</f>
        <v>南美</v>
      </c>
      <c r="C183" s="335" t="str">
        <f t="shared" si="377"/>
        <v>22.5</v>
      </c>
      <c r="D183" s="359" t="str">
        <f t="shared" si="478"/>
        <v>南美22.5寸</v>
      </c>
      <c r="E183" s="339" t="str">
        <f t="shared" si="395"/>
        <v>295/80R22.5-18PR(152/149M)-AD528</v>
      </c>
      <c r="F183" s="340" t="str">
        <f t="shared" si="417"/>
        <v>295/80R22.5-18PR-AD528</v>
      </c>
      <c r="G183" s="341" t="s">
        <v>532</v>
      </c>
      <c r="H183" s="334">
        <v>750</v>
      </c>
      <c r="I183" s="345"/>
      <c r="J183" s="346" t="str">
        <f t="shared" si="470"/>
        <v>295/80R22.5-AD528</v>
      </c>
      <c r="K183" s="347" t="str">
        <f>_xlfn.XLOOKUP(F183,投产规格!E:E,投产规格!D:D,"未投产")</f>
        <v>✔</v>
      </c>
      <c r="L183" s="347">
        <f>IFERROR(_xlfn.XLOOKUP(F183,硫化工艺!B:B,硫化工艺!C:C),"")</f>
        <v>39.1</v>
      </c>
      <c r="M183" s="349">
        <f t="shared" si="479"/>
        <v>0.870178041543027</v>
      </c>
      <c r="N183" s="347" t="str">
        <f t="shared" si="480"/>
        <v>22.5全钢</v>
      </c>
      <c r="O183" s="347">
        <f>IFERROR(_xlfn.XLOOKUP(F183,轮胎重量!J:J,轮胎重量!G:G),"")</f>
        <v>58.391</v>
      </c>
      <c r="P183" s="347">
        <f>IFERROR(_xlfn.XLOOKUP(G183,硫化工艺!I:I,硫化工艺!J:J),"")</f>
        <v>859.9654</v>
      </c>
      <c r="Q183" s="347">
        <f t="shared" si="384"/>
        <v>0</v>
      </c>
      <c r="R183" s="347"/>
      <c r="S183" s="347"/>
      <c r="T183" s="347"/>
      <c r="U183" s="347"/>
      <c r="V183" s="347"/>
      <c r="W183" s="347"/>
      <c r="X183" s="347"/>
      <c r="Y183" s="347"/>
      <c r="Z183" s="347"/>
      <c r="AA183" s="347"/>
      <c r="AB183" s="347"/>
      <c r="AC183" s="347"/>
      <c r="AD183" s="347"/>
      <c r="AE183" s="347">
        <v>60</v>
      </c>
      <c r="AF183" s="347">
        <v>60</v>
      </c>
      <c r="AG183" s="347">
        <v>60</v>
      </c>
      <c r="AH183" s="347">
        <v>60</v>
      </c>
      <c r="AI183" s="347">
        <v>60</v>
      </c>
      <c r="AJ183" s="347">
        <v>60</v>
      </c>
      <c r="AK183" s="347">
        <v>60</v>
      </c>
      <c r="AL183" s="347">
        <v>60</v>
      </c>
      <c r="AM183" s="347">
        <v>60</v>
      </c>
      <c r="AN183" s="347">
        <v>60</v>
      </c>
      <c r="AO183" s="347">
        <v>60</v>
      </c>
      <c r="AP183" s="347">
        <v>60</v>
      </c>
      <c r="AQ183" s="347"/>
      <c r="AR183" s="347"/>
      <c r="AS183" s="347"/>
      <c r="AT183" s="347"/>
      <c r="AU183" s="347"/>
      <c r="AV183" s="347"/>
      <c r="AW183" s="347">
        <f t="shared" si="481"/>
        <v>720</v>
      </c>
      <c r="AX183" s="365">
        <f t="shared" si="482"/>
        <v>42.04152</v>
      </c>
      <c r="AY183" s="365">
        <f t="shared" si="483"/>
        <v>61.918</v>
      </c>
      <c r="AZ183" s="366">
        <v>623.27</v>
      </c>
      <c r="BA183" s="368">
        <v>37.54</v>
      </c>
      <c r="BB183" s="368">
        <v>58.97</v>
      </c>
      <c r="BC183" s="368">
        <v>64.23</v>
      </c>
      <c r="BD183" s="330"/>
      <c r="BE183" s="330">
        <f t="shared" si="484"/>
        <v>448754.4</v>
      </c>
      <c r="BF183" s="330">
        <f t="shared" si="485"/>
        <v>27028.8</v>
      </c>
      <c r="BG183" s="330">
        <f t="shared" si="486"/>
        <v>42458.4</v>
      </c>
      <c r="BH183" s="330">
        <f t="shared" si="487"/>
        <v>46245.6</v>
      </c>
      <c r="BI183" s="330"/>
      <c r="BJ183" s="370" cm="1">
        <f t="array" ref="BJ183:BM183">_xlfn.LET(_xlpm.data,$R183:$AV183,_xlpm.starts,{1,8,16,23},_xlpm.lengths,{7,7,8,9},_xlpm.arr,_xlfn.MAP(_xlpm.starts,_xlpm.lengths,_xlfn.LAMBDA(_xlpm.s,_xlpm.l,SUM(INDEX(_xlpm.data,,_xlfn.SEQUENCE(,_xlpm.l,_xlpm.s))))),ROUND(_xlpm.arr*$O183/1000,2))</f>
        <v>0</v>
      </c>
      <c r="BK183" s="330">
        <v>3.5</v>
      </c>
      <c r="BL183" s="330">
        <v>28.03</v>
      </c>
      <c r="BM183" s="330">
        <v>10.51</v>
      </c>
      <c r="BN183" s="258">
        <f t="shared" si="488"/>
        <v>42.04</v>
      </c>
      <c r="BO183" s="258">
        <v>0</v>
      </c>
      <c r="BP183" s="258">
        <v>0</v>
      </c>
      <c r="BQ183" s="258">
        <v>0</v>
      </c>
      <c r="BR183" s="258">
        <v>0</v>
      </c>
      <c r="BS183" s="115"/>
      <c r="BT183" s="258" cm="1">
        <f ca="1" t="array" ref="BT183:BW183">_xlfn.HSTACK(SUM(INDEX($R183:$AV183,1,1):INDEX($R183:$AV183,1,7)),SUM(INDEX($R183:$AV183,1,7):INDEX($R183:$AV183,1,13)),SUM(INDEX($R183:$AV183,1,16):INDEX($R183:$AV183,1,23)),SUM(INDEX($R183:$AV183,1,23):INDEX($R183:$AV183,1,31)))</f>
        <v>0</v>
      </c>
      <c r="BU183" s="258">
        <v>0</v>
      </c>
      <c r="BV183" s="258">
        <v>480</v>
      </c>
      <c r="BW183" s="258">
        <v>180</v>
      </c>
      <c r="BY183" s="258">
        <f t="shared" si="372"/>
        <v>0</v>
      </c>
      <c r="BZ183" s="258">
        <f t="shared" si="373"/>
        <v>60</v>
      </c>
      <c r="CA183" s="258">
        <f t="shared" si="374"/>
        <v>480</v>
      </c>
      <c r="CB183" s="258">
        <f t="shared" si="375"/>
        <v>180</v>
      </c>
      <c r="CD183" s="113"/>
      <c r="CE183" s="258">
        <f t="shared" si="489"/>
        <v>0</v>
      </c>
      <c r="CF183" s="258">
        <f t="shared" si="490"/>
        <v>3.5</v>
      </c>
      <c r="CG183" s="258">
        <f t="shared" si="491"/>
        <v>28.03</v>
      </c>
      <c r="CH183" s="258">
        <f t="shared" si="492"/>
        <v>10.51</v>
      </c>
      <c r="CI183" s="258">
        <f t="shared" si="493"/>
        <v>42.04</v>
      </c>
      <c r="CJ183" s="113"/>
      <c r="CK183" s="258">
        <f t="shared" ref="CK183:CN183" si="497">IFERROR(ROUND(BY183*$P183,2),"")</f>
        <v>0</v>
      </c>
      <c r="CL183" s="258">
        <f t="shared" si="497"/>
        <v>51597.92</v>
      </c>
      <c r="CM183" s="258">
        <f t="shared" si="497"/>
        <v>412783.39</v>
      </c>
      <c r="CN183" s="258">
        <f t="shared" si="497"/>
        <v>154793.77</v>
      </c>
      <c r="CO183" s="258">
        <f t="shared" si="371"/>
        <v>619175.08</v>
      </c>
      <c r="CP183" s="258">
        <f>VLOOKUP(G183,[2]Sheet1!$C$3:$G$310,5,0)</f>
        <v>5600</v>
      </c>
      <c r="CQ183" s="258" t="e">
        <f>VLOOKUP(G183,[3]KCBB0101!$C$3:$F$691,4,0)</f>
        <v>#N/A</v>
      </c>
    </row>
    <row r="184" s="258" customFormat="1" ht="17.6" spans="1:93">
      <c r="A184" s="330"/>
      <c r="B184" s="334" t="str">
        <f>_xlfn.XLOOKUP(G184,销售需求表!A:A,销售需求表!C:C)</f>
        <v>南美</v>
      </c>
      <c r="C184" s="335" t="str">
        <f t="shared" si="377"/>
        <v>22.5</v>
      </c>
      <c r="D184" s="359" t="str">
        <f t="shared" si="478"/>
        <v>南美22.5寸</v>
      </c>
      <c r="E184" s="339" t="str">
        <f t="shared" si="395"/>
        <v>295/80R22.5-18PR(152/149M)-AD733pro</v>
      </c>
      <c r="F184" s="340" t="str">
        <f t="shared" si="417"/>
        <v>295/80R22.5-18PR-AD733pro</v>
      </c>
      <c r="G184" s="377" t="s">
        <v>533</v>
      </c>
      <c r="H184" s="334">
        <v>220</v>
      </c>
      <c r="I184" s="345"/>
      <c r="J184" s="346" t="str">
        <f t="shared" si="470"/>
        <v>295/80R22.5-AD733pro</v>
      </c>
      <c r="K184" s="347" t="str">
        <f>_xlfn.XLOOKUP(F184,投产规格!E:E,投产规格!D:D,"未投产")</f>
        <v>✔</v>
      </c>
      <c r="L184" s="347">
        <f>IFERROR(_xlfn.XLOOKUP(F184,硫化工艺!B:B,硫化工艺!C:C),"")</f>
        <v>42.5</v>
      </c>
      <c r="M184" s="349">
        <f t="shared" si="479"/>
        <v>0.879310344827586</v>
      </c>
      <c r="N184" s="347" t="str">
        <f t="shared" si="480"/>
        <v>22.5全钢</v>
      </c>
      <c r="O184" s="347">
        <f>IFERROR(_xlfn.XLOOKUP(F184,轮胎重量!J:J,轮胎重量!G:G),"")</f>
        <v>68.86</v>
      </c>
      <c r="P184" s="347">
        <f>IFERROR(_xlfn.XLOOKUP(G184,硫化工艺!I:I,硫化工艺!J:J),"")</f>
        <v>1015.3437</v>
      </c>
      <c r="Q184" s="347">
        <f t="shared" si="384"/>
        <v>0</v>
      </c>
      <c r="R184" s="347"/>
      <c r="S184" s="347"/>
      <c r="T184" s="347"/>
      <c r="U184" s="347"/>
      <c r="V184" s="347"/>
      <c r="W184" s="347"/>
      <c r="X184" s="347"/>
      <c r="Y184" s="347"/>
      <c r="Z184" s="347"/>
      <c r="AA184" s="347"/>
      <c r="AB184" s="347"/>
      <c r="AC184" s="347"/>
      <c r="AD184" s="347"/>
      <c r="AE184" s="347"/>
      <c r="AF184" s="347"/>
      <c r="AG184" s="347"/>
      <c r="AH184" s="347"/>
      <c r="AI184" s="347"/>
      <c r="AJ184" s="347"/>
      <c r="AK184" s="347"/>
      <c r="AL184" s="347"/>
      <c r="AM184" s="347"/>
      <c r="AN184" s="347"/>
      <c r="AO184" s="347"/>
      <c r="AP184" s="347"/>
      <c r="AQ184" s="347"/>
      <c r="AR184" s="347"/>
      <c r="AS184" s="347"/>
      <c r="AT184" s="347"/>
      <c r="AU184" s="347"/>
      <c r="AV184" s="347"/>
      <c r="AW184" s="347" t="str">
        <f t="shared" si="481"/>
        <v/>
      </c>
      <c r="AX184" s="365" t="str">
        <f t="shared" si="482"/>
        <v/>
      </c>
      <c r="AY184" s="365" t="str">
        <f t="shared" si="483"/>
        <v/>
      </c>
      <c r="AZ184" s="366">
        <v>623.27</v>
      </c>
      <c r="BA184" s="368">
        <v>37.54</v>
      </c>
      <c r="BB184" s="368">
        <v>58.97</v>
      </c>
      <c r="BC184" s="368">
        <v>64.23</v>
      </c>
      <c r="BD184" s="330"/>
      <c r="BE184" s="330" t="e">
        <f t="shared" si="484"/>
        <v>#VALUE!</v>
      </c>
      <c r="BF184" s="330" t="e">
        <f t="shared" si="485"/>
        <v>#VALUE!</v>
      </c>
      <c r="BG184" s="330" t="e">
        <f t="shared" si="486"/>
        <v>#VALUE!</v>
      </c>
      <c r="BH184" s="330" t="e">
        <f t="shared" si="487"/>
        <v>#VALUE!</v>
      </c>
      <c r="BI184" s="330"/>
      <c r="BJ184" s="370" cm="1">
        <f t="array" ref="BJ184:BM184">_xlfn.LET(_xlpm.data,$R184:$AV184,_xlpm.starts,{1,8,16,23},_xlpm.lengths,{7,7,8,9},_xlpm.arr,_xlfn.MAP(_xlpm.starts,_xlpm.lengths,_xlfn.LAMBDA(_xlpm.s,_xlpm.l,SUM(INDEX(_xlpm.data,,_xlfn.SEQUENCE(,_xlpm.l,_xlpm.s))))),ROUND(_xlpm.arr*$O184/1000,2))</f>
        <v>0</v>
      </c>
      <c r="BK184" s="330">
        <v>0</v>
      </c>
      <c r="BL184" s="330">
        <v>0</v>
      </c>
      <c r="BM184" s="330">
        <v>0</v>
      </c>
      <c r="BN184" s="258">
        <f t="shared" si="488"/>
        <v>0</v>
      </c>
      <c r="BO184" s="258">
        <v>0</v>
      </c>
      <c r="BP184" s="258">
        <v>0.67</v>
      </c>
      <c r="BQ184" s="258">
        <v>25.82</v>
      </c>
      <c r="BR184" s="258">
        <v>29.05</v>
      </c>
      <c r="BS184" s="115"/>
      <c r="BT184" s="258" cm="1">
        <f ca="1" t="array" ref="BT184:BW184">_xlfn.HSTACK(SUM(INDEX($R184:$AV184,1,1):INDEX($R184:$AV184,1,7)),SUM(INDEX($R184:$AV184,1,7):INDEX($R184:$AV184,1,13)),SUM(INDEX($R184:$AV184,1,16):INDEX($R184:$AV184,1,23)),SUM(INDEX($R184:$AV184,1,23):INDEX($R184:$AV184,1,31)))</f>
        <v>0</v>
      </c>
      <c r="BU184" s="258">
        <v>0</v>
      </c>
      <c r="BV184" s="258">
        <v>0</v>
      </c>
      <c r="BW184" s="258">
        <v>0</v>
      </c>
      <c r="BY184" s="258">
        <f t="shared" si="372"/>
        <v>0</v>
      </c>
      <c r="BZ184" s="258">
        <f t="shared" si="373"/>
        <v>0</v>
      </c>
      <c r="CA184" s="258">
        <f t="shared" si="374"/>
        <v>0</v>
      </c>
      <c r="CB184" s="258">
        <f t="shared" si="375"/>
        <v>0</v>
      </c>
      <c r="CD184" s="113"/>
      <c r="CE184" s="258">
        <f t="shared" si="489"/>
        <v>0</v>
      </c>
      <c r="CF184" s="258">
        <f t="shared" si="490"/>
        <v>0</v>
      </c>
      <c r="CG184" s="258">
        <f t="shared" si="491"/>
        <v>0</v>
      </c>
      <c r="CH184" s="258">
        <f t="shared" si="492"/>
        <v>0</v>
      </c>
      <c r="CI184" s="258">
        <f t="shared" si="493"/>
        <v>0</v>
      </c>
      <c r="CJ184" s="113"/>
      <c r="CK184" s="258">
        <f t="shared" ref="CK184:CN184" si="498">IFERROR(ROUND(BY184*$P184,2),"")</f>
        <v>0</v>
      </c>
      <c r="CL184" s="258">
        <f t="shared" si="498"/>
        <v>0</v>
      </c>
      <c r="CM184" s="258">
        <f t="shared" si="498"/>
        <v>0</v>
      </c>
      <c r="CN184" s="258">
        <f t="shared" si="498"/>
        <v>0</v>
      </c>
      <c r="CO184" s="258">
        <f t="shared" si="371"/>
        <v>0</v>
      </c>
    </row>
    <row r="185" s="258" customFormat="1" ht="17.6" spans="1:93">
      <c r="A185" s="330"/>
      <c r="B185" s="334" t="str">
        <f>_xlfn.XLOOKUP(G185,销售需求表!A:A,销售需求表!C:C)</f>
        <v>南美</v>
      </c>
      <c r="C185" s="335" t="str">
        <f t="shared" si="377"/>
        <v>22.5</v>
      </c>
      <c r="D185" s="359" t="str">
        <f t="shared" si="478"/>
        <v>南美22.5寸</v>
      </c>
      <c r="E185" s="339" t="str">
        <f t="shared" si="395"/>
        <v>295/80R22.5-18PR(152/149M)-AS589</v>
      </c>
      <c r="F185" s="340" t="str">
        <f t="shared" si="417"/>
        <v>295/80R22.5-18PR-AS589</v>
      </c>
      <c r="G185" s="377" t="s">
        <v>534</v>
      </c>
      <c r="H185" s="334">
        <v>300</v>
      </c>
      <c r="I185" s="345"/>
      <c r="J185" s="346" t="str">
        <f t="shared" si="470"/>
        <v>295/80R22.5-AS589</v>
      </c>
      <c r="K185" s="347" t="str">
        <f>_xlfn.XLOOKUP(F185,投产规格!E:E,投产规格!D:D,"未投产")</f>
        <v>✔</v>
      </c>
      <c r="L185" s="347">
        <f>IFERROR(_xlfn.XLOOKUP(F185,硫化工艺!B:B,硫化工艺!C:C),"")</f>
        <v>37</v>
      </c>
      <c r="M185" s="349">
        <f t="shared" si="479"/>
        <v>0.863813229571984</v>
      </c>
      <c r="N185" s="347" t="str">
        <f t="shared" si="480"/>
        <v>22.5全钢</v>
      </c>
      <c r="O185" s="347">
        <f>IFERROR(_xlfn.XLOOKUP(F185,轮胎重量!J:J,轮胎重量!G:G),"")</f>
        <v>54.84</v>
      </c>
      <c r="P185" s="347">
        <f>IFERROR(_xlfn.XLOOKUP(G185,硫化工艺!I:I,硫化工艺!J:J),"")</f>
        <v>795.5864</v>
      </c>
      <c r="Q185" s="347">
        <f t="shared" si="384"/>
        <v>0</v>
      </c>
      <c r="R185" s="347"/>
      <c r="S185" s="347"/>
      <c r="T185" s="347"/>
      <c r="U185" s="347"/>
      <c r="V185" s="347"/>
      <c r="W185" s="347"/>
      <c r="X185" s="347"/>
      <c r="Y185" s="347"/>
      <c r="Z185" s="347"/>
      <c r="AA185" s="347"/>
      <c r="AB185" s="347"/>
      <c r="AC185" s="347"/>
      <c r="AD185" s="347"/>
      <c r="AE185" s="347"/>
      <c r="AF185" s="347"/>
      <c r="AG185" s="347"/>
      <c r="AH185" s="347"/>
      <c r="AI185" s="347"/>
      <c r="AJ185" s="347"/>
      <c r="AK185" s="347"/>
      <c r="AL185" s="347"/>
      <c r="AM185" s="347"/>
      <c r="AN185" s="347"/>
      <c r="AO185" s="347"/>
      <c r="AP185" s="347"/>
      <c r="AQ185" s="347"/>
      <c r="AR185" s="347"/>
      <c r="AS185" s="347"/>
      <c r="AT185" s="347"/>
      <c r="AU185" s="347"/>
      <c r="AV185" s="347"/>
      <c r="AW185" s="347" t="str">
        <f t="shared" si="481"/>
        <v/>
      </c>
      <c r="AX185" s="365" t="str">
        <f t="shared" si="482"/>
        <v/>
      </c>
      <c r="AY185" s="365" t="str">
        <f t="shared" si="483"/>
        <v/>
      </c>
      <c r="AZ185" s="366">
        <v>623.27</v>
      </c>
      <c r="BA185" s="368">
        <v>37.54</v>
      </c>
      <c r="BB185" s="368">
        <v>58.97</v>
      </c>
      <c r="BC185" s="368">
        <v>64.23</v>
      </c>
      <c r="BD185" s="330"/>
      <c r="BE185" s="330" t="e">
        <f t="shared" si="484"/>
        <v>#VALUE!</v>
      </c>
      <c r="BF185" s="330" t="e">
        <f t="shared" si="485"/>
        <v>#VALUE!</v>
      </c>
      <c r="BG185" s="330" t="e">
        <f t="shared" si="486"/>
        <v>#VALUE!</v>
      </c>
      <c r="BH185" s="330" t="e">
        <f t="shared" si="487"/>
        <v>#VALUE!</v>
      </c>
      <c r="BI185" s="330"/>
      <c r="BJ185" s="370" cm="1">
        <f t="array" ref="BJ185:BM185">_xlfn.LET(_xlpm.data,$R185:$AV185,_xlpm.starts,{1,8,16,23},_xlpm.lengths,{7,7,8,9},_xlpm.arr,_xlfn.MAP(_xlpm.starts,_xlpm.lengths,_xlfn.LAMBDA(_xlpm.s,_xlpm.l,SUM(INDEX(_xlpm.data,,_xlfn.SEQUENCE(,_xlpm.l,_xlpm.s))))),ROUND(_xlpm.arr*$O185/1000,2))</f>
        <v>0</v>
      </c>
      <c r="BK185" s="330">
        <v>0</v>
      </c>
      <c r="BL185" s="330">
        <v>0</v>
      </c>
      <c r="BM185" s="330">
        <v>0</v>
      </c>
      <c r="BN185" s="258">
        <f t="shared" si="488"/>
        <v>0</v>
      </c>
      <c r="BO185" s="258">
        <v>0</v>
      </c>
      <c r="BP185" s="258">
        <v>0.67</v>
      </c>
      <c r="BQ185" s="258">
        <v>25.82</v>
      </c>
      <c r="BR185" s="258">
        <v>29.05</v>
      </c>
      <c r="BS185" s="115"/>
      <c r="BT185" s="258" cm="1">
        <f ca="1" t="array" ref="BT185:BW185">_xlfn.HSTACK(SUM(INDEX($R185:$AV185,1,1):INDEX($R185:$AV185,1,7)),SUM(INDEX($R185:$AV185,1,7):INDEX($R185:$AV185,1,13)),SUM(INDEX($R185:$AV185,1,16):INDEX($R185:$AV185,1,23)),SUM(INDEX($R185:$AV185,1,23):INDEX($R185:$AV185,1,31)))</f>
        <v>0</v>
      </c>
      <c r="BU185" s="258">
        <v>0</v>
      </c>
      <c r="BV185" s="258">
        <v>0</v>
      </c>
      <c r="BW185" s="258">
        <v>0</v>
      </c>
      <c r="BY185" s="258">
        <f t="shared" si="372"/>
        <v>0</v>
      </c>
      <c r="BZ185" s="258">
        <f t="shared" si="373"/>
        <v>0</v>
      </c>
      <c r="CA185" s="258">
        <f t="shared" si="374"/>
        <v>0</v>
      </c>
      <c r="CB185" s="258">
        <f t="shared" si="375"/>
        <v>0</v>
      </c>
      <c r="CD185" s="113"/>
      <c r="CE185" s="258">
        <f t="shared" si="489"/>
        <v>0</v>
      </c>
      <c r="CF185" s="258">
        <f t="shared" si="490"/>
        <v>0</v>
      </c>
      <c r="CG185" s="258">
        <f t="shared" si="491"/>
        <v>0</v>
      </c>
      <c r="CH185" s="258">
        <f t="shared" si="492"/>
        <v>0</v>
      </c>
      <c r="CI185" s="258">
        <f t="shared" si="493"/>
        <v>0</v>
      </c>
      <c r="CJ185" s="113"/>
      <c r="CK185" s="258">
        <f t="shared" ref="CK185:CN185" si="499">IFERROR(ROUND(BY185*$P185,2),"")</f>
        <v>0</v>
      </c>
      <c r="CL185" s="258">
        <f t="shared" si="499"/>
        <v>0</v>
      </c>
      <c r="CM185" s="258">
        <f t="shared" si="499"/>
        <v>0</v>
      </c>
      <c r="CN185" s="258">
        <f t="shared" si="499"/>
        <v>0</v>
      </c>
      <c r="CO185" s="258">
        <f t="shared" si="371"/>
        <v>0</v>
      </c>
    </row>
    <row r="186" s="258" customFormat="1" ht="17.6" spans="1:95">
      <c r="A186" s="330"/>
      <c r="B186" s="334" t="str">
        <f>_xlfn.XLOOKUP(G186,销售需求表!A:A,销售需求表!C:C)</f>
        <v>南美</v>
      </c>
      <c r="C186" s="335" t="str">
        <f t="shared" si="377"/>
        <v>22.5</v>
      </c>
      <c r="D186" s="359" t="str">
        <f t="shared" si="478"/>
        <v>南美22.5寸</v>
      </c>
      <c r="E186" s="339" t="str">
        <f t="shared" si="395"/>
        <v>295/80R22.5-18PR(152/149M)-AS678</v>
      </c>
      <c r="F186" s="340" t="str">
        <f t="shared" si="417"/>
        <v>295/80R22.5-18PR-AS678</v>
      </c>
      <c r="G186" s="341" t="s">
        <v>535</v>
      </c>
      <c r="H186" s="334">
        <v>700</v>
      </c>
      <c r="I186" s="345">
        <v>2</v>
      </c>
      <c r="J186" s="346" t="str">
        <f t="shared" si="470"/>
        <v>295/80R22.5-AS678</v>
      </c>
      <c r="K186" s="347" t="str">
        <f>_xlfn.XLOOKUP(F186,投产规格!E:E,投产规格!D:D,"未投产")</f>
        <v>✔</v>
      </c>
      <c r="L186" s="347">
        <f>IFERROR(_xlfn.XLOOKUP(F186,硫化工艺!B:B,硫化工艺!C:C),"")</f>
        <v>38</v>
      </c>
      <c r="M186" s="349">
        <f t="shared" si="479"/>
        <v>0.866920152091255</v>
      </c>
      <c r="N186" s="347" t="str">
        <f t="shared" si="480"/>
        <v>22.5全钢</v>
      </c>
      <c r="O186" s="347">
        <f>IFERROR(_xlfn.XLOOKUP(F186,轮胎重量!J:J,轮胎重量!G:G),"")</f>
        <v>53.667</v>
      </c>
      <c r="P186" s="347">
        <f>IFERROR(_xlfn.XLOOKUP(G186,硫化工艺!I:I,硫化工艺!J:J),"")</f>
        <v>772.852997</v>
      </c>
      <c r="Q186" s="347">
        <f t="shared" si="384"/>
        <v>66</v>
      </c>
      <c r="R186" s="347">
        <v>60</v>
      </c>
      <c r="S186" s="347">
        <v>60</v>
      </c>
      <c r="T186" s="347">
        <v>60</v>
      </c>
      <c r="U186" s="347">
        <v>60</v>
      </c>
      <c r="V186" s="347">
        <v>60</v>
      </c>
      <c r="W186" s="347">
        <v>60</v>
      </c>
      <c r="X186" s="347">
        <v>60</v>
      </c>
      <c r="Y186" s="347">
        <v>60</v>
      </c>
      <c r="Z186" s="347">
        <v>60</v>
      </c>
      <c r="AA186" s="354">
        <v>60</v>
      </c>
      <c r="AB186" s="347"/>
      <c r="AC186" s="347"/>
      <c r="AD186" s="347"/>
      <c r="AE186" s="347"/>
      <c r="AF186" s="347"/>
      <c r="AG186" s="347"/>
      <c r="AH186" s="347"/>
      <c r="AI186" s="347"/>
      <c r="AJ186" s="347"/>
      <c r="AK186" s="347"/>
      <c r="AL186" s="347"/>
      <c r="AM186" s="347"/>
      <c r="AN186" s="347"/>
      <c r="AO186" s="347"/>
      <c r="AP186" s="347"/>
      <c r="AQ186" s="347"/>
      <c r="AR186" s="347"/>
      <c r="AS186" s="347"/>
      <c r="AT186" s="347"/>
      <c r="AU186" s="347"/>
      <c r="AV186" s="347"/>
      <c r="AW186" s="347">
        <f t="shared" si="481"/>
        <v>600</v>
      </c>
      <c r="AX186" s="365">
        <f t="shared" si="482"/>
        <v>32.2002</v>
      </c>
      <c r="AY186" s="365">
        <f t="shared" si="483"/>
        <v>46.371</v>
      </c>
      <c r="AZ186" s="366">
        <v>623.27</v>
      </c>
      <c r="BA186" s="368">
        <v>37.54</v>
      </c>
      <c r="BB186" s="368">
        <v>58.97</v>
      </c>
      <c r="BC186" s="368">
        <v>64.23</v>
      </c>
      <c r="BD186" s="330"/>
      <c r="BE186" s="330">
        <f t="shared" si="484"/>
        <v>373962</v>
      </c>
      <c r="BF186" s="330">
        <f t="shared" si="485"/>
        <v>22524</v>
      </c>
      <c r="BG186" s="330">
        <f t="shared" si="486"/>
        <v>35382</v>
      </c>
      <c r="BH186" s="330">
        <f t="shared" si="487"/>
        <v>38538</v>
      </c>
      <c r="BI186" s="330"/>
      <c r="BJ186" s="370" cm="1">
        <f t="array" ref="BJ186:BM186">_xlfn.LET(_xlpm.data,$R186:$AV186,_xlpm.starts,{1,8,16,23},_xlpm.lengths,{7,7,8,9},_xlpm.arr,_xlfn.MAP(_xlpm.starts,_xlpm.lengths,_xlfn.LAMBDA(_xlpm.s,_xlpm.l,SUM(INDEX(_xlpm.data,,_xlfn.SEQUENCE(,_xlpm.l,_xlpm.s))))),ROUND(_xlpm.arr*$O186/1000,2))</f>
        <v>22.54</v>
      </c>
      <c r="BK186" s="330">
        <v>9.66</v>
      </c>
      <c r="BL186" s="330">
        <v>0</v>
      </c>
      <c r="BM186" s="330">
        <v>0</v>
      </c>
      <c r="BN186" s="258">
        <f t="shared" si="488"/>
        <v>32.2</v>
      </c>
      <c r="BO186" s="258">
        <v>0</v>
      </c>
      <c r="BP186" s="258">
        <v>0</v>
      </c>
      <c r="BQ186" s="258">
        <v>0</v>
      </c>
      <c r="BR186" s="258">
        <v>0</v>
      </c>
      <c r="BS186" s="115"/>
      <c r="BT186" s="258" cm="1">
        <f ca="1" t="array" ref="BT186:BW186">_xlfn.HSTACK(SUM(INDEX($R186:$AV186,1,1):INDEX($R186:$AV186,1,7)),SUM(INDEX($R186:$AV186,1,7):INDEX($R186:$AV186,1,13)),SUM(INDEX($R186:$AV186,1,16):INDEX($R186:$AV186,1,23)),SUM(INDEX($R186:$AV186,1,23):INDEX($R186:$AV186,1,31)))</f>
        <v>420</v>
      </c>
      <c r="BU186" s="258">
        <v>240</v>
      </c>
      <c r="BV186" s="258">
        <v>0</v>
      </c>
      <c r="BW186" s="258">
        <v>0</v>
      </c>
      <c r="BY186" s="258">
        <f t="shared" si="372"/>
        <v>420</v>
      </c>
      <c r="BZ186" s="258">
        <f t="shared" si="373"/>
        <v>180</v>
      </c>
      <c r="CA186" s="258">
        <f t="shared" si="374"/>
        <v>0</v>
      </c>
      <c r="CB186" s="258">
        <f t="shared" si="375"/>
        <v>0</v>
      </c>
      <c r="CD186" s="113"/>
      <c r="CE186" s="258">
        <f t="shared" si="489"/>
        <v>22.54</v>
      </c>
      <c r="CF186" s="258">
        <f t="shared" si="490"/>
        <v>9.66</v>
      </c>
      <c r="CG186" s="258">
        <f t="shared" si="491"/>
        <v>0</v>
      </c>
      <c r="CH186" s="258">
        <f t="shared" si="492"/>
        <v>0</v>
      </c>
      <c r="CI186" s="258">
        <f t="shared" si="493"/>
        <v>32.2</v>
      </c>
      <c r="CJ186" s="113"/>
      <c r="CK186" s="258">
        <f t="shared" ref="CK186:CN186" si="500">IFERROR(ROUND(BY186*$P186,2),"")</f>
        <v>324598.26</v>
      </c>
      <c r="CL186" s="258">
        <f t="shared" si="500"/>
        <v>139113.54</v>
      </c>
      <c r="CM186" s="258">
        <f t="shared" si="500"/>
        <v>0</v>
      </c>
      <c r="CN186" s="258">
        <f t="shared" si="500"/>
        <v>0</v>
      </c>
      <c r="CO186" s="258">
        <f t="shared" si="371"/>
        <v>463711.8</v>
      </c>
      <c r="CP186" s="258" t="e">
        <f>VLOOKUP(G186,[2]Sheet1!$C$3:$G$310,5,0)</f>
        <v>#N/A</v>
      </c>
      <c r="CQ186" s="258">
        <f>VLOOKUP(G186,[3]KCBB0101!$C$3:$F$691,4,0)</f>
        <v>5058</v>
      </c>
    </row>
    <row r="187" s="258" customFormat="1" ht="17.6" spans="1:95">
      <c r="A187" s="330"/>
      <c r="B187" s="334" t="str">
        <f>_xlfn.XLOOKUP(G187,销售需求表!A:A,销售需求表!C:C)</f>
        <v>南美</v>
      </c>
      <c r="C187" s="335" t="str">
        <f t="shared" si="377"/>
        <v>22.5</v>
      </c>
      <c r="D187" s="359" t="str">
        <f t="shared" si="478"/>
        <v>南美22.5寸</v>
      </c>
      <c r="E187" s="339" t="str">
        <f t="shared" si="395"/>
        <v>295/80R22.5-18PR(152/149M)-AS678</v>
      </c>
      <c r="F187" s="340" t="str">
        <f t="shared" si="417"/>
        <v>295/80R22.5-18PR-AS678</v>
      </c>
      <c r="G187" s="341" t="s">
        <v>536</v>
      </c>
      <c r="H187" s="334">
        <v>400</v>
      </c>
      <c r="I187" s="345">
        <v>2</v>
      </c>
      <c r="J187" s="346" t="str">
        <f t="shared" si="470"/>
        <v>295/80R22.5-AS678</v>
      </c>
      <c r="K187" s="347" t="str">
        <f>_xlfn.XLOOKUP(F187,投产规格!E:E,投产规格!D:D,"未投产")</f>
        <v>✔</v>
      </c>
      <c r="L187" s="347">
        <f>IFERROR(_xlfn.XLOOKUP(F187,硫化工艺!B:B,硫化工艺!C:C),"")</f>
        <v>38</v>
      </c>
      <c r="M187" s="349">
        <f t="shared" si="479"/>
        <v>0.866920152091255</v>
      </c>
      <c r="N187" s="347" t="str">
        <f t="shared" si="480"/>
        <v>22.5全钢</v>
      </c>
      <c r="O187" s="347">
        <f>IFERROR(_xlfn.XLOOKUP(F187,轮胎重量!J:J,轮胎重量!G:G),"")</f>
        <v>53.667</v>
      </c>
      <c r="P187" s="347">
        <f>IFERROR(_xlfn.XLOOKUP(G187,硫化工艺!I:I,硫化工艺!J:J),"")</f>
        <v>789.2913</v>
      </c>
      <c r="Q187" s="347">
        <f t="shared" si="384"/>
        <v>66</v>
      </c>
      <c r="R187" s="347">
        <v>60</v>
      </c>
      <c r="S187" s="347">
        <v>60</v>
      </c>
      <c r="T187" s="347">
        <v>60</v>
      </c>
      <c r="U187" s="347">
        <v>60</v>
      </c>
      <c r="V187" s="347">
        <v>60</v>
      </c>
      <c r="W187" s="347">
        <v>60</v>
      </c>
      <c r="X187" s="380">
        <v>60</v>
      </c>
      <c r="Y187" s="347"/>
      <c r="Z187" s="347"/>
      <c r="AA187" s="347"/>
      <c r="AB187" s="347"/>
      <c r="AC187" s="347"/>
      <c r="AD187" s="347"/>
      <c r="AE187" s="347"/>
      <c r="AF187" s="347"/>
      <c r="AG187" s="347"/>
      <c r="AH187" s="347"/>
      <c r="AI187" s="347"/>
      <c r="AJ187" s="347"/>
      <c r="AK187" s="347"/>
      <c r="AL187" s="347"/>
      <c r="AM187" s="347"/>
      <c r="AN187" s="347"/>
      <c r="AO187" s="347"/>
      <c r="AP187" s="347"/>
      <c r="AQ187" s="347"/>
      <c r="AR187" s="347"/>
      <c r="AS187" s="347"/>
      <c r="AT187" s="347"/>
      <c r="AU187" s="347"/>
      <c r="AV187" s="347"/>
      <c r="AW187" s="347">
        <f t="shared" si="481"/>
        <v>420</v>
      </c>
      <c r="AX187" s="365">
        <f t="shared" si="482"/>
        <v>22.54014</v>
      </c>
      <c r="AY187" s="365">
        <f t="shared" si="483"/>
        <v>33.15</v>
      </c>
      <c r="AZ187" s="366">
        <v>623.27</v>
      </c>
      <c r="BA187" s="368">
        <v>37.54</v>
      </c>
      <c r="BB187" s="368">
        <v>58.97</v>
      </c>
      <c r="BC187" s="368">
        <v>64.23</v>
      </c>
      <c r="BD187" s="330"/>
      <c r="BE187" s="330">
        <f t="shared" si="484"/>
        <v>261773.4</v>
      </c>
      <c r="BF187" s="330">
        <f t="shared" si="485"/>
        <v>15766.8</v>
      </c>
      <c r="BG187" s="330">
        <f t="shared" si="486"/>
        <v>24767.4</v>
      </c>
      <c r="BH187" s="330">
        <f t="shared" si="487"/>
        <v>26976.6</v>
      </c>
      <c r="BI187" s="330"/>
      <c r="BJ187" s="370" cm="1">
        <f t="array" ref="BJ187:BM187">_xlfn.LET(_xlpm.data,$R187:$AV187,_xlpm.starts,{1,8,16,23},_xlpm.lengths,{7,7,8,9},_xlpm.arr,_xlfn.MAP(_xlpm.starts,_xlpm.lengths,_xlfn.LAMBDA(_xlpm.s,_xlpm.l,SUM(INDEX(_xlpm.data,,_xlfn.SEQUENCE(,_xlpm.l,_xlpm.s))))),ROUND(_xlpm.arr*$O187/1000,2))</f>
        <v>22.54</v>
      </c>
      <c r="BK187" s="330">
        <v>0</v>
      </c>
      <c r="BL187" s="330">
        <v>0</v>
      </c>
      <c r="BM187" s="330">
        <v>0</v>
      </c>
      <c r="BN187" s="258">
        <f t="shared" si="488"/>
        <v>22.54</v>
      </c>
      <c r="BO187" s="258">
        <v>0</v>
      </c>
      <c r="BP187" s="258">
        <v>0</v>
      </c>
      <c r="BQ187" s="258">
        <v>0</v>
      </c>
      <c r="BR187" s="258">
        <v>0</v>
      </c>
      <c r="BS187" s="115"/>
      <c r="BT187" s="258" cm="1">
        <f ca="1" t="array" ref="BT187:BW187">_xlfn.HSTACK(SUM(INDEX($R187:$AV187,1,1):INDEX($R187:$AV187,1,7)),SUM(INDEX($R187:$AV187,1,7):INDEX($R187:$AV187,1,13)),SUM(INDEX($R187:$AV187,1,16):INDEX($R187:$AV187,1,23)),SUM(INDEX($R187:$AV187,1,23):INDEX($R187:$AV187,1,31)))</f>
        <v>420</v>
      </c>
      <c r="BU187" s="258">
        <v>60</v>
      </c>
      <c r="BV187" s="258">
        <v>0</v>
      </c>
      <c r="BW187" s="258">
        <v>0</v>
      </c>
      <c r="BY187" s="258">
        <f t="shared" si="372"/>
        <v>420</v>
      </c>
      <c r="BZ187" s="258">
        <f t="shared" si="373"/>
        <v>0</v>
      </c>
      <c r="CA187" s="258">
        <f t="shared" si="374"/>
        <v>0</v>
      </c>
      <c r="CB187" s="258">
        <f t="shared" si="375"/>
        <v>0</v>
      </c>
      <c r="CD187" s="113"/>
      <c r="CE187" s="258">
        <f t="shared" ref="CE187:CH187" si="501">ROUND(BY187*$O187/1000,2)</f>
        <v>22.54</v>
      </c>
      <c r="CF187" s="258">
        <f t="shared" si="501"/>
        <v>0</v>
      </c>
      <c r="CG187" s="258">
        <f t="shared" si="501"/>
        <v>0</v>
      </c>
      <c r="CH187" s="258">
        <f t="shared" si="501"/>
        <v>0</v>
      </c>
      <c r="CI187" s="258">
        <f t="shared" si="493"/>
        <v>22.54</v>
      </c>
      <c r="CJ187" s="113"/>
      <c r="CK187" s="258">
        <f t="shared" ref="CK187:CN187" si="502">IFERROR(ROUND(BY187*$P187,2),"")</f>
        <v>331502.35</v>
      </c>
      <c r="CL187" s="258">
        <f t="shared" si="502"/>
        <v>0</v>
      </c>
      <c r="CM187" s="258">
        <f t="shared" si="502"/>
        <v>0</v>
      </c>
      <c r="CN187" s="258">
        <f t="shared" si="502"/>
        <v>0</v>
      </c>
      <c r="CO187" s="258">
        <f t="shared" si="371"/>
        <v>331502.35</v>
      </c>
      <c r="CP187" s="258">
        <f>VLOOKUP(G187,[2]Sheet1!$C$3:$G$310,5,0)</f>
        <v>9400</v>
      </c>
      <c r="CQ187" s="258" t="e">
        <f>VLOOKUP(G187,[3]KCBB0101!$C$3:$F$691,4,0)</f>
        <v>#N/A</v>
      </c>
    </row>
    <row r="188" s="258" customFormat="1" ht="17.6" spans="1:93">
      <c r="A188" s="330"/>
      <c r="B188" s="334" t="str">
        <f>_xlfn.XLOOKUP(G188,销售需求表!A:A,销售需求表!C:C)</f>
        <v>亚</v>
      </c>
      <c r="C188" s="335" t="str">
        <f t="shared" si="377"/>
        <v>22.5</v>
      </c>
      <c r="D188" s="359" t="str">
        <f t="shared" si="478"/>
        <v>亚22.5寸</v>
      </c>
      <c r="E188" s="339" t="str">
        <f t="shared" si="395"/>
        <v>295/80R22.5-18PR(152/149M)-AS858Pro</v>
      </c>
      <c r="F188" s="340" t="str">
        <f t="shared" ref="F188:F219" si="503">IFERROR(MID(G188,3,FIND("(",G188)-3)&amp;"-"&amp;SUBSTITUTE(MID(G188,FIND("[",G188)+1,FIND("]",G188)-FIND("[",G188)-1),"Strong Guard ",""),"")</f>
        <v>295/80R22.5-18PR-AS858Pro</v>
      </c>
      <c r="G188" s="377" t="s">
        <v>537</v>
      </c>
      <c r="H188" s="334">
        <v>300</v>
      </c>
      <c r="I188" s="345"/>
      <c r="J188" s="346" t="str">
        <f t="shared" si="470"/>
        <v>295/80R22.5-AS858Pro</v>
      </c>
      <c r="K188" s="347" t="str">
        <f>_xlfn.XLOOKUP(F188,投产规格!E:E,投产规格!D:D,"未投产")</f>
        <v>✔</v>
      </c>
      <c r="L188" s="347">
        <f>IFERROR(_xlfn.XLOOKUP(F188,硫化工艺!B:B,硫化工艺!C:C),"")</f>
        <v>58</v>
      </c>
      <c r="M188" s="349">
        <f t="shared" si="479"/>
        <v>0.908616187989556</v>
      </c>
      <c r="N188" s="347" t="str">
        <f t="shared" si="480"/>
        <v>22.5全钢</v>
      </c>
      <c r="O188" s="347">
        <f>IFERROR(_xlfn.XLOOKUP(F188,轮胎重量!J:J,轮胎重量!G:G),"")</f>
        <v>62.441</v>
      </c>
      <c r="P188" s="347">
        <f>IFERROR(_xlfn.XLOOKUP(G188,硫化工艺!I:I,硫化工艺!J:J),"")</f>
        <v>987.105</v>
      </c>
      <c r="Q188" s="347">
        <f t="shared" si="384"/>
        <v>0</v>
      </c>
      <c r="R188" s="347"/>
      <c r="S188" s="347"/>
      <c r="T188" s="347"/>
      <c r="U188" s="347"/>
      <c r="V188" s="347"/>
      <c r="W188" s="347"/>
      <c r="X188" s="347"/>
      <c r="Y188" s="347"/>
      <c r="Z188" s="347"/>
      <c r="AA188" s="347"/>
      <c r="AB188" s="347"/>
      <c r="AC188" s="347"/>
      <c r="AD188" s="347"/>
      <c r="AE188" s="347"/>
      <c r="AF188" s="347"/>
      <c r="AG188" s="347"/>
      <c r="AH188" s="347"/>
      <c r="AI188" s="347"/>
      <c r="AJ188" s="347"/>
      <c r="AK188" s="347"/>
      <c r="AL188" s="347"/>
      <c r="AM188" s="347"/>
      <c r="AN188" s="347"/>
      <c r="AO188" s="347"/>
      <c r="AP188" s="347"/>
      <c r="AQ188" s="347"/>
      <c r="AR188" s="347"/>
      <c r="AS188" s="347"/>
      <c r="AT188" s="347"/>
      <c r="AU188" s="347"/>
      <c r="AV188" s="347"/>
      <c r="AW188" s="347" t="str">
        <f t="shared" si="481"/>
        <v/>
      </c>
      <c r="AX188" s="365" t="str">
        <f t="shared" si="482"/>
        <v/>
      </c>
      <c r="AY188" s="365" t="str">
        <f t="shared" si="483"/>
        <v/>
      </c>
      <c r="AZ188" s="366">
        <v>623.27</v>
      </c>
      <c r="BA188" s="368">
        <v>37.54</v>
      </c>
      <c r="BB188" s="368">
        <v>58.97</v>
      </c>
      <c r="BC188" s="368">
        <v>64.23</v>
      </c>
      <c r="BD188" s="330"/>
      <c r="BE188" s="330" t="e">
        <f t="shared" si="484"/>
        <v>#VALUE!</v>
      </c>
      <c r="BF188" s="330" t="e">
        <f t="shared" si="485"/>
        <v>#VALUE!</v>
      </c>
      <c r="BG188" s="330" t="e">
        <f t="shared" si="486"/>
        <v>#VALUE!</v>
      </c>
      <c r="BH188" s="330" t="e">
        <f t="shared" si="487"/>
        <v>#VALUE!</v>
      </c>
      <c r="BI188" s="330"/>
      <c r="BJ188" s="370" cm="1">
        <f t="array" ref="BJ188:BM188">_xlfn.LET(_xlpm.data,$R188:$AV188,_xlpm.starts,{1,8,16,23},_xlpm.lengths,{7,7,8,9},_xlpm.arr,_xlfn.MAP(_xlpm.starts,_xlpm.lengths,_xlfn.LAMBDA(_xlpm.s,_xlpm.l,SUM(INDEX(_xlpm.data,,_xlfn.SEQUENCE(,_xlpm.l,_xlpm.s))))),ROUND(_xlpm.arr*$O188/1000,2))</f>
        <v>0</v>
      </c>
      <c r="BK188" s="330">
        <v>0</v>
      </c>
      <c r="BL188" s="330">
        <v>0</v>
      </c>
      <c r="BM188" s="330">
        <v>0</v>
      </c>
      <c r="BN188" s="258">
        <f t="shared" si="488"/>
        <v>0</v>
      </c>
      <c r="BO188" s="258">
        <v>0</v>
      </c>
      <c r="BP188" s="258">
        <v>0</v>
      </c>
      <c r="BQ188" s="258">
        <v>0</v>
      </c>
      <c r="BR188" s="258">
        <v>0</v>
      </c>
      <c r="BS188" s="115"/>
      <c r="BT188" s="258" cm="1">
        <f ca="1" t="array" ref="BT188:BW188">_xlfn.HSTACK(SUM(INDEX($R188:$AV188,1,1):INDEX($R188:$AV188,1,7)),SUM(INDEX($R188:$AV188,1,7):INDEX($R188:$AV188,1,13)),SUM(INDEX($R188:$AV188,1,16):INDEX($R188:$AV188,1,23)),SUM(INDEX($R188:$AV188,1,23):INDEX($R188:$AV188,1,31)))</f>
        <v>0</v>
      </c>
      <c r="BU188" s="258">
        <v>0</v>
      </c>
      <c r="BV188" s="258">
        <v>0</v>
      </c>
      <c r="BW188" s="258">
        <v>0</v>
      </c>
      <c r="BY188" s="258">
        <f t="shared" si="372"/>
        <v>0</v>
      </c>
      <c r="BZ188" s="258">
        <f t="shared" si="373"/>
        <v>0</v>
      </c>
      <c r="CA188" s="258">
        <f t="shared" si="374"/>
        <v>0</v>
      </c>
      <c r="CB188" s="258">
        <f t="shared" si="375"/>
        <v>0</v>
      </c>
      <c r="CD188" s="113"/>
      <c r="CE188" s="258">
        <f t="shared" ref="CE188:CH188" si="504">ROUND(BY188*$O188/1000,2)</f>
        <v>0</v>
      </c>
      <c r="CF188" s="258">
        <f t="shared" si="504"/>
        <v>0</v>
      </c>
      <c r="CG188" s="258">
        <f t="shared" si="504"/>
        <v>0</v>
      </c>
      <c r="CH188" s="258">
        <f t="shared" si="504"/>
        <v>0</v>
      </c>
      <c r="CI188" s="258">
        <f t="shared" si="493"/>
        <v>0</v>
      </c>
      <c r="CJ188" s="113"/>
      <c r="CK188" s="258">
        <f t="shared" ref="CK188:CN188" si="505">IFERROR(ROUND(BY188*$P188,2),"")</f>
        <v>0</v>
      </c>
      <c r="CL188" s="258">
        <f t="shared" si="505"/>
        <v>0</v>
      </c>
      <c r="CM188" s="258">
        <f t="shared" si="505"/>
        <v>0</v>
      </c>
      <c r="CN188" s="258">
        <f t="shared" si="505"/>
        <v>0</v>
      </c>
      <c r="CO188" s="258">
        <f t="shared" si="371"/>
        <v>0</v>
      </c>
    </row>
    <row r="189" s="258" customFormat="1" ht="17.6" spans="1:93">
      <c r="A189" s="330"/>
      <c r="B189" s="334" t="str">
        <f>_xlfn.XLOOKUP(G189,销售需求表!A:A,销售需求表!C:C)</f>
        <v>亚</v>
      </c>
      <c r="C189" s="335" t="str">
        <f t="shared" si="377"/>
        <v>22.5</v>
      </c>
      <c r="D189" s="359" t="str">
        <f t="shared" si="478"/>
        <v>亚22.5寸</v>
      </c>
      <c r="E189" s="339" t="str">
        <f t="shared" si="395"/>
        <v>295/80R22.5-18PR(152/149M)-AS858Pro</v>
      </c>
      <c r="F189" s="340" t="str">
        <f t="shared" si="503"/>
        <v>295/80R22.5-18PR-AS858Pro</v>
      </c>
      <c r="G189" s="377" t="s">
        <v>538</v>
      </c>
      <c r="H189" s="334">
        <v>350</v>
      </c>
      <c r="I189" s="345"/>
      <c r="J189" s="346" t="str">
        <f t="shared" si="470"/>
        <v>295/80R22.5-AS858Pro</v>
      </c>
      <c r="K189" s="347" t="str">
        <f>_xlfn.XLOOKUP(F189,投产规格!E:E,投产规格!D:D,"未投产")</f>
        <v>✔</v>
      </c>
      <c r="L189" s="347">
        <f>IFERROR(_xlfn.XLOOKUP(F189,硫化工艺!B:B,硫化工艺!C:C),"")</f>
        <v>58</v>
      </c>
      <c r="M189" s="349">
        <f t="shared" si="479"/>
        <v>0.908616187989556</v>
      </c>
      <c r="N189" s="347" t="str">
        <f t="shared" si="480"/>
        <v>22.5全钢</v>
      </c>
      <c r="O189" s="347">
        <f>IFERROR(_xlfn.XLOOKUP(F189,轮胎重量!J:J,轮胎重量!G:G),"")</f>
        <v>62.441</v>
      </c>
      <c r="P189" s="347">
        <f>IFERROR(_xlfn.XLOOKUP(G189,硫化工艺!I:I,硫化工艺!J:J),"")</f>
        <v>945.4788</v>
      </c>
      <c r="Q189" s="347">
        <f t="shared" si="384"/>
        <v>0</v>
      </c>
      <c r="R189" s="347"/>
      <c r="S189" s="347"/>
      <c r="T189" s="347"/>
      <c r="U189" s="347"/>
      <c r="V189" s="347"/>
      <c r="W189" s="347"/>
      <c r="X189" s="347"/>
      <c r="Y189" s="347"/>
      <c r="Z189" s="347"/>
      <c r="AA189" s="347"/>
      <c r="AB189" s="347"/>
      <c r="AC189" s="347"/>
      <c r="AD189" s="347"/>
      <c r="AE189" s="347"/>
      <c r="AF189" s="347"/>
      <c r="AG189" s="347"/>
      <c r="AH189" s="347"/>
      <c r="AI189" s="347"/>
      <c r="AJ189" s="347"/>
      <c r="AK189" s="347"/>
      <c r="AL189" s="347"/>
      <c r="AM189" s="347"/>
      <c r="AN189" s="347"/>
      <c r="AO189" s="347"/>
      <c r="AP189" s="347"/>
      <c r="AQ189" s="347"/>
      <c r="AR189" s="347"/>
      <c r="AS189" s="347"/>
      <c r="AT189" s="347"/>
      <c r="AU189" s="347"/>
      <c r="AV189" s="347"/>
      <c r="AW189" s="347" t="str">
        <f t="shared" si="481"/>
        <v/>
      </c>
      <c r="AX189" s="365" t="str">
        <f t="shared" si="482"/>
        <v/>
      </c>
      <c r="AY189" s="365" t="str">
        <f t="shared" si="483"/>
        <v/>
      </c>
      <c r="AZ189" s="366">
        <v>623.27</v>
      </c>
      <c r="BA189" s="368">
        <v>37.54</v>
      </c>
      <c r="BB189" s="368">
        <v>58.97</v>
      </c>
      <c r="BC189" s="368">
        <v>64.23</v>
      </c>
      <c r="BD189" s="330"/>
      <c r="BE189" s="330" t="e">
        <f t="shared" si="484"/>
        <v>#VALUE!</v>
      </c>
      <c r="BF189" s="330" t="e">
        <f t="shared" si="485"/>
        <v>#VALUE!</v>
      </c>
      <c r="BG189" s="330" t="e">
        <f t="shared" si="486"/>
        <v>#VALUE!</v>
      </c>
      <c r="BH189" s="330" t="e">
        <f t="shared" si="487"/>
        <v>#VALUE!</v>
      </c>
      <c r="BI189" s="330"/>
      <c r="BJ189" s="370" cm="1">
        <f t="array" ref="BJ189:BM189">_xlfn.LET(_xlpm.data,$R189:$AV189,_xlpm.starts,{1,8,16,23},_xlpm.lengths,{7,7,8,9},_xlpm.arr,_xlfn.MAP(_xlpm.starts,_xlpm.lengths,_xlfn.LAMBDA(_xlpm.s,_xlpm.l,SUM(INDEX(_xlpm.data,,_xlfn.SEQUENCE(,_xlpm.l,_xlpm.s))))),ROUND(_xlpm.arr*$O189/1000,2))</f>
        <v>0</v>
      </c>
      <c r="BK189" s="330">
        <v>0</v>
      </c>
      <c r="BL189" s="330">
        <v>0</v>
      </c>
      <c r="BM189" s="330">
        <v>0</v>
      </c>
      <c r="BN189" s="258">
        <f t="shared" si="488"/>
        <v>0</v>
      </c>
      <c r="BO189" s="258">
        <v>0</v>
      </c>
      <c r="BP189" s="258">
        <v>0</v>
      </c>
      <c r="BQ189" s="258">
        <v>7.42</v>
      </c>
      <c r="BR189" s="258">
        <v>61.11</v>
      </c>
      <c r="BS189" s="115"/>
      <c r="BT189" s="258" cm="1">
        <f ca="1" t="array" ref="BT189:BW189">_xlfn.HSTACK(SUM(INDEX($R189:$AV189,1,1):INDEX($R189:$AV189,1,7)),SUM(INDEX($R189:$AV189,1,7):INDEX($R189:$AV189,1,13)),SUM(INDEX($R189:$AV189,1,16):INDEX($R189:$AV189,1,23)),SUM(INDEX($R189:$AV189,1,23):INDEX($R189:$AV189,1,31)))</f>
        <v>0</v>
      </c>
      <c r="BU189" s="258">
        <v>0</v>
      </c>
      <c r="BV189" s="258">
        <v>0</v>
      </c>
      <c r="BW189" s="258">
        <v>0</v>
      </c>
      <c r="BY189" s="258">
        <f t="shared" si="372"/>
        <v>0</v>
      </c>
      <c r="BZ189" s="258">
        <f t="shared" si="373"/>
        <v>0</v>
      </c>
      <c r="CA189" s="258">
        <f t="shared" si="374"/>
        <v>0</v>
      </c>
      <c r="CB189" s="258">
        <f t="shared" si="375"/>
        <v>0</v>
      </c>
      <c r="CD189" s="113"/>
      <c r="CE189" s="258">
        <f t="shared" ref="CE189:CE201" si="506">ROUND(BY189*$O189/1000,2)</f>
        <v>0</v>
      </c>
      <c r="CF189" s="258">
        <f t="shared" ref="CF189:CF201" si="507">ROUND(BZ189*$O189/1000,2)</f>
        <v>0</v>
      </c>
      <c r="CG189" s="258">
        <f t="shared" ref="CG189:CG201" si="508">ROUND(CA189*$O189/1000,2)</f>
        <v>0</v>
      </c>
      <c r="CH189" s="258">
        <f t="shared" ref="CH189:CH201" si="509">ROUND(CB189*$O189/1000,2)</f>
        <v>0</v>
      </c>
      <c r="CI189" s="258">
        <f t="shared" si="493"/>
        <v>0</v>
      </c>
      <c r="CJ189" s="113"/>
      <c r="CK189" s="258">
        <f t="shared" ref="CK189:CN189" si="510">IFERROR(ROUND(BY189*$P189,2),"")</f>
        <v>0</v>
      </c>
      <c r="CL189" s="258">
        <f t="shared" si="510"/>
        <v>0</v>
      </c>
      <c r="CM189" s="258">
        <f t="shared" si="510"/>
        <v>0</v>
      </c>
      <c r="CN189" s="258">
        <f t="shared" si="510"/>
        <v>0</v>
      </c>
      <c r="CO189" s="258">
        <f t="shared" si="371"/>
        <v>0</v>
      </c>
    </row>
    <row r="190" s="258" customFormat="1" ht="17.6" spans="1:93">
      <c r="A190" s="330"/>
      <c r="B190" s="334" t="str">
        <f>_xlfn.XLOOKUP(G190,销售需求表!A:A,销售需求表!C:C)</f>
        <v>亚</v>
      </c>
      <c r="C190" s="335" t="str">
        <f t="shared" si="377"/>
        <v>22.5</v>
      </c>
      <c r="D190" s="359" t="str">
        <f t="shared" si="478"/>
        <v>亚22.5寸</v>
      </c>
      <c r="E190" s="339" t="str">
        <f t="shared" si="395"/>
        <v>295/80R22.5-18PR(152/149M)-AS868Pro</v>
      </c>
      <c r="F190" s="340" t="str">
        <f t="shared" si="503"/>
        <v>295/80R22.5-18PR-AS868Pro</v>
      </c>
      <c r="G190" s="377" t="s">
        <v>539</v>
      </c>
      <c r="H190" s="334">
        <v>250</v>
      </c>
      <c r="I190" s="345"/>
      <c r="J190" s="346" t="str">
        <f t="shared" si="470"/>
        <v>295/80R22.5-AS868Pro</v>
      </c>
      <c r="K190" s="347" t="str">
        <f>_xlfn.XLOOKUP(F190,投产规格!E:E,投产规格!D:D,"未投产")</f>
        <v>✔</v>
      </c>
      <c r="L190" s="347">
        <f>IFERROR(_xlfn.XLOOKUP(F190,硫化工艺!B:B,硫化工艺!C:C),"")</f>
        <v>58</v>
      </c>
      <c r="M190" s="349">
        <f t="shared" si="479"/>
        <v>0.908616187989556</v>
      </c>
      <c r="N190" s="347" t="str">
        <f t="shared" si="480"/>
        <v>22.5全钢</v>
      </c>
      <c r="O190" s="347">
        <f>IFERROR(_xlfn.XLOOKUP(F190,轮胎重量!J:J,轮胎重量!G:G),"")</f>
        <v>62.441</v>
      </c>
      <c r="P190" s="350">
        <f>O190*13.9</f>
        <v>867.9299</v>
      </c>
      <c r="Q190" s="347">
        <f t="shared" si="384"/>
        <v>0</v>
      </c>
      <c r="R190" s="347"/>
      <c r="S190" s="347"/>
      <c r="T190" s="347"/>
      <c r="U190" s="347"/>
      <c r="V190" s="347"/>
      <c r="W190" s="347"/>
      <c r="X190" s="347"/>
      <c r="Y190" s="347"/>
      <c r="Z190" s="347"/>
      <c r="AA190" s="347"/>
      <c r="AB190" s="347"/>
      <c r="AC190" s="347"/>
      <c r="AD190" s="347"/>
      <c r="AE190" s="347"/>
      <c r="AF190" s="347"/>
      <c r="AG190" s="347"/>
      <c r="AH190" s="347"/>
      <c r="AI190" s="347"/>
      <c r="AJ190" s="347"/>
      <c r="AK190" s="347"/>
      <c r="AL190" s="347"/>
      <c r="AM190" s="347"/>
      <c r="AN190" s="347"/>
      <c r="AO190" s="347"/>
      <c r="AP190" s="347"/>
      <c r="AQ190" s="347"/>
      <c r="AR190" s="347"/>
      <c r="AS190" s="347"/>
      <c r="AT190" s="347"/>
      <c r="AU190" s="347"/>
      <c r="AV190" s="347"/>
      <c r="AW190" s="347" t="str">
        <f t="shared" si="481"/>
        <v/>
      </c>
      <c r="AX190" s="365" t="str">
        <f t="shared" si="482"/>
        <v/>
      </c>
      <c r="AY190" s="365" t="str">
        <f t="shared" si="483"/>
        <v/>
      </c>
      <c r="AZ190" s="366">
        <v>623.27</v>
      </c>
      <c r="BA190" s="368">
        <v>37.54</v>
      </c>
      <c r="BB190" s="368">
        <v>58.97</v>
      </c>
      <c r="BC190" s="368">
        <v>64.23</v>
      </c>
      <c r="BD190" s="330"/>
      <c r="BE190" s="330" t="e">
        <f t="shared" si="484"/>
        <v>#VALUE!</v>
      </c>
      <c r="BF190" s="330" t="e">
        <f t="shared" si="485"/>
        <v>#VALUE!</v>
      </c>
      <c r="BG190" s="330" t="e">
        <f t="shared" si="486"/>
        <v>#VALUE!</v>
      </c>
      <c r="BH190" s="330" t="e">
        <f t="shared" si="487"/>
        <v>#VALUE!</v>
      </c>
      <c r="BI190" s="330"/>
      <c r="BJ190" s="370" cm="1">
        <f t="array" ref="BJ190:BM190">_xlfn.LET(_xlpm.data,$R190:$AV190,_xlpm.starts,{1,8,16,23},_xlpm.lengths,{7,7,8,9},_xlpm.arr,_xlfn.MAP(_xlpm.starts,_xlpm.lengths,_xlfn.LAMBDA(_xlpm.s,_xlpm.l,SUM(INDEX(_xlpm.data,,_xlfn.SEQUENCE(,_xlpm.l,_xlpm.s))))),ROUND(_xlpm.arr*$O190/1000,2))</f>
        <v>0</v>
      </c>
      <c r="BK190" s="330">
        <v>0</v>
      </c>
      <c r="BL190" s="330">
        <v>0</v>
      </c>
      <c r="BM190" s="330">
        <v>0</v>
      </c>
      <c r="BN190" s="258">
        <f t="shared" si="488"/>
        <v>0</v>
      </c>
      <c r="BO190" s="258">
        <v>0.22</v>
      </c>
      <c r="BP190" s="258">
        <v>0.44</v>
      </c>
      <c r="BQ190" s="258">
        <v>47.41</v>
      </c>
      <c r="BR190" s="258">
        <v>0</v>
      </c>
      <c r="BS190" s="115"/>
      <c r="BT190" s="258" cm="1">
        <f ca="1" t="array" ref="BT190:BW190">_xlfn.HSTACK(SUM(INDEX($R190:$AV190,1,1):INDEX($R190:$AV190,1,7)),SUM(INDEX($R190:$AV190,1,7):INDEX($R190:$AV190,1,13)),SUM(INDEX($R190:$AV190,1,16):INDEX($R190:$AV190,1,23)),SUM(INDEX($R190:$AV190,1,23):INDEX($R190:$AV190,1,31)))</f>
        <v>0</v>
      </c>
      <c r="BU190" s="258">
        <v>0</v>
      </c>
      <c r="BV190" s="258">
        <v>0</v>
      </c>
      <c r="BW190" s="258">
        <v>0</v>
      </c>
      <c r="BY190" s="258">
        <f t="shared" si="372"/>
        <v>0</v>
      </c>
      <c r="BZ190" s="258">
        <f t="shared" si="373"/>
        <v>0</v>
      </c>
      <c r="CA190" s="258">
        <f t="shared" si="374"/>
        <v>0</v>
      </c>
      <c r="CB190" s="258">
        <f t="shared" si="375"/>
        <v>0</v>
      </c>
      <c r="CD190" s="113"/>
      <c r="CE190" s="258">
        <f t="shared" si="506"/>
        <v>0</v>
      </c>
      <c r="CF190" s="258">
        <f t="shared" si="507"/>
        <v>0</v>
      </c>
      <c r="CG190" s="258">
        <f t="shared" si="508"/>
        <v>0</v>
      </c>
      <c r="CH190" s="258">
        <f t="shared" si="509"/>
        <v>0</v>
      </c>
      <c r="CI190" s="258">
        <f t="shared" si="493"/>
        <v>0</v>
      </c>
      <c r="CJ190" s="113"/>
      <c r="CK190" s="258">
        <f t="shared" ref="CK190:CN190" si="511">IFERROR(ROUND(BY190*$P190,2),"")</f>
        <v>0</v>
      </c>
      <c r="CL190" s="258">
        <f t="shared" si="511"/>
        <v>0</v>
      </c>
      <c r="CM190" s="258">
        <f t="shared" si="511"/>
        <v>0</v>
      </c>
      <c r="CN190" s="258">
        <f t="shared" si="511"/>
        <v>0</v>
      </c>
      <c r="CO190" s="258">
        <f t="shared" si="371"/>
        <v>0</v>
      </c>
    </row>
    <row r="191" s="258" customFormat="1" ht="17.6" spans="1:93">
      <c r="A191" s="330"/>
      <c r="B191" s="334" t="str">
        <f>_xlfn.XLOOKUP(G191,销售需求表!A:A,销售需求表!C:C)</f>
        <v>亚</v>
      </c>
      <c r="C191" s="335" t="str">
        <f t="shared" si="377"/>
        <v>22.5</v>
      </c>
      <c r="D191" s="359" t="str">
        <f t="shared" si="478"/>
        <v>亚22.5寸</v>
      </c>
      <c r="E191" s="339" t="str">
        <f t="shared" si="395"/>
        <v>295/80R22.5-18PR(152/149M)-AS868Pro</v>
      </c>
      <c r="F191" s="340" t="str">
        <f t="shared" si="503"/>
        <v>295/80R22.5-18PR-AS868Pro</v>
      </c>
      <c r="G191" s="377" t="s">
        <v>540</v>
      </c>
      <c r="H191" s="334">
        <v>160</v>
      </c>
      <c r="I191" s="345"/>
      <c r="J191" s="346" t="str">
        <f t="shared" si="470"/>
        <v>295/80R22.5-AS868Pro</v>
      </c>
      <c r="K191" s="347" t="str">
        <f>_xlfn.XLOOKUP(F191,投产规格!E:E,投产规格!D:D,"未投产")</f>
        <v>✔</v>
      </c>
      <c r="L191" s="347">
        <f>IFERROR(_xlfn.XLOOKUP(F191,硫化工艺!B:B,硫化工艺!C:C),"")</f>
        <v>58</v>
      </c>
      <c r="M191" s="349">
        <f t="shared" si="479"/>
        <v>0.908616187989556</v>
      </c>
      <c r="N191" s="347" t="str">
        <f t="shared" si="480"/>
        <v>22.5全钢</v>
      </c>
      <c r="O191" s="347">
        <f>IFERROR(_xlfn.XLOOKUP(F191,轮胎重量!J:J,轮胎重量!G:G),"")</f>
        <v>62.441</v>
      </c>
      <c r="P191" s="347">
        <f>IFERROR(_xlfn.XLOOKUP(G191,硫化工艺!I:I,硫化工艺!J:J),"")</f>
        <v>987.105</v>
      </c>
      <c r="Q191" s="347">
        <f t="shared" si="384"/>
        <v>0</v>
      </c>
      <c r="R191" s="347"/>
      <c r="S191" s="347"/>
      <c r="T191" s="347"/>
      <c r="U191" s="347"/>
      <c r="V191" s="347"/>
      <c r="W191" s="347"/>
      <c r="X191" s="347"/>
      <c r="Y191" s="347"/>
      <c r="Z191" s="347"/>
      <c r="AA191" s="347"/>
      <c r="AB191" s="347"/>
      <c r="AC191" s="347"/>
      <c r="AD191" s="347"/>
      <c r="AE191" s="347"/>
      <c r="AF191" s="347"/>
      <c r="AG191" s="347"/>
      <c r="AH191" s="347"/>
      <c r="AI191" s="347"/>
      <c r="AJ191" s="347"/>
      <c r="AK191" s="347"/>
      <c r="AL191" s="347"/>
      <c r="AM191" s="347"/>
      <c r="AN191" s="347"/>
      <c r="AO191" s="347"/>
      <c r="AP191" s="347"/>
      <c r="AQ191" s="347"/>
      <c r="AR191" s="347"/>
      <c r="AS191" s="347"/>
      <c r="AT191" s="347"/>
      <c r="AU191" s="347"/>
      <c r="AV191" s="347"/>
      <c r="AW191" s="347" t="str">
        <f t="shared" si="481"/>
        <v/>
      </c>
      <c r="AX191" s="365" t="str">
        <f t="shared" si="482"/>
        <v/>
      </c>
      <c r="AY191" s="365" t="str">
        <f t="shared" si="483"/>
        <v/>
      </c>
      <c r="AZ191" s="366">
        <v>623.27</v>
      </c>
      <c r="BA191" s="368">
        <v>37.54</v>
      </c>
      <c r="BB191" s="368">
        <v>58.97</v>
      </c>
      <c r="BC191" s="368">
        <v>64.23</v>
      </c>
      <c r="BD191" s="330"/>
      <c r="BE191" s="330" t="e">
        <f t="shared" si="484"/>
        <v>#VALUE!</v>
      </c>
      <c r="BF191" s="330" t="e">
        <f t="shared" si="485"/>
        <v>#VALUE!</v>
      </c>
      <c r="BG191" s="330" t="e">
        <f t="shared" si="486"/>
        <v>#VALUE!</v>
      </c>
      <c r="BH191" s="330" t="e">
        <f t="shared" si="487"/>
        <v>#VALUE!</v>
      </c>
      <c r="BI191" s="330"/>
      <c r="BJ191" s="370" cm="1">
        <f t="array" ref="BJ191:BM191">_xlfn.LET(_xlpm.data,$R191:$AV191,_xlpm.starts,{1,8,16,23},_xlpm.lengths,{7,7,8,9},_xlpm.arr,_xlfn.MAP(_xlpm.starts,_xlpm.lengths,_xlfn.LAMBDA(_xlpm.s,_xlpm.l,SUM(INDEX(_xlpm.data,,_xlfn.SEQUENCE(,_xlpm.l,_xlpm.s))))),ROUND(_xlpm.arr*$O191/1000,2))</f>
        <v>0</v>
      </c>
      <c r="BK191" s="330">
        <v>0</v>
      </c>
      <c r="BL191" s="330">
        <v>0</v>
      </c>
      <c r="BM191" s="330">
        <v>0</v>
      </c>
      <c r="BN191" s="258">
        <f t="shared" si="488"/>
        <v>0</v>
      </c>
      <c r="BO191" s="258">
        <v>0.22</v>
      </c>
      <c r="BP191" s="258">
        <v>0.44</v>
      </c>
      <c r="BQ191" s="258">
        <v>47.41</v>
      </c>
      <c r="BR191" s="258">
        <v>0</v>
      </c>
      <c r="BS191" s="115"/>
      <c r="BT191" s="258" cm="1">
        <f ca="1" t="array" ref="BT191:BW191">_xlfn.HSTACK(SUM(INDEX($R191:$AV191,1,1):INDEX($R191:$AV191,1,7)),SUM(INDEX($R191:$AV191,1,7):INDEX($R191:$AV191,1,13)),SUM(INDEX($R191:$AV191,1,16):INDEX($R191:$AV191,1,23)),SUM(INDEX($R191:$AV191,1,23):INDEX($R191:$AV191,1,31)))</f>
        <v>0</v>
      </c>
      <c r="BU191" s="258">
        <v>0</v>
      </c>
      <c r="BV191" s="258">
        <v>0</v>
      </c>
      <c r="BW191" s="258">
        <v>0</v>
      </c>
      <c r="BY191" s="258">
        <f t="shared" si="372"/>
        <v>0</v>
      </c>
      <c r="BZ191" s="258">
        <f t="shared" si="373"/>
        <v>0</v>
      </c>
      <c r="CA191" s="258">
        <f t="shared" si="374"/>
        <v>0</v>
      </c>
      <c r="CB191" s="258">
        <f t="shared" si="375"/>
        <v>0</v>
      </c>
      <c r="CD191" s="113"/>
      <c r="CE191" s="258">
        <f t="shared" si="506"/>
        <v>0</v>
      </c>
      <c r="CF191" s="258">
        <f t="shared" si="507"/>
        <v>0</v>
      </c>
      <c r="CG191" s="258">
        <f t="shared" si="508"/>
        <v>0</v>
      </c>
      <c r="CH191" s="258">
        <f t="shared" si="509"/>
        <v>0</v>
      </c>
      <c r="CI191" s="258">
        <f t="shared" si="493"/>
        <v>0</v>
      </c>
      <c r="CJ191" s="113"/>
      <c r="CK191" s="258">
        <f t="shared" ref="CK191:CN191" si="512">IFERROR(ROUND(BY191*$P191,2),"")</f>
        <v>0</v>
      </c>
      <c r="CL191" s="258">
        <f t="shared" si="512"/>
        <v>0</v>
      </c>
      <c r="CM191" s="258">
        <f t="shared" si="512"/>
        <v>0</v>
      </c>
      <c r="CN191" s="258">
        <f t="shared" si="512"/>
        <v>0</v>
      </c>
      <c r="CO191" s="258">
        <f t="shared" si="371"/>
        <v>0</v>
      </c>
    </row>
    <row r="192" s="258" customFormat="1" ht="17.6" spans="1:93">
      <c r="A192" s="330"/>
      <c r="B192" s="334" t="str">
        <f>_xlfn.XLOOKUP(G192,销售需求表!A:A,销售需求表!C:C)</f>
        <v>南美</v>
      </c>
      <c r="C192" s="335" t="str">
        <f t="shared" si="377"/>
        <v>22.5</v>
      </c>
      <c r="D192" s="359" t="str">
        <f t="shared" si="478"/>
        <v>南美22.5寸</v>
      </c>
      <c r="E192" s="339" t="str">
        <f t="shared" si="395"/>
        <v>295/80R22.5-18PR(152/149M)-AS898</v>
      </c>
      <c r="F192" s="340" t="str">
        <f t="shared" si="503"/>
        <v>295/80R22.5-18PR-AS898</v>
      </c>
      <c r="G192" s="377" t="s">
        <v>541</v>
      </c>
      <c r="H192" s="334">
        <v>1000</v>
      </c>
      <c r="I192" s="345"/>
      <c r="J192" s="346" t="str">
        <f t="shared" si="470"/>
        <v>295/80R22.5-AS898</v>
      </c>
      <c r="K192" s="347" t="str">
        <f>_xlfn.XLOOKUP(F192,投产规格!E:E,投产规格!D:D,"未投产")</f>
        <v>✔</v>
      </c>
      <c r="L192" s="347">
        <f>IFERROR(_xlfn.XLOOKUP(F192,硫化工艺!B:B,硫化工艺!C:C),"")</f>
        <v>46</v>
      </c>
      <c r="M192" s="349">
        <f t="shared" si="479"/>
        <v>0.887459807073955</v>
      </c>
      <c r="N192" s="347" t="str">
        <f t="shared" si="480"/>
        <v>22.5全钢</v>
      </c>
      <c r="O192" s="347">
        <f>IFERROR(_xlfn.XLOOKUP(F192,轮胎重量!J:J,轮胎重量!G:G),"")</f>
        <v>63.295</v>
      </c>
      <c r="P192" s="347">
        <f>IFERROR(_xlfn.XLOOKUP(G192,硫化工艺!I:I,硫化工艺!J:J),"")</f>
        <v>900.1755</v>
      </c>
      <c r="Q192" s="347">
        <f t="shared" si="384"/>
        <v>0</v>
      </c>
      <c r="R192" s="347"/>
      <c r="S192" s="347"/>
      <c r="T192" s="347"/>
      <c r="U192" s="347"/>
      <c r="V192" s="347"/>
      <c r="W192" s="347"/>
      <c r="X192" s="347"/>
      <c r="Y192" s="347"/>
      <c r="Z192" s="347"/>
      <c r="AA192" s="347"/>
      <c r="AB192" s="347"/>
      <c r="AC192" s="347"/>
      <c r="AD192" s="347"/>
      <c r="AE192" s="347"/>
      <c r="AF192" s="347"/>
      <c r="AG192" s="347"/>
      <c r="AH192" s="347"/>
      <c r="AI192" s="347"/>
      <c r="AJ192" s="347"/>
      <c r="AK192" s="347"/>
      <c r="AL192" s="347"/>
      <c r="AM192" s="347"/>
      <c r="AN192" s="347"/>
      <c r="AO192" s="347"/>
      <c r="AP192" s="347"/>
      <c r="AQ192" s="347"/>
      <c r="AR192" s="347"/>
      <c r="AS192" s="347"/>
      <c r="AT192" s="347"/>
      <c r="AU192" s="347"/>
      <c r="AV192" s="347"/>
      <c r="AW192" s="347" t="str">
        <f t="shared" si="481"/>
        <v/>
      </c>
      <c r="AX192" s="365" t="str">
        <f t="shared" si="482"/>
        <v/>
      </c>
      <c r="AY192" s="365" t="str">
        <f t="shared" si="483"/>
        <v/>
      </c>
      <c r="AZ192" s="366">
        <v>623.27</v>
      </c>
      <c r="BA192" s="368">
        <v>37.54</v>
      </c>
      <c r="BB192" s="368">
        <v>58.97</v>
      </c>
      <c r="BC192" s="368">
        <v>64.23</v>
      </c>
      <c r="BD192" s="330"/>
      <c r="BE192" s="330" t="e">
        <f t="shared" si="484"/>
        <v>#VALUE!</v>
      </c>
      <c r="BF192" s="330" t="e">
        <f t="shared" si="485"/>
        <v>#VALUE!</v>
      </c>
      <c r="BG192" s="330" t="e">
        <f t="shared" si="486"/>
        <v>#VALUE!</v>
      </c>
      <c r="BH192" s="330" t="e">
        <f t="shared" si="487"/>
        <v>#VALUE!</v>
      </c>
      <c r="BI192" s="330"/>
      <c r="BJ192" s="370" cm="1">
        <f t="array" ref="BJ192:BM192">_xlfn.LET(_xlpm.data,$R192:$AV192,_xlpm.starts,{1,8,16,23},_xlpm.lengths,{7,7,8,9},_xlpm.arr,_xlfn.MAP(_xlpm.starts,_xlpm.lengths,_xlfn.LAMBDA(_xlpm.s,_xlpm.l,SUM(INDEX(_xlpm.data,,_xlfn.SEQUENCE(,_xlpm.l,_xlpm.s))))),ROUND(_xlpm.arr*$O192/1000,2))</f>
        <v>0</v>
      </c>
      <c r="BK192" s="330">
        <v>0</v>
      </c>
      <c r="BL192" s="330">
        <v>0</v>
      </c>
      <c r="BM192" s="330">
        <v>0</v>
      </c>
      <c r="BN192" s="258">
        <f t="shared" si="488"/>
        <v>0</v>
      </c>
      <c r="BO192" s="258">
        <v>0.22</v>
      </c>
      <c r="BP192" s="258">
        <v>0.44</v>
      </c>
      <c r="BQ192" s="258">
        <v>47.41</v>
      </c>
      <c r="BR192" s="258">
        <v>0</v>
      </c>
      <c r="BS192" s="115"/>
      <c r="BT192" s="258" cm="1">
        <f ca="1" t="array" ref="BT192:BW192">_xlfn.HSTACK(SUM(INDEX($R192:$AV192,1,1):INDEX($R192:$AV192,1,7)),SUM(INDEX($R192:$AV192,1,7):INDEX($R192:$AV192,1,13)),SUM(INDEX($R192:$AV192,1,16):INDEX($R192:$AV192,1,23)),SUM(INDEX($R192:$AV192,1,23):INDEX($R192:$AV192,1,31)))</f>
        <v>0</v>
      </c>
      <c r="BU192" s="258">
        <v>0</v>
      </c>
      <c r="BV192" s="258">
        <v>0</v>
      </c>
      <c r="BW192" s="258">
        <v>0</v>
      </c>
      <c r="BY192" s="258">
        <f t="shared" si="372"/>
        <v>0</v>
      </c>
      <c r="BZ192" s="258">
        <f t="shared" si="373"/>
        <v>0</v>
      </c>
      <c r="CA192" s="258">
        <f t="shared" si="374"/>
        <v>0</v>
      </c>
      <c r="CB192" s="258">
        <f t="shared" si="375"/>
        <v>0</v>
      </c>
      <c r="CD192" s="113"/>
      <c r="CE192" s="258">
        <f t="shared" si="506"/>
        <v>0</v>
      </c>
      <c r="CF192" s="258">
        <f t="shared" si="507"/>
        <v>0</v>
      </c>
      <c r="CG192" s="258">
        <f t="shared" si="508"/>
        <v>0</v>
      </c>
      <c r="CH192" s="258">
        <f t="shared" si="509"/>
        <v>0</v>
      </c>
      <c r="CI192" s="258">
        <f t="shared" si="493"/>
        <v>0</v>
      </c>
      <c r="CJ192" s="113"/>
      <c r="CK192" s="258">
        <f t="shared" ref="CK192:CN192" si="513">IFERROR(ROUND(BY192*$P192,2),"")</f>
        <v>0</v>
      </c>
      <c r="CL192" s="258">
        <f t="shared" si="513"/>
        <v>0</v>
      </c>
      <c r="CM192" s="258">
        <f t="shared" si="513"/>
        <v>0</v>
      </c>
      <c r="CN192" s="258">
        <f t="shared" si="513"/>
        <v>0</v>
      </c>
      <c r="CO192" s="258">
        <f t="shared" si="371"/>
        <v>0</v>
      </c>
    </row>
    <row r="193" ht="17.6" spans="2:95">
      <c r="B193" s="334" t="s">
        <v>693</v>
      </c>
      <c r="C193" s="335" t="str">
        <f t="shared" si="377"/>
        <v>22.5</v>
      </c>
      <c r="D193" s="359" t="str">
        <f t="shared" si="478"/>
        <v>巴西22.5寸</v>
      </c>
      <c r="E193" s="339" t="str">
        <f t="shared" si="395"/>
        <v>295/80R22.5-18PR(152/149M)-AT161</v>
      </c>
      <c r="F193" s="340" t="str">
        <f t="shared" si="503"/>
        <v>295/80R22.5-18PR-AT161</v>
      </c>
      <c r="G193" s="372" t="s">
        <v>194</v>
      </c>
      <c r="H193" s="334">
        <v>7500</v>
      </c>
      <c r="I193" s="345"/>
      <c r="J193" s="346" t="str">
        <f t="shared" si="470"/>
        <v>295/80R22.5-AT161</v>
      </c>
      <c r="K193" s="347" t="str">
        <f>_xlfn.XLOOKUP(F193,投产规格!E:E,投产规格!D:D,"未投产")</f>
        <v>✔</v>
      </c>
      <c r="L193" s="347">
        <f>IFERROR(_xlfn.XLOOKUP(F193,硫化工艺!B:B,硫化工艺!C:C),"")</f>
        <v>34.7</v>
      </c>
      <c r="M193" s="349">
        <f t="shared" si="479"/>
        <v>0.856085526315789</v>
      </c>
      <c r="N193" s="347" t="str">
        <f t="shared" si="480"/>
        <v>22.5全钢</v>
      </c>
      <c r="O193" s="347">
        <f>IFERROR(_xlfn.XLOOKUP(F193,轮胎重量!J:J,轮胎重量!G:G),"")</f>
        <v>53.75</v>
      </c>
      <c r="P193" s="350">
        <f>O193*13.9</f>
        <v>747.125</v>
      </c>
      <c r="Q193" s="347">
        <f t="shared" si="384"/>
        <v>0</v>
      </c>
      <c r="R193" s="347"/>
      <c r="S193" s="347"/>
      <c r="T193" s="347"/>
      <c r="U193" s="347"/>
      <c r="V193" s="347"/>
      <c r="W193" s="347"/>
      <c r="X193" s="347"/>
      <c r="Y193" s="380">
        <v>70</v>
      </c>
      <c r="Z193" s="347">
        <v>70</v>
      </c>
      <c r="AA193" s="347">
        <v>70</v>
      </c>
      <c r="AB193" s="347">
        <v>70</v>
      </c>
      <c r="AC193" s="347">
        <v>70</v>
      </c>
      <c r="AD193" s="347">
        <v>70</v>
      </c>
      <c r="AE193" s="347">
        <v>70</v>
      </c>
      <c r="AF193" s="347">
        <v>70</v>
      </c>
      <c r="AG193" s="347">
        <v>70</v>
      </c>
      <c r="AH193" s="347">
        <v>70</v>
      </c>
      <c r="AI193" s="347">
        <v>70</v>
      </c>
      <c r="AJ193" s="347">
        <v>70</v>
      </c>
      <c r="AK193" s="347">
        <v>70</v>
      </c>
      <c r="AL193" s="347">
        <v>280</v>
      </c>
      <c r="AM193" s="347">
        <v>280</v>
      </c>
      <c r="AN193" s="347">
        <v>280</v>
      </c>
      <c r="AO193" s="347">
        <v>280</v>
      </c>
      <c r="AP193" s="347">
        <v>280</v>
      </c>
      <c r="AQ193" s="347">
        <v>280</v>
      </c>
      <c r="AR193" s="347">
        <v>280</v>
      </c>
      <c r="AS193" s="347">
        <v>280</v>
      </c>
      <c r="AT193" s="347">
        <v>280</v>
      </c>
      <c r="AU193" s="347">
        <v>280</v>
      </c>
      <c r="AV193" s="347">
        <v>280</v>
      </c>
      <c r="AW193" s="347">
        <v>5000</v>
      </c>
      <c r="AX193" s="365">
        <f t="shared" si="482"/>
        <v>268.75</v>
      </c>
      <c r="AY193" s="365">
        <f t="shared" si="483"/>
        <v>373.563</v>
      </c>
      <c r="AZ193" s="366">
        <v>596.85</v>
      </c>
      <c r="BA193" s="368">
        <v>37.6</v>
      </c>
      <c r="BB193" s="368">
        <v>58.7</v>
      </c>
      <c r="BC193" s="368">
        <v>64.98</v>
      </c>
      <c r="BE193" s="330">
        <f t="shared" si="484"/>
        <v>2984250</v>
      </c>
      <c r="BF193" s="330">
        <f t="shared" si="485"/>
        <v>188000</v>
      </c>
      <c r="BG193" s="330">
        <f t="shared" si="486"/>
        <v>293500</v>
      </c>
      <c r="BH193" s="330">
        <f t="shared" si="487"/>
        <v>324900</v>
      </c>
      <c r="BJ193" s="370" cm="1">
        <f t="array" ref="BJ193:BM193">_xlfn.LET(_xlpm.data,$R193:$AV193,_xlpm.starts,{1,8,16,23},_xlpm.lengths,{7,7,8,9},_xlpm.arr,_xlfn.MAP(_xlpm.starts,_xlpm.lengths,_xlfn.LAMBDA(_xlpm.s,_xlpm.l,SUM(INDEX(_xlpm.data,,_xlfn.SEQUENCE(,_xlpm.l,_xlpm.s))))),ROUND(_xlpm.arr*$O193/1000,2))</f>
        <v>0</v>
      </c>
      <c r="BK193" s="330">
        <v>26.34</v>
      </c>
      <c r="BL193" s="330">
        <v>63.96</v>
      </c>
      <c r="BM193" s="330">
        <v>135.45</v>
      </c>
      <c r="BN193" s="258">
        <f t="shared" si="488"/>
        <v>225.75</v>
      </c>
      <c r="BO193" s="258">
        <v>22.86</v>
      </c>
      <c r="BP193" s="258">
        <v>22.86</v>
      </c>
      <c r="BQ193" s="258">
        <v>26.12</v>
      </c>
      <c r="BR193" s="258">
        <v>29.39</v>
      </c>
      <c r="BT193" s="258" cm="1">
        <f ca="1" t="array" ref="BT193:BW193">_xlfn.HSTACK(SUM(INDEX($R193:$AV193,1,1):INDEX($R193:$AV193,1,7)),SUM(INDEX($R193:$AV193,1,7):INDEX($R193:$AV193,1,13)),SUM(INDEX($R193:$AV193,1,16):INDEX($R193:$AV193,1,23)),SUM(INDEX($R193:$AV193,1,23):INDEX($R193:$AV193,1,31)))</f>
        <v>0</v>
      </c>
      <c r="BU193" s="258">
        <v>420</v>
      </c>
      <c r="BV193" s="258">
        <v>1190</v>
      </c>
      <c r="BW193" s="258">
        <v>2520</v>
      </c>
      <c r="BY193" s="258">
        <f t="shared" si="372"/>
        <v>0</v>
      </c>
      <c r="BZ193" s="258">
        <f t="shared" si="373"/>
        <v>490</v>
      </c>
      <c r="CA193" s="258">
        <f t="shared" si="374"/>
        <v>980</v>
      </c>
      <c r="CB193" s="258">
        <f t="shared" si="375"/>
        <v>2520</v>
      </c>
      <c r="CE193" s="258">
        <f t="shared" si="506"/>
        <v>0</v>
      </c>
      <c r="CF193" s="258">
        <f t="shared" si="507"/>
        <v>26.34</v>
      </c>
      <c r="CG193" s="258">
        <f t="shared" si="508"/>
        <v>52.68</v>
      </c>
      <c r="CH193" s="258">
        <f t="shared" si="509"/>
        <v>135.45</v>
      </c>
      <c r="CI193" s="258">
        <f t="shared" si="493"/>
        <v>214.47</v>
      </c>
      <c r="CK193" s="258">
        <f t="shared" ref="CK193:CN193" si="514">IFERROR(ROUND(BY193*$P193,2),"")</f>
        <v>0</v>
      </c>
      <c r="CL193" s="258">
        <f t="shared" si="514"/>
        <v>366091.25</v>
      </c>
      <c r="CM193" s="258">
        <f t="shared" si="514"/>
        <v>732182.5</v>
      </c>
      <c r="CN193" s="258">
        <f t="shared" si="514"/>
        <v>1882755</v>
      </c>
      <c r="CO193" s="258">
        <f t="shared" si="371"/>
        <v>2981028.75</v>
      </c>
      <c r="CP193" s="258" t="e">
        <f>VLOOKUP(G193,[2]Sheet1!$C$3:$G$310,5,0)</f>
        <v>#N/A</v>
      </c>
      <c r="CQ193" s="258" t="e">
        <f>VLOOKUP(G193,[3]KCBB0101!$C$3:$F$691,4,0)</f>
        <v>#N/A</v>
      </c>
    </row>
    <row r="194" s="258" customFormat="1" ht="17.6" spans="1:95">
      <c r="A194" s="330"/>
      <c r="B194" s="334" t="str">
        <f>_xlfn.XLOOKUP(G194,销售需求表!A:A,销售需求表!C:C)</f>
        <v>南美</v>
      </c>
      <c r="C194" s="335" t="str">
        <f t="shared" si="377"/>
        <v>22.5</v>
      </c>
      <c r="D194" s="359" t="str">
        <f t="shared" si="478"/>
        <v>南美22.5寸</v>
      </c>
      <c r="E194" s="339" t="str">
        <f t="shared" si="395"/>
        <v>295/80R22.5-18PR(152/149M)-AT161</v>
      </c>
      <c r="F194" s="340" t="str">
        <f t="shared" si="503"/>
        <v>295/80R22.5-18PR-AT161</v>
      </c>
      <c r="G194" s="341" t="s">
        <v>542</v>
      </c>
      <c r="H194" s="334">
        <v>8000</v>
      </c>
      <c r="I194" s="345"/>
      <c r="J194" s="346" t="str">
        <f t="shared" si="470"/>
        <v>295/80R22.5-AT161</v>
      </c>
      <c r="K194" s="347" t="str">
        <f>_xlfn.XLOOKUP(F194,投产规格!E:E,投产规格!D:D,"未投产")</f>
        <v>✔</v>
      </c>
      <c r="L194" s="347">
        <f>IFERROR(_xlfn.XLOOKUP(F194,硫化工艺!B:B,硫化工艺!C:C),"")</f>
        <v>34.7</v>
      </c>
      <c r="M194" s="349">
        <f t="shared" si="479"/>
        <v>0.856085526315789</v>
      </c>
      <c r="N194" s="347" t="str">
        <f t="shared" si="480"/>
        <v>22.5全钢</v>
      </c>
      <c r="O194" s="347">
        <v>51.423</v>
      </c>
      <c r="P194" s="347">
        <f>IFERROR(_xlfn.XLOOKUP(G194,硫化工艺!I:I,硫化工艺!J:J),"")</f>
        <v>788.6249</v>
      </c>
      <c r="Q194" s="347">
        <f t="shared" si="384"/>
        <v>0</v>
      </c>
      <c r="R194" s="347"/>
      <c r="S194" s="347"/>
      <c r="T194" s="347"/>
      <c r="U194" s="347"/>
      <c r="V194" s="347"/>
      <c r="W194" s="347"/>
      <c r="X194" s="347"/>
      <c r="Y194" s="347"/>
      <c r="Z194" s="347"/>
      <c r="AA194" s="347"/>
      <c r="AB194" s="347"/>
      <c r="AC194" s="347"/>
      <c r="AD194" s="347"/>
      <c r="AE194" s="347"/>
      <c r="AF194" s="347"/>
      <c r="AG194" s="347"/>
      <c r="AH194" s="347"/>
      <c r="AI194" s="347"/>
      <c r="AJ194" s="347"/>
      <c r="AK194" s="347"/>
      <c r="AL194" s="347">
        <v>280</v>
      </c>
      <c r="AM194" s="347">
        <v>280</v>
      </c>
      <c r="AN194" s="347">
        <v>280</v>
      </c>
      <c r="AO194" s="347">
        <v>280</v>
      </c>
      <c r="AP194" s="347">
        <v>280</v>
      </c>
      <c r="AQ194" s="347">
        <v>280</v>
      </c>
      <c r="AR194" s="347">
        <v>280</v>
      </c>
      <c r="AS194" s="347">
        <v>280</v>
      </c>
      <c r="AT194" s="347">
        <v>280</v>
      </c>
      <c r="AU194" s="347">
        <v>280</v>
      </c>
      <c r="AV194" s="347">
        <v>280</v>
      </c>
      <c r="AW194" s="347">
        <f t="shared" si="481"/>
        <v>3080</v>
      </c>
      <c r="AX194" s="365">
        <f t="shared" si="482"/>
        <v>158.38284</v>
      </c>
      <c r="AY194" s="365">
        <f t="shared" si="483"/>
        <v>242.896</v>
      </c>
      <c r="AZ194" s="366">
        <v>596.85</v>
      </c>
      <c r="BA194" s="368">
        <v>37.6</v>
      </c>
      <c r="BB194" s="368">
        <v>58.7</v>
      </c>
      <c r="BC194" s="368">
        <v>64.98</v>
      </c>
      <c r="BD194" s="330"/>
      <c r="BE194" s="330">
        <f t="shared" si="484"/>
        <v>1838298</v>
      </c>
      <c r="BF194" s="330">
        <f t="shared" si="485"/>
        <v>115808</v>
      </c>
      <c r="BG194" s="330">
        <f t="shared" si="486"/>
        <v>180796</v>
      </c>
      <c r="BH194" s="330">
        <f t="shared" si="487"/>
        <v>200138.4</v>
      </c>
      <c r="BI194" s="330"/>
      <c r="BJ194" s="370" cm="1">
        <f t="array" ref="BJ194:BM194">_xlfn.LET(_xlpm.data,$R194:$AV194,_xlpm.starts,{1,8,16,23},_xlpm.lengths,{7,7,8,9},_xlpm.arr,_xlfn.MAP(_xlpm.starts,_xlpm.lengths,_xlfn.LAMBDA(_xlpm.s,_xlpm.l,SUM(INDEX(_xlpm.data,,_xlfn.SEQUENCE(,_xlpm.l,_xlpm.s))))),ROUND(_xlpm.arr*$O194/1000,2))</f>
        <v>0</v>
      </c>
      <c r="BK194" s="330">
        <v>0</v>
      </c>
      <c r="BL194" s="330">
        <v>43.2</v>
      </c>
      <c r="BM194" s="330">
        <v>129.59</v>
      </c>
      <c r="BN194" s="258">
        <f t="shared" si="488"/>
        <v>172.79</v>
      </c>
      <c r="BO194" s="258">
        <v>22.86</v>
      </c>
      <c r="BP194" s="258">
        <v>22.86</v>
      </c>
      <c r="BQ194" s="258">
        <v>26.12</v>
      </c>
      <c r="BR194" s="258">
        <v>29.39</v>
      </c>
      <c r="BS194" s="115"/>
      <c r="BT194" s="258" cm="1">
        <f ca="1" t="array" ref="BT194:BW194">_xlfn.HSTACK(SUM(INDEX($R194:$AV194,1,1):INDEX($R194:$AV194,1,7)),SUM(INDEX($R194:$AV194,1,7):INDEX($R194:$AV194,1,13)),SUM(INDEX($R194:$AV194,1,16):INDEX($R194:$AV194,1,23)),SUM(INDEX($R194:$AV194,1,23):INDEX($R194:$AV194,1,31)))</f>
        <v>0</v>
      </c>
      <c r="BU194" s="258">
        <v>0</v>
      </c>
      <c r="BV194" s="258">
        <v>840</v>
      </c>
      <c r="BW194" s="258">
        <v>2520</v>
      </c>
      <c r="BY194" s="258">
        <f t="shared" si="372"/>
        <v>0</v>
      </c>
      <c r="BZ194" s="258">
        <f t="shared" si="373"/>
        <v>0</v>
      </c>
      <c r="CA194" s="258">
        <f t="shared" si="374"/>
        <v>560</v>
      </c>
      <c r="CB194" s="258">
        <f t="shared" si="375"/>
        <v>2520</v>
      </c>
      <c r="CD194" s="113"/>
      <c r="CE194" s="258">
        <f t="shared" si="506"/>
        <v>0</v>
      </c>
      <c r="CF194" s="258">
        <f t="shared" si="507"/>
        <v>0</v>
      </c>
      <c r="CG194" s="258">
        <f t="shared" si="508"/>
        <v>28.8</v>
      </c>
      <c r="CH194" s="258">
        <f t="shared" si="509"/>
        <v>129.59</v>
      </c>
      <c r="CI194" s="258">
        <f t="shared" si="493"/>
        <v>158.39</v>
      </c>
      <c r="CJ194" s="113"/>
      <c r="CK194" s="258">
        <f t="shared" ref="CK194:CN194" si="515">IFERROR(ROUND(BY194*$P194,2),"")</f>
        <v>0</v>
      </c>
      <c r="CL194" s="258">
        <f t="shared" si="515"/>
        <v>0</v>
      </c>
      <c r="CM194" s="258">
        <f t="shared" si="515"/>
        <v>441629.94</v>
      </c>
      <c r="CN194" s="258">
        <f t="shared" si="515"/>
        <v>1987334.75</v>
      </c>
      <c r="CO194" s="258">
        <f t="shared" si="371"/>
        <v>2428964.69</v>
      </c>
      <c r="CP194" s="258">
        <f>VLOOKUP(G194,[2]Sheet1!$C$3:$G$310,5,0)</f>
        <v>6600</v>
      </c>
      <c r="CQ194" s="258" t="e">
        <f>VLOOKUP(G194,[3]KCBB0101!$C$3:$F$691,4,0)</f>
        <v>#N/A</v>
      </c>
    </row>
    <row r="195" s="258" customFormat="1" ht="17.6" spans="1:95">
      <c r="A195" s="330"/>
      <c r="B195" s="334" t="str">
        <f>_xlfn.XLOOKUP(G195,销售需求表!A:A,销售需求表!C:C)</f>
        <v>南美</v>
      </c>
      <c r="C195" s="335" t="str">
        <f t="shared" si="377"/>
        <v>22.5</v>
      </c>
      <c r="D195" s="359" t="str">
        <f t="shared" si="478"/>
        <v>南美22.5寸</v>
      </c>
      <c r="E195" s="339" t="str">
        <f t="shared" si="395"/>
        <v>295/80R22.5-18PR(152/149M)-AT186</v>
      </c>
      <c r="F195" s="340" t="str">
        <f t="shared" si="503"/>
        <v>295/80R22.5-18PR-AT186</v>
      </c>
      <c r="G195" s="341" t="s">
        <v>543</v>
      </c>
      <c r="H195" s="334">
        <v>4000</v>
      </c>
      <c r="I195" s="345"/>
      <c r="J195" s="346" t="str">
        <f t="shared" si="470"/>
        <v>295/80R22.5-AT186</v>
      </c>
      <c r="K195" s="347" t="str">
        <f>_xlfn.XLOOKUP(F195,投产规格!E:E,投产规格!D:D,"未投产")</f>
        <v>✔</v>
      </c>
      <c r="L195" s="347">
        <f>IFERROR(_xlfn.XLOOKUP(F195,硫化工艺!B:B,硫化工艺!C:C),"")</f>
        <v>35</v>
      </c>
      <c r="M195" s="349">
        <f t="shared" si="479"/>
        <v>0.857142857142857</v>
      </c>
      <c r="N195" s="347" t="str">
        <f t="shared" si="480"/>
        <v>22.5全钢</v>
      </c>
      <c r="O195" s="347">
        <f>IFERROR(_xlfn.XLOOKUP(F195,轮胎重量!J:J,轮胎重量!G:G),"")</f>
        <v>52.88</v>
      </c>
      <c r="P195" s="347">
        <f>IFERROR(_xlfn.XLOOKUP(G195,硫化工艺!I:I,硫化工艺!J:J),"")</f>
        <v>760.7194</v>
      </c>
      <c r="Q195" s="347">
        <f t="shared" si="384"/>
        <v>0</v>
      </c>
      <c r="R195" s="347"/>
      <c r="S195" s="347"/>
      <c r="T195" s="347"/>
      <c r="U195" s="347"/>
      <c r="V195" s="347"/>
      <c r="W195" s="347"/>
      <c r="X195" s="347"/>
      <c r="Y195" s="347"/>
      <c r="Z195" s="347"/>
      <c r="AA195" s="347"/>
      <c r="AB195" s="347"/>
      <c r="AC195" s="347"/>
      <c r="AD195" s="347"/>
      <c r="AE195" s="347">
        <v>140</v>
      </c>
      <c r="AF195" s="347">
        <v>140</v>
      </c>
      <c r="AG195" s="347">
        <v>140</v>
      </c>
      <c r="AH195" s="347">
        <v>140</v>
      </c>
      <c r="AI195" s="347">
        <v>140</v>
      </c>
      <c r="AJ195" s="347">
        <v>140</v>
      </c>
      <c r="AK195" s="347">
        <v>140</v>
      </c>
      <c r="AL195" s="347">
        <v>280</v>
      </c>
      <c r="AM195" s="347">
        <v>280</v>
      </c>
      <c r="AN195" s="347">
        <v>280</v>
      </c>
      <c r="AO195" s="347">
        <v>280</v>
      </c>
      <c r="AP195" s="347">
        <v>280</v>
      </c>
      <c r="AQ195" s="347">
        <v>280</v>
      </c>
      <c r="AR195" s="347">
        <v>280</v>
      </c>
      <c r="AS195" s="347">
        <v>280</v>
      </c>
      <c r="AT195" s="347">
        <v>280</v>
      </c>
      <c r="AU195" s="347">
        <v>280</v>
      </c>
      <c r="AV195" s="347">
        <v>280</v>
      </c>
      <c r="AW195" s="347">
        <f t="shared" si="481"/>
        <v>4060</v>
      </c>
      <c r="AX195" s="365">
        <f t="shared" si="482"/>
        <v>214.6928</v>
      </c>
      <c r="AY195" s="365">
        <f t="shared" si="483"/>
        <v>308.852</v>
      </c>
      <c r="AZ195" s="366">
        <v>596.85</v>
      </c>
      <c r="BA195" s="368">
        <v>37.6</v>
      </c>
      <c r="BB195" s="368">
        <v>58.7</v>
      </c>
      <c r="BC195" s="368">
        <v>64.98</v>
      </c>
      <c r="BD195" s="330"/>
      <c r="BE195" s="330">
        <f t="shared" si="484"/>
        <v>2423211</v>
      </c>
      <c r="BF195" s="330">
        <f t="shared" si="485"/>
        <v>152656</v>
      </c>
      <c r="BG195" s="330">
        <f t="shared" si="486"/>
        <v>238322</v>
      </c>
      <c r="BH195" s="330">
        <f t="shared" si="487"/>
        <v>263818.8</v>
      </c>
      <c r="BI195" s="330"/>
      <c r="BJ195" s="370" cm="1">
        <f t="array" ref="BJ195:BM195">_xlfn.LET(_xlpm.data,$R195:$AV195,_xlpm.starts,{1,8,16,23},_xlpm.lengths,{7,7,8,9},_xlpm.arr,_xlfn.MAP(_xlpm.starts,_xlpm.lengths,_xlfn.LAMBDA(_xlpm.s,_xlpm.l,SUM(INDEX(_xlpm.data,,_xlfn.SEQUENCE(,_xlpm.l,_xlpm.s))))),ROUND(_xlpm.arr*$O195/1000,2))</f>
        <v>0</v>
      </c>
      <c r="BK195" s="330">
        <v>7.4</v>
      </c>
      <c r="BL195" s="330">
        <v>81.44</v>
      </c>
      <c r="BM195" s="330">
        <v>133.26</v>
      </c>
      <c r="BN195" s="258">
        <f t="shared" si="488"/>
        <v>222.1</v>
      </c>
      <c r="BO195" s="258">
        <v>22.86</v>
      </c>
      <c r="BP195" s="258">
        <v>22.86</v>
      </c>
      <c r="BQ195" s="258">
        <v>26.12</v>
      </c>
      <c r="BR195" s="258">
        <v>29.39</v>
      </c>
      <c r="BS195" s="115"/>
      <c r="BT195" s="258" cm="1">
        <f ca="1" t="array" ref="BT195:BW195">_xlfn.HSTACK(SUM(INDEX($R195:$AV195,1,1):INDEX($R195:$AV195,1,7)),SUM(INDEX($R195:$AV195,1,7):INDEX($R195:$AV195,1,13)),SUM(INDEX($R195:$AV195,1,16):INDEX($R195:$AV195,1,23)),SUM(INDEX($R195:$AV195,1,23):INDEX($R195:$AV195,1,31)))</f>
        <v>0</v>
      </c>
      <c r="BU195" s="258">
        <v>0</v>
      </c>
      <c r="BV195" s="258">
        <v>1540</v>
      </c>
      <c r="BW195" s="258">
        <v>2520</v>
      </c>
      <c r="BY195" s="258">
        <f t="shared" si="372"/>
        <v>0</v>
      </c>
      <c r="BZ195" s="258">
        <f t="shared" si="373"/>
        <v>140</v>
      </c>
      <c r="CA195" s="258">
        <f t="shared" si="374"/>
        <v>1400</v>
      </c>
      <c r="CB195" s="258">
        <f t="shared" si="375"/>
        <v>2520</v>
      </c>
      <c r="CD195" s="113"/>
      <c r="CE195" s="258">
        <f t="shared" si="506"/>
        <v>0</v>
      </c>
      <c r="CF195" s="258">
        <f t="shared" si="507"/>
        <v>7.4</v>
      </c>
      <c r="CG195" s="258">
        <f t="shared" si="508"/>
        <v>74.03</v>
      </c>
      <c r="CH195" s="258">
        <f t="shared" si="509"/>
        <v>133.26</v>
      </c>
      <c r="CI195" s="258">
        <f t="shared" si="493"/>
        <v>214.69</v>
      </c>
      <c r="CJ195" s="113"/>
      <c r="CK195" s="258">
        <f t="shared" ref="CK195:CN195" si="516">IFERROR(ROUND(BY195*$P195,2),"")</f>
        <v>0</v>
      </c>
      <c r="CL195" s="258">
        <f t="shared" si="516"/>
        <v>106500.72</v>
      </c>
      <c r="CM195" s="258">
        <f t="shared" si="516"/>
        <v>1065007.16</v>
      </c>
      <c r="CN195" s="258">
        <f t="shared" si="516"/>
        <v>1917012.89</v>
      </c>
      <c r="CO195" s="258">
        <f t="shared" si="371"/>
        <v>3088520.77</v>
      </c>
      <c r="CP195" s="258" t="e">
        <f>VLOOKUP(G195,[2]Sheet1!$C$3:$G$310,5,0)</f>
        <v>#N/A</v>
      </c>
      <c r="CQ195" s="258">
        <f>VLOOKUP(G195,[3]KCBB0101!$C$3:$F$691,4,0)</f>
        <v>44119</v>
      </c>
    </row>
    <row r="196" ht="17.6" spans="2:95">
      <c r="B196" s="334" t="str">
        <f>_xlfn.XLOOKUP(G196,销售需求表!A:A,销售需求表!C:C)</f>
        <v>南美</v>
      </c>
      <c r="C196" s="335" t="str">
        <f t="shared" ref="C196:C218" si="517">IFERROR(MID(F196,FIND("R",F196)+1,4),"")</f>
        <v>22.5</v>
      </c>
      <c r="D196" s="359" t="str">
        <f t="shared" si="478"/>
        <v>南美22.5寸</v>
      </c>
      <c r="E196" s="339" t="str">
        <f t="shared" si="395"/>
        <v>295/80R22.5-18PR(152/149M)-AT186</v>
      </c>
      <c r="F196" s="340" t="str">
        <f t="shared" si="503"/>
        <v>295/80R22.5-18PR-AT186</v>
      </c>
      <c r="G196" s="341" t="s">
        <v>544</v>
      </c>
      <c r="H196" s="334">
        <v>1800</v>
      </c>
      <c r="I196" s="345">
        <v>4</v>
      </c>
      <c r="J196" s="346" t="str">
        <f t="shared" si="470"/>
        <v>295/80R22.5-AT186</v>
      </c>
      <c r="K196" s="347" t="str">
        <f>_xlfn.XLOOKUP(F196,投产规格!E:E,投产规格!D:D,"未投产")</f>
        <v>✔</v>
      </c>
      <c r="L196" s="347">
        <f>IFERROR(_xlfn.XLOOKUP(F196,硫化工艺!B:B,硫化工艺!C:C),"")</f>
        <v>35</v>
      </c>
      <c r="M196" s="349">
        <f t="shared" si="479"/>
        <v>0.857142857142857</v>
      </c>
      <c r="N196" s="347" t="str">
        <f t="shared" si="480"/>
        <v>22.5全钢</v>
      </c>
      <c r="O196" s="347">
        <f>IFERROR(_xlfn.XLOOKUP(F196,轮胎重量!J:J,轮胎重量!G:G),"")</f>
        <v>52.88</v>
      </c>
      <c r="P196" s="350">
        <f>O196*13.9</f>
        <v>735.032</v>
      </c>
      <c r="Q196" s="347">
        <f t="shared" si="384"/>
        <v>141</v>
      </c>
      <c r="R196" s="347">
        <v>140</v>
      </c>
      <c r="S196" s="347">
        <v>140</v>
      </c>
      <c r="T196" s="347">
        <v>140</v>
      </c>
      <c r="U196" s="347">
        <v>140</v>
      </c>
      <c r="V196" s="347">
        <v>140</v>
      </c>
      <c r="W196" s="347">
        <v>140</v>
      </c>
      <c r="X196" s="347">
        <v>140</v>
      </c>
      <c r="Y196" s="347">
        <v>140</v>
      </c>
      <c r="Z196" s="347">
        <v>140</v>
      </c>
      <c r="AA196" s="347">
        <v>140</v>
      </c>
      <c r="AB196" s="347">
        <v>140</v>
      </c>
      <c r="AC196" s="347">
        <v>140</v>
      </c>
      <c r="AD196" s="347">
        <v>140</v>
      </c>
      <c r="AE196" s="347"/>
      <c r="AF196" s="347"/>
      <c r="AG196" s="347"/>
      <c r="AH196" s="347"/>
      <c r="AI196" s="347"/>
      <c r="AJ196" s="347"/>
      <c r="AK196" s="347"/>
      <c r="AL196" s="347"/>
      <c r="AM196" s="347"/>
      <c r="AN196" s="347"/>
      <c r="AO196" s="347"/>
      <c r="AP196" s="347"/>
      <c r="AQ196" s="347"/>
      <c r="AR196" s="347"/>
      <c r="AS196" s="347"/>
      <c r="AT196" s="347"/>
      <c r="AU196" s="347"/>
      <c r="AV196" s="347"/>
      <c r="AW196" s="347">
        <f t="shared" si="481"/>
        <v>1820</v>
      </c>
      <c r="AX196" s="365">
        <f t="shared" si="482"/>
        <v>96.2416</v>
      </c>
      <c r="AY196" s="365">
        <f t="shared" si="483"/>
        <v>133.776</v>
      </c>
      <c r="AZ196" s="366">
        <v>596.85</v>
      </c>
      <c r="BA196" s="368">
        <v>37.6</v>
      </c>
      <c r="BB196" s="368">
        <v>58.7</v>
      </c>
      <c r="BC196" s="368">
        <v>64.98</v>
      </c>
      <c r="BE196" s="330">
        <f t="shared" si="484"/>
        <v>1086267</v>
      </c>
      <c r="BF196" s="330">
        <f t="shared" si="485"/>
        <v>68432</v>
      </c>
      <c r="BG196" s="330">
        <f t="shared" si="486"/>
        <v>106834</v>
      </c>
      <c r="BH196" s="330">
        <f t="shared" si="487"/>
        <v>118263.6</v>
      </c>
      <c r="BJ196" s="370" cm="1">
        <f t="array" ref="BJ196:BM196">_xlfn.LET(_xlpm.data,$R196:$AV196,_xlpm.starts,{1,8,16,23},_xlpm.lengths,{7,7,8,9},_xlpm.arr,_xlfn.MAP(_xlpm.starts,_xlpm.lengths,_xlfn.LAMBDA(_xlpm.s,_xlpm.l,SUM(INDEX(_xlpm.data,,_xlfn.SEQUENCE(,_xlpm.l,_xlpm.s))))),ROUND(_xlpm.arr*$O196/1000,2))</f>
        <v>51.82</v>
      </c>
      <c r="BK196" s="330">
        <v>44.42</v>
      </c>
      <c r="BL196" s="330">
        <v>0</v>
      </c>
      <c r="BM196" s="330">
        <v>0</v>
      </c>
      <c r="BN196" s="258">
        <f t="shared" si="488"/>
        <v>96.24</v>
      </c>
      <c r="BO196" s="258">
        <v>0</v>
      </c>
      <c r="BP196" s="258">
        <v>0</v>
      </c>
      <c r="BQ196" s="258">
        <v>0</v>
      </c>
      <c r="BR196" s="258">
        <v>0</v>
      </c>
      <c r="BT196" s="258" cm="1">
        <f ca="1" t="array" ref="BT196:BW196">_xlfn.HSTACK(SUM(INDEX($R196:$AV196,1,1):INDEX($R196:$AV196,1,7)),SUM(INDEX($R196:$AV196,1,7):INDEX($R196:$AV196,1,13)),SUM(INDEX($R196:$AV196,1,16):INDEX($R196:$AV196,1,23)),SUM(INDEX($R196:$AV196,1,23):INDEX($R196:$AV196,1,31)))</f>
        <v>980</v>
      </c>
      <c r="BU196" s="258">
        <v>980</v>
      </c>
      <c r="BV196" s="258">
        <v>0</v>
      </c>
      <c r="BW196" s="258">
        <v>0</v>
      </c>
      <c r="BY196" s="258">
        <f t="shared" si="372"/>
        <v>980</v>
      </c>
      <c r="BZ196" s="258">
        <f t="shared" si="373"/>
        <v>840</v>
      </c>
      <c r="CA196" s="258">
        <f t="shared" si="374"/>
        <v>0</v>
      </c>
      <c r="CB196" s="258">
        <f t="shared" si="375"/>
        <v>0</v>
      </c>
      <c r="CE196" s="258">
        <f t="shared" si="506"/>
        <v>51.82</v>
      </c>
      <c r="CF196" s="258">
        <f t="shared" si="507"/>
        <v>44.42</v>
      </c>
      <c r="CG196" s="258">
        <f t="shared" si="508"/>
        <v>0</v>
      </c>
      <c r="CH196" s="258">
        <f t="shared" si="509"/>
        <v>0</v>
      </c>
      <c r="CI196" s="258">
        <f t="shared" si="493"/>
        <v>96.24</v>
      </c>
      <c r="CK196" s="258">
        <f t="shared" ref="CK196:CN196" si="518">IFERROR(ROUND(BY196*$P196,2),"")</f>
        <v>720331.36</v>
      </c>
      <c r="CL196" s="258">
        <f t="shared" si="518"/>
        <v>617426.88</v>
      </c>
      <c r="CM196" s="258">
        <f t="shared" si="518"/>
        <v>0</v>
      </c>
      <c r="CN196" s="258">
        <f t="shared" si="518"/>
        <v>0</v>
      </c>
      <c r="CO196" s="258">
        <f t="shared" si="371"/>
        <v>1337758.24</v>
      </c>
      <c r="CP196" s="258" t="e">
        <f>VLOOKUP(G196,[2]Sheet1!$C$3:$G$310,5,0)</f>
        <v>#N/A</v>
      </c>
      <c r="CQ196" s="258">
        <f>VLOOKUP(G196,[3]KCBB0101!$C$3:$F$691,4,0)</f>
        <v>9000</v>
      </c>
    </row>
    <row r="197" s="258" customFormat="1" ht="17.6" spans="1:95">
      <c r="A197" s="330"/>
      <c r="B197" s="334" t="str">
        <f>_xlfn.XLOOKUP(G197,销售需求表!A:A,销售需求表!C:C)</f>
        <v>南美</v>
      </c>
      <c r="C197" s="335" t="str">
        <f t="shared" si="517"/>
        <v>22.5</v>
      </c>
      <c r="D197" s="359" t="str">
        <f t="shared" si="478"/>
        <v>南美22.5寸</v>
      </c>
      <c r="E197" s="339" t="str">
        <f t="shared" si="395"/>
        <v>295/80R22.5-18PR(152/149M)-AT186</v>
      </c>
      <c r="F197" s="340" t="str">
        <f t="shared" si="503"/>
        <v>295/80R22.5-18PR-AT186</v>
      </c>
      <c r="G197" s="341" t="s">
        <v>545</v>
      </c>
      <c r="H197" s="334">
        <v>4000</v>
      </c>
      <c r="I197" s="345">
        <v>6</v>
      </c>
      <c r="J197" s="346" t="str">
        <f t="shared" si="470"/>
        <v>295/80R22.5-AT186</v>
      </c>
      <c r="K197" s="347" t="str">
        <f>_xlfn.XLOOKUP(F197,投产规格!E:E,投产规格!D:D,"未投产")</f>
        <v>✔</v>
      </c>
      <c r="L197" s="347">
        <f>IFERROR(_xlfn.XLOOKUP(F197,硫化工艺!B:B,硫化工艺!C:C),"")</f>
        <v>35</v>
      </c>
      <c r="M197" s="349">
        <f t="shared" si="479"/>
        <v>0.857142857142857</v>
      </c>
      <c r="N197" s="347" t="str">
        <f t="shared" si="480"/>
        <v>22.5全钢</v>
      </c>
      <c r="O197" s="347">
        <f>IFERROR(_xlfn.XLOOKUP(F197,轮胎重量!J:J,轮胎重量!G:G),"")</f>
        <v>52.88</v>
      </c>
      <c r="P197" s="347">
        <f>IFERROR(_xlfn.XLOOKUP(G197,硫化工艺!I:I,硫化工艺!J:J),"")</f>
        <v>758.343486</v>
      </c>
      <c r="Q197" s="347">
        <f t="shared" si="384"/>
        <v>212</v>
      </c>
      <c r="R197" s="347">
        <v>210</v>
      </c>
      <c r="S197" s="347">
        <v>210</v>
      </c>
      <c r="T197" s="347">
        <v>210</v>
      </c>
      <c r="U197" s="347">
        <v>210</v>
      </c>
      <c r="V197" s="347">
        <v>210</v>
      </c>
      <c r="W197" s="347">
        <v>210</v>
      </c>
      <c r="X197" s="347">
        <v>210</v>
      </c>
      <c r="Y197" s="347">
        <v>210</v>
      </c>
      <c r="Z197" s="347">
        <v>210</v>
      </c>
      <c r="AA197" s="347">
        <v>210</v>
      </c>
      <c r="AB197" s="347">
        <v>210</v>
      </c>
      <c r="AC197" s="347">
        <v>210</v>
      </c>
      <c r="AD197" s="347">
        <v>210</v>
      </c>
      <c r="AE197" s="347">
        <v>210</v>
      </c>
      <c r="AF197" s="347">
        <v>210</v>
      </c>
      <c r="AG197" s="347">
        <v>210</v>
      </c>
      <c r="AH197" s="347">
        <v>210</v>
      </c>
      <c r="AI197" s="347">
        <v>210</v>
      </c>
      <c r="AJ197" s="347">
        <v>210</v>
      </c>
      <c r="AK197" s="347">
        <v>210</v>
      </c>
      <c r="AL197" s="347"/>
      <c r="AM197" s="347"/>
      <c r="AN197" s="347"/>
      <c r="AO197" s="347"/>
      <c r="AP197" s="347"/>
      <c r="AQ197" s="347"/>
      <c r="AR197" s="347"/>
      <c r="AS197" s="347"/>
      <c r="AT197" s="347"/>
      <c r="AU197" s="347"/>
      <c r="AV197" s="347"/>
      <c r="AW197" s="347">
        <f t="shared" si="481"/>
        <v>4200</v>
      </c>
      <c r="AX197" s="365">
        <f t="shared" si="482"/>
        <v>222.096</v>
      </c>
      <c r="AY197" s="365">
        <f t="shared" si="483"/>
        <v>318.504</v>
      </c>
      <c r="AZ197" s="366">
        <v>596.85</v>
      </c>
      <c r="BA197" s="368">
        <v>37.6</v>
      </c>
      <c r="BB197" s="368">
        <v>58.7</v>
      </c>
      <c r="BC197" s="368">
        <v>64.98</v>
      </c>
      <c r="BD197" s="330"/>
      <c r="BE197" s="330">
        <f t="shared" si="484"/>
        <v>2506770</v>
      </c>
      <c r="BF197" s="330">
        <f t="shared" si="485"/>
        <v>157920</v>
      </c>
      <c r="BG197" s="330">
        <f t="shared" si="486"/>
        <v>246540</v>
      </c>
      <c r="BH197" s="330">
        <f t="shared" si="487"/>
        <v>272916</v>
      </c>
      <c r="BI197" s="330"/>
      <c r="BJ197" s="370" cm="1">
        <f t="array" ref="BJ197:BM197">_xlfn.LET(_xlpm.data,$R197:$AV197,_xlpm.starts,{1,8,16,23},_xlpm.lengths,{7,7,8,9},_xlpm.arr,_xlfn.MAP(_xlpm.starts,_xlpm.lengths,_xlfn.LAMBDA(_xlpm.s,_xlpm.l,SUM(INDEX(_xlpm.data,,_xlfn.SEQUENCE(,_xlpm.l,_xlpm.s))))),ROUND(_xlpm.arr*$O197/1000,2))</f>
        <v>77.73</v>
      </c>
      <c r="BK197" s="330">
        <v>77.73</v>
      </c>
      <c r="BL197" s="330">
        <v>55.52</v>
      </c>
      <c r="BM197" s="330">
        <v>0</v>
      </c>
      <c r="BN197" s="258">
        <f t="shared" si="488"/>
        <v>210.98</v>
      </c>
      <c r="BO197" s="258">
        <v>0</v>
      </c>
      <c r="BP197" s="258">
        <v>0</v>
      </c>
      <c r="BQ197" s="258">
        <v>0</v>
      </c>
      <c r="BR197" s="258">
        <v>0</v>
      </c>
      <c r="BS197" s="115"/>
      <c r="BT197" s="258" cm="1">
        <f ca="1" t="array" ref="BT197:BW197">_xlfn.HSTACK(SUM(INDEX($R197:$AV197,1,1):INDEX($R197:$AV197,1,7)),SUM(INDEX($R197:$AV197,1,7):INDEX($R197:$AV197,1,13)),SUM(INDEX($R197:$AV197,1,16):INDEX($R197:$AV197,1,23)),SUM(INDEX($R197:$AV197,1,23):INDEX($R197:$AV197,1,31)))</f>
        <v>1470</v>
      </c>
      <c r="BU197" s="258">
        <v>1470</v>
      </c>
      <c r="BV197" s="258">
        <v>1050</v>
      </c>
      <c r="BW197" s="258">
        <v>0</v>
      </c>
      <c r="BY197" s="258">
        <f t="shared" si="372"/>
        <v>1470</v>
      </c>
      <c r="BZ197" s="258">
        <f t="shared" si="373"/>
        <v>1470</v>
      </c>
      <c r="CA197" s="258">
        <f t="shared" si="374"/>
        <v>1260</v>
      </c>
      <c r="CB197" s="258">
        <f t="shared" si="375"/>
        <v>0</v>
      </c>
      <c r="CD197" s="113"/>
      <c r="CE197" s="258">
        <f t="shared" si="506"/>
        <v>77.73</v>
      </c>
      <c r="CF197" s="258">
        <f t="shared" si="507"/>
        <v>77.73</v>
      </c>
      <c r="CG197" s="258">
        <f t="shared" si="508"/>
        <v>66.63</v>
      </c>
      <c r="CH197" s="258">
        <f t="shared" si="509"/>
        <v>0</v>
      </c>
      <c r="CI197" s="258">
        <f t="shared" si="493"/>
        <v>222.09</v>
      </c>
      <c r="CJ197" s="113"/>
      <c r="CK197" s="258">
        <f t="shared" ref="CK197:CN197" si="519">IFERROR(ROUND(BY197*$P197,2),"")</f>
        <v>1114764.92</v>
      </c>
      <c r="CL197" s="258">
        <f t="shared" si="519"/>
        <v>1114764.92</v>
      </c>
      <c r="CM197" s="258">
        <f t="shared" si="519"/>
        <v>955512.79</v>
      </c>
      <c r="CN197" s="258">
        <f t="shared" si="519"/>
        <v>0</v>
      </c>
      <c r="CO197" s="258">
        <f t="shared" si="371"/>
        <v>3185042.63</v>
      </c>
      <c r="CP197" s="258" t="e">
        <f>VLOOKUP(G197,[2]Sheet1!$C$3:$G$310,5,0)</f>
        <v>#N/A</v>
      </c>
      <c r="CQ197" s="258">
        <f>VLOOKUP(G197,[3]KCBB0101!$C$3:$F$691,4,0)</f>
        <v>6495</v>
      </c>
    </row>
    <row r="198" ht="17.6" spans="2:95">
      <c r="B198" s="334" t="str">
        <f>_xlfn.XLOOKUP(G198,销售需求表!A:A,销售需求表!C:C)</f>
        <v>南美</v>
      </c>
      <c r="C198" s="335" t="str">
        <f t="shared" si="517"/>
        <v>22.5</v>
      </c>
      <c r="D198" s="359" t="str">
        <f t="shared" si="478"/>
        <v>南美22.5寸</v>
      </c>
      <c r="E198" s="339" t="str">
        <f t="shared" si="395"/>
        <v>295/80R22.5-18PR(152/149M)-AT196</v>
      </c>
      <c r="F198" s="340" t="str">
        <f t="shared" si="503"/>
        <v>295/80R22.5-18PR-AT196</v>
      </c>
      <c r="G198" s="341" t="s">
        <v>546</v>
      </c>
      <c r="H198" s="334">
        <v>2000</v>
      </c>
      <c r="I198" s="354">
        <v>2</v>
      </c>
      <c r="J198" s="346" t="str">
        <f t="shared" si="470"/>
        <v>295/80R22.5-AT196</v>
      </c>
      <c r="K198" s="347" t="str">
        <f>_xlfn.XLOOKUP(F198,投产规格!E:E,投产规格!D:D,"未投产")</f>
        <v>✔</v>
      </c>
      <c r="L198" s="347">
        <f>IFERROR(_xlfn.XLOOKUP(F198,硫化工艺!B:B,硫化工艺!C:C),"")</f>
        <v>35</v>
      </c>
      <c r="M198" s="349">
        <f t="shared" si="479"/>
        <v>0.857142857142857</v>
      </c>
      <c r="N198" s="347" t="str">
        <f t="shared" si="480"/>
        <v>22.5全钢</v>
      </c>
      <c r="O198" s="347">
        <f>IFERROR(_xlfn.XLOOKUP(F198,轮胎重量!J:J,轮胎重量!G:G),"")</f>
        <v>52.88</v>
      </c>
      <c r="P198" s="347">
        <f>IFERROR(_xlfn.XLOOKUP(G198,硫化工艺!I:I,硫化工艺!J:J),"")</f>
        <v>760.7194</v>
      </c>
      <c r="Q198" s="347">
        <f t="shared" si="384"/>
        <v>71</v>
      </c>
      <c r="R198" s="347">
        <v>70</v>
      </c>
      <c r="S198" s="347">
        <v>70</v>
      </c>
      <c r="T198" s="347">
        <v>70</v>
      </c>
      <c r="U198" s="347">
        <v>70</v>
      </c>
      <c r="V198" s="347">
        <v>70</v>
      </c>
      <c r="W198" s="347">
        <v>70</v>
      </c>
      <c r="X198" s="347">
        <v>70</v>
      </c>
      <c r="Y198" s="347">
        <v>70</v>
      </c>
      <c r="Z198" s="347">
        <v>70</v>
      </c>
      <c r="AA198" s="347">
        <v>70</v>
      </c>
      <c r="AB198" s="347">
        <v>70</v>
      </c>
      <c r="AC198" s="347">
        <v>140</v>
      </c>
      <c r="AD198" s="347">
        <v>140</v>
      </c>
      <c r="AE198" s="347">
        <v>140</v>
      </c>
      <c r="AF198" s="347">
        <v>140</v>
      </c>
      <c r="AG198" s="347">
        <v>140</v>
      </c>
      <c r="AH198" s="347">
        <v>140</v>
      </c>
      <c r="AI198" s="347">
        <v>140</v>
      </c>
      <c r="AJ198" s="347">
        <v>140</v>
      </c>
      <c r="AK198" s="347">
        <v>140</v>
      </c>
      <c r="AL198" s="347">
        <v>140</v>
      </c>
      <c r="AM198" s="347">
        <v>140</v>
      </c>
      <c r="AN198" s="347">
        <v>140</v>
      </c>
      <c r="AO198" s="347">
        <v>140</v>
      </c>
      <c r="AP198" s="347">
        <v>140</v>
      </c>
      <c r="AQ198" s="347">
        <v>140</v>
      </c>
      <c r="AR198" s="347">
        <v>140</v>
      </c>
      <c r="AS198" s="347">
        <v>140</v>
      </c>
      <c r="AT198" s="347">
        <v>140</v>
      </c>
      <c r="AU198" s="347">
        <v>140</v>
      </c>
      <c r="AV198" s="347">
        <v>140</v>
      </c>
      <c r="AW198" s="347">
        <f t="shared" si="481"/>
        <v>3570</v>
      </c>
      <c r="AX198" s="365">
        <f t="shared" si="482"/>
        <v>188.7816</v>
      </c>
      <c r="AY198" s="365">
        <f t="shared" si="483"/>
        <v>271.577</v>
      </c>
      <c r="AZ198" s="366">
        <v>680.46</v>
      </c>
      <c r="BA198" s="368">
        <v>39.74</v>
      </c>
      <c r="BB198" s="368">
        <v>62</v>
      </c>
      <c r="BC198" s="368">
        <v>67.14</v>
      </c>
      <c r="BE198" s="330">
        <f t="shared" si="484"/>
        <v>2429242.2</v>
      </c>
      <c r="BF198" s="330">
        <f t="shared" si="485"/>
        <v>141871.8</v>
      </c>
      <c r="BG198" s="330">
        <f t="shared" si="486"/>
        <v>221340</v>
      </c>
      <c r="BH198" s="330">
        <f t="shared" si="487"/>
        <v>239689.8</v>
      </c>
      <c r="BJ198" s="370" cm="1">
        <f t="array" ref="BJ198:BM198">_xlfn.LET(_xlpm.data,$R198:$AV198,_xlpm.starts,{1,8,16,23},_xlpm.lengths,{7,7,8,9},_xlpm.arr,_xlfn.MAP(_xlpm.starts,_xlpm.lengths,_xlfn.LAMBDA(_xlpm.s,_xlpm.l,SUM(INDEX(_xlpm.data,,_xlfn.SEQUENCE(,_xlpm.l,_xlpm.s))))),ROUND(_xlpm.arr*$O198/1000,2))</f>
        <v>25.91</v>
      </c>
      <c r="BK198" s="330">
        <v>37.02</v>
      </c>
      <c r="BL198" s="330">
        <v>59.23</v>
      </c>
      <c r="BM198" s="330">
        <v>66.63</v>
      </c>
      <c r="BN198" s="258">
        <f t="shared" si="488"/>
        <v>188.79</v>
      </c>
      <c r="BO198" s="258">
        <v>0</v>
      </c>
      <c r="BP198" s="258">
        <v>0</v>
      </c>
      <c r="BQ198" s="258">
        <v>0</v>
      </c>
      <c r="BR198" s="258">
        <v>0</v>
      </c>
      <c r="BT198" s="258" cm="1">
        <f ca="1" t="array" ref="BT198:BW198">_xlfn.HSTACK(SUM(INDEX($R198:$AV198,1,1):INDEX($R198:$AV198,1,7)),SUM(INDEX($R198:$AV198,1,7):INDEX($R198:$AV198,1,13)),SUM(INDEX($R198:$AV198,1,16):INDEX($R198:$AV198,1,23)),SUM(INDEX($R198:$AV198,1,23):INDEX($R198:$AV198,1,31)))</f>
        <v>490</v>
      </c>
      <c r="BU198" s="258">
        <v>630</v>
      </c>
      <c r="BV198" s="258">
        <v>1120</v>
      </c>
      <c r="BW198" s="258">
        <v>1260</v>
      </c>
      <c r="BY198" s="258">
        <f t="shared" si="372"/>
        <v>490</v>
      </c>
      <c r="BZ198" s="258">
        <f t="shared" si="373"/>
        <v>700</v>
      </c>
      <c r="CA198" s="258">
        <f t="shared" si="374"/>
        <v>1120</v>
      </c>
      <c r="CB198" s="258">
        <f t="shared" si="375"/>
        <v>1260</v>
      </c>
      <c r="CC198" s="258">
        <v>14.3</v>
      </c>
      <c r="CE198" s="258">
        <f t="shared" si="506"/>
        <v>25.91</v>
      </c>
      <c r="CF198" s="258">
        <f t="shared" si="507"/>
        <v>37.02</v>
      </c>
      <c r="CG198" s="258">
        <f t="shared" si="508"/>
        <v>59.23</v>
      </c>
      <c r="CH198" s="258">
        <f t="shared" si="509"/>
        <v>66.63</v>
      </c>
      <c r="CI198" s="258">
        <f t="shared" si="493"/>
        <v>188.79</v>
      </c>
      <c r="CK198" s="258">
        <f t="shared" ref="CK198:CN198" si="520">IFERROR(ROUND(BY198*$P198,2),"")</f>
        <v>372752.51</v>
      </c>
      <c r="CL198" s="258">
        <f t="shared" si="520"/>
        <v>532503.58</v>
      </c>
      <c r="CM198" s="258">
        <f t="shared" si="520"/>
        <v>852005.73</v>
      </c>
      <c r="CN198" s="258">
        <f t="shared" si="520"/>
        <v>958506.44</v>
      </c>
      <c r="CO198" s="258">
        <f t="shared" ref="CO198:CO261" si="521">SUM(CK198:CN198)</f>
        <v>2715768.26</v>
      </c>
      <c r="CP198" s="258" t="e">
        <f>VLOOKUP(G198,[2]Sheet1!$C$3:$G$310,5,0)</f>
        <v>#N/A</v>
      </c>
      <c r="CQ198" s="258">
        <f>VLOOKUP(G198,[3]KCBB0101!$C$3:$F$691,4,0)</f>
        <v>5200</v>
      </c>
    </row>
    <row r="199" s="258" customFormat="1" ht="17.6" spans="1:95">
      <c r="A199" s="330"/>
      <c r="B199" s="334" t="str">
        <f>_xlfn.XLOOKUP(G199,销售需求表!A:A,销售需求表!C:C)</f>
        <v>南美</v>
      </c>
      <c r="C199" s="335" t="str">
        <f t="shared" si="517"/>
        <v>22.5</v>
      </c>
      <c r="D199" s="359" t="str">
        <f t="shared" si="478"/>
        <v>南美22.5寸</v>
      </c>
      <c r="E199" s="339" t="str">
        <f t="shared" si="395"/>
        <v>295/80R22.5-18PR(152/149M)-AT196</v>
      </c>
      <c r="F199" s="340" t="str">
        <f t="shared" si="503"/>
        <v>295/80R22.5-18PR-AT196</v>
      </c>
      <c r="G199" s="341" t="s">
        <v>547</v>
      </c>
      <c r="H199" s="334">
        <v>3000</v>
      </c>
      <c r="I199" s="345">
        <v>4</v>
      </c>
      <c r="J199" s="346" t="str">
        <f t="shared" si="470"/>
        <v>295/80R22.5-AT196</v>
      </c>
      <c r="K199" s="347" t="str">
        <f>_xlfn.XLOOKUP(F199,投产规格!E:E,投产规格!D:D,"未投产")</f>
        <v>✔</v>
      </c>
      <c r="L199" s="347">
        <f>IFERROR(_xlfn.XLOOKUP(F199,硫化工艺!B:B,硫化工艺!C:C),"")</f>
        <v>35</v>
      </c>
      <c r="M199" s="349">
        <f t="shared" si="479"/>
        <v>0.857142857142857</v>
      </c>
      <c r="N199" s="347" t="str">
        <f t="shared" si="480"/>
        <v>22.5全钢</v>
      </c>
      <c r="O199" s="347">
        <f>IFERROR(_xlfn.XLOOKUP(F199,轮胎重量!J:J,轮胎重量!G:G),"")</f>
        <v>52.88</v>
      </c>
      <c r="P199" s="347">
        <f>IFERROR(_xlfn.XLOOKUP(G199,硫化工艺!I:I,硫化工艺!J:J),"")</f>
        <v>763.44569</v>
      </c>
      <c r="Q199" s="347">
        <f t="shared" si="384"/>
        <v>141</v>
      </c>
      <c r="R199" s="347">
        <v>140</v>
      </c>
      <c r="S199" s="347">
        <v>140</v>
      </c>
      <c r="T199" s="347">
        <v>140</v>
      </c>
      <c r="U199" s="347">
        <v>140</v>
      </c>
      <c r="V199" s="347">
        <v>140</v>
      </c>
      <c r="W199" s="347">
        <v>140</v>
      </c>
      <c r="X199" s="347">
        <v>140</v>
      </c>
      <c r="Y199" s="347">
        <v>140</v>
      </c>
      <c r="Z199" s="347">
        <v>140</v>
      </c>
      <c r="AA199" s="347">
        <v>140</v>
      </c>
      <c r="AB199" s="347">
        <v>140</v>
      </c>
      <c r="AC199" s="347">
        <v>140</v>
      </c>
      <c r="AD199" s="347">
        <v>140</v>
      </c>
      <c r="AE199" s="347">
        <v>140</v>
      </c>
      <c r="AF199" s="347">
        <v>140</v>
      </c>
      <c r="AG199" s="347">
        <v>140</v>
      </c>
      <c r="AH199" s="347">
        <v>140</v>
      </c>
      <c r="AI199" s="347">
        <v>140</v>
      </c>
      <c r="AJ199" s="347">
        <v>140</v>
      </c>
      <c r="AK199" s="347">
        <v>140</v>
      </c>
      <c r="AL199" s="347"/>
      <c r="AM199" s="347"/>
      <c r="AN199" s="347"/>
      <c r="AO199" s="347"/>
      <c r="AP199" s="347"/>
      <c r="AQ199" s="347"/>
      <c r="AR199" s="347"/>
      <c r="AS199" s="347"/>
      <c r="AT199" s="347"/>
      <c r="AU199" s="347"/>
      <c r="AV199" s="347"/>
      <c r="AW199" s="347">
        <f t="shared" si="481"/>
        <v>2800</v>
      </c>
      <c r="AX199" s="365">
        <f t="shared" si="482"/>
        <v>148.064</v>
      </c>
      <c r="AY199" s="365">
        <f t="shared" si="483"/>
        <v>213.765</v>
      </c>
      <c r="AZ199" s="366">
        <v>680.46</v>
      </c>
      <c r="BA199" s="368">
        <v>39.74</v>
      </c>
      <c r="BB199" s="368">
        <v>62</v>
      </c>
      <c r="BC199" s="368">
        <v>67.14</v>
      </c>
      <c r="BD199" s="330"/>
      <c r="BE199" s="330">
        <f t="shared" si="484"/>
        <v>1905288</v>
      </c>
      <c r="BF199" s="330">
        <f t="shared" si="485"/>
        <v>111272</v>
      </c>
      <c r="BG199" s="330">
        <f t="shared" si="486"/>
        <v>173600</v>
      </c>
      <c r="BH199" s="330">
        <f t="shared" si="487"/>
        <v>187992</v>
      </c>
      <c r="BI199" s="330"/>
      <c r="BJ199" s="370" cm="1">
        <f t="array" ref="BJ199:BM199">_xlfn.LET(_xlpm.data,$R199:$AV199,_xlpm.starts,{1,8,16,23},_xlpm.lengths,{7,7,8,9},_xlpm.arr,_xlfn.MAP(_xlpm.starts,_xlpm.lengths,_xlfn.LAMBDA(_xlpm.s,_xlpm.l,SUM(INDEX(_xlpm.data,,_xlfn.SEQUENCE(,_xlpm.l,_xlpm.s))))),ROUND(_xlpm.arr*$O199/1000,2))</f>
        <v>51.82</v>
      </c>
      <c r="BK199" s="330">
        <v>51.82</v>
      </c>
      <c r="BL199" s="330">
        <v>37.02</v>
      </c>
      <c r="BM199" s="330">
        <v>0</v>
      </c>
      <c r="BN199" s="258">
        <f t="shared" si="488"/>
        <v>140.66</v>
      </c>
      <c r="BO199" s="258">
        <v>0</v>
      </c>
      <c r="BP199" s="258">
        <v>0</v>
      </c>
      <c r="BQ199" s="258">
        <v>0.76</v>
      </c>
      <c r="BR199" s="258">
        <v>0</v>
      </c>
      <c r="BS199" s="115"/>
      <c r="BT199" s="258" cm="1">
        <f ca="1" t="array" ref="BT199:BW199">_xlfn.HSTACK(SUM(INDEX($R199:$AV199,1,1):INDEX($R199:$AV199,1,7)),SUM(INDEX($R199:$AV199,1,7):INDEX($R199:$AV199,1,13)),SUM(INDEX($R199:$AV199,1,16):INDEX($R199:$AV199,1,23)),SUM(INDEX($R199:$AV199,1,23):INDEX($R199:$AV199,1,31)))</f>
        <v>980</v>
      </c>
      <c r="BU199" s="258">
        <v>980</v>
      </c>
      <c r="BV199" s="258">
        <v>700</v>
      </c>
      <c r="BW199" s="258">
        <v>0</v>
      </c>
      <c r="BY199" s="258">
        <f t="shared" ref="BY199:BY262" si="522">SUM(R199:X199)</f>
        <v>980</v>
      </c>
      <c r="BZ199" s="258">
        <f t="shared" ref="BZ199:BZ262" si="523">SUM(Y199:AE199)</f>
        <v>980</v>
      </c>
      <c r="CA199" s="258">
        <f t="shared" ref="CA199:CA262" si="524">SUM(AF199:AM199)</f>
        <v>840</v>
      </c>
      <c r="CB199" s="258">
        <f t="shared" ref="CB199:CB262" si="525">SUM(AN199:AV199)</f>
        <v>0</v>
      </c>
      <c r="CC199" s="258">
        <v>14.3</v>
      </c>
      <c r="CD199" s="113"/>
      <c r="CE199" s="258">
        <f t="shared" si="506"/>
        <v>51.82</v>
      </c>
      <c r="CF199" s="258">
        <f t="shared" si="507"/>
        <v>51.82</v>
      </c>
      <c r="CG199" s="258">
        <f t="shared" si="508"/>
        <v>44.42</v>
      </c>
      <c r="CH199" s="258">
        <f t="shared" si="509"/>
        <v>0</v>
      </c>
      <c r="CI199" s="258">
        <f t="shared" si="493"/>
        <v>148.06</v>
      </c>
      <c r="CJ199" s="113"/>
      <c r="CK199" s="258">
        <f t="shared" ref="CK199:CN199" si="526">IFERROR(ROUND(BY199*$P199,2),"")</f>
        <v>748176.78</v>
      </c>
      <c r="CL199" s="258">
        <f t="shared" si="526"/>
        <v>748176.78</v>
      </c>
      <c r="CM199" s="258">
        <f t="shared" si="526"/>
        <v>641294.38</v>
      </c>
      <c r="CN199" s="258">
        <f t="shared" si="526"/>
        <v>0</v>
      </c>
      <c r="CO199" s="258">
        <f t="shared" si="521"/>
        <v>2137647.94</v>
      </c>
      <c r="CP199" s="258" t="e">
        <f>VLOOKUP(G199,[2]Sheet1!$C$3:$G$310,5,0)</f>
        <v>#N/A</v>
      </c>
      <c r="CQ199" s="258">
        <f>VLOOKUP(G199,[3]KCBB0101!$C$3:$F$691,4,0)</f>
        <v>12950</v>
      </c>
    </row>
    <row r="200" s="258" customFormat="1" ht="17.6" spans="1:95">
      <c r="A200" s="330"/>
      <c r="B200" s="334" t="str">
        <f>_xlfn.XLOOKUP(G200,销售需求表!A:A,销售需求表!C:C)</f>
        <v>南美</v>
      </c>
      <c r="C200" s="335" t="str">
        <f t="shared" si="517"/>
        <v>22.5</v>
      </c>
      <c r="D200" s="359" t="str">
        <f t="shared" si="478"/>
        <v>南美22.5寸</v>
      </c>
      <c r="E200" s="339" t="str">
        <f t="shared" si="395"/>
        <v>295/80R22.5-18PR(152/149M)-BRA07 ECO</v>
      </c>
      <c r="F200" s="340" t="str">
        <f t="shared" si="503"/>
        <v>295/80R22.5-18PR-BRA07 ECO</v>
      </c>
      <c r="G200" s="341" t="s">
        <v>548</v>
      </c>
      <c r="H200" s="334">
        <v>720</v>
      </c>
      <c r="I200" s="345">
        <v>2</v>
      </c>
      <c r="J200" s="346" t="str">
        <f t="shared" si="470"/>
        <v>295/80R22.5-BRA07 ECO</v>
      </c>
      <c r="K200" s="347" t="str">
        <f>_xlfn.XLOOKUP(F200,投产规格!E:E,投产规格!D:D,"未投产")</f>
        <v>✔</v>
      </c>
      <c r="L200" s="347">
        <f>IFERROR(_xlfn.XLOOKUP(F200,硫化工艺!B:B,硫化工艺!C:C),"")</f>
        <v>35</v>
      </c>
      <c r="M200" s="349">
        <f t="shared" si="479"/>
        <v>0.857142857142857</v>
      </c>
      <c r="N200" s="347" t="str">
        <f t="shared" si="480"/>
        <v>22.5全钢</v>
      </c>
      <c r="O200" s="347">
        <f>IFERROR(_xlfn.XLOOKUP(F200,轮胎重量!J:J,轮胎重量!G:G),"")</f>
        <v>52.88</v>
      </c>
      <c r="P200" s="347">
        <f>IFERROR(_xlfn.XLOOKUP(G200,硫化工艺!I:I,硫化工艺!J:J),"")</f>
        <v>763.4445</v>
      </c>
      <c r="Q200" s="347">
        <f t="shared" si="384"/>
        <v>71</v>
      </c>
      <c r="R200" s="347">
        <v>70</v>
      </c>
      <c r="S200" s="347">
        <v>70</v>
      </c>
      <c r="T200" s="347">
        <v>70</v>
      </c>
      <c r="U200" s="347">
        <v>70</v>
      </c>
      <c r="V200" s="347">
        <v>70</v>
      </c>
      <c r="W200" s="347">
        <v>70</v>
      </c>
      <c r="X200" s="347">
        <v>70</v>
      </c>
      <c r="Y200" s="347">
        <v>70</v>
      </c>
      <c r="Z200" s="347">
        <v>70</v>
      </c>
      <c r="AA200" s="347">
        <v>70</v>
      </c>
      <c r="AB200" s="347">
        <v>70</v>
      </c>
      <c r="AC200" s="347"/>
      <c r="AD200" s="347"/>
      <c r="AE200" s="347"/>
      <c r="AF200" s="347"/>
      <c r="AG200" s="347"/>
      <c r="AH200" s="347"/>
      <c r="AI200" s="347"/>
      <c r="AJ200" s="347"/>
      <c r="AK200" s="347"/>
      <c r="AL200" s="347"/>
      <c r="AM200" s="347"/>
      <c r="AN200" s="347"/>
      <c r="AO200" s="347"/>
      <c r="AP200" s="347"/>
      <c r="AQ200" s="347"/>
      <c r="AR200" s="347"/>
      <c r="AS200" s="347"/>
      <c r="AT200" s="347"/>
      <c r="AU200" s="347"/>
      <c r="AV200" s="347"/>
      <c r="AW200" s="347">
        <f t="shared" si="481"/>
        <v>770</v>
      </c>
      <c r="AX200" s="365">
        <f t="shared" si="482"/>
        <v>40.7176</v>
      </c>
      <c r="AY200" s="365">
        <f t="shared" si="483"/>
        <v>58.785</v>
      </c>
      <c r="AZ200" s="366">
        <v>680.46</v>
      </c>
      <c r="BA200" s="368">
        <v>39.74</v>
      </c>
      <c r="BB200" s="368">
        <v>62</v>
      </c>
      <c r="BC200" s="368">
        <v>67.14</v>
      </c>
      <c r="BD200" s="330"/>
      <c r="BE200" s="330">
        <f t="shared" si="484"/>
        <v>523954.2</v>
      </c>
      <c r="BF200" s="330">
        <f t="shared" si="485"/>
        <v>30599.8</v>
      </c>
      <c r="BG200" s="330">
        <f t="shared" si="486"/>
        <v>47740</v>
      </c>
      <c r="BH200" s="330">
        <f t="shared" si="487"/>
        <v>51697.8</v>
      </c>
      <c r="BI200" s="330"/>
      <c r="BJ200" s="370" cm="1">
        <f t="array" ref="BJ200:BM200">_xlfn.LET(_xlpm.data,$R200:$AV200,_xlpm.starts,{1,8,16,23},_xlpm.lengths,{7,7,8,9},_xlpm.arr,_xlfn.MAP(_xlpm.starts,_xlpm.lengths,_xlfn.LAMBDA(_xlpm.s,_xlpm.l,SUM(INDEX(_xlpm.data,,_xlfn.SEQUENCE(,_xlpm.l,_xlpm.s))))),ROUND(_xlpm.arr*$O200/1000,2))</f>
        <v>25.91</v>
      </c>
      <c r="BK200" s="330">
        <v>14.81</v>
      </c>
      <c r="BL200" s="330">
        <v>0</v>
      </c>
      <c r="BM200" s="330">
        <v>0</v>
      </c>
      <c r="BN200" s="258">
        <f t="shared" si="488"/>
        <v>40.72</v>
      </c>
      <c r="BO200" s="258">
        <v>0</v>
      </c>
      <c r="BP200" s="258">
        <v>0</v>
      </c>
      <c r="BQ200" s="258">
        <v>0.76</v>
      </c>
      <c r="BR200" s="258">
        <v>0</v>
      </c>
      <c r="BS200" s="115"/>
      <c r="BT200" s="258" cm="1">
        <f ca="1" t="array" ref="BT200:BW200">_xlfn.HSTACK(SUM(INDEX($R200:$AV200,1,1):INDEX($R200:$AV200,1,7)),SUM(INDEX($R200:$AV200,1,7):INDEX($R200:$AV200,1,13)),SUM(INDEX($R200:$AV200,1,16):INDEX($R200:$AV200,1,23)),SUM(INDEX($R200:$AV200,1,23):INDEX($R200:$AV200,1,31)))</f>
        <v>490</v>
      </c>
      <c r="BU200" s="258">
        <v>350</v>
      </c>
      <c r="BV200" s="258">
        <v>0</v>
      </c>
      <c r="BW200" s="258">
        <v>0</v>
      </c>
      <c r="BY200" s="258">
        <f t="shared" si="522"/>
        <v>490</v>
      </c>
      <c r="BZ200" s="258">
        <f t="shared" si="523"/>
        <v>280</v>
      </c>
      <c r="CA200" s="258">
        <f t="shared" si="524"/>
        <v>0</v>
      </c>
      <c r="CB200" s="258">
        <f t="shared" si="525"/>
        <v>0</v>
      </c>
      <c r="CD200" s="113"/>
      <c r="CE200" s="258">
        <f t="shared" si="506"/>
        <v>25.91</v>
      </c>
      <c r="CF200" s="258">
        <f t="shared" si="507"/>
        <v>14.81</v>
      </c>
      <c r="CG200" s="258">
        <f t="shared" si="508"/>
        <v>0</v>
      </c>
      <c r="CH200" s="258">
        <f t="shared" si="509"/>
        <v>0</v>
      </c>
      <c r="CI200" s="258">
        <f t="shared" si="493"/>
        <v>40.72</v>
      </c>
      <c r="CJ200" s="113"/>
      <c r="CK200" s="258">
        <f t="shared" ref="CK200:CN200" si="527">IFERROR(ROUND(BY200*$P200,2),"")</f>
        <v>374087.81</v>
      </c>
      <c r="CL200" s="258">
        <f t="shared" si="527"/>
        <v>213764.46</v>
      </c>
      <c r="CM200" s="258">
        <f t="shared" si="527"/>
        <v>0</v>
      </c>
      <c r="CN200" s="258">
        <f t="shared" si="527"/>
        <v>0</v>
      </c>
      <c r="CO200" s="258">
        <f t="shared" si="521"/>
        <v>587852.27</v>
      </c>
      <c r="CP200" s="258" t="e">
        <f>VLOOKUP(G200,[2]Sheet1!$C$3:$G$310,5,0)</f>
        <v>#N/A</v>
      </c>
      <c r="CQ200" s="258">
        <f>VLOOKUP(G200,[3]KCBB0101!$C$3:$F$691,4,0)</f>
        <v>7000</v>
      </c>
    </row>
    <row r="201" ht="17.6" spans="2:93">
      <c r="B201" s="334" t="str">
        <f>_xlfn.XLOOKUP(G201,销售需求表!A:A,销售需求表!C:C)</f>
        <v>南美</v>
      </c>
      <c r="C201" s="335" t="str">
        <f t="shared" si="517"/>
        <v>22.5</v>
      </c>
      <c r="D201" s="359" t="str">
        <f t="shared" si="478"/>
        <v>南美22.5寸</v>
      </c>
      <c r="E201" s="339" t="str">
        <f t="shared" si="395"/>
        <v>295/80R22.5-18PR(152/149M)-BRD06 PRO</v>
      </c>
      <c r="F201" s="340" t="str">
        <f t="shared" si="503"/>
        <v>295/80R22.5-18PR-BRD06 PRO</v>
      </c>
      <c r="G201" s="377" t="s">
        <v>549</v>
      </c>
      <c r="H201" s="334">
        <v>700</v>
      </c>
      <c r="I201" s="345"/>
      <c r="J201" s="346" t="str">
        <f t="shared" si="470"/>
        <v>295/80R22.5-BRD06 PRO</v>
      </c>
      <c r="K201" s="347" t="str">
        <f>_xlfn.XLOOKUP(F201,投产规格!E:E,投产规格!D:D,"未投产")</f>
        <v>✔</v>
      </c>
      <c r="L201" s="347">
        <f>IFERROR(_xlfn.XLOOKUP(F201,硫化工艺!B:B,硫化工艺!C:C),"")</f>
        <v>42</v>
      </c>
      <c r="M201" s="349">
        <f t="shared" si="479"/>
        <v>0.878048780487805</v>
      </c>
      <c r="N201" s="347" t="str">
        <f t="shared" si="480"/>
        <v>22.5全钢</v>
      </c>
      <c r="O201" s="347">
        <f>IFERROR(_xlfn.XLOOKUP(F201,轮胎重量!J:J,轮胎重量!G:G),"")</f>
        <v>63.389</v>
      </c>
      <c r="P201" s="347">
        <f>IFERROR(_xlfn.XLOOKUP(G201,硫化工艺!I:I,硫化工艺!J:J),"")</f>
        <v>946.5974</v>
      </c>
      <c r="Q201" s="347">
        <f t="shared" si="384"/>
        <v>0</v>
      </c>
      <c r="R201" s="347"/>
      <c r="S201" s="347"/>
      <c r="T201" s="347"/>
      <c r="U201" s="347"/>
      <c r="V201" s="347"/>
      <c r="W201" s="347"/>
      <c r="X201" s="347"/>
      <c r="Y201" s="347"/>
      <c r="Z201" s="347"/>
      <c r="AA201" s="347"/>
      <c r="AB201" s="347"/>
      <c r="AC201" s="347"/>
      <c r="AD201" s="347"/>
      <c r="AE201" s="347"/>
      <c r="AF201" s="347"/>
      <c r="AG201" s="347"/>
      <c r="AH201" s="347"/>
      <c r="AI201" s="347"/>
      <c r="AJ201" s="347"/>
      <c r="AK201" s="347"/>
      <c r="AL201" s="347"/>
      <c r="AM201" s="347"/>
      <c r="AN201" s="347"/>
      <c r="AO201" s="347"/>
      <c r="AP201" s="347"/>
      <c r="AQ201" s="347"/>
      <c r="AR201" s="347"/>
      <c r="AS201" s="347"/>
      <c r="AT201" s="347"/>
      <c r="AU201" s="347"/>
      <c r="AV201" s="347"/>
      <c r="AW201" s="347" t="str">
        <f t="shared" si="481"/>
        <v/>
      </c>
      <c r="AX201" s="365" t="str">
        <f t="shared" si="482"/>
        <v/>
      </c>
      <c r="AY201" s="365" t="str">
        <f t="shared" si="483"/>
        <v/>
      </c>
      <c r="AZ201" s="366">
        <v>499.64</v>
      </c>
      <c r="BA201" s="368">
        <v>31.94</v>
      </c>
      <c r="BB201" s="368">
        <v>52.47</v>
      </c>
      <c r="BC201" s="368">
        <v>55.21</v>
      </c>
      <c r="BE201" s="330" t="e">
        <f t="shared" si="484"/>
        <v>#VALUE!</v>
      </c>
      <c r="BF201" s="330" t="e">
        <f t="shared" si="485"/>
        <v>#VALUE!</v>
      </c>
      <c r="BG201" s="330" t="e">
        <f t="shared" si="486"/>
        <v>#VALUE!</v>
      </c>
      <c r="BH201" s="330" t="e">
        <f t="shared" si="487"/>
        <v>#VALUE!</v>
      </c>
      <c r="BJ201" s="370" cm="1">
        <f t="array" ref="BJ201:BM201">_xlfn.LET(_xlpm.data,$R201:$AV201,_xlpm.starts,{1,8,16,23},_xlpm.lengths,{7,7,8,9},_xlpm.arr,_xlfn.MAP(_xlpm.starts,_xlpm.lengths,_xlfn.LAMBDA(_xlpm.s,_xlpm.l,SUM(INDEX(_xlpm.data,,_xlfn.SEQUENCE(,_xlpm.l,_xlpm.s))))),ROUND(_xlpm.arr*$O201/1000,2))</f>
        <v>0</v>
      </c>
      <c r="BK201" s="330">
        <v>0</v>
      </c>
      <c r="BL201" s="330">
        <v>0</v>
      </c>
      <c r="BM201" s="330">
        <v>0</v>
      </c>
      <c r="BN201" s="258">
        <f t="shared" si="488"/>
        <v>0</v>
      </c>
      <c r="BO201" s="258">
        <v>49.18</v>
      </c>
      <c r="BP201" s="258">
        <v>49.18</v>
      </c>
      <c r="BQ201" s="258">
        <v>56.2</v>
      </c>
      <c r="BR201" s="258">
        <v>63.23</v>
      </c>
      <c r="BT201" s="258" cm="1">
        <f ca="1" t="array" ref="BT201:BW201">_xlfn.HSTACK(SUM(INDEX($R201:$AV201,1,1):INDEX($R201:$AV201,1,7)),SUM(INDEX($R201:$AV201,1,7):INDEX($R201:$AV201,1,13)),SUM(INDEX($R201:$AV201,1,16):INDEX($R201:$AV201,1,23)),SUM(INDEX($R201:$AV201,1,23):INDEX($R201:$AV201,1,31)))</f>
        <v>0</v>
      </c>
      <c r="BU201" s="258">
        <v>0</v>
      </c>
      <c r="BV201" s="258">
        <v>0</v>
      </c>
      <c r="BW201" s="258">
        <v>0</v>
      </c>
      <c r="BY201" s="258">
        <f t="shared" si="522"/>
        <v>0</v>
      </c>
      <c r="BZ201" s="258">
        <f t="shared" si="523"/>
        <v>0</v>
      </c>
      <c r="CA201" s="258">
        <f t="shared" si="524"/>
        <v>0</v>
      </c>
      <c r="CB201" s="258">
        <f t="shared" si="525"/>
        <v>0</v>
      </c>
      <c r="CE201" s="258">
        <f t="shared" si="506"/>
        <v>0</v>
      </c>
      <c r="CF201" s="258">
        <f t="shared" si="507"/>
        <v>0</v>
      </c>
      <c r="CG201" s="258">
        <f t="shared" si="508"/>
        <v>0</v>
      </c>
      <c r="CH201" s="258">
        <f t="shared" si="509"/>
        <v>0</v>
      </c>
      <c r="CI201" s="258">
        <f t="shared" si="493"/>
        <v>0</v>
      </c>
      <c r="CK201" s="258">
        <f t="shared" ref="CK201:CN201" si="528">IFERROR(ROUND(BY201*$P201,2),"")</f>
        <v>0</v>
      </c>
      <c r="CL201" s="258">
        <f t="shared" si="528"/>
        <v>0</v>
      </c>
      <c r="CM201" s="258">
        <f t="shared" si="528"/>
        <v>0</v>
      </c>
      <c r="CN201" s="258">
        <f t="shared" si="528"/>
        <v>0</v>
      </c>
      <c r="CO201" s="258">
        <f t="shared" si="521"/>
        <v>0</v>
      </c>
    </row>
    <row r="202" s="258" customFormat="1" ht="17.6" spans="1:93">
      <c r="A202" s="330"/>
      <c r="B202" s="334" t="str">
        <f>_xlfn.XLOOKUP(G202,销售需求表!A:A,销售需求表!C:C)</f>
        <v>南美</v>
      </c>
      <c r="C202" s="335" t="str">
        <f t="shared" si="517"/>
        <v>22.5</v>
      </c>
      <c r="D202" s="359" t="str">
        <f t="shared" ref="D202:D208" si="529">B202&amp;C202&amp;"寸"</f>
        <v>南美22.5寸</v>
      </c>
      <c r="E202" s="339" t="str">
        <f t="shared" si="395"/>
        <v>295/80R22.5-18PR(152/149M)-CR976A</v>
      </c>
      <c r="F202" s="340" t="str">
        <f t="shared" si="503"/>
        <v>295/80R22.5-18PR-CR976A</v>
      </c>
      <c r="G202" s="377" t="s">
        <v>550</v>
      </c>
      <c r="H202" s="334">
        <v>250</v>
      </c>
      <c r="I202" s="345"/>
      <c r="J202" s="346" t="str">
        <f t="shared" si="470"/>
        <v>295/80R22.5-CR976A</v>
      </c>
      <c r="K202" s="347" t="str">
        <f>_xlfn.XLOOKUP(F202,投产规格!E:E,投产规格!D:D,"未投产")</f>
        <v>✔</v>
      </c>
      <c r="L202" s="347">
        <f>IFERROR(_xlfn.XLOOKUP(F202,硫化工艺!B:B,硫化工艺!C:C),"")</f>
        <v>34.7</v>
      </c>
      <c r="M202" s="349">
        <f t="shared" ref="M202:M208" si="530">IF(L202="","",L202/(L202+$L$1/60))</f>
        <v>0.856085526315789</v>
      </c>
      <c r="N202" s="347" t="str">
        <f t="shared" si="480"/>
        <v>22.5全钢</v>
      </c>
      <c r="O202" s="347">
        <f>IFERROR(_xlfn.XLOOKUP(F202,轮胎重量!J:J,轮胎重量!G:G),"")</f>
        <v>53.862</v>
      </c>
      <c r="P202" s="350">
        <f>O202*13.9</f>
        <v>748.6818</v>
      </c>
      <c r="Q202" s="347">
        <f t="shared" si="384"/>
        <v>0</v>
      </c>
      <c r="R202" s="347"/>
      <c r="S202" s="347"/>
      <c r="T202" s="347"/>
      <c r="U202" s="347"/>
      <c r="V202" s="347"/>
      <c r="W202" s="347"/>
      <c r="X202" s="347"/>
      <c r="Y202" s="347"/>
      <c r="Z202" s="347"/>
      <c r="AA202" s="347"/>
      <c r="AB202" s="347"/>
      <c r="AC202" s="347"/>
      <c r="AD202" s="347"/>
      <c r="AE202" s="347"/>
      <c r="AF202" s="347"/>
      <c r="AG202" s="347"/>
      <c r="AH202" s="347"/>
      <c r="AI202" s="347"/>
      <c r="AJ202" s="347"/>
      <c r="AK202" s="347"/>
      <c r="AL202" s="347"/>
      <c r="AM202" s="347"/>
      <c r="AN202" s="347"/>
      <c r="AO202" s="347"/>
      <c r="AP202" s="347"/>
      <c r="AQ202" s="347"/>
      <c r="AR202" s="347"/>
      <c r="AS202" s="347"/>
      <c r="AT202" s="347"/>
      <c r="AU202" s="347"/>
      <c r="AV202" s="347"/>
      <c r="AW202" s="347" t="str">
        <f t="shared" ref="AW202:AW208" si="531">IF(SUM(R202:AV202)=0,"",SUM(R202:AV202))</f>
        <v/>
      </c>
      <c r="AX202" s="365" t="str">
        <f t="shared" ref="AX202:AX208" si="532">IFERROR(AW202*O202/1000,"")</f>
        <v/>
      </c>
      <c r="AY202" s="365" t="str">
        <f t="shared" ref="AY202:AY208" si="533">IFERROR(ROUND(AW202*P202/10000,3),"")</f>
        <v/>
      </c>
      <c r="AZ202" s="366">
        <v>499.64</v>
      </c>
      <c r="BA202" s="368">
        <v>31.94</v>
      </c>
      <c r="BB202" s="368">
        <v>52.47</v>
      </c>
      <c r="BC202" s="368">
        <v>55.21</v>
      </c>
      <c r="BD202" s="330"/>
      <c r="BE202" s="330" t="e">
        <f t="shared" ref="BE202:BE208" si="534">AZ202*AW202</f>
        <v>#VALUE!</v>
      </c>
      <c r="BF202" s="330" t="e">
        <f t="shared" ref="BF202:BF208" si="535">BA202*AW202</f>
        <v>#VALUE!</v>
      </c>
      <c r="BG202" s="330" t="e">
        <f t="shared" ref="BG202:BG208" si="536">BB202*AW202</f>
        <v>#VALUE!</v>
      </c>
      <c r="BH202" s="330" t="e">
        <f t="shared" ref="BH202:BH208" si="537">BC202*AW202</f>
        <v>#VALUE!</v>
      </c>
      <c r="BI202" s="330"/>
      <c r="BJ202" s="370" cm="1">
        <f t="array" ref="BJ202:BM202">_xlfn.LET(_xlpm.data,$R202:$AV202,_xlpm.starts,{1,8,16,23},_xlpm.lengths,{7,7,8,9},_xlpm.arr,_xlfn.MAP(_xlpm.starts,_xlpm.lengths,_xlfn.LAMBDA(_xlpm.s,_xlpm.l,SUM(INDEX(_xlpm.data,,_xlfn.SEQUENCE(,_xlpm.l,_xlpm.s))))),ROUND(_xlpm.arr*$O202/1000,2))</f>
        <v>0</v>
      </c>
      <c r="BK202" s="330">
        <v>0</v>
      </c>
      <c r="BL202" s="330">
        <v>0</v>
      </c>
      <c r="BM202" s="330">
        <v>0</v>
      </c>
      <c r="BN202" s="258">
        <f t="shared" ref="BN202:BN208" si="538">SUM(BJ202:BM202)</f>
        <v>0</v>
      </c>
      <c r="BO202" s="258">
        <v>49.18</v>
      </c>
      <c r="BP202" s="258">
        <v>49.18</v>
      </c>
      <c r="BQ202" s="258">
        <v>56.2</v>
      </c>
      <c r="BR202" s="258">
        <v>63.23</v>
      </c>
      <c r="BS202" s="115"/>
      <c r="BT202" s="258" cm="1">
        <f ca="1" t="array" ref="BT202:BW202">_xlfn.HSTACK(SUM(INDEX($R202:$AV202,1,1):INDEX($R202:$AV202,1,7)),SUM(INDEX($R202:$AV202,1,7):INDEX($R202:$AV202,1,13)),SUM(INDEX($R202:$AV202,1,16):INDEX($R202:$AV202,1,23)),SUM(INDEX($R202:$AV202,1,23):INDEX($R202:$AV202,1,31)))</f>
        <v>0</v>
      </c>
      <c r="BU202" s="258">
        <v>0</v>
      </c>
      <c r="BV202" s="258">
        <v>0</v>
      </c>
      <c r="BW202" s="258">
        <v>0</v>
      </c>
      <c r="BY202" s="258">
        <f t="shared" si="522"/>
        <v>0</v>
      </c>
      <c r="BZ202" s="258">
        <f t="shared" si="523"/>
        <v>0</v>
      </c>
      <c r="CA202" s="258">
        <f t="shared" si="524"/>
        <v>0</v>
      </c>
      <c r="CB202" s="258">
        <f t="shared" si="525"/>
        <v>0</v>
      </c>
      <c r="CD202" s="113"/>
      <c r="CE202" s="258">
        <f t="shared" ref="CE202:CE208" si="539">ROUND(BY202*$O202/1000,2)</f>
        <v>0</v>
      </c>
      <c r="CF202" s="258">
        <f t="shared" ref="CF202:CF208" si="540">ROUND(BZ202*$O202/1000,2)</f>
        <v>0</v>
      </c>
      <c r="CG202" s="258">
        <f t="shared" ref="CG202:CG208" si="541">ROUND(CA202*$O202/1000,2)</f>
        <v>0</v>
      </c>
      <c r="CH202" s="258">
        <f t="shared" ref="CH202:CH208" si="542">ROUND(CB202*$O202/1000,2)</f>
        <v>0</v>
      </c>
      <c r="CI202" s="258">
        <f t="shared" ref="CI202:CI208" si="543">SUM(CE202:CH202)</f>
        <v>0</v>
      </c>
      <c r="CJ202" s="113"/>
      <c r="CK202" s="258">
        <f t="shared" ref="CK202:CN202" si="544">IFERROR(ROUND(BY202*$P202,2),"")</f>
        <v>0</v>
      </c>
      <c r="CL202" s="258">
        <f t="shared" si="544"/>
        <v>0</v>
      </c>
      <c r="CM202" s="258">
        <f t="shared" si="544"/>
        <v>0</v>
      </c>
      <c r="CN202" s="258">
        <f t="shared" si="544"/>
        <v>0</v>
      </c>
      <c r="CO202" s="258">
        <f t="shared" si="521"/>
        <v>0</v>
      </c>
    </row>
    <row r="203" s="258" customFormat="1" ht="17.6" spans="1:95">
      <c r="A203" s="330"/>
      <c r="B203" s="334" t="str">
        <f>_xlfn.XLOOKUP(G203,销售需求表!A:A,销售需求表!C:C)</f>
        <v>南美</v>
      </c>
      <c r="C203" s="335" t="str">
        <f t="shared" si="517"/>
        <v>22.5</v>
      </c>
      <c r="D203" s="359" t="str">
        <f t="shared" si="529"/>
        <v>南美22.5寸</v>
      </c>
      <c r="E203" s="339" t="str">
        <f t="shared" si="395"/>
        <v>295/80R22.5-18PR(152/149M)-G-PRO D</v>
      </c>
      <c r="F203" s="340" t="str">
        <f t="shared" si="503"/>
        <v>295/80R22.5-18PR-G-PRO D</v>
      </c>
      <c r="G203" s="341" t="s">
        <v>551</v>
      </c>
      <c r="H203" s="334">
        <v>3000</v>
      </c>
      <c r="I203" s="345">
        <v>2</v>
      </c>
      <c r="J203" s="346" t="str">
        <f t="shared" si="470"/>
        <v>295/80R22.5-G-PRO D</v>
      </c>
      <c r="K203" s="347" t="str">
        <f>_xlfn.XLOOKUP(F203,投产规格!E:E,投产规格!D:D,"未投产")</f>
        <v>✔</v>
      </c>
      <c r="L203" s="347">
        <f>IFERROR(_xlfn.XLOOKUP(F203,硫化工艺!B:B,硫化工艺!C:C),"")</f>
        <v>46</v>
      </c>
      <c r="M203" s="349">
        <f t="shared" si="530"/>
        <v>0.887459807073955</v>
      </c>
      <c r="N203" s="347" t="str">
        <f t="shared" si="480"/>
        <v>22.5全钢</v>
      </c>
      <c r="O203" s="347">
        <f>IFERROR(_xlfn.XLOOKUP(F203,轮胎重量!J:J,轮胎重量!G:G),"")</f>
        <v>63.549</v>
      </c>
      <c r="P203" s="347">
        <f>IFERROR(_xlfn.XLOOKUP(G203,硫化工艺!I:I,硫化工艺!J:J),"")</f>
        <v>954.5585</v>
      </c>
      <c r="Q203" s="347">
        <f t="shared" ref="Q203:Q266" si="545">IFERROR(ROUND(1440/L203*(I203)*M203,0),"")</f>
        <v>56</v>
      </c>
      <c r="R203" s="347">
        <v>56</v>
      </c>
      <c r="S203" s="347">
        <v>56</v>
      </c>
      <c r="T203" s="347">
        <v>56</v>
      </c>
      <c r="U203" s="347">
        <v>56</v>
      </c>
      <c r="V203" s="347">
        <v>56</v>
      </c>
      <c r="W203" s="347">
        <v>56</v>
      </c>
      <c r="X203" s="347">
        <v>56</v>
      </c>
      <c r="Y203" s="347">
        <v>56</v>
      </c>
      <c r="Z203" s="347">
        <v>56</v>
      </c>
      <c r="AA203" s="347">
        <v>56</v>
      </c>
      <c r="AB203" s="347">
        <v>56</v>
      </c>
      <c r="AC203" s="347">
        <v>56</v>
      </c>
      <c r="AD203" s="347">
        <v>56</v>
      </c>
      <c r="AE203" s="347">
        <v>56</v>
      </c>
      <c r="AF203" s="347">
        <v>56</v>
      </c>
      <c r="AG203" s="347">
        <v>56</v>
      </c>
      <c r="AH203" s="347">
        <v>56</v>
      </c>
      <c r="AI203" s="347">
        <v>56</v>
      </c>
      <c r="AJ203" s="347">
        <v>56</v>
      </c>
      <c r="AK203" s="347">
        <v>56</v>
      </c>
      <c r="AL203" s="347">
        <v>56</v>
      </c>
      <c r="AM203" s="347">
        <v>56</v>
      </c>
      <c r="AN203" s="347">
        <v>56</v>
      </c>
      <c r="AO203" s="347">
        <v>56</v>
      </c>
      <c r="AP203" s="347">
        <v>56</v>
      </c>
      <c r="AQ203" s="347">
        <v>56</v>
      </c>
      <c r="AR203" s="347">
        <v>56</v>
      </c>
      <c r="AS203" s="347">
        <v>56</v>
      </c>
      <c r="AT203" s="347">
        <v>56</v>
      </c>
      <c r="AU203" s="347">
        <v>56</v>
      </c>
      <c r="AV203" s="347">
        <v>56</v>
      </c>
      <c r="AW203" s="347">
        <f t="shared" si="531"/>
        <v>1736</v>
      </c>
      <c r="AX203" s="365">
        <f t="shared" si="532"/>
        <v>110.321064</v>
      </c>
      <c r="AY203" s="365">
        <f t="shared" si="533"/>
        <v>165.711</v>
      </c>
      <c r="AZ203" s="366">
        <v>499.64</v>
      </c>
      <c r="BA203" s="368">
        <v>31.94</v>
      </c>
      <c r="BB203" s="368">
        <v>52.47</v>
      </c>
      <c r="BC203" s="368">
        <v>55.21</v>
      </c>
      <c r="BD203" s="330"/>
      <c r="BE203" s="330">
        <f t="shared" si="534"/>
        <v>867375.04</v>
      </c>
      <c r="BF203" s="330">
        <f t="shared" si="535"/>
        <v>55447.84</v>
      </c>
      <c r="BG203" s="330">
        <f t="shared" si="536"/>
        <v>91087.92</v>
      </c>
      <c r="BH203" s="330">
        <f t="shared" si="537"/>
        <v>95844.56</v>
      </c>
      <c r="BI203" s="330"/>
      <c r="BJ203" s="370" cm="1">
        <f t="array" ref="BJ203:BM203">_xlfn.LET(_xlpm.data,$R203:$AV203,_xlpm.starts,{1,8,16,23},_xlpm.lengths,{7,7,8,9},_xlpm.arr,_xlfn.MAP(_xlpm.starts,_xlpm.lengths,_xlfn.LAMBDA(_xlpm.s,_xlpm.l,SUM(INDEX(_xlpm.data,,_xlfn.SEQUENCE(,_xlpm.l,_xlpm.s))))),ROUND(_xlpm.arr*$O203/1000,2))</f>
        <v>24.91</v>
      </c>
      <c r="BK203" s="330">
        <v>24.91</v>
      </c>
      <c r="BL203" s="330">
        <v>28.47</v>
      </c>
      <c r="BM203" s="330">
        <v>32.03</v>
      </c>
      <c r="BN203" s="258">
        <f t="shared" si="538"/>
        <v>110.32</v>
      </c>
      <c r="BO203" s="258">
        <v>49.18</v>
      </c>
      <c r="BP203" s="258">
        <v>49.18</v>
      </c>
      <c r="BQ203" s="258">
        <v>56.2</v>
      </c>
      <c r="BR203" s="258">
        <v>63.23</v>
      </c>
      <c r="BS203" s="115"/>
      <c r="BT203" s="258" cm="1">
        <f ca="1" t="array" ref="BT203:BW203">_xlfn.HSTACK(SUM(INDEX($R203:$AV203,1,1):INDEX($R203:$AV203,1,7)),SUM(INDEX($R203:$AV203,1,7):INDEX($R203:$AV203,1,13)),SUM(INDEX($R203:$AV203,1,16):INDEX($R203:$AV203,1,23)),SUM(INDEX($R203:$AV203,1,23):INDEX($R203:$AV203,1,31)))</f>
        <v>392</v>
      </c>
      <c r="BU203" s="258">
        <v>392</v>
      </c>
      <c r="BV203" s="258">
        <v>448</v>
      </c>
      <c r="BW203" s="258">
        <v>504</v>
      </c>
      <c r="BY203" s="258">
        <f t="shared" si="522"/>
        <v>392</v>
      </c>
      <c r="BZ203" s="258">
        <f t="shared" si="523"/>
        <v>392</v>
      </c>
      <c r="CA203" s="258">
        <f t="shared" si="524"/>
        <v>448</v>
      </c>
      <c r="CB203" s="258">
        <f t="shared" si="525"/>
        <v>504</v>
      </c>
      <c r="CD203" s="113"/>
      <c r="CE203" s="258">
        <f t="shared" si="539"/>
        <v>24.91</v>
      </c>
      <c r="CF203" s="258">
        <f t="shared" si="540"/>
        <v>24.91</v>
      </c>
      <c r="CG203" s="258">
        <f t="shared" si="541"/>
        <v>28.47</v>
      </c>
      <c r="CH203" s="258">
        <f t="shared" si="542"/>
        <v>32.03</v>
      </c>
      <c r="CI203" s="258">
        <f t="shared" si="543"/>
        <v>110.32</v>
      </c>
      <c r="CJ203" s="113"/>
      <c r="CK203" s="258">
        <f t="shared" ref="CK203:CN203" si="546">IFERROR(ROUND(BY203*$P203,2),"")</f>
        <v>374186.93</v>
      </c>
      <c r="CL203" s="258">
        <f t="shared" si="546"/>
        <v>374186.93</v>
      </c>
      <c r="CM203" s="258">
        <f t="shared" si="546"/>
        <v>427642.21</v>
      </c>
      <c r="CN203" s="258">
        <f t="shared" si="546"/>
        <v>481097.48</v>
      </c>
      <c r="CO203" s="258">
        <f t="shared" si="521"/>
        <v>1657113.55</v>
      </c>
      <c r="CP203" s="258" t="e">
        <f>VLOOKUP(G203,[2]Sheet1!$C$3:$G$310,5,0)</f>
        <v>#N/A</v>
      </c>
      <c r="CQ203" s="258">
        <f>VLOOKUP(G203,[3]KCBB0101!$C$3:$F$691,4,0)</f>
        <v>13297</v>
      </c>
    </row>
    <row r="204" ht="17.6" spans="2:95">
      <c r="B204" s="334" t="str">
        <f>_xlfn.XLOOKUP(G204,销售需求表!A:A,销售需求表!C:C)</f>
        <v>南美</v>
      </c>
      <c r="C204" s="335" t="str">
        <f t="shared" si="517"/>
        <v>22.5</v>
      </c>
      <c r="D204" s="359" t="str">
        <f t="shared" si="529"/>
        <v>南美22.5寸</v>
      </c>
      <c r="E204" s="339" t="str">
        <f t="shared" ref="E204:E267" si="547">LEFT(REPLACE(G204,1,2,""),FIND("[",REPLACE(G204,1,2,""))-1)&amp;"-"&amp;MID(REPLACE(G204,1,2,""),FIND("[",REPLACE(G204,1,2,""))+1,FIND("]",REPLACE(G204,1,2,""))-FIND("[",REPLACE(G204,1,2,""))-1)</f>
        <v>295/80R22.5-18PR(152/149M)-G-PRO S</v>
      </c>
      <c r="F204" s="340" t="str">
        <f t="shared" si="503"/>
        <v>295/80R22.5-18PR-G-PRO S</v>
      </c>
      <c r="G204" s="341" t="s">
        <v>552</v>
      </c>
      <c r="H204" s="334">
        <v>4000</v>
      </c>
      <c r="I204" s="345"/>
      <c r="J204" s="346" t="str">
        <f t="shared" si="470"/>
        <v>295/80R22.5-G-PRO S</v>
      </c>
      <c r="K204" s="347" t="str">
        <f>_xlfn.XLOOKUP(F204,投产规格!E:E,投产规格!D:D,"未投产")</f>
        <v>✔</v>
      </c>
      <c r="L204" s="347">
        <f>IFERROR(_xlfn.XLOOKUP(F204,硫化工艺!B:B,硫化工艺!C:C),"")</f>
        <v>46</v>
      </c>
      <c r="M204" s="349">
        <f t="shared" si="530"/>
        <v>0.887459807073955</v>
      </c>
      <c r="N204" s="347" t="str">
        <f t="shared" si="480"/>
        <v>22.5全钢</v>
      </c>
      <c r="O204" s="347">
        <f>IFERROR(_xlfn.XLOOKUP(F204,轮胎重量!J:J,轮胎重量!G:G),"")</f>
        <v>61.554</v>
      </c>
      <c r="P204" s="347">
        <f>IFERROR(_xlfn.XLOOKUP(G204,硫化工艺!I:I,硫化工艺!J:J),"")</f>
        <v>902.1747</v>
      </c>
      <c r="Q204" s="347">
        <f t="shared" si="545"/>
        <v>0</v>
      </c>
      <c r="R204" s="347"/>
      <c r="S204" s="347"/>
      <c r="T204" s="347"/>
      <c r="U204" s="347"/>
      <c r="V204" s="347"/>
      <c r="W204" s="347"/>
      <c r="X204" s="347"/>
      <c r="Y204" s="347"/>
      <c r="Z204" s="347"/>
      <c r="AA204" s="347">
        <v>56</v>
      </c>
      <c r="AB204" s="347">
        <v>56</v>
      </c>
      <c r="AC204" s="347">
        <v>56</v>
      </c>
      <c r="AD204" s="347">
        <v>56</v>
      </c>
      <c r="AE204" s="347">
        <v>56</v>
      </c>
      <c r="AF204" s="347">
        <v>56</v>
      </c>
      <c r="AG204" s="347">
        <v>56</v>
      </c>
      <c r="AH204" s="347">
        <v>56</v>
      </c>
      <c r="AI204" s="347">
        <v>56</v>
      </c>
      <c r="AJ204" s="347">
        <v>56</v>
      </c>
      <c r="AK204" s="347">
        <v>56</v>
      </c>
      <c r="AL204" s="347">
        <v>56</v>
      </c>
      <c r="AM204" s="347">
        <v>56</v>
      </c>
      <c r="AN204" s="347">
        <v>56</v>
      </c>
      <c r="AO204" s="347">
        <v>56</v>
      </c>
      <c r="AP204" s="347">
        <v>56</v>
      </c>
      <c r="AQ204" s="347">
        <v>56</v>
      </c>
      <c r="AR204" s="347">
        <v>56</v>
      </c>
      <c r="AS204" s="347">
        <v>56</v>
      </c>
      <c r="AT204" s="347">
        <v>56</v>
      </c>
      <c r="AU204" s="347">
        <v>56</v>
      </c>
      <c r="AV204" s="347">
        <v>56</v>
      </c>
      <c r="AW204" s="347">
        <f t="shared" si="531"/>
        <v>1232</v>
      </c>
      <c r="AX204" s="365">
        <f t="shared" si="532"/>
        <v>75.834528</v>
      </c>
      <c r="AY204" s="365">
        <f t="shared" si="533"/>
        <v>111.148</v>
      </c>
      <c r="AZ204" s="366"/>
      <c r="BA204" s="368"/>
      <c r="BB204" s="368"/>
      <c r="BC204" s="368"/>
      <c r="BE204" s="330">
        <f t="shared" si="534"/>
        <v>0</v>
      </c>
      <c r="BF204" s="330">
        <f t="shared" si="535"/>
        <v>0</v>
      </c>
      <c r="BG204" s="330">
        <f t="shared" si="536"/>
        <v>0</v>
      </c>
      <c r="BH204" s="330">
        <f t="shared" si="537"/>
        <v>0</v>
      </c>
      <c r="BJ204" s="370" cm="1">
        <f t="array" ref="BJ204:BM204">_xlfn.LET(_xlpm.data,$R204:$AV204,_xlpm.starts,{1,8,16,23},_xlpm.lengths,{7,7,8,9},_xlpm.arr,_xlfn.MAP(_xlpm.starts,_xlpm.lengths,_xlfn.LAMBDA(_xlpm.s,_xlpm.l,SUM(INDEX(_xlpm.data,,_xlfn.SEQUENCE(,_xlpm.l,_xlpm.s))))),ROUND(_xlpm.arr*$O204/1000,2))</f>
        <v>0</v>
      </c>
      <c r="BK204" s="330">
        <v>17.24</v>
      </c>
      <c r="BL204" s="330">
        <v>27.58</v>
      </c>
      <c r="BM204" s="330">
        <v>31.02</v>
      </c>
      <c r="BN204" s="258">
        <f t="shared" si="538"/>
        <v>75.84</v>
      </c>
      <c r="BO204" s="258">
        <v>49.18</v>
      </c>
      <c r="BP204" s="258">
        <v>49.18</v>
      </c>
      <c r="BQ204" s="258">
        <v>56.2</v>
      </c>
      <c r="BR204" s="258">
        <v>63.23</v>
      </c>
      <c r="BT204" s="258" cm="1">
        <f ca="1" t="array" ref="BT204:BW204">_xlfn.HSTACK(SUM(INDEX($R204:$AV204,1,1):INDEX($R204:$AV204,1,7)),SUM(INDEX($R204:$AV204,1,7):INDEX($R204:$AV204,1,13)),SUM(INDEX($R204:$AV204,1,16):INDEX($R204:$AV204,1,23)),SUM(INDEX($R204:$AV204,1,23):INDEX($R204:$AV204,1,31)))</f>
        <v>0</v>
      </c>
      <c r="BU204" s="258">
        <v>224</v>
      </c>
      <c r="BV204" s="258">
        <v>448</v>
      </c>
      <c r="BW204" s="258">
        <v>504</v>
      </c>
      <c r="BY204" s="258">
        <f t="shared" si="522"/>
        <v>0</v>
      </c>
      <c r="BZ204" s="258">
        <f t="shared" si="523"/>
        <v>280</v>
      </c>
      <c r="CA204" s="258">
        <f t="shared" si="524"/>
        <v>448</v>
      </c>
      <c r="CB204" s="258">
        <f t="shared" si="525"/>
        <v>504</v>
      </c>
      <c r="CE204" s="258">
        <f t="shared" si="539"/>
        <v>0</v>
      </c>
      <c r="CF204" s="258">
        <f t="shared" si="540"/>
        <v>17.24</v>
      </c>
      <c r="CG204" s="258">
        <f t="shared" si="541"/>
        <v>27.58</v>
      </c>
      <c r="CH204" s="258">
        <f t="shared" si="542"/>
        <v>31.02</v>
      </c>
      <c r="CI204" s="258">
        <f t="shared" si="543"/>
        <v>75.84</v>
      </c>
      <c r="CK204" s="258">
        <f t="shared" ref="CK204:CN204" si="548">IFERROR(ROUND(BY204*$P204,2),"")</f>
        <v>0</v>
      </c>
      <c r="CL204" s="258">
        <f t="shared" si="548"/>
        <v>252608.92</v>
      </c>
      <c r="CM204" s="258">
        <f t="shared" si="548"/>
        <v>404174.27</v>
      </c>
      <c r="CN204" s="258">
        <f t="shared" si="548"/>
        <v>454696.05</v>
      </c>
      <c r="CO204" s="258">
        <f t="shared" si="521"/>
        <v>1111479.24</v>
      </c>
      <c r="CP204" s="258" t="e">
        <f>VLOOKUP(G204,[2]Sheet1!$C$3:$G$310,5,0)</f>
        <v>#N/A</v>
      </c>
      <c r="CQ204" s="258">
        <f>VLOOKUP(G204,[3]KCBB0101!$C$3:$F$691,4,0)</f>
        <v>25336</v>
      </c>
    </row>
    <row r="205" ht="17.6" spans="2:93">
      <c r="B205" s="334" t="str">
        <f>_xlfn.XLOOKUP(G205,销售需求表!A:A,销售需求表!C:C)</f>
        <v>南美</v>
      </c>
      <c r="C205" s="335" t="str">
        <f t="shared" si="517"/>
        <v>22.5</v>
      </c>
      <c r="D205" s="359" t="str">
        <f t="shared" si="529"/>
        <v>南美22.5寸</v>
      </c>
      <c r="E205" s="339" t="str">
        <f t="shared" si="547"/>
        <v>295/80R22.5-18PR(152/149M)-RF45</v>
      </c>
      <c r="F205" s="340" t="str">
        <f t="shared" si="503"/>
        <v>295/80R22.5-18PR-RF45</v>
      </c>
      <c r="G205" s="377" t="s">
        <v>553</v>
      </c>
      <c r="H205" s="334">
        <v>150</v>
      </c>
      <c r="I205" s="345"/>
      <c r="J205" s="346" t="str">
        <f t="shared" si="470"/>
        <v>295/80R22.5-RF45</v>
      </c>
      <c r="K205" s="347" t="str">
        <f>_xlfn.XLOOKUP(F205,投产规格!E:E,投产规格!D:D,"未投产")</f>
        <v>✔</v>
      </c>
      <c r="L205" s="347">
        <f>IFERROR(_xlfn.XLOOKUP(F205,硫化工艺!B:B,硫化工艺!C:C),"")</f>
        <v>42</v>
      </c>
      <c r="M205" s="349">
        <f t="shared" si="530"/>
        <v>0.878048780487805</v>
      </c>
      <c r="N205" s="347" t="str">
        <f t="shared" si="480"/>
        <v>22.5全钢</v>
      </c>
      <c r="O205" s="347">
        <f>IFERROR(_xlfn.XLOOKUP(F205,轮胎重量!J:J,轮胎重量!G:G),"")</f>
        <v>63.389</v>
      </c>
      <c r="P205" s="347">
        <f>IFERROR(_xlfn.XLOOKUP(G205,硫化工艺!I:I,硫化工艺!J:J),"")</f>
        <v>946.6</v>
      </c>
      <c r="Q205" s="347">
        <f t="shared" si="545"/>
        <v>0</v>
      </c>
      <c r="R205" s="347"/>
      <c r="S205" s="347"/>
      <c r="T205" s="347"/>
      <c r="U205" s="347"/>
      <c r="V205" s="347"/>
      <c r="W205" s="347"/>
      <c r="X205" s="347"/>
      <c r="Y205" s="347"/>
      <c r="Z205" s="347"/>
      <c r="AA205" s="347"/>
      <c r="AB205" s="347"/>
      <c r="AC205" s="347"/>
      <c r="AD205" s="347"/>
      <c r="AE205" s="347"/>
      <c r="AF205" s="347"/>
      <c r="AG205" s="347"/>
      <c r="AH205" s="347"/>
      <c r="AI205" s="347"/>
      <c r="AJ205" s="347"/>
      <c r="AK205" s="347"/>
      <c r="AL205" s="347"/>
      <c r="AM205" s="347"/>
      <c r="AN205" s="347"/>
      <c r="AO205" s="347"/>
      <c r="AP205" s="347"/>
      <c r="AQ205" s="347"/>
      <c r="AR205" s="347"/>
      <c r="AS205" s="347"/>
      <c r="AT205" s="347"/>
      <c r="AU205" s="347"/>
      <c r="AV205" s="347"/>
      <c r="AW205" s="347" t="str">
        <f t="shared" si="531"/>
        <v/>
      </c>
      <c r="AX205" s="365" t="str">
        <f t="shared" si="532"/>
        <v/>
      </c>
      <c r="AY205" s="365" t="str">
        <f t="shared" si="533"/>
        <v/>
      </c>
      <c r="AZ205" s="366">
        <v>488.41</v>
      </c>
      <c r="BA205" s="368">
        <v>30.55</v>
      </c>
      <c r="BB205" s="368">
        <v>50.96</v>
      </c>
      <c r="BC205" s="368">
        <v>53.87</v>
      </c>
      <c r="BE205" s="330" t="e">
        <f t="shared" si="534"/>
        <v>#VALUE!</v>
      </c>
      <c r="BF205" s="330" t="e">
        <f t="shared" si="535"/>
        <v>#VALUE!</v>
      </c>
      <c r="BG205" s="330" t="e">
        <f t="shared" si="536"/>
        <v>#VALUE!</v>
      </c>
      <c r="BH205" s="330" t="e">
        <f t="shared" si="537"/>
        <v>#VALUE!</v>
      </c>
      <c r="BJ205" s="370" cm="1">
        <f t="array" ref="BJ205:BM205">_xlfn.LET(_xlpm.data,$R205:$AV205,_xlpm.starts,{1,8,16,23},_xlpm.lengths,{7,7,8,9},_xlpm.arr,_xlfn.MAP(_xlpm.starts,_xlpm.lengths,_xlfn.LAMBDA(_xlpm.s,_xlpm.l,SUM(INDEX(_xlpm.data,,_xlfn.SEQUENCE(,_xlpm.l,_xlpm.s))))),ROUND(_xlpm.arr*$O205/1000,2))</f>
        <v>0</v>
      </c>
      <c r="BK205" s="330">
        <v>0</v>
      </c>
      <c r="BL205" s="330">
        <v>0</v>
      </c>
      <c r="BM205" s="330">
        <v>0</v>
      </c>
      <c r="BN205" s="258">
        <f t="shared" si="538"/>
        <v>0</v>
      </c>
      <c r="BO205" s="258">
        <v>71.42</v>
      </c>
      <c r="BP205" s="258">
        <v>71.42</v>
      </c>
      <c r="BQ205" s="258">
        <v>81.62</v>
      </c>
      <c r="BR205" s="258">
        <v>91.82</v>
      </c>
      <c r="BT205" s="258" cm="1">
        <f ca="1" t="array" ref="BT205:BW205">_xlfn.HSTACK(SUM(INDEX($R205:$AV205,1,1):INDEX($R205:$AV205,1,7)),SUM(INDEX($R205:$AV205,1,7):INDEX($R205:$AV205,1,13)),SUM(INDEX($R205:$AV205,1,16):INDEX($R205:$AV205,1,23)),SUM(INDEX($R205:$AV205,1,23):INDEX($R205:$AV205,1,31)))</f>
        <v>0</v>
      </c>
      <c r="BU205" s="258">
        <v>0</v>
      </c>
      <c r="BV205" s="258">
        <v>0</v>
      </c>
      <c r="BW205" s="258">
        <v>0</v>
      </c>
      <c r="BY205" s="258">
        <f t="shared" si="522"/>
        <v>0</v>
      </c>
      <c r="BZ205" s="258">
        <f t="shared" si="523"/>
        <v>0</v>
      </c>
      <c r="CA205" s="258">
        <f t="shared" si="524"/>
        <v>0</v>
      </c>
      <c r="CB205" s="258">
        <f t="shared" si="525"/>
        <v>0</v>
      </c>
      <c r="CE205" s="258">
        <f t="shared" si="539"/>
        <v>0</v>
      </c>
      <c r="CF205" s="258">
        <f t="shared" si="540"/>
        <v>0</v>
      </c>
      <c r="CG205" s="258">
        <f t="shared" si="541"/>
        <v>0</v>
      </c>
      <c r="CH205" s="258">
        <f t="shared" si="542"/>
        <v>0</v>
      </c>
      <c r="CI205" s="258">
        <f t="shared" si="543"/>
        <v>0</v>
      </c>
      <c r="CK205" s="258">
        <f t="shared" ref="CK205:CN205" si="549">IFERROR(ROUND(BY205*$P205,2),"")</f>
        <v>0</v>
      </c>
      <c r="CL205" s="258">
        <f t="shared" si="549"/>
        <v>0</v>
      </c>
      <c r="CM205" s="258">
        <f t="shared" si="549"/>
        <v>0</v>
      </c>
      <c r="CN205" s="258">
        <f t="shared" si="549"/>
        <v>0</v>
      </c>
      <c r="CO205" s="258">
        <f t="shared" si="521"/>
        <v>0</v>
      </c>
    </row>
    <row r="206" s="258" customFormat="1" ht="17.6" spans="1:95">
      <c r="A206" s="330"/>
      <c r="B206" s="334" t="str">
        <f>_xlfn.XLOOKUP(G206,销售需求表!A:A,销售需求表!C:C)</f>
        <v>南美</v>
      </c>
      <c r="C206" s="335" t="str">
        <f t="shared" ref="C206:C214" si="550">IFERROR(MID(F206,FIND("R",F206)+1,4),"")</f>
        <v>22.5</v>
      </c>
      <c r="D206" s="359" t="str">
        <f t="shared" si="529"/>
        <v>南美22.5寸</v>
      </c>
      <c r="E206" s="339" t="str">
        <f t="shared" si="547"/>
        <v>295/80R22.5-18PR(152/149M)-TUCSON A</v>
      </c>
      <c r="F206" s="340" t="str">
        <f t="shared" si="503"/>
        <v>295/80R22.5-18PR-TUCSON A</v>
      </c>
      <c r="G206" s="341" t="s">
        <v>554</v>
      </c>
      <c r="H206" s="334">
        <v>8000</v>
      </c>
      <c r="I206" s="345"/>
      <c r="J206" s="346" t="str">
        <f t="shared" si="470"/>
        <v>295/80R22.5-TUCSON A</v>
      </c>
      <c r="K206" s="347" t="str">
        <f>_xlfn.XLOOKUP(F206,投产规格!E:E,投产规格!D:D,"未投产")</f>
        <v>✔</v>
      </c>
      <c r="L206" s="347">
        <f>IFERROR(_xlfn.XLOOKUP(F206,硫化工艺!B:B,硫化工艺!C:C),"")</f>
        <v>34.7</v>
      </c>
      <c r="M206" s="349">
        <f t="shared" si="530"/>
        <v>0.856085526315789</v>
      </c>
      <c r="N206" s="347" t="str">
        <f t="shared" si="480"/>
        <v>22.5全钢</v>
      </c>
      <c r="O206" s="347">
        <f>IFERROR(_xlfn.XLOOKUP(F206,轮胎重量!J:J,轮胎重量!G:G),"")</f>
        <v>52.88</v>
      </c>
      <c r="P206" s="347">
        <f>IFERROR(_xlfn.XLOOKUP(G206,硫化工艺!I:I,硫化工艺!J:J),"")</f>
        <v>760.7194</v>
      </c>
      <c r="Q206" s="347">
        <f t="shared" si="545"/>
        <v>0</v>
      </c>
      <c r="R206" s="347"/>
      <c r="S206" s="347"/>
      <c r="T206" s="347"/>
      <c r="U206" s="347"/>
      <c r="V206" s="347"/>
      <c r="W206" s="347"/>
      <c r="X206" s="347"/>
      <c r="Y206" s="354">
        <v>70</v>
      </c>
      <c r="Z206" s="354">
        <v>70</v>
      </c>
      <c r="AA206" s="354">
        <v>70</v>
      </c>
      <c r="AB206" s="354">
        <v>70</v>
      </c>
      <c r="AC206" s="354">
        <v>70</v>
      </c>
      <c r="AD206" s="354">
        <v>70</v>
      </c>
      <c r="AE206" s="354">
        <v>70</v>
      </c>
      <c r="AF206" s="354">
        <v>70</v>
      </c>
      <c r="AG206" s="354">
        <v>70</v>
      </c>
      <c r="AH206" s="354">
        <v>70</v>
      </c>
      <c r="AI206" s="354">
        <v>70</v>
      </c>
      <c r="AJ206" s="354">
        <v>70</v>
      </c>
      <c r="AK206" s="354">
        <v>70</v>
      </c>
      <c r="AL206" s="354">
        <v>140</v>
      </c>
      <c r="AM206" s="354">
        <v>140</v>
      </c>
      <c r="AN206" s="354">
        <v>140</v>
      </c>
      <c r="AO206" s="354">
        <v>140</v>
      </c>
      <c r="AP206" s="354">
        <v>140</v>
      </c>
      <c r="AQ206" s="354">
        <v>140</v>
      </c>
      <c r="AR206" s="354">
        <v>140</v>
      </c>
      <c r="AS206" s="354">
        <v>140</v>
      </c>
      <c r="AT206" s="354">
        <v>140</v>
      </c>
      <c r="AU206" s="354">
        <v>140</v>
      </c>
      <c r="AV206" s="354">
        <v>140</v>
      </c>
      <c r="AW206" s="347">
        <f t="shared" si="531"/>
        <v>2450</v>
      </c>
      <c r="AX206" s="365">
        <f t="shared" si="532"/>
        <v>129.556</v>
      </c>
      <c r="AY206" s="365">
        <f t="shared" si="533"/>
        <v>186.376</v>
      </c>
      <c r="AZ206" s="366">
        <v>488.41</v>
      </c>
      <c r="BA206" s="368">
        <v>30.55</v>
      </c>
      <c r="BB206" s="368">
        <v>50.96</v>
      </c>
      <c r="BC206" s="368">
        <v>53.87</v>
      </c>
      <c r="BD206" s="330"/>
      <c r="BE206" s="330">
        <f t="shared" si="534"/>
        <v>1196604.5</v>
      </c>
      <c r="BF206" s="330">
        <f t="shared" si="535"/>
        <v>74847.5</v>
      </c>
      <c r="BG206" s="330">
        <f t="shared" si="536"/>
        <v>124852</v>
      </c>
      <c r="BH206" s="330">
        <f t="shared" si="537"/>
        <v>131981.5</v>
      </c>
      <c r="BI206" s="330"/>
      <c r="BJ206" s="370" cm="1">
        <f t="array" ref="BJ206:BM206">_xlfn.LET(_xlpm.data,$R206:$AV206,_xlpm.starts,{1,8,16,23},_xlpm.lengths,{7,7,8,9},_xlpm.arr,_xlfn.MAP(_xlpm.starts,_xlpm.lengths,_xlfn.LAMBDA(_xlpm.s,_xlpm.l,SUM(INDEX(_xlpm.data,,_xlfn.SEQUENCE(,_xlpm.l,_xlpm.s))))),ROUND(_xlpm.arr*$O206/1000,2))</f>
        <v>0</v>
      </c>
      <c r="BK206" s="330">
        <v>25.91</v>
      </c>
      <c r="BL206" s="330">
        <v>40.72</v>
      </c>
      <c r="BM206" s="330">
        <v>66.63</v>
      </c>
      <c r="BN206" s="258">
        <f t="shared" si="538"/>
        <v>133.26</v>
      </c>
      <c r="BO206" s="258">
        <v>71.42</v>
      </c>
      <c r="BP206" s="258">
        <v>71.42</v>
      </c>
      <c r="BQ206" s="258">
        <v>81.62</v>
      </c>
      <c r="BR206" s="258">
        <v>91.82</v>
      </c>
      <c r="BS206" s="115"/>
      <c r="BT206" s="258" cm="1">
        <f ca="1" t="array" ref="BT206:BW206">_xlfn.HSTACK(SUM(INDEX($R206:$AV206,1,1):INDEX($R206:$AV206,1,7)),SUM(INDEX($R206:$AV206,1,7):INDEX($R206:$AV206,1,13)),SUM(INDEX($R206:$AV206,1,16):INDEX($R206:$AV206,1,23)),SUM(INDEX($R206:$AV206,1,23):INDEX($R206:$AV206,1,31)))</f>
        <v>0</v>
      </c>
      <c r="BU206" s="258">
        <v>420</v>
      </c>
      <c r="BV206" s="258">
        <v>770</v>
      </c>
      <c r="BW206" s="258">
        <v>1260</v>
      </c>
      <c r="BY206" s="258">
        <f t="shared" si="522"/>
        <v>0</v>
      </c>
      <c r="BZ206" s="258">
        <f t="shared" si="523"/>
        <v>490</v>
      </c>
      <c r="CA206" s="258">
        <f t="shared" si="524"/>
        <v>700</v>
      </c>
      <c r="CB206" s="258">
        <f t="shared" si="525"/>
        <v>1260</v>
      </c>
      <c r="CD206" s="113"/>
      <c r="CE206" s="258">
        <f t="shared" si="539"/>
        <v>0</v>
      </c>
      <c r="CF206" s="258">
        <f t="shared" si="540"/>
        <v>25.91</v>
      </c>
      <c r="CG206" s="258">
        <f t="shared" si="541"/>
        <v>37.02</v>
      </c>
      <c r="CH206" s="258">
        <f t="shared" si="542"/>
        <v>66.63</v>
      </c>
      <c r="CI206" s="258">
        <f t="shared" si="543"/>
        <v>129.56</v>
      </c>
      <c r="CJ206" s="113"/>
      <c r="CK206" s="258">
        <f t="shared" ref="CK206:CN206" si="551">IFERROR(ROUND(BY206*$P206,2),"")</f>
        <v>0</v>
      </c>
      <c r="CL206" s="258">
        <f t="shared" si="551"/>
        <v>372752.51</v>
      </c>
      <c r="CM206" s="258">
        <f t="shared" si="551"/>
        <v>532503.58</v>
      </c>
      <c r="CN206" s="258">
        <f t="shared" si="551"/>
        <v>958506.44</v>
      </c>
      <c r="CO206" s="258">
        <f t="shared" si="521"/>
        <v>1863762.53</v>
      </c>
      <c r="CP206" s="258" t="e">
        <f>VLOOKUP(G206,[2]Sheet1!$C$3:$G$310,5,0)</f>
        <v>#N/A</v>
      </c>
      <c r="CQ206" s="258">
        <f>VLOOKUP(G206,[3]KCBB0101!$C$3:$F$691,4,0)</f>
        <v>20581</v>
      </c>
    </row>
    <row r="207" s="258" customFormat="1" ht="17.6" spans="1:93">
      <c r="A207" s="330"/>
      <c r="B207" s="334" t="str">
        <f>_xlfn.XLOOKUP(G207,销售需求表!A:A,销售需求表!C:C)</f>
        <v>南美</v>
      </c>
      <c r="C207" s="335" t="str">
        <f t="shared" si="550"/>
        <v>22.5</v>
      </c>
      <c r="D207" s="359" t="str">
        <f t="shared" si="529"/>
        <v>南美22.5寸</v>
      </c>
      <c r="E207" s="339" t="str">
        <f t="shared" si="547"/>
        <v>295/80R22.5-18PR(152/149M)-TUCSON D</v>
      </c>
      <c r="F207" s="340" t="str">
        <f t="shared" si="503"/>
        <v>295/80R22.5-18PR-TUCSON D</v>
      </c>
      <c r="G207" s="377" t="s">
        <v>555</v>
      </c>
      <c r="H207" s="334">
        <v>120</v>
      </c>
      <c r="I207" s="345"/>
      <c r="J207" s="346" t="str">
        <f t="shared" si="470"/>
        <v>295/80R22.5-TUCSON D</v>
      </c>
      <c r="K207" s="347" t="str">
        <f>_xlfn.XLOOKUP(F207,投产规格!E:E,投产规格!D:D,"未投产")</f>
        <v>✔</v>
      </c>
      <c r="L207" s="347">
        <f>IFERROR(_xlfn.XLOOKUP(F207,硫化工艺!B:B,硫化工艺!C:C),"")</f>
        <v>35</v>
      </c>
      <c r="M207" s="349">
        <f t="shared" si="530"/>
        <v>0.857142857142857</v>
      </c>
      <c r="N207" s="347" t="str">
        <f t="shared" si="480"/>
        <v>22.5全钢</v>
      </c>
      <c r="O207" s="347">
        <f>IFERROR(_xlfn.XLOOKUP(F207,轮胎重量!J:J,轮胎重量!G:G),"")</f>
        <v>53.594</v>
      </c>
      <c r="P207" s="347">
        <f>IFERROR(_xlfn.XLOOKUP(G207,硫化工艺!I:I,硫化工艺!J:J),"")</f>
        <v>776.5583</v>
      </c>
      <c r="Q207" s="347">
        <f t="shared" si="545"/>
        <v>0</v>
      </c>
      <c r="R207" s="347"/>
      <c r="S207" s="347"/>
      <c r="T207" s="347"/>
      <c r="U207" s="347"/>
      <c r="V207" s="347"/>
      <c r="W207" s="347"/>
      <c r="X207" s="347"/>
      <c r="Y207" s="347"/>
      <c r="Z207" s="347"/>
      <c r="AA207" s="347"/>
      <c r="AB207" s="347"/>
      <c r="AC207" s="347"/>
      <c r="AD207" s="347"/>
      <c r="AE207" s="347"/>
      <c r="AF207" s="347"/>
      <c r="AG207" s="347"/>
      <c r="AH207" s="347"/>
      <c r="AI207" s="347"/>
      <c r="AJ207" s="347"/>
      <c r="AK207" s="347"/>
      <c r="AL207" s="347"/>
      <c r="AM207" s="347"/>
      <c r="AN207" s="347"/>
      <c r="AO207" s="347"/>
      <c r="AP207" s="347"/>
      <c r="AQ207" s="347"/>
      <c r="AR207" s="347"/>
      <c r="AS207" s="347"/>
      <c r="AT207" s="347"/>
      <c r="AU207" s="347"/>
      <c r="AV207" s="347"/>
      <c r="AW207" s="347" t="str">
        <f t="shared" si="531"/>
        <v/>
      </c>
      <c r="AX207" s="365" t="str">
        <f t="shared" si="532"/>
        <v/>
      </c>
      <c r="AY207" s="365" t="str">
        <f t="shared" si="533"/>
        <v/>
      </c>
      <c r="AZ207" s="366">
        <v>488.41</v>
      </c>
      <c r="BA207" s="368">
        <v>30.55</v>
      </c>
      <c r="BB207" s="368">
        <v>50.96</v>
      </c>
      <c r="BC207" s="368">
        <v>53.87</v>
      </c>
      <c r="BD207" s="330"/>
      <c r="BE207" s="330" t="e">
        <f t="shared" si="534"/>
        <v>#VALUE!</v>
      </c>
      <c r="BF207" s="330" t="e">
        <f t="shared" si="535"/>
        <v>#VALUE!</v>
      </c>
      <c r="BG207" s="330" t="e">
        <f t="shared" si="536"/>
        <v>#VALUE!</v>
      </c>
      <c r="BH207" s="330" t="e">
        <f t="shared" si="537"/>
        <v>#VALUE!</v>
      </c>
      <c r="BI207" s="330"/>
      <c r="BJ207" s="370" cm="1">
        <f t="array" ref="BJ207:BM207">_xlfn.LET(_xlpm.data,$R207:$AV207,_xlpm.starts,{1,8,16,23},_xlpm.lengths,{7,7,8,9},_xlpm.arr,_xlfn.MAP(_xlpm.starts,_xlpm.lengths,_xlfn.LAMBDA(_xlpm.s,_xlpm.l,SUM(INDEX(_xlpm.data,,_xlfn.SEQUENCE(,_xlpm.l,_xlpm.s))))),ROUND(_xlpm.arr*$O207/1000,2))</f>
        <v>0</v>
      </c>
      <c r="BK207" s="330">
        <v>0</v>
      </c>
      <c r="BL207" s="330">
        <v>0</v>
      </c>
      <c r="BM207" s="330">
        <v>0</v>
      </c>
      <c r="BN207" s="258">
        <f t="shared" si="538"/>
        <v>0</v>
      </c>
      <c r="BO207" s="258">
        <v>71.42</v>
      </c>
      <c r="BP207" s="258">
        <v>71.42</v>
      </c>
      <c r="BQ207" s="258">
        <v>81.62</v>
      </c>
      <c r="BR207" s="258">
        <v>91.82</v>
      </c>
      <c r="BS207" s="115"/>
      <c r="BT207" s="258" cm="1">
        <f ca="1" t="array" ref="BT207:BW207">_xlfn.HSTACK(SUM(INDEX($R207:$AV207,1,1):INDEX($R207:$AV207,1,7)),SUM(INDEX($R207:$AV207,1,7):INDEX($R207:$AV207,1,13)),SUM(INDEX($R207:$AV207,1,16):INDEX($R207:$AV207,1,23)),SUM(INDEX($R207:$AV207,1,23):INDEX($R207:$AV207,1,31)))</f>
        <v>0</v>
      </c>
      <c r="BU207" s="258">
        <v>0</v>
      </c>
      <c r="BV207" s="258">
        <v>0</v>
      </c>
      <c r="BW207" s="258">
        <v>0</v>
      </c>
      <c r="BY207" s="258">
        <f t="shared" si="522"/>
        <v>0</v>
      </c>
      <c r="BZ207" s="258">
        <f t="shared" si="523"/>
        <v>0</v>
      </c>
      <c r="CA207" s="258">
        <f t="shared" si="524"/>
        <v>0</v>
      </c>
      <c r="CB207" s="258">
        <f t="shared" si="525"/>
        <v>0</v>
      </c>
      <c r="CD207" s="113"/>
      <c r="CE207" s="258">
        <f t="shared" si="539"/>
        <v>0</v>
      </c>
      <c r="CF207" s="258">
        <f t="shared" si="540"/>
        <v>0</v>
      </c>
      <c r="CG207" s="258">
        <f t="shared" si="541"/>
        <v>0</v>
      </c>
      <c r="CH207" s="258">
        <f t="shared" si="542"/>
        <v>0</v>
      </c>
      <c r="CI207" s="258">
        <f t="shared" si="543"/>
        <v>0</v>
      </c>
      <c r="CJ207" s="113"/>
      <c r="CK207" s="258">
        <f t="shared" ref="CK207:CN207" si="552">IFERROR(ROUND(BY207*$P207,2),"")</f>
        <v>0</v>
      </c>
      <c r="CL207" s="258">
        <f t="shared" si="552"/>
        <v>0</v>
      </c>
      <c r="CM207" s="258">
        <f t="shared" si="552"/>
        <v>0</v>
      </c>
      <c r="CN207" s="258">
        <f t="shared" si="552"/>
        <v>0</v>
      </c>
      <c r="CO207" s="258">
        <f t="shared" si="521"/>
        <v>0</v>
      </c>
    </row>
    <row r="208" s="258" customFormat="1" ht="17.6" spans="1:93">
      <c r="A208" s="330"/>
      <c r="B208" s="334" t="str">
        <f>_xlfn.XLOOKUP(G208,销售需求表!A:A,销售需求表!C:C)</f>
        <v>南美</v>
      </c>
      <c r="C208" s="335" t="str">
        <f t="shared" si="550"/>
        <v>22.5</v>
      </c>
      <c r="D208" s="359" t="str">
        <f t="shared" si="529"/>
        <v>南美22.5寸</v>
      </c>
      <c r="E208" s="339" t="str">
        <f t="shared" si="547"/>
        <v>295/80R22.5-18PR(152/149M)-WDR1</v>
      </c>
      <c r="F208" s="340" t="str">
        <f t="shared" si="503"/>
        <v>295/80R22.5-18PR-WDR1</v>
      </c>
      <c r="G208" s="377" t="s">
        <v>556</v>
      </c>
      <c r="H208" s="334">
        <v>420</v>
      </c>
      <c r="I208" s="345"/>
      <c r="J208" s="346" t="str">
        <f t="shared" si="470"/>
        <v>295/80R22.5-WDR1</v>
      </c>
      <c r="K208" s="347" t="str">
        <f>_xlfn.XLOOKUP(F208,投产规格!E:E,投产规格!D:D,"未投产")</f>
        <v>✔</v>
      </c>
      <c r="L208" s="347">
        <f>IFERROR(_xlfn.XLOOKUP(F208,硫化工艺!B:B,硫化工艺!C:C),"")</f>
        <v>42</v>
      </c>
      <c r="M208" s="349">
        <f t="shared" si="530"/>
        <v>0.878048780487805</v>
      </c>
      <c r="N208" s="347" t="str">
        <f t="shared" si="480"/>
        <v>22.5全钢</v>
      </c>
      <c r="O208" s="347">
        <f>IFERROR(_xlfn.XLOOKUP(F208,轮胎重量!J:J,轮胎重量!G:G),"")</f>
        <v>63.389</v>
      </c>
      <c r="P208" s="347">
        <f>IFERROR(_xlfn.XLOOKUP(G208,硫化工艺!I:I,硫化工艺!J:J),"")</f>
        <v>946.5974</v>
      </c>
      <c r="Q208" s="347">
        <f t="shared" si="545"/>
        <v>0</v>
      </c>
      <c r="R208" s="347"/>
      <c r="S208" s="347"/>
      <c r="T208" s="347"/>
      <c r="U208" s="347"/>
      <c r="V208" s="347"/>
      <c r="W208" s="347"/>
      <c r="X208" s="347"/>
      <c r="Y208" s="347"/>
      <c r="Z208" s="347"/>
      <c r="AA208" s="347"/>
      <c r="AB208" s="347"/>
      <c r="AC208" s="347"/>
      <c r="AD208" s="347"/>
      <c r="AE208" s="347"/>
      <c r="AF208" s="347"/>
      <c r="AG208" s="347"/>
      <c r="AH208" s="347"/>
      <c r="AI208" s="347"/>
      <c r="AJ208" s="347"/>
      <c r="AK208" s="347"/>
      <c r="AL208" s="347"/>
      <c r="AM208" s="347"/>
      <c r="AN208" s="347"/>
      <c r="AO208" s="347"/>
      <c r="AP208" s="347"/>
      <c r="AQ208" s="347"/>
      <c r="AR208" s="347"/>
      <c r="AS208" s="347"/>
      <c r="AT208" s="347"/>
      <c r="AU208" s="347"/>
      <c r="AV208" s="347"/>
      <c r="AW208" s="347" t="str">
        <f t="shared" si="531"/>
        <v/>
      </c>
      <c r="AX208" s="365" t="str">
        <f t="shared" si="532"/>
        <v/>
      </c>
      <c r="AY208" s="365" t="str">
        <f t="shared" si="533"/>
        <v/>
      </c>
      <c r="AZ208" s="366">
        <v>488.41</v>
      </c>
      <c r="BA208" s="368">
        <v>30.55</v>
      </c>
      <c r="BB208" s="368">
        <v>50.96</v>
      </c>
      <c r="BC208" s="368">
        <v>53.87</v>
      </c>
      <c r="BD208" s="330"/>
      <c r="BE208" s="330" t="e">
        <f t="shared" si="534"/>
        <v>#VALUE!</v>
      </c>
      <c r="BF208" s="330" t="e">
        <f t="shared" si="535"/>
        <v>#VALUE!</v>
      </c>
      <c r="BG208" s="330" t="e">
        <f t="shared" si="536"/>
        <v>#VALUE!</v>
      </c>
      <c r="BH208" s="330" t="e">
        <f t="shared" si="537"/>
        <v>#VALUE!</v>
      </c>
      <c r="BI208" s="330"/>
      <c r="BJ208" s="370" cm="1">
        <f t="array" ref="BJ208:BM208">_xlfn.LET(_xlpm.data,$R208:$AV208,_xlpm.starts,{1,8,16,23},_xlpm.lengths,{7,7,8,9},_xlpm.arr,_xlfn.MAP(_xlpm.starts,_xlpm.lengths,_xlfn.LAMBDA(_xlpm.s,_xlpm.l,SUM(INDEX(_xlpm.data,,_xlfn.SEQUENCE(,_xlpm.l,_xlpm.s))))),ROUND(_xlpm.arr*$O208/1000,2))</f>
        <v>0</v>
      </c>
      <c r="BK208" s="330">
        <v>0</v>
      </c>
      <c r="BL208" s="330">
        <v>0</v>
      </c>
      <c r="BM208" s="330">
        <v>0</v>
      </c>
      <c r="BN208" s="258">
        <f t="shared" si="538"/>
        <v>0</v>
      </c>
      <c r="BO208" s="258">
        <v>71.42</v>
      </c>
      <c r="BP208" s="258">
        <v>71.42</v>
      </c>
      <c r="BQ208" s="258">
        <v>81.62</v>
      </c>
      <c r="BR208" s="258">
        <v>91.82</v>
      </c>
      <c r="BS208" s="115"/>
      <c r="BT208" s="258" cm="1">
        <f ca="1" t="array" ref="BT208:BW208">_xlfn.HSTACK(SUM(INDEX($R208:$AV208,1,1):INDEX($R208:$AV208,1,7)),SUM(INDEX($R208:$AV208,1,7):INDEX($R208:$AV208,1,13)),SUM(INDEX($R208:$AV208,1,16):INDEX($R208:$AV208,1,23)),SUM(INDEX($R208:$AV208,1,23):INDEX($R208:$AV208,1,31)))</f>
        <v>0</v>
      </c>
      <c r="BU208" s="258">
        <v>0</v>
      </c>
      <c r="BV208" s="258">
        <v>0</v>
      </c>
      <c r="BW208" s="258">
        <v>0</v>
      </c>
      <c r="BY208" s="258">
        <f t="shared" si="522"/>
        <v>0</v>
      </c>
      <c r="BZ208" s="258">
        <f t="shared" si="523"/>
        <v>0</v>
      </c>
      <c r="CA208" s="258">
        <f t="shared" si="524"/>
        <v>0</v>
      </c>
      <c r="CB208" s="258">
        <f t="shared" si="525"/>
        <v>0</v>
      </c>
      <c r="CD208" s="113"/>
      <c r="CE208" s="258">
        <f t="shared" si="539"/>
        <v>0</v>
      </c>
      <c r="CF208" s="258">
        <f t="shared" si="540"/>
        <v>0</v>
      </c>
      <c r="CG208" s="258">
        <f t="shared" si="541"/>
        <v>0</v>
      </c>
      <c r="CH208" s="258">
        <f t="shared" si="542"/>
        <v>0</v>
      </c>
      <c r="CI208" s="258">
        <f t="shared" si="543"/>
        <v>0</v>
      </c>
      <c r="CJ208" s="113"/>
      <c r="CK208" s="258">
        <f t="shared" ref="CK208:CN208" si="553">IFERROR(ROUND(BY208*$P208,2),"")</f>
        <v>0</v>
      </c>
      <c r="CL208" s="258">
        <f t="shared" si="553"/>
        <v>0</v>
      </c>
      <c r="CM208" s="258">
        <f t="shared" si="553"/>
        <v>0</v>
      </c>
      <c r="CN208" s="258">
        <f t="shared" si="553"/>
        <v>0</v>
      </c>
      <c r="CO208" s="258">
        <f t="shared" si="521"/>
        <v>0</v>
      </c>
    </row>
    <row r="209" ht="17.6" spans="2:93">
      <c r="B209" s="334" t="str">
        <f>_xlfn.XLOOKUP(G209,销售需求表!A:A,销售需求表!C:C)</f>
        <v>南美</v>
      </c>
      <c r="C209" s="335" t="str">
        <f t="shared" si="550"/>
        <v>22.5</v>
      </c>
      <c r="D209" s="359" t="str">
        <f t="shared" ref="D209:D220" si="554">B209&amp;C209&amp;"寸"</f>
        <v>南美22.5寸</v>
      </c>
      <c r="E209" s="339" t="str">
        <f t="shared" si="547"/>
        <v>295/80R22.5-18PR(154/149M)-BRA06 PRO</v>
      </c>
      <c r="F209" s="340" t="str">
        <f t="shared" si="503"/>
        <v>295/80R22.5-18PR-BRA06 PRO</v>
      </c>
      <c r="G209" s="377" t="s">
        <v>557</v>
      </c>
      <c r="H209" s="334">
        <v>360</v>
      </c>
      <c r="I209" s="345"/>
      <c r="J209" s="346" t="str">
        <f t="shared" si="470"/>
        <v>295/80R22.5-BRA06 PRO</v>
      </c>
      <c r="K209" s="347" t="str">
        <f>_xlfn.XLOOKUP(F209,投产规格!E:E,投产规格!D:D,"未投产")</f>
        <v>✔</v>
      </c>
      <c r="L209" s="347">
        <f>IFERROR(_xlfn.XLOOKUP(F209,硫化工艺!B:B,硫化工艺!C:C),"")</f>
        <v>41.5</v>
      </c>
      <c r="M209" s="349">
        <f t="shared" ref="M209:M220" si="555">IF(L209="","",L209/(L209+$L$1/60))</f>
        <v>0.876760563380282</v>
      </c>
      <c r="N209" s="347" t="str">
        <f t="shared" si="480"/>
        <v>22.5全钢</v>
      </c>
      <c r="O209" s="347">
        <f>IFERROR(_xlfn.XLOOKUP(F209,轮胎重量!J:J,轮胎重量!G:G),"")</f>
        <v>61.288</v>
      </c>
      <c r="P209" s="347">
        <f>IFERROR(_xlfn.XLOOKUP(G209,硫化工艺!I:I,硫化工艺!J:J),"")</f>
        <v>923.0711</v>
      </c>
      <c r="Q209" s="347">
        <f t="shared" si="545"/>
        <v>0</v>
      </c>
      <c r="R209" s="347"/>
      <c r="S209" s="347"/>
      <c r="T209" s="347"/>
      <c r="U209" s="347"/>
      <c r="V209" s="347"/>
      <c r="W209" s="347"/>
      <c r="X209" s="347"/>
      <c r="Y209" s="347"/>
      <c r="Z209" s="347"/>
      <c r="AA209" s="347"/>
      <c r="AB209" s="347"/>
      <c r="AC209" s="347"/>
      <c r="AD209" s="347"/>
      <c r="AE209" s="347"/>
      <c r="AF209" s="347"/>
      <c r="AG209" s="347"/>
      <c r="AH209" s="347"/>
      <c r="AI209" s="347"/>
      <c r="AJ209" s="347"/>
      <c r="AK209" s="347"/>
      <c r="AL209" s="347"/>
      <c r="AM209" s="347"/>
      <c r="AN209" s="347"/>
      <c r="AO209" s="347"/>
      <c r="AP209" s="347"/>
      <c r="AQ209" s="347"/>
      <c r="AR209" s="347"/>
      <c r="AS209" s="347"/>
      <c r="AT209" s="347"/>
      <c r="AU209" s="347"/>
      <c r="AV209" s="347"/>
      <c r="AW209" s="347" t="str">
        <f t="shared" ref="AW209:AW220" si="556">IF(SUM(R209:AV209)=0,"",SUM(R209:AV209))</f>
        <v/>
      </c>
      <c r="AX209" s="365" t="str">
        <f t="shared" ref="AX209:AX220" si="557">IFERROR(AW209*O209/1000,"")</f>
        <v/>
      </c>
      <c r="AY209" s="365" t="str">
        <f t="shared" ref="AY209:AY220" si="558">IFERROR(ROUND(AW209*P209/10000,3),"")</f>
        <v/>
      </c>
      <c r="AZ209" s="366">
        <v>531.09</v>
      </c>
      <c r="BA209" s="368">
        <v>34.42</v>
      </c>
      <c r="BB209" s="368">
        <v>54.93</v>
      </c>
      <c r="BC209" s="368">
        <v>60.15</v>
      </c>
      <c r="BE209" s="330" t="e">
        <f t="shared" ref="BE209:BE220" si="559">AZ209*AW209</f>
        <v>#VALUE!</v>
      </c>
      <c r="BF209" s="330" t="e">
        <f t="shared" ref="BF209:BF220" si="560">BA209*AW209</f>
        <v>#VALUE!</v>
      </c>
      <c r="BG209" s="330" t="e">
        <f t="shared" ref="BG209:BG220" si="561">BB209*AW209</f>
        <v>#VALUE!</v>
      </c>
      <c r="BH209" s="330" t="e">
        <f t="shared" ref="BH209:BH220" si="562">BC209*AW209</f>
        <v>#VALUE!</v>
      </c>
      <c r="BJ209" s="370" cm="1">
        <f t="array" ref="BJ209:BM209">_xlfn.LET(_xlpm.data,$R209:$AV209,_xlpm.starts,{1,8,16,23},_xlpm.lengths,{7,7,8,9},_xlpm.arr,_xlfn.MAP(_xlpm.starts,_xlpm.lengths,_xlfn.LAMBDA(_xlpm.s,_xlpm.l,SUM(INDEX(_xlpm.data,,_xlfn.SEQUENCE(,_xlpm.l,_xlpm.s))))),ROUND(_xlpm.arr*$O209/1000,2))</f>
        <v>0</v>
      </c>
      <c r="BK209" s="330">
        <v>0</v>
      </c>
      <c r="BL209" s="330">
        <v>0</v>
      </c>
      <c r="BM209" s="330">
        <v>0</v>
      </c>
      <c r="BN209" s="258">
        <f t="shared" ref="BN209:BN220" si="563">SUM(BJ209:BM209)</f>
        <v>0</v>
      </c>
      <c r="BO209" s="258">
        <v>90</v>
      </c>
      <c r="BP209" s="258">
        <v>63.97</v>
      </c>
      <c r="BQ209" s="258">
        <v>0</v>
      </c>
      <c r="BR209" s="258">
        <v>0</v>
      </c>
      <c r="BT209" s="258" cm="1">
        <f ca="1" t="array" ref="BT209:BW209">_xlfn.HSTACK(SUM(INDEX($R209:$AV209,1,1):INDEX($R209:$AV209,1,7)),SUM(INDEX($R209:$AV209,1,7):INDEX($R209:$AV209,1,13)),SUM(INDEX($R209:$AV209,1,16):INDEX($R209:$AV209,1,23)),SUM(INDEX($R209:$AV209,1,23):INDEX($R209:$AV209,1,31)))</f>
        <v>0</v>
      </c>
      <c r="BU209" s="258">
        <v>0</v>
      </c>
      <c r="BV209" s="258">
        <v>0</v>
      </c>
      <c r="BW209" s="258">
        <v>0</v>
      </c>
      <c r="BY209" s="258">
        <f t="shared" si="522"/>
        <v>0</v>
      </c>
      <c r="BZ209" s="258">
        <f t="shared" si="523"/>
        <v>0</v>
      </c>
      <c r="CA209" s="258">
        <f t="shared" si="524"/>
        <v>0</v>
      </c>
      <c r="CB209" s="258">
        <f t="shared" si="525"/>
        <v>0</v>
      </c>
      <c r="CC209" s="258">
        <v>14.3</v>
      </c>
      <c r="CE209" s="258">
        <f t="shared" ref="CE209:CE220" si="564">ROUND(BY209*$O209/1000,2)</f>
        <v>0</v>
      </c>
      <c r="CF209" s="258">
        <f t="shared" ref="CF209:CF220" si="565">ROUND(BZ209*$O209/1000,2)</f>
        <v>0</v>
      </c>
      <c r="CG209" s="258">
        <f t="shared" ref="CG209:CG220" si="566">ROUND(CA209*$O209/1000,2)</f>
        <v>0</v>
      </c>
      <c r="CH209" s="258">
        <f t="shared" ref="CH209:CH220" si="567">ROUND(CB209*$O209/1000,2)</f>
        <v>0</v>
      </c>
      <c r="CI209" s="258">
        <f t="shared" ref="CI209:CI220" si="568">SUM(CE209:CH209)</f>
        <v>0</v>
      </c>
      <c r="CK209" s="258">
        <f t="shared" ref="CK209:CN209" si="569">IFERROR(ROUND(BY209*$P209,2),"")</f>
        <v>0</v>
      </c>
      <c r="CL209" s="258">
        <f t="shared" si="569"/>
        <v>0</v>
      </c>
      <c r="CM209" s="258">
        <f t="shared" si="569"/>
        <v>0</v>
      </c>
      <c r="CN209" s="258">
        <f t="shared" si="569"/>
        <v>0</v>
      </c>
      <c r="CO209" s="258">
        <f t="shared" si="521"/>
        <v>0</v>
      </c>
    </row>
    <row r="210" s="258" customFormat="1" ht="17.6" spans="1:95">
      <c r="A210" s="330"/>
      <c r="B210" s="334" t="str">
        <f>_xlfn.XLOOKUP(G210,销售需求表!A:A,销售需求表!C:C)</f>
        <v>亚</v>
      </c>
      <c r="C210" s="335" t="str">
        <f t="shared" si="550"/>
        <v>22.5</v>
      </c>
      <c r="D210" s="359" t="str">
        <f t="shared" si="554"/>
        <v>亚22.5寸</v>
      </c>
      <c r="E210" s="339" t="str">
        <f t="shared" si="547"/>
        <v>315/80R22.5-20PR(157/154K)-CM958</v>
      </c>
      <c r="F210" s="340" t="str">
        <f t="shared" si="503"/>
        <v>315/80R22.5-20PR-CM958</v>
      </c>
      <c r="G210" s="341" t="s">
        <v>558</v>
      </c>
      <c r="H210" s="334">
        <v>5000</v>
      </c>
      <c r="I210" s="354">
        <v>4</v>
      </c>
      <c r="J210" s="346" t="str">
        <f t="shared" si="470"/>
        <v>315/80R22.5-CM958</v>
      </c>
      <c r="K210" s="347" t="str">
        <f>_xlfn.XLOOKUP(F210,投产规格!E:E,投产规格!D:D,"未投产")</f>
        <v>✔</v>
      </c>
      <c r="L210" s="347">
        <f>IFERROR(_xlfn.XLOOKUP(F210,硫化工艺!B:B,硫化工艺!C:C),"")</f>
        <v>42</v>
      </c>
      <c r="M210" s="349">
        <f t="shared" si="555"/>
        <v>0.878048780487805</v>
      </c>
      <c r="N210" s="347" t="str">
        <f t="shared" si="480"/>
        <v>22.5全钢</v>
      </c>
      <c r="O210" s="347">
        <f>IFERROR(_xlfn.XLOOKUP(F210,轮胎重量!J:J,轮胎重量!G:G),"")</f>
        <v>69.679</v>
      </c>
      <c r="P210" s="347">
        <f>IFERROR(_xlfn.XLOOKUP(G210,硫化工艺!I:I,硫化工艺!J:J),"")</f>
        <v>985.706988</v>
      </c>
      <c r="Q210" s="347">
        <f t="shared" si="545"/>
        <v>120</v>
      </c>
      <c r="R210" s="347">
        <v>120</v>
      </c>
      <c r="S210" s="347">
        <v>120</v>
      </c>
      <c r="T210" s="347">
        <v>120</v>
      </c>
      <c r="U210" s="347">
        <v>120</v>
      </c>
      <c r="V210" s="347">
        <v>120</v>
      </c>
      <c r="W210" s="347">
        <v>120</v>
      </c>
      <c r="X210" s="347">
        <v>120</v>
      </c>
      <c r="Y210" s="347">
        <v>120</v>
      </c>
      <c r="Z210" s="347">
        <v>120</v>
      </c>
      <c r="AA210" s="347">
        <v>120</v>
      </c>
      <c r="AB210" s="347">
        <v>120</v>
      </c>
      <c r="AC210" s="347">
        <v>120</v>
      </c>
      <c r="AD210" s="347">
        <v>120</v>
      </c>
      <c r="AE210" s="347">
        <v>120</v>
      </c>
      <c r="AF210" s="347">
        <v>120</v>
      </c>
      <c r="AG210" s="347">
        <v>120</v>
      </c>
      <c r="AH210" s="347">
        <v>120</v>
      </c>
      <c r="AI210" s="347">
        <v>120</v>
      </c>
      <c r="AJ210" s="347">
        <v>120</v>
      </c>
      <c r="AK210" s="347">
        <v>120</v>
      </c>
      <c r="AL210" s="347">
        <v>120</v>
      </c>
      <c r="AM210" s="347">
        <v>120</v>
      </c>
      <c r="AN210" s="347">
        <v>120</v>
      </c>
      <c r="AO210" s="347">
        <v>120</v>
      </c>
      <c r="AP210" s="347">
        <v>120</v>
      </c>
      <c r="AQ210" s="347">
        <v>120</v>
      </c>
      <c r="AR210" s="347">
        <v>120</v>
      </c>
      <c r="AS210" s="347">
        <v>120</v>
      </c>
      <c r="AT210" s="347">
        <v>120</v>
      </c>
      <c r="AU210" s="347">
        <v>120</v>
      </c>
      <c r="AV210" s="347">
        <v>120</v>
      </c>
      <c r="AW210" s="347">
        <f t="shared" si="556"/>
        <v>3720</v>
      </c>
      <c r="AX210" s="365">
        <f t="shared" si="557"/>
        <v>259.20588</v>
      </c>
      <c r="AY210" s="365">
        <f t="shared" si="558"/>
        <v>366.683</v>
      </c>
      <c r="AZ210" s="366">
        <v>531.09</v>
      </c>
      <c r="BA210" s="368">
        <v>34.42</v>
      </c>
      <c r="BB210" s="368">
        <v>54.93</v>
      </c>
      <c r="BC210" s="368">
        <v>60.15</v>
      </c>
      <c r="BD210" s="330"/>
      <c r="BE210" s="330">
        <f t="shared" si="559"/>
        <v>1975654.8</v>
      </c>
      <c r="BF210" s="330">
        <f t="shared" si="560"/>
        <v>128042.4</v>
      </c>
      <c r="BG210" s="330">
        <f t="shared" si="561"/>
        <v>204339.6</v>
      </c>
      <c r="BH210" s="330">
        <f t="shared" si="562"/>
        <v>223758</v>
      </c>
      <c r="BI210" s="330"/>
      <c r="BJ210" s="370" cm="1">
        <f t="array" ref="BJ210:BM210">_xlfn.LET(_xlpm.data,$R210:$AV210,_xlpm.starts,{1,8,16,23},_xlpm.lengths,{7,7,8,9},_xlpm.arr,_xlfn.MAP(_xlpm.starts,_xlpm.lengths,_xlfn.LAMBDA(_xlpm.s,_xlpm.l,SUM(INDEX(_xlpm.data,,_xlfn.SEQUENCE(,_xlpm.l,_xlpm.s))))),ROUND(_xlpm.arr*$O210/1000,2))</f>
        <v>58.53</v>
      </c>
      <c r="BK210" s="330">
        <v>58.53</v>
      </c>
      <c r="BL210" s="330">
        <v>66.89</v>
      </c>
      <c r="BM210" s="330">
        <v>75.25</v>
      </c>
      <c r="BN210" s="258">
        <f t="shared" si="563"/>
        <v>259.2</v>
      </c>
      <c r="BO210" s="258">
        <v>90</v>
      </c>
      <c r="BP210" s="258">
        <v>63.97</v>
      </c>
      <c r="BQ210" s="258">
        <v>0</v>
      </c>
      <c r="BR210" s="258">
        <v>0</v>
      </c>
      <c r="BS210" s="115"/>
      <c r="BT210" s="258" cm="1">
        <f ca="1" t="array" ref="BT210:BW210">_xlfn.HSTACK(SUM(INDEX($R210:$AV210,1,1):INDEX($R210:$AV210,1,7)),SUM(INDEX($R210:$AV210,1,7):INDEX($R210:$AV210,1,13)),SUM(INDEX($R210:$AV210,1,16):INDEX($R210:$AV210,1,23)),SUM(INDEX($R210:$AV210,1,23):INDEX($R210:$AV210,1,31)))</f>
        <v>840</v>
      </c>
      <c r="BU210" s="258">
        <v>840</v>
      </c>
      <c r="BV210" s="258">
        <v>960</v>
      </c>
      <c r="BW210" s="258">
        <v>1080</v>
      </c>
      <c r="BY210" s="258">
        <f t="shared" si="522"/>
        <v>840</v>
      </c>
      <c r="BZ210" s="258">
        <f t="shared" si="523"/>
        <v>840</v>
      </c>
      <c r="CA210" s="258">
        <f t="shared" si="524"/>
        <v>960</v>
      </c>
      <c r="CB210" s="258">
        <f t="shared" si="525"/>
        <v>1080</v>
      </c>
      <c r="CD210" s="113"/>
      <c r="CE210" s="258">
        <f t="shared" si="564"/>
        <v>58.53</v>
      </c>
      <c r="CF210" s="258">
        <f t="shared" si="565"/>
        <v>58.53</v>
      </c>
      <c r="CG210" s="258">
        <f t="shared" si="566"/>
        <v>66.89</v>
      </c>
      <c r="CH210" s="258">
        <f t="shared" si="567"/>
        <v>75.25</v>
      </c>
      <c r="CI210" s="258">
        <f t="shared" si="568"/>
        <v>259.2</v>
      </c>
      <c r="CJ210" s="113"/>
      <c r="CK210" s="258">
        <f t="shared" ref="CK210:CN210" si="570">IFERROR(ROUND(BY210*$P210,2),"")</f>
        <v>827993.87</v>
      </c>
      <c r="CL210" s="258">
        <f t="shared" si="570"/>
        <v>827993.87</v>
      </c>
      <c r="CM210" s="258">
        <f t="shared" si="570"/>
        <v>946278.71</v>
      </c>
      <c r="CN210" s="258">
        <f t="shared" si="570"/>
        <v>1064563.55</v>
      </c>
      <c r="CO210" s="258">
        <f t="shared" si="521"/>
        <v>3666830</v>
      </c>
      <c r="CP210" s="258" t="e">
        <f>VLOOKUP(G210,[2]Sheet1!$C$3:$G$310,5,0)</f>
        <v>#N/A</v>
      </c>
      <c r="CQ210" s="258">
        <f>VLOOKUP(G210,[3]KCBB0101!$C$3:$F$691,4,0)</f>
        <v>11050</v>
      </c>
    </row>
    <row r="211" s="258" customFormat="1" ht="17.6" spans="1:95">
      <c r="A211" s="330"/>
      <c r="B211" s="334" t="str">
        <f>_xlfn.XLOOKUP(G211,销售需求表!A:A,销售需求表!C:C)</f>
        <v>非</v>
      </c>
      <c r="C211" s="335" t="str">
        <f t="shared" si="550"/>
        <v>22.5</v>
      </c>
      <c r="D211" s="359" t="str">
        <f t="shared" si="554"/>
        <v>非22.5寸</v>
      </c>
      <c r="E211" s="339" t="str">
        <f t="shared" si="547"/>
        <v>315/80R22.5-20PR(157/154K)-CR926B</v>
      </c>
      <c r="F211" s="340" t="str">
        <f t="shared" si="503"/>
        <v>315/80R22.5-20PR-CR926B</v>
      </c>
      <c r="G211" s="342" t="s">
        <v>155</v>
      </c>
      <c r="H211" s="334">
        <v>120</v>
      </c>
      <c r="I211" s="345"/>
      <c r="J211" s="346" t="str">
        <f t="shared" si="470"/>
        <v>315/80R22.5-CR926B</v>
      </c>
      <c r="K211" s="347" t="str">
        <f>_xlfn.XLOOKUP(F211,投产规格!E:E,投产规格!D:D,"未投产")</f>
        <v>✔</v>
      </c>
      <c r="L211" s="347">
        <f>IFERROR(_xlfn.XLOOKUP(F211,硫化工艺!B:B,硫化工艺!C:C),"")</f>
        <v>40</v>
      </c>
      <c r="M211" s="349">
        <f t="shared" si="555"/>
        <v>0.872727272727273</v>
      </c>
      <c r="N211" s="347" t="str">
        <f t="shared" si="480"/>
        <v>22.5全钢</v>
      </c>
      <c r="O211" s="347">
        <f>IFERROR(_xlfn.XLOOKUP(F211,轮胎重量!J:J,轮胎重量!G:G),"")</f>
        <v>66.104</v>
      </c>
      <c r="P211" s="347">
        <f>IFERROR(_xlfn.XLOOKUP(G211,硫化工艺!I:I,硫化工艺!J:J),"")</f>
        <v>948.654196</v>
      </c>
      <c r="Q211" s="347">
        <f t="shared" si="545"/>
        <v>0</v>
      </c>
      <c r="R211" s="347"/>
      <c r="S211" s="347"/>
      <c r="T211" s="347"/>
      <c r="U211" s="347"/>
      <c r="V211" s="347">
        <v>60</v>
      </c>
      <c r="W211" s="347">
        <v>60</v>
      </c>
      <c r="X211" s="347">
        <v>60</v>
      </c>
      <c r="Y211" s="347"/>
      <c r="Z211" s="347"/>
      <c r="AA211" s="347"/>
      <c r="AB211" s="347"/>
      <c r="AC211" s="347"/>
      <c r="AD211" s="347"/>
      <c r="AE211" s="347"/>
      <c r="AF211" s="347"/>
      <c r="AG211" s="347"/>
      <c r="AH211" s="347"/>
      <c r="AI211" s="347"/>
      <c r="AJ211" s="347"/>
      <c r="AK211" s="347"/>
      <c r="AL211" s="347"/>
      <c r="AM211" s="347"/>
      <c r="AN211" s="347"/>
      <c r="AO211" s="347"/>
      <c r="AP211" s="347"/>
      <c r="AQ211" s="347"/>
      <c r="AR211" s="347"/>
      <c r="AS211" s="347"/>
      <c r="AT211" s="347"/>
      <c r="AU211" s="347"/>
      <c r="AV211" s="347"/>
      <c r="AW211" s="347">
        <v>3000</v>
      </c>
      <c r="AX211" s="365">
        <f t="shared" si="557"/>
        <v>198.312</v>
      </c>
      <c r="AY211" s="365">
        <f t="shared" si="558"/>
        <v>284.596</v>
      </c>
      <c r="AZ211" s="366">
        <v>531.09</v>
      </c>
      <c r="BA211" s="368">
        <v>34.42</v>
      </c>
      <c r="BB211" s="368">
        <v>54.93</v>
      </c>
      <c r="BC211" s="368">
        <v>60.15</v>
      </c>
      <c r="BD211" s="330"/>
      <c r="BE211" s="330">
        <f t="shared" si="559"/>
        <v>1593270</v>
      </c>
      <c r="BF211" s="330">
        <f t="shared" si="560"/>
        <v>103260</v>
      </c>
      <c r="BG211" s="330">
        <f t="shared" si="561"/>
        <v>164790</v>
      </c>
      <c r="BH211" s="330">
        <f t="shared" si="562"/>
        <v>180450</v>
      </c>
      <c r="BI211" s="330"/>
      <c r="BJ211" s="370" cm="1">
        <f t="array" ref="BJ211:BM211">_xlfn.LET(_xlpm.data,$R211:$AV211,_xlpm.starts,{1,8,16,23},_xlpm.lengths,{7,7,8,9},_xlpm.arr,_xlfn.MAP(_xlpm.starts,_xlpm.lengths,_xlfn.LAMBDA(_xlpm.s,_xlpm.l,SUM(INDEX(_xlpm.data,,_xlfn.SEQUENCE(,_xlpm.l,_xlpm.s))))),ROUND(_xlpm.arr*$O211/1000,2))</f>
        <v>11.9</v>
      </c>
      <c r="BK211" s="330">
        <v>0</v>
      </c>
      <c r="BL211" s="330">
        <v>0</v>
      </c>
      <c r="BM211" s="330">
        <v>0</v>
      </c>
      <c r="BN211" s="258">
        <f t="shared" si="563"/>
        <v>11.9</v>
      </c>
      <c r="BO211" s="258">
        <v>90</v>
      </c>
      <c r="BP211" s="258">
        <v>63.97</v>
      </c>
      <c r="BQ211" s="258">
        <v>0</v>
      </c>
      <c r="BR211" s="258">
        <v>0</v>
      </c>
      <c r="BS211" s="115"/>
      <c r="BT211" s="258" cm="1">
        <f ca="1" t="array" ref="BT211:BW211">_xlfn.HSTACK(SUM(INDEX($R211:$AV211,1,1):INDEX($R211:$AV211,1,7)),SUM(INDEX($R211:$AV211,1,7):INDEX($R211:$AV211,1,13)),SUM(INDEX($R211:$AV211,1,16):INDEX($R211:$AV211,1,23)),SUM(INDEX($R211:$AV211,1,23):INDEX($R211:$AV211,1,31)))</f>
        <v>180</v>
      </c>
      <c r="BU211" s="258">
        <v>60</v>
      </c>
      <c r="BV211" s="258">
        <v>0</v>
      </c>
      <c r="BW211" s="258">
        <v>0</v>
      </c>
      <c r="BY211" s="258">
        <f t="shared" si="522"/>
        <v>180</v>
      </c>
      <c r="BZ211" s="258">
        <f t="shared" si="523"/>
        <v>0</v>
      </c>
      <c r="CA211" s="258">
        <f t="shared" si="524"/>
        <v>0</v>
      </c>
      <c r="CB211" s="258">
        <f t="shared" si="525"/>
        <v>0</v>
      </c>
      <c r="CD211" s="113"/>
      <c r="CE211" s="258">
        <f t="shared" si="564"/>
        <v>11.9</v>
      </c>
      <c r="CF211" s="258">
        <f t="shared" si="565"/>
        <v>0</v>
      </c>
      <c r="CG211" s="258">
        <f t="shared" si="566"/>
        <v>0</v>
      </c>
      <c r="CH211" s="258">
        <f t="shared" si="567"/>
        <v>0</v>
      </c>
      <c r="CI211" s="258">
        <f t="shared" si="568"/>
        <v>11.9</v>
      </c>
      <c r="CJ211" s="113"/>
      <c r="CK211" s="258">
        <f t="shared" ref="CK211:CN211" si="571">IFERROR(ROUND(BY211*$P211,2),"")</f>
        <v>170757.76</v>
      </c>
      <c r="CL211" s="258">
        <f t="shared" si="571"/>
        <v>0</v>
      </c>
      <c r="CM211" s="258">
        <f t="shared" si="571"/>
        <v>0</v>
      </c>
      <c r="CN211" s="258">
        <f t="shared" si="571"/>
        <v>0</v>
      </c>
      <c r="CO211" s="258">
        <f t="shared" si="521"/>
        <v>170757.76</v>
      </c>
      <c r="CP211" s="258">
        <f>VLOOKUP(G211,[2]Sheet1!$C$3:$G$310,5,0)</f>
        <v>1800</v>
      </c>
      <c r="CQ211" s="258" t="e">
        <f>VLOOKUP(G211,[3]KCBB0101!$C$3:$F$691,4,0)</f>
        <v>#N/A</v>
      </c>
    </row>
    <row r="212" s="258" customFormat="1" ht="17.6" spans="1:93">
      <c r="A212" s="330"/>
      <c r="B212" s="334" t="str">
        <f>_xlfn.XLOOKUP(G212,销售需求表!A:A,销售需求表!C:C)</f>
        <v>北美</v>
      </c>
      <c r="C212" s="335" t="str">
        <f t="shared" si="550"/>
        <v>22.5</v>
      </c>
      <c r="D212" s="359" t="str">
        <f t="shared" si="554"/>
        <v>北美22.5寸</v>
      </c>
      <c r="E212" s="339" t="str">
        <f t="shared" si="547"/>
        <v>315/80R22.5-20PR(157/154K)-HCC1 PlusX</v>
      </c>
      <c r="F212" s="340" t="str">
        <f t="shared" si="503"/>
        <v>315/80R22.5-20PR-HCC1 PlusX</v>
      </c>
      <c r="G212" s="339" t="s">
        <v>560</v>
      </c>
      <c r="H212" s="334">
        <v>300</v>
      </c>
      <c r="I212" s="345"/>
      <c r="J212" s="346" t="str">
        <f t="shared" si="470"/>
        <v>315/80R22.5-HCC1 PlusX</v>
      </c>
      <c r="K212" s="347" t="str">
        <f>_xlfn.XLOOKUP(F212,投产规格!E:E,投产规格!D:D,"未投产")</f>
        <v>未投产</v>
      </c>
      <c r="L212" s="347">
        <f>IFERROR(_xlfn.XLOOKUP(F212,硫化工艺!B:B,硫化工艺!C:C),"")</f>
        <v>36.5</v>
      </c>
      <c r="M212" s="349">
        <f t="shared" si="555"/>
        <v>0.862204724409449</v>
      </c>
      <c r="N212" s="347" t="str">
        <f t="shared" si="480"/>
        <v>22.5全钢</v>
      </c>
      <c r="O212" s="347">
        <f>IFERROR(_xlfn.XLOOKUP(F212,轮胎重量!J:J,轮胎重量!G:G),"")</f>
        <v>62.322</v>
      </c>
      <c r="P212" s="350">
        <f>O212*13.9</f>
        <v>866.2758</v>
      </c>
      <c r="Q212" s="347">
        <f t="shared" si="545"/>
        <v>0</v>
      </c>
      <c r="R212" s="347"/>
      <c r="S212" s="347"/>
      <c r="T212" s="347"/>
      <c r="U212" s="347"/>
      <c r="V212" s="347"/>
      <c r="W212" s="347"/>
      <c r="X212" s="347"/>
      <c r="Y212" s="347"/>
      <c r="Z212" s="347"/>
      <c r="AA212" s="347"/>
      <c r="AB212" s="347"/>
      <c r="AC212" s="347"/>
      <c r="AD212" s="347"/>
      <c r="AE212" s="347"/>
      <c r="AF212" s="347"/>
      <c r="AG212" s="347"/>
      <c r="AH212" s="347"/>
      <c r="AI212" s="347"/>
      <c r="AJ212" s="347"/>
      <c r="AK212" s="347"/>
      <c r="AL212" s="347"/>
      <c r="AM212" s="347"/>
      <c r="AN212" s="347"/>
      <c r="AO212" s="347"/>
      <c r="AP212" s="347"/>
      <c r="AQ212" s="347"/>
      <c r="AR212" s="347"/>
      <c r="AS212" s="347"/>
      <c r="AT212" s="347"/>
      <c r="AU212" s="347"/>
      <c r="AV212" s="347"/>
      <c r="AW212" s="347" t="str">
        <f t="shared" si="556"/>
        <v/>
      </c>
      <c r="AX212" s="365" t="str">
        <f t="shared" si="557"/>
        <v/>
      </c>
      <c r="AY212" s="365" t="str">
        <f t="shared" si="558"/>
        <v/>
      </c>
      <c r="AZ212" s="366">
        <v>531.09</v>
      </c>
      <c r="BA212" s="368">
        <v>34.42</v>
      </c>
      <c r="BB212" s="368">
        <v>54.93</v>
      </c>
      <c r="BC212" s="368">
        <v>60.15</v>
      </c>
      <c r="BD212" s="330"/>
      <c r="BE212" s="330" t="e">
        <f t="shared" si="559"/>
        <v>#VALUE!</v>
      </c>
      <c r="BF212" s="330" t="e">
        <f t="shared" si="560"/>
        <v>#VALUE!</v>
      </c>
      <c r="BG212" s="330" t="e">
        <f t="shared" si="561"/>
        <v>#VALUE!</v>
      </c>
      <c r="BH212" s="330" t="e">
        <f t="shared" si="562"/>
        <v>#VALUE!</v>
      </c>
      <c r="BI212" s="330"/>
      <c r="BJ212" s="370" cm="1">
        <f t="array" ref="BJ212:BM212">_xlfn.LET(_xlpm.data,$R212:$AV212,_xlpm.starts,{1,8,16,23},_xlpm.lengths,{7,7,8,9},_xlpm.arr,_xlfn.MAP(_xlpm.starts,_xlpm.lengths,_xlfn.LAMBDA(_xlpm.s,_xlpm.l,SUM(INDEX(_xlpm.data,,_xlfn.SEQUENCE(,_xlpm.l,_xlpm.s))))),ROUND(_xlpm.arr*$O212/1000,2))</f>
        <v>0</v>
      </c>
      <c r="BK212" s="330">
        <v>0</v>
      </c>
      <c r="BL212" s="330">
        <v>0</v>
      </c>
      <c r="BM212" s="330">
        <v>0</v>
      </c>
      <c r="BN212" s="258">
        <f t="shared" si="563"/>
        <v>0</v>
      </c>
      <c r="BO212" s="258">
        <v>90</v>
      </c>
      <c r="BP212" s="258">
        <v>63.97</v>
      </c>
      <c r="BQ212" s="258">
        <v>0</v>
      </c>
      <c r="BR212" s="258">
        <v>0</v>
      </c>
      <c r="BS212" s="115"/>
      <c r="BT212" s="258" cm="1">
        <f ca="1" t="array" ref="BT212:BW212">_xlfn.HSTACK(SUM(INDEX($R212:$AV212,1,1):INDEX($R212:$AV212,1,7)),SUM(INDEX($R212:$AV212,1,7):INDEX($R212:$AV212,1,13)),SUM(INDEX($R212:$AV212,1,16):INDEX($R212:$AV212,1,23)),SUM(INDEX($R212:$AV212,1,23):INDEX($R212:$AV212,1,31)))</f>
        <v>0</v>
      </c>
      <c r="BU212" s="258">
        <v>0</v>
      </c>
      <c r="BV212" s="258">
        <v>0</v>
      </c>
      <c r="BW212" s="258">
        <v>0</v>
      </c>
      <c r="BY212" s="258">
        <f t="shared" si="522"/>
        <v>0</v>
      </c>
      <c r="BZ212" s="258">
        <f t="shared" si="523"/>
        <v>0</v>
      </c>
      <c r="CA212" s="258">
        <f t="shared" si="524"/>
        <v>0</v>
      </c>
      <c r="CB212" s="258">
        <f t="shared" si="525"/>
        <v>0</v>
      </c>
      <c r="CD212" s="113"/>
      <c r="CE212" s="258">
        <f t="shared" si="564"/>
        <v>0</v>
      </c>
      <c r="CF212" s="258">
        <f t="shared" si="565"/>
        <v>0</v>
      </c>
      <c r="CG212" s="258">
        <f t="shared" si="566"/>
        <v>0</v>
      </c>
      <c r="CH212" s="258">
        <f t="shared" si="567"/>
        <v>0</v>
      </c>
      <c r="CI212" s="258">
        <f t="shared" si="568"/>
        <v>0</v>
      </c>
      <c r="CJ212" s="113"/>
      <c r="CK212" s="258">
        <f t="shared" ref="CK212:CN212" si="572">IFERROR(ROUND(BY212*$P212,2),"")</f>
        <v>0</v>
      </c>
      <c r="CL212" s="258">
        <f t="shared" si="572"/>
        <v>0</v>
      </c>
      <c r="CM212" s="258">
        <f t="shared" si="572"/>
        <v>0</v>
      </c>
      <c r="CN212" s="258">
        <f t="shared" si="572"/>
        <v>0</v>
      </c>
      <c r="CO212" s="258">
        <f t="shared" si="521"/>
        <v>0</v>
      </c>
    </row>
    <row r="213" s="258" customFormat="1" ht="17.6" spans="1:93">
      <c r="A213" s="330"/>
      <c r="B213" s="334" t="str">
        <f>_xlfn.XLOOKUP(G213,销售需求表!A:A,销售需求表!C:C)</f>
        <v>北美</v>
      </c>
      <c r="C213" s="335" t="str">
        <f t="shared" si="550"/>
        <v>22.5</v>
      </c>
      <c r="D213" s="359" t="str">
        <f t="shared" si="554"/>
        <v>北美22.5寸</v>
      </c>
      <c r="E213" s="339" t="str">
        <f t="shared" si="547"/>
        <v>315/80R22.5-20PR(161/157K)-I-31M</v>
      </c>
      <c r="F213" s="340" t="str">
        <f t="shared" si="503"/>
        <v>315/80R22.5-20PR-I-31M</v>
      </c>
      <c r="G213" s="339" t="s">
        <v>561</v>
      </c>
      <c r="H213" s="334">
        <v>900</v>
      </c>
      <c r="I213" s="345"/>
      <c r="J213" s="346" t="str">
        <f t="shared" si="470"/>
        <v>315/80R22.5-I-31M</v>
      </c>
      <c r="K213" s="347" t="str">
        <f>_xlfn.XLOOKUP(F213,投产规格!E:E,投产规格!D:D,"未投产")</f>
        <v>✔</v>
      </c>
      <c r="L213" s="347">
        <f>IFERROR(_xlfn.XLOOKUP(F213,硫化工艺!B:B,硫化工艺!C:C),"")</f>
        <v>43</v>
      </c>
      <c r="M213" s="349">
        <f t="shared" si="555"/>
        <v>0.880546075085324</v>
      </c>
      <c r="N213" s="347" t="str">
        <f t="shared" si="480"/>
        <v>22.5全钢</v>
      </c>
      <c r="O213" s="347">
        <f>IFERROR(_xlfn.XLOOKUP(F213,轮胎重量!J:J,轮胎重量!G:G),"")</f>
        <v>68.183</v>
      </c>
      <c r="P213" s="347">
        <f>IFERROR(_xlfn.XLOOKUP(G213,硫化工艺!I:I,硫化工艺!J:J),"")</f>
        <v>970.318027</v>
      </c>
      <c r="Q213" s="347">
        <f t="shared" si="545"/>
        <v>0</v>
      </c>
      <c r="R213" s="347"/>
      <c r="S213" s="347"/>
      <c r="T213" s="347"/>
      <c r="U213" s="347"/>
      <c r="V213" s="347"/>
      <c r="W213" s="347"/>
      <c r="X213" s="347"/>
      <c r="Y213" s="347"/>
      <c r="Z213" s="347"/>
      <c r="AA213" s="347"/>
      <c r="AB213" s="347"/>
      <c r="AC213" s="347"/>
      <c r="AD213" s="347"/>
      <c r="AE213" s="347"/>
      <c r="AF213" s="347"/>
      <c r="AG213" s="347"/>
      <c r="AH213" s="347"/>
      <c r="AI213" s="347"/>
      <c r="AJ213" s="347"/>
      <c r="AK213" s="347"/>
      <c r="AL213" s="347"/>
      <c r="AM213" s="347"/>
      <c r="AN213" s="347"/>
      <c r="AO213" s="347"/>
      <c r="AP213" s="347"/>
      <c r="AQ213" s="347"/>
      <c r="AR213" s="347"/>
      <c r="AS213" s="347"/>
      <c r="AT213" s="347"/>
      <c r="AU213" s="347"/>
      <c r="AV213" s="347"/>
      <c r="AW213" s="347" t="str">
        <f t="shared" si="556"/>
        <v/>
      </c>
      <c r="AX213" s="365" t="str">
        <f t="shared" si="557"/>
        <v/>
      </c>
      <c r="AY213" s="365" t="str">
        <f t="shared" si="558"/>
        <v/>
      </c>
      <c r="AZ213" s="366">
        <v>513.33</v>
      </c>
      <c r="BA213" s="368">
        <v>33.07</v>
      </c>
      <c r="BB213" s="368">
        <v>53.48</v>
      </c>
      <c r="BC213" s="368">
        <v>58.08</v>
      </c>
      <c r="BD213" s="330"/>
      <c r="BE213" s="330" t="e">
        <f t="shared" si="559"/>
        <v>#VALUE!</v>
      </c>
      <c r="BF213" s="330" t="e">
        <f t="shared" si="560"/>
        <v>#VALUE!</v>
      </c>
      <c r="BG213" s="330" t="e">
        <f t="shared" si="561"/>
        <v>#VALUE!</v>
      </c>
      <c r="BH213" s="330" t="e">
        <f t="shared" si="562"/>
        <v>#VALUE!</v>
      </c>
      <c r="BI213" s="330"/>
      <c r="BJ213" s="370" cm="1">
        <f t="array" ref="BJ213:BM213">_xlfn.LET(_xlpm.data,$R213:$AV213,_xlpm.starts,{1,8,16,23},_xlpm.lengths,{7,7,8,9},_xlpm.arr,_xlfn.MAP(_xlpm.starts,_xlpm.lengths,_xlfn.LAMBDA(_xlpm.s,_xlpm.l,SUM(INDEX(_xlpm.data,,_xlfn.SEQUENCE(,_xlpm.l,_xlpm.s))))),ROUND(_xlpm.arr*$O213/1000,2))</f>
        <v>0</v>
      </c>
      <c r="BK213" s="330">
        <v>0</v>
      </c>
      <c r="BL213" s="330">
        <v>0</v>
      </c>
      <c r="BM213" s="330">
        <v>0</v>
      </c>
      <c r="BN213" s="258">
        <f t="shared" si="563"/>
        <v>0</v>
      </c>
      <c r="BO213" s="258">
        <v>22.58</v>
      </c>
      <c r="BP213" s="258">
        <v>22.58</v>
      </c>
      <c r="BQ213" s="258">
        <v>3.23</v>
      </c>
      <c r="BR213" s="258">
        <v>0</v>
      </c>
      <c r="BS213" s="382" t="s">
        <v>694</v>
      </c>
      <c r="BT213" s="258" cm="1">
        <f ca="1" t="array" ref="BT213:BW213">_xlfn.HSTACK(SUM(INDEX($R213:$AV213,1,1):INDEX($R213:$AV213,1,7)),SUM(INDEX($R213:$AV213,1,7):INDEX($R213:$AV213,1,13)),SUM(INDEX($R213:$AV213,1,16):INDEX($R213:$AV213,1,23)),SUM(INDEX($R213:$AV213,1,23):INDEX($R213:$AV213,1,31)))</f>
        <v>0</v>
      </c>
      <c r="BU213" s="258">
        <v>0</v>
      </c>
      <c r="BV213" s="258">
        <v>0</v>
      </c>
      <c r="BW213" s="258">
        <v>0</v>
      </c>
      <c r="BY213" s="258">
        <f t="shared" si="522"/>
        <v>0</v>
      </c>
      <c r="BZ213" s="258">
        <f t="shared" si="523"/>
        <v>0</v>
      </c>
      <c r="CA213" s="258">
        <f t="shared" si="524"/>
        <v>0</v>
      </c>
      <c r="CB213" s="258">
        <f t="shared" si="525"/>
        <v>0</v>
      </c>
      <c r="CD213" s="113"/>
      <c r="CE213" s="258">
        <f t="shared" si="564"/>
        <v>0</v>
      </c>
      <c r="CF213" s="258">
        <f t="shared" si="565"/>
        <v>0</v>
      </c>
      <c r="CG213" s="258">
        <f t="shared" si="566"/>
        <v>0</v>
      </c>
      <c r="CH213" s="258">
        <f t="shared" si="567"/>
        <v>0</v>
      </c>
      <c r="CI213" s="258">
        <f t="shared" si="568"/>
        <v>0</v>
      </c>
      <c r="CJ213" s="113"/>
      <c r="CK213" s="258">
        <f t="shared" ref="CK213:CN213" si="573">IFERROR(ROUND(BY213*$P213,2),"")</f>
        <v>0</v>
      </c>
      <c r="CL213" s="258">
        <f t="shared" si="573"/>
        <v>0</v>
      </c>
      <c r="CM213" s="258">
        <f t="shared" si="573"/>
        <v>0</v>
      </c>
      <c r="CN213" s="258">
        <f t="shared" si="573"/>
        <v>0</v>
      </c>
      <c r="CO213" s="258">
        <f t="shared" si="521"/>
        <v>0</v>
      </c>
    </row>
    <row r="214" s="258" customFormat="1" ht="17.6" spans="1:95">
      <c r="A214" s="330"/>
      <c r="B214" s="334" t="str">
        <f>_xlfn.XLOOKUP(G214,销售需求表!A:A,销售需求表!C:C)</f>
        <v>北美</v>
      </c>
      <c r="C214" s="335" t="str">
        <f t="shared" si="550"/>
        <v>22.5</v>
      </c>
      <c r="D214" s="359" t="str">
        <f t="shared" si="554"/>
        <v>北美22.5寸</v>
      </c>
      <c r="E214" s="339" t="str">
        <f t="shared" si="547"/>
        <v>315/80R22.5-20PR(161/157K)-I-52A</v>
      </c>
      <c r="F214" s="340" t="str">
        <f t="shared" si="503"/>
        <v>315/80R22.5-20PR-I-52A</v>
      </c>
      <c r="G214" s="341" t="s">
        <v>562</v>
      </c>
      <c r="H214" s="334">
        <v>1400</v>
      </c>
      <c r="I214" s="345"/>
      <c r="J214" s="346" t="str">
        <f t="shared" si="470"/>
        <v>315/80R22.5-I-52A</v>
      </c>
      <c r="K214" s="347" t="str">
        <f>_xlfn.XLOOKUP(F214,投产规格!E:E,投产规格!D:D,"未投产")</f>
        <v>✔</v>
      </c>
      <c r="L214" s="347">
        <f>IFERROR(_xlfn.XLOOKUP(F214,硫化工艺!B:B,硫化工艺!C:C),"")</f>
        <v>43</v>
      </c>
      <c r="M214" s="349">
        <f t="shared" si="555"/>
        <v>0.880546075085324</v>
      </c>
      <c r="N214" s="347" t="str">
        <f t="shared" si="480"/>
        <v>22.5全钢</v>
      </c>
      <c r="O214" s="347">
        <f>IFERROR(_xlfn.XLOOKUP(F214,轮胎重量!J:J,轮胎重量!G:G),"")</f>
        <v>68.118</v>
      </c>
      <c r="P214" s="347">
        <f>IFERROR(_xlfn.XLOOKUP(G214,硫化工艺!I:I,硫化工艺!J:J),"")</f>
        <v>979.684993</v>
      </c>
      <c r="Q214" s="347">
        <f t="shared" si="545"/>
        <v>0</v>
      </c>
      <c r="R214" s="347"/>
      <c r="S214" s="347"/>
      <c r="T214" s="347"/>
      <c r="U214" s="347"/>
      <c r="V214" s="347"/>
      <c r="W214" s="347"/>
      <c r="X214" s="347"/>
      <c r="Y214" s="347"/>
      <c r="Z214" s="347"/>
      <c r="AA214" s="354"/>
      <c r="AB214" s="354">
        <v>50</v>
      </c>
      <c r="AC214" s="354">
        <v>50</v>
      </c>
      <c r="AD214" s="354">
        <v>50</v>
      </c>
      <c r="AE214" s="354">
        <v>50</v>
      </c>
      <c r="AF214" s="354">
        <v>50</v>
      </c>
      <c r="AG214" s="354">
        <v>50</v>
      </c>
      <c r="AH214" s="354">
        <v>50</v>
      </c>
      <c r="AI214" s="354">
        <v>50</v>
      </c>
      <c r="AJ214" s="354">
        <v>50</v>
      </c>
      <c r="AK214" s="354">
        <v>50</v>
      </c>
      <c r="AL214" s="354">
        <v>50</v>
      </c>
      <c r="AM214" s="354">
        <v>50</v>
      </c>
      <c r="AN214" s="354">
        <v>50</v>
      </c>
      <c r="AO214" s="354">
        <v>50</v>
      </c>
      <c r="AP214" s="347"/>
      <c r="AQ214" s="347"/>
      <c r="AR214" s="347"/>
      <c r="AS214" s="347"/>
      <c r="AT214" s="347"/>
      <c r="AU214" s="347"/>
      <c r="AV214" s="347"/>
      <c r="AW214" s="347">
        <f t="shared" si="556"/>
        <v>700</v>
      </c>
      <c r="AX214" s="365">
        <f t="shared" si="557"/>
        <v>47.6826</v>
      </c>
      <c r="AY214" s="365">
        <f t="shared" si="558"/>
        <v>68.578</v>
      </c>
      <c r="AZ214" s="366">
        <v>513.33</v>
      </c>
      <c r="BA214" s="368">
        <v>33.07</v>
      </c>
      <c r="BB214" s="368">
        <v>53.48</v>
      </c>
      <c r="BC214" s="368">
        <v>58.08</v>
      </c>
      <c r="BD214" s="330"/>
      <c r="BE214" s="330">
        <f t="shared" si="559"/>
        <v>359331</v>
      </c>
      <c r="BF214" s="330">
        <f t="shared" si="560"/>
        <v>23149</v>
      </c>
      <c r="BG214" s="330">
        <f t="shared" si="561"/>
        <v>37436</v>
      </c>
      <c r="BH214" s="330">
        <f t="shared" si="562"/>
        <v>40656</v>
      </c>
      <c r="BI214" s="330"/>
      <c r="BJ214" s="370" cm="1">
        <f t="array" ref="BJ214:BM214">_xlfn.LET(_xlpm.data,$R214:$AV214,_xlpm.starts,{1,8,16,23},_xlpm.lengths,{7,7,8,9},_xlpm.arr,_xlfn.MAP(_xlpm.starts,_xlpm.lengths,_xlfn.LAMBDA(_xlpm.s,_xlpm.l,SUM(INDEX(_xlpm.data,,_xlfn.SEQUENCE(,_xlpm.l,_xlpm.s))))),ROUND(_xlpm.arr*$O214/1000,2))</f>
        <v>0</v>
      </c>
      <c r="BK214" s="330">
        <v>13.62</v>
      </c>
      <c r="BL214" s="330">
        <v>27.25</v>
      </c>
      <c r="BM214" s="330">
        <v>6.81</v>
      </c>
      <c r="BN214" s="258">
        <f t="shared" si="563"/>
        <v>47.68</v>
      </c>
      <c r="BO214" s="258">
        <v>22.58</v>
      </c>
      <c r="BP214" s="258">
        <v>22.58</v>
      </c>
      <c r="BQ214" s="258">
        <v>3.23</v>
      </c>
      <c r="BR214" s="258">
        <v>0</v>
      </c>
      <c r="BS214" s="115"/>
      <c r="BT214" s="258" cm="1">
        <f ca="1" t="array" ref="BT214:BW214">_xlfn.HSTACK(SUM(INDEX($R214:$AV214,1,1):INDEX($R214:$AV214,1,7)),SUM(INDEX($R214:$AV214,1,7):INDEX($R214:$AV214,1,13)),SUM(INDEX($R214:$AV214,1,16):INDEX($R214:$AV214,1,23)),SUM(INDEX($R214:$AV214,1,23):INDEX($R214:$AV214,1,31)))</f>
        <v>0</v>
      </c>
      <c r="BU214" s="258">
        <v>150</v>
      </c>
      <c r="BV214" s="258">
        <v>400</v>
      </c>
      <c r="BW214" s="258">
        <v>100</v>
      </c>
      <c r="BY214" s="258">
        <f t="shared" si="522"/>
        <v>0</v>
      </c>
      <c r="BZ214" s="258">
        <f t="shared" si="523"/>
        <v>200</v>
      </c>
      <c r="CA214" s="258">
        <f t="shared" si="524"/>
        <v>400</v>
      </c>
      <c r="CB214" s="258">
        <f t="shared" si="525"/>
        <v>100</v>
      </c>
      <c r="CD214" s="113"/>
      <c r="CE214" s="258">
        <f t="shared" si="564"/>
        <v>0</v>
      </c>
      <c r="CF214" s="258">
        <f t="shared" si="565"/>
        <v>13.62</v>
      </c>
      <c r="CG214" s="258">
        <f t="shared" si="566"/>
        <v>27.25</v>
      </c>
      <c r="CH214" s="258">
        <f t="shared" si="567"/>
        <v>6.81</v>
      </c>
      <c r="CI214" s="258">
        <f t="shared" si="568"/>
        <v>47.68</v>
      </c>
      <c r="CJ214" s="113"/>
      <c r="CK214" s="258">
        <f t="shared" ref="CK214:CN214" si="574">IFERROR(ROUND(BY214*$P214,2),"")</f>
        <v>0</v>
      </c>
      <c r="CL214" s="258">
        <f t="shared" si="574"/>
        <v>195937</v>
      </c>
      <c r="CM214" s="258">
        <f t="shared" si="574"/>
        <v>391874</v>
      </c>
      <c r="CN214" s="258">
        <f t="shared" si="574"/>
        <v>97968.5</v>
      </c>
      <c r="CO214" s="258">
        <f t="shared" si="521"/>
        <v>685779.5</v>
      </c>
      <c r="CP214" s="258">
        <f>VLOOKUP(G214,[2]Sheet1!$C$3:$G$310,5,0)</f>
        <v>14800</v>
      </c>
      <c r="CQ214" s="258" t="e">
        <f>VLOOKUP(G214,[3]KCBB0101!$C$3:$F$691,4,0)</f>
        <v>#N/A</v>
      </c>
    </row>
    <row r="215" s="258" customFormat="1" ht="17.6" spans="1:93">
      <c r="A215" s="330"/>
      <c r="B215" s="334" t="str">
        <f>_xlfn.XLOOKUP(G215,销售需求表!A:A,销售需求表!C:C)</f>
        <v>北美</v>
      </c>
      <c r="C215" s="335" t="str">
        <f t="shared" si="517"/>
        <v>22.5</v>
      </c>
      <c r="D215" s="359" t="str">
        <f t="shared" si="554"/>
        <v>北美22.5寸</v>
      </c>
      <c r="E215" s="339" t="str">
        <f t="shared" si="547"/>
        <v>315/80R22.5-20PR(161/157K)-M-TRAC MS</v>
      </c>
      <c r="F215" s="340" t="str">
        <f t="shared" si="503"/>
        <v>315/80R22.5-20PR-M-TRAC MS</v>
      </c>
      <c r="G215" s="339" t="s">
        <v>563</v>
      </c>
      <c r="H215" s="334">
        <v>750</v>
      </c>
      <c r="I215" s="345"/>
      <c r="J215" s="346" t="str">
        <f t="shared" si="470"/>
        <v>315/80R22.5-M-TRAC MS</v>
      </c>
      <c r="K215" s="347" t="str">
        <f>_xlfn.XLOOKUP(F215,投产规格!E:E,投产规格!D:D,"未投产")</f>
        <v>未投产</v>
      </c>
      <c r="L215" s="347">
        <f>IFERROR(_xlfn.XLOOKUP(F215,硫化工艺!B:B,硫化工艺!C:C),"")</f>
        <v>42.5</v>
      </c>
      <c r="M215" s="349">
        <f t="shared" si="555"/>
        <v>0.879310344827586</v>
      </c>
      <c r="N215" s="347" t="str">
        <f t="shared" si="480"/>
        <v>22.5全钢</v>
      </c>
      <c r="O215" s="347">
        <f>IFERROR(_xlfn.XLOOKUP(F215,轮胎重量!J:J,轮胎重量!G:G),"")</f>
        <v>62.322</v>
      </c>
      <c r="P215" s="350">
        <f>O215*13.9</f>
        <v>866.2758</v>
      </c>
      <c r="Q215" s="347">
        <f t="shared" si="545"/>
        <v>0</v>
      </c>
      <c r="R215" s="347"/>
      <c r="S215" s="347"/>
      <c r="T215" s="347"/>
      <c r="U215" s="347"/>
      <c r="V215" s="347"/>
      <c r="W215" s="347"/>
      <c r="X215" s="347"/>
      <c r="Y215" s="347"/>
      <c r="Z215" s="347"/>
      <c r="AA215" s="347"/>
      <c r="AB215" s="347"/>
      <c r="AC215" s="347"/>
      <c r="AD215" s="347"/>
      <c r="AE215" s="347"/>
      <c r="AF215" s="347"/>
      <c r="AG215" s="347"/>
      <c r="AH215" s="347"/>
      <c r="AI215" s="347"/>
      <c r="AJ215" s="347"/>
      <c r="AK215" s="347"/>
      <c r="AL215" s="347"/>
      <c r="AM215" s="347"/>
      <c r="AN215" s="347"/>
      <c r="AO215" s="347"/>
      <c r="AP215" s="347"/>
      <c r="AQ215" s="347"/>
      <c r="AR215" s="347"/>
      <c r="AS215" s="347"/>
      <c r="AT215" s="347"/>
      <c r="AU215" s="347"/>
      <c r="AV215" s="347"/>
      <c r="AW215" s="347" t="str">
        <f t="shared" si="556"/>
        <v/>
      </c>
      <c r="AX215" s="365" t="str">
        <f t="shared" si="557"/>
        <v/>
      </c>
      <c r="AY215" s="365" t="str">
        <f t="shared" si="558"/>
        <v/>
      </c>
      <c r="AZ215" s="366">
        <v>513.33</v>
      </c>
      <c r="BA215" s="368">
        <v>33.07</v>
      </c>
      <c r="BB215" s="368">
        <v>53.48</v>
      </c>
      <c r="BC215" s="368">
        <v>58.08</v>
      </c>
      <c r="BD215" s="330"/>
      <c r="BE215" s="330" t="e">
        <f t="shared" si="559"/>
        <v>#VALUE!</v>
      </c>
      <c r="BF215" s="330" t="e">
        <f t="shared" si="560"/>
        <v>#VALUE!</v>
      </c>
      <c r="BG215" s="330" t="e">
        <f t="shared" si="561"/>
        <v>#VALUE!</v>
      </c>
      <c r="BH215" s="330" t="e">
        <f t="shared" si="562"/>
        <v>#VALUE!</v>
      </c>
      <c r="BI215" s="330"/>
      <c r="BJ215" s="370" cm="1">
        <f t="array" ref="BJ215:BM215">_xlfn.LET(_xlpm.data,$R215:$AV215,_xlpm.starts,{1,8,16,23},_xlpm.lengths,{7,7,8,9},_xlpm.arr,_xlfn.MAP(_xlpm.starts,_xlpm.lengths,_xlfn.LAMBDA(_xlpm.s,_xlpm.l,SUM(INDEX(_xlpm.data,,_xlfn.SEQUENCE(,_xlpm.l,_xlpm.s))))),ROUND(_xlpm.arr*$O215/1000,2))</f>
        <v>0</v>
      </c>
      <c r="BK215" s="330">
        <v>0</v>
      </c>
      <c r="BL215" s="330">
        <v>0</v>
      </c>
      <c r="BM215" s="330">
        <v>0</v>
      </c>
      <c r="BN215" s="258">
        <f t="shared" si="563"/>
        <v>0</v>
      </c>
      <c r="BO215" s="258">
        <v>22.58</v>
      </c>
      <c r="BP215" s="258">
        <v>22.58</v>
      </c>
      <c r="BQ215" s="258">
        <v>3.23</v>
      </c>
      <c r="BR215" s="258">
        <v>0</v>
      </c>
      <c r="BS215" s="115"/>
      <c r="BT215" s="258" cm="1">
        <f ca="1" t="array" ref="BT215:BW215">_xlfn.HSTACK(SUM(INDEX($R215:$AV215,1,1):INDEX($R215:$AV215,1,7)),SUM(INDEX($R215:$AV215,1,7):INDEX($R215:$AV215,1,13)),SUM(INDEX($R215:$AV215,1,16):INDEX($R215:$AV215,1,23)),SUM(INDEX($R215:$AV215,1,23):INDEX($R215:$AV215,1,31)))</f>
        <v>0</v>
      </c>
      <c r="BU215" s="258">
        <v>0</v>
      </c>
      <c r="BV215" s="258">
        <v>0</v>
      </c>
      <c r="BW215" s="258">
        <v>0</v>
      </c>
      <c r="BY215" s="258">
        <f t="shared" si="522"/>
        <v>0</v>
      </c>
      <c r="BZ215" s="258">
        <f t="shared" si="523"/>
        <v>0</v>
      </c>
      <c r="CA215" s="258">
        <f t="shared" si="524"/>
        <v>0</v>
      </c>
      <c r="CB215" s="258">
        <f t="shared" si="525"/>
        <v>0</v>
      </c>
      <c r="CD215" s="113"/>
      <c r="CE215" s="258">
        <f t="shared" si="564"/>
        <v>0</v>
      </c>
      <c r="CF215" s="258">
        <f t="shared" si="565"/>
        <v>0</v>
      </c>
      <c r="CG215" s="258">
        <f t="shared" si="566"/>
        <v>0</v>
      </c>
      <c r="CH215" s="258">
        <f t="shared" si="567"/>
        <v>0</v>
      </c>
      <c r="CI215" s="258">
        <f t="shared" si="568"/>
        <v>0</v>
      </c>
      <c r="CJ215" s="113"/>
      <c r="CK215" s="258">
        <f t="shared" ref="CK215:CN215" si="575">IFERROR(ROUND(BY215*$P215,2),"")</f>
        <v>0</v>
      </c>
      <c r="CL215" s="258">
        <f t="shared" si="575"/>
        <v>0</v>
      </c>
      <c r="CM215" s="258">
        <f t="shared" si="575"/>
        <v>0</v>
      </c>
      <c r="CN215" s="258">
        <f t="shared" si="575"/>
        <v>0</v>
      </c>
      <c r="CO215" s="258">
        <f t="shared" si="521"/>
        <v>0</v>
      </c>
    </row>
    <row r="216" s="258" customFormat="1" ht="17.6" spans="1:95">
      <c r="A216" s="330"/>
      <c r="B216" s="334" t="str">
        <f>_xlfn.XLOOKUP(G216,销售需求表!A:A,销售需求表!C:C)</f>
        <v>北美</v>
      </c>
      <c r="C216" s="335" t="str">
        <f t="shared" si="517"/>
        <v>22.5</v>
      </c>
      <c r="D216" s="359" t="str">
        <f t="shared" si="554"/>
        <v>北美22.5寸</v>
      </c>
      <c r="E216" s="339" t="str">
        <f t="shared" si="547"/>
        <v>315/80R22.5-20PR(161/157L)-Strong Guard H-RD</v>
      </c>
      <c r="F216" s="340" t="str">
        <f t="shared" si="503"/>
        <v>315/80R22.5-20PR-H-RD</v>
      </c>
      <c r="G216" s="341" t="s">
        <v>564</v>
      </c>
      <c r="H216" s="334">
        <v>180</v>
      </c>
      <c r="I216" s="345">
        <v>2</v>
      </c>
      <c r="J216" s="346" t="str">
        <f t="shared" ref="J216:J266" si="576">IFERROR(LEFT(F216,FIND("-",F216))&amp;MID(F216,FIND("PR",F216,FIND("-",F216))+3,LEN(F216)),F216)</f>
        <v>315/80R22.5-H-RD</v>
      </c>
      <c r="K216" s="347" t="str">
        <f>_xlfn.XLOOKUP(F216,投产规格!E:E,投产规格!D:D,"未投产")</f>
        <v>✔</v>
      </c>
      <c r="L216" s="347">
        <f>IFERROR(_xlfn.XLOOKUP(F216,硫化工艺!B:B,硫化工艺!C:C),"")</f>
        <v>38.5</v>
      </c>
      <c r="M216" s="349">
        <f t="shared" si="555"/>
        <v>0.868421052631579</v>
      </c>
      <c r="N216" s="347" t="str">
        <f t="shared" si="480"/>
        <v>22.5全钢</v>
      </c>
      <c r="O216" s="347">
        <f>IFERROR(_xlfn.XLOOKUP(F216,轮胎重量!J:J,轮胎重量!G:G),"")</f>
        <v>62.86</v>
      </c>
      <c r="P216" s="347">
        <f>IFERROR(_xlfn.XLOOKUP(G216,硫化工艺!I:I,硫化工艺!J:J),"")</f>
        <v>893.855886</v>
      </c>
      <c r="Q216" s="347">
        <f t="shared" si="545"/>
        <v>65</v>
      </c>
      <c r="R216" s="347">
        <v>60</v>
      </c>
      <c r="S216" s="347">
        <v>60</v>
      </c>
      <c r="T216" s="347">
        <v>60</v>
      </c>
      <c r="U216" s="347">
        <v>60</v>
      </c>
      <c r="V216" s="347"/>
      <c r="W216" s="347"/>
      <c r="X216" s="347"/>
      <c r="Y216" s="347"/>
      <c r="Z216" s="347"/>
      <c r="AA216" s="347"/>
      <c r="AB216" s="347"/>
      <c r="AC216" s="347"/>
      <c r="AD216" s="347"/>
      <c r="AE216" s="347"/>
      <c r="AF216" s="347"/>
      <c r="AG216" s="347"/>
      <c r="AH216" s="347"/>
      <c r="AI216" s="347"/>
      <c r="AJ216" s="347"/>
      <c r="AK216" s="347"/>
      <c r="AL216" s="347"/>
      <c r="AM216" s="347"/>
      <c r="AN216" s="347"/>
      <c r="AO216" s="347"/>
      <c r="AP216" s="347"/>
      <c r="AQ216" s="347"/>
      <c r="AR216" s="347"/>
      <c r="AS216" s="347"/>
      <c r="AT216" s="347"/>
      <c r="AU216" s="347"/>
      <c r="AV216" s="347"/>
      <c r="AW216" s="347">
        <f t="shared" si="556"/>
        <v>240</v>
      </c>
      <c r="AX216" s="365">
        <f t="shared" si="557"/>
        <v>15.0864</v>
      </c>
      <c r="AY216" s="365">
        <f t="shared" si="558"/>
        <v>21.453</v>
      </c>
      <c r="AZ216" s="366">
        <v>513.33</v>
      </c>
      <c r="BA216" s="368">
        <v>33.07</v>
      </c>
      <c r="BB216" s="368">
        <v>53.48</v>
      </c>
      <c r="BC216" s="368">
        <v>58.08</v>
      </c>
      <c r="BD216" s="330"/>
      <c r="BE216" s="330">
        <f t="shared" si="559"/>
        <v>123199.2</v>
      </c>
      <c r="BF216" s="330">
        <f t="shared" si="560"/>
        <v>7936.8</v>
      </c>
      <c r="BG216" s="330">
        <f t="shared" si="561"/>
        <v>12835.2</v>
      </c>
      <c r="BH216" s="330">
        <f t="shared" si="562"/>
        <v>13939.2</v>
      </c>
      <c r="BI216" s="330"/>
      <c r="BJ216" s="370" cm="1">
        <f t="array" ref="BJ216:BM216">_xlfn.LET(_xlpm.data,$R216:$AV216,_xlpm.starts,{1,8,16,23},_xlpm.lengths,{7,7,8,9},_xlpm.arr,_xlfn.MAP(_xlpm.starts,_xlpm.lengths,_xlfn.LAMBDA(_xlpm.s,_xlpm.l,SUM(INDEX(_xlpm.data,,_xlfn.SEQUENCE(,_xlpm.l,_xlpm.s))))),ROUND(_xlpm.arr*$O216/1000,2))</f>
        <v>15.09</v>
      </c>
      <c r="BK216" s="330">
        <v>0</v>
      </c>
      <c r="BL216" s="330">
        <v>0</v>
      </c>
      <c r="BM216" s="330">
        <v>0</v>
      </c>
      <c r="BN216" s="258">
        <f t="shared" si="563"/>
        <v>15.09</v>
      </c>
      <c r="BO216" s="258">
        <v>22.58</v>
      </c>
      <c r="BP216" s="258">
        <v>22.58</v>
      </c>
      <c r="BQ216" s="258">
        <v>3.23</v>
      </c>
      <c r="BR216" s="258">
        <v>0</v>
      </c>
      <c r="BS216" s="115"/>
      <c r="BT216" s="258" cm="1">
        <f ca="1" t="array" ref="BT216:BW216">_xlfn.HSTACK(SUM(INDEX($R216:$AV216,1,1):INDEX($R216:$AV216,1,7)),SUM(INDEX($R216:$AV216,1,7):INDEX($R216:$AV216,1,13)),SUM(INDEX($R216:$AV216,1,16):INDEX($R216:$AV216,1,23)),SUM(INDEX($R216:$AV216,1,23):INDEX($R216:$AV216,1,31)))</f>
        <v>240</v>
      </c>
      <c r="BU216" s="258">
        <v>0</v>
      </c>
      <c r="BV216" s="258">
        <v>0</v>
      </c>
      <c r="BW216" s="258">
        <v>0</v>
      </c>
      <c r="BY216" s="258">
        <f t="shared" si="522"/>
        <v>240</v>
      </c>
      <c r="BZ216" s="258">
        <f t="shared" si="523"/>
        <v>0</v>
      </c>
      <c r="CA216" s="258">
        <f t="shared" si="524"/>
        <v>0</v>
      </c>
      <c r="CB216" s="258">
        <f t="shared" si="525"/>
        <v>0</v>
      </c>
      <c r="CD216" s="113"/>
      <c r="CE216" s="258">
        <f t="shared" si="564"/>
        <v>15.09</v>
      </c>
      <c r="CF216" s="258">
        <f t="shared" si="565"/>
        <v>0</v>
      </c>
      <c r="CG216" s="258">
        <f t="shared" si="566"/>
        <v>0</v>
      </c>
      <c r="CH216" s="258">
        <f t="shared" si="567"/>
        <v>0</v>
      </c>
      <c r="CI216" s="258">
        <f t="shared" si="568"/>
        <v>15.09</v>
      </c>
      <c r="CJ216" s="113"/>
      <c r="CK216" s="258">
        <f t="shared" ref="CK216:CN216" si="577">IFERROR(ROUND(BY216*$P216,2),"")</f>
        <v>214525.41</v>
      </c>
      <c r="CL216" s="258">
        <f t="shared" si="577"/>
        <v>0</v>
      </c>
      <c r="CM216" s="258">
        <f t="shared" si="577"/>
        <v>0</v>
      </c>
      <c r="CN216" s="258">
        <f t="shared" si="577"/>
        <v>0</v>
      </c>
      <c r="CO216" s="258">
        <f t="shared" si="521"/>
        <v>214525.41</v>
      </c>
      <c r="CP216" s="258">
        <f>VLOOKUP(G216,[2]Sheet1!$C$3:$G$310,5,0)</f>
        <v>10200</v>
      </c>
      <c r="CQ216" s="258" t="e">
        <f>VLOOKUP(G216,[3]KCBB0101!$C$3:$F$691,4,0)</f>
        <v>#N/A</v>
      </c>
    </row>
    <row r="217" s="258" customFormat="1" ht="17.6" spans="1:95">
      <c r="A217" s="330"/>
      <c r="B217" s="334" t="str">
        <f>_xlfn.XLOOKUP(G217,销售需求表!A:A,销售需求表!C:C)</f>
        <v>亚</v>
      </c>
      <c r="C217" s="335" t="str">
        <f t="shared" si="517"/>
        <v>22.5</v>
      </c>
      <c r="D217" s="359" t="str">
        <f t="shared" si="554"/>
        <v>亚22.5寸</v>
      </c>
      <c r="E217" s="339" t="str">
        <f t="shared" si="547"/>
        <v>315/80R22.5-20PR(161/157K)-VA996</v>
      </c>
      <c r="F217" s="340" t="str">
        <f t="shared" ref="F217:F248" si="578">IFERROR(MID(G217,3,FIND("(",G217)-3)&amp;"-"&amp;SUBSTITUTE(MID(G217,FIND("[",G217)+1,FIND("]",G217)-FIND("[",G217)-1),"Strong Guard ",""),"")</f>
        <v>315/80R22.5-20PR-VA996</v>
      </c>
      <c r="G217" s="341" t="s">
        <v>565</v>
      </c>
      <c r="H217" s="334">
        <v>300</v>
      </c>
      <c r="I217" s="345">
        <v>2</v>
      </c>
      <c r="J217" s="346" t="str">
        <f t="shared" si="576"/>
        <v>315/80R22.5-VA996</v>
      </c>
      <c r="K217" s="347" t="str">
        <f>_xlfn.XLOOKUP(F217,投产规格!E:E,投产规格!D:D,"未投产")</f>
        <v>✔</v>
      </c>
      <c r="L217" s="347">
        <f>IFERROR(_xlfn.XLOOKUP(F217,硫化工艺!B:B,硫化工艺!C:C),"")</f>
        <v>42</v>
      </c>
      <c r="M217" s="349">
        <f t="shared" si="555"/>
        <v>0.878048780487805</v>
      </c>
      <c r="N217" s="347" t="str">
        <f t="shared" si="480"/>
        <v>22.5全钢</v>
      </c>
      <c r="O217" s="347">
        <f>IFERROR(_xlfn.XLOOKUP(F217,轮胎重量!J:J,轮胎重量!G:G),"")</f>
        <v>69.323</v>
      </c>
      <c r="P217" s="347">
        <f>IFERROR(_xlfn.XLOOKUP(G217,硫化工艺!I:I,硫化工艺!J:J),"")</f>
        <v>975.239748</v>
      </c>
      <c r="Q217" s="347">
        <f t="shared" si="545"/>
        <v>60</v>
      </c>
      <c r="R217" s="347">
        <v>60</v>
      </c>
      <c r="S217" s="347">
        <v>60</v>
      </c>
      <c r="T217" s="347">
        <v>60</v>
      </c>
      <c r="U217" s="347">
        <v>60</v>
      </c>
      <c r="V217" s="347">
        <v>60</v>
      </c>
      <c r="W217" s="347">
        <v>60</v>
      </c>
      <c r="X217" s="347">
        <v>60</v>
      </c>
      <c r="Y217" s="347"/>
      <c r="Z217" s="347"/>
      <c r="AA217" s="347"/>
      <c r="AB217" s="347"/>
      <c r="AC217" s="347"/>
      <c r="AD217" s="347"/>
      <c r="AE217" s="347"/>
      <c r="AF217" s="347"/>
      <c r="AG217" s="347"/>
      <c r="AH217" s="347"/>
      <c r="AI217" s="347"/>
      <c r="AJ217" s="347"/>
      <c r="AK217" s="347"/>
      <c r="AL217" s="347"/>
      <c r="AM217" s="347"/>
      <c r="AN217" s="347"/>
      <c r="AO217" s="347"/>
      <c r="AP217" s="347"/>
      <c r="AQ217" s="347"/>
      <c r="AR217" s="347"/>
      <c r="AS217" s="347"/>
      <c r="AT217" s="347"/>
      <c r="AU217" s="347"/>
      <c r="AV217" s="347"/>
      <c r="AW217" s="347">
        <f t="shared" si="556"/>
        <v>420</v>
      </c>
      <c r="AX217" s="365">
        <f t="shared" si="557"/>
        <v>29.11566</v>
      </c>
      <c r="AY217" s="365">
        <f t="shared" si="558"/>
        <v>40.96</v>
      </c>
      <c r="AZ217" s="366">
        <v>513.33</v>
      </c>
      <c r="BA217" s="368">
        <v>33.07</v>
      </c>
      <c r="BB217" s="368">
        <v>53.48</v>
      </c>
      <c r="BC217" s="368">
        <v>58.08</v>
      </c>
      <c r="BD217" s="330"/>
      <c r="BE217" s="330">
        <f t="shared" si="559"/>
        <v>215598.6</v>
      </c>
      <c r="BF217" s="330">
        <f t="shared" si="560"/>
        <v>13889.4</v>
      </c>
      <c r="BG217" s="330">
        <f t="shared" si="561"/>
        <v>22461.6</v>
      </c>
      <c r="BH217" s="330">
        <f t="shared" si="562"/>
        <v>24393.6</v>
      </c>
      <c r="BI217" s="330"/>
      <c r="BJ217" s="370" cm="1">
        <f t="array" ref="BJ217:BM217">_xlfn.LET(_xlpm.data,$R217:$AV217,_xlpm.starts,{1,8,16,23},_xlpm.lengths,{7,7,8,9},_xlpm.arr,_xlfn.MAP(_xlpm.starts,_xlpm.lengths,_xlfn.LAMBDA(_xlpm.s,_xlpm.l,SUM(INDEX(_xlpm.data,,_xlfn.SEQUENCE(,_xlpm.l,_xlpm.s))))),ROUND(_xlpm.arr*$O217/1000,2))</f>
        <v>29.12</v>
      </c>
      <c r="BK217" s="330">
        <v>0</v>
      </c>
      <c r="BL217" s="330">
        <v>0</v>
      </c>
      <c r="BM217" s="330">
        <v>0</v>
      </c>
      <c r="BN217" s="258">
        <f t="shared" si="563"/>
        <v>29.12</v>
      </c>
      <c r="BO217" s="258">
        <v>22.58</v>
      </c>
      <c r="BP217" s="258">
        <v>22.58</v>
      </c>
      <c r="BQ217" s="258">
        <v>3.23</v>
      </c>
      <c r="BR217" s="258">
        <v>0</v>
      </c>
      <c r="BS217" s="115"/>
      <c r="BT217" s="258" cm="1">
        <f ca="1" t="array" ref="BT217:BW217">_xlfn.HSTACK(SUM(INDEX($R217:$AV217,1,1):INDEX($R217:$AV217,1,7)),SUM(INDEX($R217:$AV217,1,7):INDEX($R217:$AV217,1,13)),SUM(INDEX($R217:$AV217,1,16):INDEX($R217:$AV217,1,23)),SUM(INDEX($R217:$AV217,1,23):INDEX($R217:$AV217,1,31)))</f>
        <v>420</v>
      </c>
      <c r="BU217" s="258">
        <v>60</v>
      </c>
      <c r="BV217" s="258">
        <v>0</v>
      </c>
      <c r="BW217" s="258">
        <v>0</v>
      </c>
      <c r="BY217" s="258">
        <f t="shared" si="522"/>
        <v>420</v>
      </c>
      <c r="BZ217" s="258">
        <f t="shared" si="523"/>
        <v>0</v>
      </c>
      <c r="CA217" s="258">
        <f t="shared" si="524"/>
        <v>0</v>
      </c>
      <c r="CB217" s="258">
        <f t="shared" si="525"/>
        <v>0</v>
      </c>
      <c r="CD217" s="113"/>
      <c r="CE217" s="258">
        <f t="shared" si="564"/>
        <v>29.12</v>
      </c>
      <c r="CF217" s="258">
        <f t="shared" si="565"/>
        <v>0</v>
      </c>
      <c r="CG217" s="258">
        <f t="shared" si="566"/>
        <v>0</v>
      </c>
      <c r="CH217" s="258">
        <f t="shared" si="567"/>
        <v>0</v>
      </c>
      <c r="CI217" s="258">
        <f t="shared" si="568"/>
        <v>29.12</v>
      </c>
      <c r="CJ217" s="113"/>
      <c r="CK217" s="258">
        <f t="shared" ref="CK217:CN217" si="579">IFERROR(ROUND(BY217*$P217,2),"")</f>
        <v>409600.69</v>
      </c>
      <c r="CL217" s="258">
        <f t="shared" si="579"/>
        <v>0</v>
      </c>
      <c r="CM217" s="258">
        <f t="shared" si="579"/>
        <v>0</v>
      </c>
      <c r="CN217" s="258">
        <f t="shared" si="579"/>
        <v>0</v>
      </c>
      <c r="CO217" s="258">
        <f t="shared" si="521"/>
        <v>409600.69</v>
      </c>
      <c r="CP217" s="258">
        <f>VLOOKUP(G217,[2]Sheet1!$C$3:$G$310,5,0)</f>
        <v>7500</v>
      </c>
      <c r="CQ217" s="258" t="e">
        <f>VLOOKUP(G217,[3]KCBB0101!$C$3:$F$691,4,0)</f>
        <v>#N/A</v>
      </c>
    </row>
    <row r="218" ht="17.6" spans="2:95">
      <c r="B218" s="334" t="str">
        <f>_xlfn.XLOOKUP(G218,销售需求表!A:A,销售需求表!C:C)</f>
        <v>亚</v>
      </c>
      <c r="C218" s="335" t="str">
        <f t="shared" si="517"/>
        <v>22.5</v>
      </c>
      <c r="D218" s="359" t="str">
        <f t="shared" si="554"/>
        <v>亚22.5寸</v>
      </c>
      <c r="E218" s="339" t="str">
        <f t="shared" si="547"/>
        <v>12R22.5-18PR(152/149F)-EZ870</v>
      </c>
      <c r="F218" s="340" t="str">
        <f t="shared" si="578"/>
        <v>12R22.5-18PR-EZ870</v>
      </c>
      <c r="G218" s="341" t="s">
        <v>421</v>
      </c>
      <c r="H218" s="334">
        <v>450</v>
      </c>
      <c r="I218" s="345"/>
      <c r="J218" s="346" t="str">
        <f t="shared" si="576"/>
        <v>12R22.5-EZ870</v>
      </c>
      <c r="K218" s="347" t="str">
        <f>_xlfn.XLOOKUP(F218,投产规格!E:E,投产规格!D:D,"未投产")</f>
        <v>✔</v>
      </c>
      <c r="L218" s="347">
        <f>IFERROR(_xlfn.XLOOKUP(F218,硫化工艺!B:B,硫化工艺!C:C),"")</f>
        <v>54</v>
      </c>
      <c r="M218" s="349">
        <f t="shared" si="555"/>
        <v>0.902506963788301</v>
      </c>
      <c r="N218" s="347" t="str">
        <f t="shared" si="480"/>
        <v>22.5全钢</v>
      </c>
      <c r="O218" s="347">
        <f>IFERROR(_xlfn.XLOOKUP(F218,轮胎重量!J:J,轮胎重量!G:G),"")</f>
        <v>74.73</v>
      </c>
      <c r="P218" s="347">
        <f>IFERROR(_xlfn.XLOOKUP(G218,硫化工艺!I:I,硫化工艺!J:J),"")</f>
        <v>1089.464159</v>
      </c>
      <c r="Q218" s="347">
        <f t="shared" si="545"/>
        <v>0</v>
      </c>
      <c r="R218" s="347"/>
      <c r="S218" s="347"/>
      <c r="T218" s="347"/>
      <c r="U218" s="347"/>
      <c r="V218" s="347"/>
      <c r="W218" s="347"/>
      <c r="X218" s="347"/>
      <c r="Y218" s="347">
        <v>50</v>
      </c>
      <c r="Z218" s="347">
        <v>50</v>
      </c>
      <c r="AA218" s="347">
        <v>50</v>
      </c>
      <c r="AB218" s="347">
        <v>50</v>
      </c>
      <c r="AC218" s="347">
        <v>50</v>
      </c>
      <c r="AD218" s="347">
        <v>50</v>
      </c>
      <c r="AE218" s="347">
        <v>50</v>
      </c>
      <c r="AF218" s="347">
        <v>50</v>
      </c>
      <c r="AG218" s="347">
        <v>50</v>
      </c>
      <c r="AH218" s="347">
        <v>50</v>
      </c>
      <c r="AI218" s="347">
        <v>50</v>
      </c>
      <c r="AJ218" s="347"/>
      <c r="AK218" s="347"/>
      <c r="AL218" s="347"/>
      <c r="AM218" s="347"/>
      <c r="AN218" s="347"/>
      <c r="AO218" s="347"/>
      <c r="AP218" s="347"/>
      <c r="AQ218" s="347"/>
      <c r="AR218" s="347"/>
      <c r="AS218" s="347"/>
      <c r="AT218" s="347"/>
      <c r="AU218" s="347"/>
      <c r="AV218" s="347"/>
      <c r="AW218" s="347">
        <f t="shared" si="556"/>
        <v>550</v>
      </c>
      <c r="AX218" s="365">
        <f t="shared" si="557"/>
        <v>41.1015</v>
      </c>
      <c r="AY218" s="365">
        <f t="shared" si="558"/>
        <v>59.921</v>
      </c>
      <c r="AZ218" s="366">
        <v>513.33</v>
      </c>
      <c r="BA218" s="368">
        <v>33.07</v>
      </c>
      <c r="BB218" s="368">
        <v>53.48</v>
      </c>
      <c r="BC218" s="368">
        <v>58.08</v>
      </c>
      <c r="BE218" s="330">
        <f t="shared" si="559"/>
        <v>282331.5</v>
      </c>
      <c r="BF218" s="330">
        <f t="shared" si="560"/>
        <v>18188.5</v>
      </c>
      <c r="BG218" s="330">
        <f t="shared" si="561"/>
        <v>29414</v>
      </c>
      <c r="BH218" s="330">
        <f t="shared" si="562"/>
        <v>31944</v>
      </c>
      <c r="BJ218" s="370" cm="1">
        <f t="array" ref="BJ218:BM218">_xlfn.LET(_xlpm.data,$R218:$AV218,_xlpm.starts,{1,8,16,23},_xlpm.lengths,{7,7,8,9},_xlpm.arr,_xlfn.MAP(_xlpm.starts,_xlpm.lengths,_xlfn.LAMBDA(_xlpm.s,_xlpm.l,SUM(INDEX(_xlpm.data,,_xlfn.SEQUENCE(,_xlpm.l,_xlpm.s))))),ROUND(_xlpm.arr*$O218/1000,2))</f>
        <v>0</v>
      </c>
      <c r="BK218" s="330">
        <v>26.16</v>
      </c>
      <c r="BL218" s="330">
        <v>11.21</v>
      </c>
      <c r="BM218" s="330">
        <v>0</v>
      </c>
      <c r="BN218" s="258">
        <f t="shared" si="563"/>
        <v>37.37</v>
      </c>
      <c r="BO218" s="258">
        <v>0</v>
      </c>
      <c r="BP218" s="258">
        <v>0</v>
      </c>
      <c r="BQ218" s="258">
        <v>22.53</v>
      </c>
      <c r="BR218" s="258">
        <v>28.97</v>
      </c>
      <c r="BT218" s="258" cm="1">
        <f ca="1" t="array" ref="BT218:BW218">_xlfn.HSTACK(SUM(INDEX($R218:$AV218,1,1):INDEX($R218:$AV218,1,7)),SUM(INDEX($R218:$AV218,1,7):INDEX($R218:$AV218,1,13)),SUM(INDEX($R218:$AV218,1,16):INDEX($R218:$AV218,1,23)),SUM(INDEX($R218:$AV218,1,23):INDEX($R218:$AV218,1,31)))</f>
        <v>0</v>
      </c>
      <c r="BU218" s="258">
        <v>300</v>
      </c>
      <c r="BV218" s="258">
        <v>150</v>
      </c>
      <c r="BW218" s="258">
        <v>0</v>
      </c>
      <c r="BY218" s="258">
        <f t="shared" si="522"/>
        <v>0</v>
      </c>
      <c r="BZ218" s="258">
        <f t="shared" si="523"/>
        <v>350</v>
      </c>
      <c r="CA218" s="258">
        <f t="shared" si="524"/>
        <v>200</v>
      </c>
      <c r="CB218" s="258">
        <f t="shared" si="525"/>
        <v>0</v>
      </c>
      <c r="CE218" s="258">
        <f t="shared" si="564"/>
        <v>0</v>
      </c>
      <c r="CF218" s="258">
        <f t="shared" si="565"/>
        <v>26.16</v>
      </c>
      <c r="CG218" s="258">
        <f t="shared" si="566"/>
        <v>14.95</v>
      </c>
      <c r="CH218" s="258">
        <f t="shared" si="567"/>
        <v>0</v>
      </c>
      <c r="CI218" s="258">
        <f t="shared" si="568"/>
        <v>41.11</v>
      </c>
      <c r="CK218" s="258">
        <f t="shared" ref="CK218:CN218" si="580">IFERROR(ROUND(BY218*$P218,2),"")</f>
        <v>0</v>
      </c>
      <c r="CL218" s="258">
        <f t="shared" si="580"/>
        <v>381312.46</v>
      </c>
      <c r="CM218" s="258">
        <f t="shared" si="580"/>
        <v>217892.83</v>
      </c>
      <c r="CN218" s="258">
        <f t="shared" si="580"/>
        <v>0</v>
      </c>
      <c r="CO218" s="258">
        <f t="shared" si="521"/>
        <v>599205.29</v>
      </c>
      <c r="CP218" s="258" t="e">
        <f>VLOOKUP(G218,[2]Sheet1!$C$3:$G$310,5,0)</f>
        <v>#N/A</v>
      </c>
      <c r="CQ218" s="258">
        <f>VLOOKUP(G218,[3]KCBB0101!$C$3:$F$691,4,0)</f>
        <v>5930</v>
      </c>
    </row>
    <row r="219" ht="17.6" spans="2:95">
      <c r="B219" s="334" t="str">
        <f>_xlfn.XLOOKUP(G219,销售需求表!A:A,销售需求表!C:C)</f>
        <v>亚</v>
      </c>
      <c r="C219" s="335" t="str">
        <f t="shared" ref="C219:C228" si="581">IFERROR(MID(F219,FIND("R",F219)+1,4),"")</f>
        <v>22.5</v>
      </c>
      <c r="D219" s="362" t="str">
        <f t="shared" si="554"/>
        <v>亚22.5寸</v>
      </c>
      <c r="E219" s="339" t="str">
        <f t="shared" si="547"/>
        <v>12R22.5-18PR(152/149K)-EZ867</v>
      </c>
      <c r="F219" s="340" t="str">
        <f t="shared" si="578"/>
        <v>12R22.5-18PR-EZ867</v>
      </c>
      <c r="G219" s="341" t="s">
        <v>422</v>
      </c>
      <c r="H219" s="334">
        <v>200</v>
      </c>
      <c r="I219" s="345"/>
      <c r="J219" s="346" t="str">
        <f t="shared" si="576"/>
        <v>12R22.5-EZ867</v>
      </c>
      <c r="K219" s="347" t="str">
        <f>_xlfn.XLOOKUP(F219,投产规格!E:E,投产规格!D:D,"未投产")</f>
        <v>✔</v>
      </c>
      <c r="L219" s="347">
        <f>IFERROR(_xlfn.XLOOKUP(F219,硫化工艺!B:B,硫化工艺!C:C),"")</f>
        <v>52</v>
      </c>
      <c r="M219" s="349">
        <f t="shared" si="555"/>
        <v>0.899135446685879</v>
      </c>
      <c r="N219" s="347" t="str">
        <f t="shared" si="480"/>
        <v>22.5全钢</v>
      </c>
      <c r="O219" s="347">
        <f>IFERROR(_xlfn.XLOOKUP(F219,轮胎重量!J:J,轮胎重量!G:G),"")</f>
        <v>70.657</v>
      </c>
      <c r="P219" s="347">
        <f>IFERROR(_xlfn.XLOOKUP(G219,硫化工艺!I:I,硫化工艺!J:J),"")</f>
        <v>1016.350321</v>
      </c>
      <c r="Q219" s="347">
        <f t="shared" si="545"/>
        <v>0</v>
      </c>
      <c r="R219" s="347"/>
      <c r="S219" s="347"/>
      <c r="T219" s="347"/>
      <c r="U219" s="347"/>
      <c r="V219" s="347"/>
      <c r="W219" s="347"/>
      <c r="X219" s="347"/>
      <c r="Y219" s="347"/>
      <c r="Z219" s="347"/>
      <c r="AA219" s="347"/>
      <c r="AB219" s="347"/>
      <c r="AC219" s="347"/>
      <c r="AD219" s="347"/>
      <c r="AE219" s="347"/>
      <c r="AF219" s="347"/>
      <c r="AG219" s="347"/>
      <c r="AH219" s="347"/>
      <c r="AI219" s="347"/>
      <c r="AJ219" s="347">
        <v>50</v>
      </c>
      <c r="AK219" s="347">
        <v>50</v>
      </c>
      <c r="AL219" s="347">
        <v>50</v>
      </c>
      <c r="AM219" s="347">
        <v>50</v>
      </c>
      <c r="AN219" s="347">
        <v>50</v>
      </c>
      <c r="AO219" s="347">
        <v>50</v>
      </c>
      <c r="AP219" s="347"/>
      <c r="AQ219" s="347"/>
      <c r="AR219" s="347"/>
      <c r="AS219" s="347"/>
      <c r="AT219" s="347"/>
      <c r="AU219" s="347"/>
      <c r="AV219" s="347"/>
      <c r="AW219" s="347">
        <f t="shared" si="556"/>
        <v>300</v>
      </c>
      <c r="AX219" s="365">
        <f t="shared" si="557"/>
        <v>21.1971</v>
      </c>
      <c r="AY219" s="365">
        <f t="shared" si="558"/>
        <v>30.491</v>
      </c>
      <c r="AZ219" s="367"/>
      <c r="BE219" s="330">
        <f t="shared" si="559"/>
        <v>0</v>
      </c>
      <c r="BF219" s="330">
        <f t="shared" si="560"/>
        <v>0</v>
      </c>
      <c r="BG219" s="330">
        <f t="shared" si="561"/>
        <v>0</v>
      </c>
      <c r="BH219" s="330">
        <f t="shared" si="562"/>
        <v>0</v>
      </c>
      <c r="BJ219" s="370" cm="1">
        <f t="array" ref="BJ219:BM219">_xlfn.LET(_xlpm.data,$R219:$AV219,_xlpm.starts,{1,8,16,23},_xlpm.lengths,{7,7,8,9},_xlpm.arr,_xlfn.MAP(_xlpm.starts,_xlpm.lengths,_xlfn.LAMBDA(_xlpm.s,_xlpm.l,SUM(INDEX(_xlpm.data,,_xlfn.SEQUENCE(,_xlpm.l,_xlpm.s))))),ROUND(_xlpm.arr*$O219/1000,2))</f>
        <v>0</v>
      </c>
      <c r="BK219" s="330">
        <v>0</v>
      </c>
      <c r="BL219" s="330">
        <v>17.66</v>
      </c>
      <c r="BM219" s="330">
        <v>7.07</v>
      </c>
      <c r="BN219" s="258">
        <f t="shared" si="563"/>
        <v>24.73</v>
      </c>
      <c r="BO219" s="258">
        <v>0</v>
      </c>
      <c r="BP219" s="258">
        <v>0</v>
      </c>
      <c r="BQ219" s="258">
        <v>11.13</v>
      </c>
      <c r="BR219" s="258">
        <v>25.04</v>
      </c>
      <c r="BT219" s="258" cm="1">
        <f ca="1" t="array" ref="BT219:BW219">_xlfn.HSTACK(SUM(INDEX($R219:$AV219,1,1):INDEX($R219:$AV219,1,7)),SUM(INDEX($R219:$AV219,1,7):INDEX($R219:$AV219,1,13)),SUM(INDEX($R219:$AV219,1,16):INDEX($R219:$AV219,1,23)),SUM(INDEX($R219:$AV219,1,23):INDEX($R219:$AV219,1,31)))</f>
        <v>0</v>
      </c>
      <c r="BU219" s="258">
        <v>0</v>
      </c>
      <c r="BV219" s="258">
        <v>250</v>
      </c>
      <c r="BW219" s="258">
        <v>100</v>
      </c>
      <c r="BY219" s="258">
        <f t="shared" si="522"/>
        <v>0</v>
      </c>
      <c r="BZ219" s="258">
        <f t="shared" si="523"/>
        <v>0</v>
      </c>
      <c r="CA219" s="258">
        <f t="shared" si="524"/>
        <v>200</v>
      </c>
      <c r="CB219" s="258">
        <f t="shared" si="525"/>
        <v>100</v>
      </c>
      <c r="CE219" s="258">
        <f t="shared" si="564"/>
        <v>0</v>
      </c>
      <c r="CF219" s="258">
        <f t="shared" si="565"/>
        <v>0</v>
      </c>
      <c r="CG219" s="258">
        <f t="shared" si="566"/>
        <v>14.13</v>
      </c>
      <c r="CH219" s="258">
        <f t="shared" si="567"/>
        <v>7.07</v>
      </c>
      <c r="CI219" s="258">
        <f t="shared" si="568"/>
        <v>21.2</v>
      </c>
      <c r="CK219" s="258">
        <f t="shared" ref="CK219:CN219" si="582">IFERROR(ROUND(BY219*$P219,2),"")</f>
        <v>0</v>
      </c>
      <c r="CL219" s="258">
        <f t="shared" si="582"/>
        <v>0</v>
      </c>
      <c r="CM219" s="258">
        <f t="shared" si="582"/>
        <v>203270.06</v>
      </c>
      <c r="CN219" s="258">
        <f t="shared" si="582"/>
        <v>101635.03</v>
      </c>
      <c r="CO219" s="258">
        <f t="shared" si="521"/>
        <v>304905.09</v>
      </c>
      <c r="CP219" s="258" t="e">
        <f>VLOOKUP(G219,[2]Sheet1!$C$3:$G$310,5,0)</f>
        <v>#N/A</v>
      </c>
      <c r="CQ219" s="258">
        <f>VLOOKUP(G219,[3]KCBB0101!$C$3:$F$691,4,0)</f>
        <v>3000</v>
      </c>
    </row>
    <row r="220" ht="17.6" spans="2:95">
      <c r="B220" s="334" t="str">
        <f>_xlfn.XLOOKUP(G220,销售需求表!A:A,销售需求表!C:C)</f>
        <v>北美</v>
      </c>
      <c r="C220" s="335" t="str">
        <f t="shared" si="581"/>
        <v>22.5</v>
      </c>
      <c r="D220" s="362" t="str">
        <f t="shared" si="554"/>
        <v>北美22.5寸</v>
      </c>
      <c r="E220" s="339" t="str">
        <f t="shared" si="547"/>
        <v>12R22.5-18PR(152/149L)-I-181</v>
      </c>
      <c r="F220" s="340" t="str">
        <f t="shared" si="578"/>
        <v>12R22.5-18PR-I-181</v>
      </c>
      <c r="G220" s="341" t="s">
        <v>423</v>
      </c>
      <c r="H220" s="334">
        <v>280</v>
      </c>
      <c r="I220" s="345"/>
      <c r="J220" s="346" t="str">
        <f t="shared" si="576"/>
        <v>12R22.5-I-181</v>
      </c>
      <c r="K220" s="347" t="str">
        <f>_xlfn.XLOOKUP(F220,投产规格!E:E,投产规格!D:D,"未投产")</f>
        <v>✔</v>
      </c>
      <c r="L220" s="347">
        <f>IFERROR(_xlfn.XLOOKUP(F220,硫化工艺!B:B,硫化工艺!C:C),"")</f>
        <v>44</v>
      </c>
      <c r="M220" s="349">
        <f t="shared" si="555"/>
        <v>0.882943143812709</v>
      </c>
      <c r="N220" s="347" t="str">
        <f t="shared" si="480"/>
        <v>22.5全钢</v>
      </c>
      <c r="O220" s="347">
        <f>IFERROR(_xlfn.XLOOKUP(F220,轮胎重量!J:J,轮胎重量!G:G),"")</f>
        <v>61.55</v>
      </c>
      <c r="P220" s="347">
        <f>IFERROR(_xlfn.XLOOKUP(G220,硫化工艺!I:I,硫化工艺!J:J),"")</f>
        <v>883.054722</v>
      </c>
      <c r="Q220" s="347">
        <f t="shared" si="545"/>
        <v>0</v>
      </c>
      <c r="R220" s="347"/>
      <c r="S220" s="347"/>
      <c r="T220" s="347"/>
      <c r="U220" s="347"/>
      <c r="V220" s="347"/>
      <c r="W220" s="347"/>
      <c r="X220" s="347"/>
      <c r="Y220" s="347"/>
      <c r="Z220" s="347"/>
      <c r="AA220" s="347"/>
      <c r="AB220" s="347"/>
      <c r="AC220" s="347"/>
      <c r="AD220" s="347"/>
      <c r="AE220" s="347"/>
      <c r="AF220" s="347"/>
      <c r="AG220" s="347"/>
      <c r="AH220" s="347"/>
      <c r="AI220" s="347"/>
      <c r="AJ220" s="347"/>
      <c r="AK220" s="347"/>
      <c r="AL220" s="347"/>
      <c r="AM220" s="347"/>
      <c r="AN220" s="347"/>
      <c r="AO220" s="347"/>
      <c r="AP220" s="347">
        <v>50</v>
      </c>
      <c r="AQ220" s="347">
        <v>50</v>
      </c>
      <c r="AR220" s="347">
        <v>50</v>
      </c>
      <c r="AS220" s="347">
        <v>50</v>
      </c>
      <c r="AT220" s="347">
        <v>50</v>
      </c>
      <c r="AU220" s="347">
        <v>50</v>
      </c>
      <c r="AV220" s="347">
        <v>50</v>
      </c>
      <c r="AW220" s="347">
        <f t="shared" si="556"/>
        <v>350</v>
      </c>
      <c r="AX220" s="365">
        <f t="shared" si="557"/>
        <v>21.5425</v>
      </c>
      <c r="AY220" s="365">
        <f t="shared" si="558"/>
        <v>30.907</v>
      </c>
      <c r="AZ220" s="367"/>
      <c r="BE220" s="330">
        <f t="shared" si="559"/>
        <v>0</v>
      </c>
      <c r="BF220" s="330">
        <f t="shared" si="560"/>
        <v>0</v>
      </c>
      <c r="BG220" s="330">
        <f t="shared" si="561"/>
        <v>0</v>
      </c>
      <c r="BH220" s="330">
        <f t="shared" si="562"/>
        <v>0</v>
      </c>
      <c r="BJ220" s="370" cm="1">
        <f t="array" ref="BJ220:BM220">_xlfn.LET(_xlpm.data,$R220:$AV220,_xlpm.starts,{1,8,16,23},_xlpm.lengths,{7,7,8,9},_xlpm.arr,_xlfn.MAP(_xlpm.starts,_xlpm.lengths,_xlfn.LAMBDA(_xlpm.s,_xlpm.l,SUM(INDEX(_xlpm.data,,_xlfn.SEQUENCE(,_xlpm.l,_xlpm.s))))),ROUND(_xlpm.arr*$O220/1000,2))</f>
        <v>0</v>
      </c>
      <c r="BK220" s="330">
        <v>0</v>
      </c>
      <c r="BL220" s="330">
        <v>0</v>
      </c>
      <c r="BM220" s="330">
        <v>21.54</v>
      </c>
      <c r="BN220" s="258">
        <f t="shared" si="563"/>
        <v>21.54</v>
      </c>
      <c r="BO220" s="258">
        <v>0</v>
      </c>
      <c r="BP220" s="258">
        <v>0</v>
      </c>
      <c r="BQ220" s="258">
        <v>11.13</v>
      </c>
      <c r="BR220" s="258">
        <v>25.04</v>
      </c>
      <c r="BT220" s="258" cm="1">
        <f ca="1" t="array" ref="BT220:BW220">_xlfn.HSTACK(SUM(INDEX($R220:$AV220,1,1):INDEX($R220:$AV220,1,7)),SUM(INDEX($R220:$AV220,1,7):INDEX($R220:$AV220,1,13)),SUM(INDEX($R220:$AV220,1,16):INDEX($R220:$AV220,1,23)),SUM(INDEX($R220:$AV220,1,23):INDEX($R220:$AV220,1,31)))</f>
        <v>0</v>
      </c>
      <c r="BU220" s="258">
        <v>0</v>
      </c>
      <c r="BV220" s="258">
        <v>0</v>
      </c>
      <c r="BW220" s="258">
        <v>350</v>
      </c>
      <c r="BY220" s="258">
        <f t="shared" si="522"/>
        <v>0</v>
      </c>
      <c r="BZ220" s="258">
        <f t="shared" si="523"/>
        <v>0</v>
      </c>
      <c r="CA220" s="258">
        <f t="shared" si="524"/>
        <v>0</v>
      </c>
      <c r="CB220" s="258">
        <f t="shared" si="525"/>
        <v>350</v>
      </c>
      <c r="CE220" s="258">
        <f t="shared" si="564"/>
        <v>0</v>
      </c>
      <c r="CF220" s="258">
        <f t="shared" si="565"/>
        <v>0</v>
      </c>
      <c r="CG220" s="258">
        <f t="shared" si="566"/>
        <v>0</v>
      </c>
      <c r="CH220" s="258">
        <f t="shared" si="567"/>
        <v>21.54</v>
      </c>
      <c r="CI220" s="258">
        <f t="shared" si="568"/>
        <v>21.54</v>
      </c>
      <c r="CK220" s="258">
        <f t="shared" ref="CK220:CN220" si="583">IFERROR(ROUND(BY220*$P220,2),"")</f>
        <v>0</v>
      </c>
      <c r="CL220" s="258">
        <f t="shared" si="583"/>
        <v>0</v>
      </c>
      <c r="CM220" s="258">
        <f t="shared" si="583"/>
        <v>0</v>
      </c>
      <c r="CN220" s="258">
        <f t="shared" si="583"/>
        <v>309069.15</v>
      </c>
      <c r="CO220" s="258">
        <f t="shared" si="521"/>
        <v>309069.15</v>
      </c>
      <c r="CP220" s="258">
        <f>VLOOKUP(G220,[2]Sheet1!$C$3:$G$310,5,0)</f>
        <v>2300</v>
      </c>
      <c r="CQ220" s="258" t="e">
        <f>VLOOKUP(G220,[3]KCBB0101!$C$3:$F$691,4,0)</f>
        <v>#N/A</v>
      </c>
    </row>
    <row r="221" ht="17.6" spans="2:95">
      <c r="B221" s="334" t="str">
        <f>_xlfn.XLOOKUP(G221,销售需求表!A:A,销售需求表!C:C)</f>
        <v>亚</v>
      </c>
      <c r="C221" s="335" t="str">
        <f t="shared" si="581"/>
        <v>22.5</v>
      </c>
      <c r="D221" s="362" t="str">
        <f t="shared" ref="D221:D226" si="584">B221&amp;C221&amp;"寸"</f>
        <v>亚22.5寸</v>
      </c>
      <c r="E221" s="339" t="str">
        <f t="shared" si="547"/>
        <v>12R22.5-20PR(154/151K)-EZ867</v>
      </c>
      <c r="F221" s="340" t="str">
        <f t="shared" si="578"/>
        <v>12R22.5-20PR-EZ867</v>
      </c>
      <c r="G221" s="341" t="s">
        <v>424</v>
      </c>
      <c r="H221" s="334">
        <v>300</v>
      </c>
      <c r="I221" s="345"/>
      <c r="J221" s="346" t="str">
        <f t="shared" si="576"/>
        <v>12R22.5-EZ867</v>
      </c>
      <c r="K221" s="347" t="str">
        <f>_xlfn.XLOOKUP(F221,投产规格!E:E,投产规格!D:D,"未投产")</f>
        <v>✔</v>
      </c>
      <c r="L221" s="347">
        <f>IFERROR(_xlfn.XLOOKUP(F221,硫化工艺!B:B,硫化工艺!C:C),"")</f>
        <v>52</v>
      </c>
      <c r="M221" s="349">
        <f t="shared" ref="M221:M226" si="585">IF(L221="","",L221/(L221+$L$1/60))</f>
        <v>0.899135446685879</v>
      </c>
      <c r="N221" s="347" t="str">
        <f t="shared" si="480"/>
        <v>22.5全钢</v>
      </c>
      <c r="O221" s="347">
        <f>IFERROR(_xlfn.XLOOKUP(F221,轮胎重量!J:J,轮胎重量!G:G),"")</f>
        <v>70.657</v>
      </c>
      <c r="P221" s="347">
        <f>IFERROR(_xlfn.XLOOKUP(G221,硫化工艺!I:I,硫化工艺!J:J),"")</f>
        <v>1016.350321</v>
      </c>
      <c r="Q221" s="347">
        <f t="shared" si="545"/>
        <v>0</v>
      </c>
      <c r="R221" s="347"/>
      <c r="S221" s="347"/>
      <c r="T221" s="347"/>
      <c r="U221" s="347"/>
      <c r="V221" s="347"/>
      <c r="W221" s="347"/>
      <c r="X221" s="347"/>
      <c r="Y221" s="347"/>
      <c r="Z221" s="347"/>
      <c r="AA221" s="347"/>
      <c r="AB221" s="347"/>
      <c r="AC221" s="347"/>
      <c r="AD221" s="347"/>
      <c r="AE221" s="347"/>
      <c r="AF221" s="347"/>
      <c r="AG221" s="347"/>
      <c r="AH221" s="347"/>
      <c r="AI221" s="347"/>
      <c r="AJ221" s="347"/>
      <c r="AK221" s="347"/>
      <c r="AL221" s="347"/>
      <c r="AM221" s="347"/>
      <c r="AN221" s="347"/>
      <c r="AO221" s="347"/>
      <c r="AP221" s="347">
        <v>50</v>
      </c>
      <c r="AQ221" s="347">
        <v>50</v>
      </c>
      <c r="AR221" s="347">
        <v>50</v>
      </c>
      <c r="AS221" s="347">
        <v>50</v>
      </c>
      <c r="AT221" s="347">
        <v>50</v>
      </c>
      <c r="AU221" s="347">
        <v>50</v>
      </c>
      <c r="AV221" s="347">
        <v>50</v>
      </c>
      <c r="AW221" s="347">
        <f t="shared" ref="AW221:AW226" si="586">IF(SUM(R221:AV221)=0,"",SUM(R221:AV221))</f>
        <v>350</v>
      </c>
      <c r="AX221" s="365">
        <f t="shared" ref="AX221:AX226" si="587">IFERROR(AW221*O221/1000,"")</f>
        <v>24.72995</v>
      </c>
      <c r="AY221" s="365">
        <f t="shared" ref="AY221:AY226" si="588">IFERROR(ROUND(AW221*P221/10000,3),"")</f>
        <v>35.572</v>
      </c>
      <c r="AZ221" s="367"/>
      <c r="BE221" s="330">
        <f t="shared" ref="BE221:BE239" si="589">AZ221*AW221</f>
        <v>0</v>
      </c>
      <c r="BF221" s="330">
        <f t="shared" ref="BF221:BF239" si="590">BA221*AW221</f>
        <v>0</v>
      </c>
      <c r="BG221" s="330">
        <f t="shared" ref="BG221:BG239" si="591">BB221*AW221</f>
        <v>0</v>
      </c>
      <c r="BH221" s="330">
        <f t="shared" ref="BH221:BH239" si="592">BC221*AW221</f>
        <v>0</v>
      </c>
      <c r="BJ221" s="370" cm="1">
        <f t="array" ref="BJ221:BM221">_xlfn.LET(_xlpm.data,$R221:$AV221,_xlpm.starts,{1,8,16,23},_xlpm.lengths,{7,7,8,9},_xlpm.arr,_xlfn.MAP(_xlpm.starts,_xlpm.lengths,_xlfn.LAMBDA(_xlpm.s,_xlpm.l,SUM(INDEX(_xlpm.data,,_xlfn.SEQUENCE(,_xlpm.l,_xlpm.s))))),ROUND(_xlpm.arr*$O221/1000,2))</f>
        <v>0</v>
      </c>
      <c r="BK221" s="330">
        <v>0</v>
      </c>
      <c r="BL221" s="330">
        <v>0</v>
      </c>
      <c r="BM221" s="330">
        <v>24.73</v>
      </c>
      <c r="BN221" s="258">
        <f t="shared" ref="BN221:BN226" si="593">SUM(BJ221:BM221)</f>
        <v>24.73</v>
      </c>
      <c r="BO221" s="258">
        <v>0</v>
      </c>
      <c r="BP221" s="258">
        <v>0</v>
      </c>
      <c r="BQ221" s="258">
        <v>0</v>
      </c>
      <c r="BR221" s="258">
        <v>0</v>
      </c>
      <c r="BT221" s="258" cm="1">
        <f ca="1" t="array" ref="BT221:BW221">_xlfn.HSTACK(SUM(INDEX($R221:$AV221,1,1):INDEX($R221:$AV221,1,7)),SUM(INDEX($R221:$AV221,1,7):INDEX($R221:$AV221,1,13)),SUM(INDEX($R221:$AV221,1,16):INDEX($R221:$AV221,1,23)),SUM(INDEX($R221:$AV221,1,23):INDEX($R221:$AV221,1,31)))</f>
        <v>0</v>
      </c>
      <c r="BU221" s="258">
        <v>0</v>
      </c>
      <c r="BV221" s="258">
        <v>0</v>
      </c>
      <c r="BW221" s="258">
        <v>350</v>
      </c>
      <c r="BY221" s="258">
        <f t="shared" si="522"/>
        <v>0</v>
      </c>
      <c r="BZ221" s="258">
        <f t="shared" si="523"/>
        <v>0</v>
      </c>
      <c r="CA221" s="258">
        <f t="shared" si="524"/>
        <v>0</v>
      </c>
      <c r="CB221" s="258">
        <f t="shared" si="525"/>
        <v>350</v>
      </c>
      <c r="CE221" s="258">
        <f t="shared" ref="CE221:CE226" si="594">ROUND(BY221*$O221/1000,2)</f>
        <v>0</v>
      </c>
      <c r="CF221" s="258">
        <f t="shared" ref="CF221:CF226" si="595">ROUND(BZ221*$O221/1000,2)</f>
        <v>0</v>
      </c>
      <c r="CG221" s="258">
        <f t="shared" ref="CG221:CG226" si="596">ROUND(CA221*$O221/1000,2)</f>
        <v>0</v>
      </c>
      <c r="CH221" s="258">
        <f t="shared" ref="CH221:CH226" si="597">ROUND(CB221*$O221/1000,2)</f>
        <v>24.73</v>
      </c>
      <c r="CI221" s="258">
        <f t="shared" ref="CI221:CI226" si="598">SUM(CE221:CH221)</f>
        <v>24.73</v>
      </c>
      <c r="CK221" s="258">
        <f t="shared" ref="CK221:CN221" si="599">IFERROR(ROUND(BY221*$P221,2),"")</f>
        <v>0</v>
      </c>
      <c r="CL221" s="258">
        <f t="shared" si="599"/>
        <v>0</v>
      </c>
      <c r="CM221" s="258">
        <f t="shared" si="599"/>
        <v>0</v>
      </c>
      <c r="CN221" s="258">
        <f t="shared" si="599"/>
        <v>355722.61</v>
      </c>
      <c r="CO221" s="258">
        <f t="shared" si="521"/>
        <v>355722.61</v>
      </c>
      <c r="CP221" s="258" t="e">
        <f>VLOOKUP(G221,[2]Sheet1!$C$3:$G$310,5,0)</f>
        <v>#N/A</v>
      </c>
      <c r="CQ221" s="258">
        <f>VLOOKUP(G221,[3]KCBB0101!$C$3:$F$691,4,0)</f>
        <v>2545</v>
      </c>
    </row>
    <row r="222" s="258" customFormat="1" ht="17.6" spans="1:95">
      <c r="A222" s="330"/>
      <c r="B222" s="334" t="str">
        <f>_xlfn.XLOOKUP(G222,销售需求表!A:A,销售需求表!C:C)</f>
        <v>亚</v>
      </c>
      <c r="C222" s="335" t="str">
        <f t="shared" si="581"/>
        <v>22.5</v>
      </c>
      <c r="D222" s="362" t="str">
        <f t="shared" si="584"/>
        <v>亚22.5寸</v>
      </c>
      <c r="E222" s="339" t="str">
        <f t="shared" si="547"/>
        <v>12R22.5-20PR(154/151L)-AS898H</v>
      </c>
      <c r="F222" s="340" t="str">
        <f t="shared" si="578"/>
        <v>12R22.5-20PR-AS898H</v>
      </c>
      <c r="G222" s="341" t="s">
        <v>425</v>
      </c>
      <c r="H222" s="334">
        <v>760</v>
      </c>
      <c r="I222" s="345"/>
      <c r="J222" s="346" t="str">
        <f t="shared" si="576"/>
        <v>12R22.5-AS898H</v>
      </c>
      <c r="K222" s="347" t="str">
        <f>_xlfn.XLOOKUP(F222,投产规格!E:E,投产规格!D:D,"未投产")</f>
        <v>✔</v>
      </c>
      <c r="L222" s="347">
        <f>IFERROR(_xlfn.XLOOKUP(F222,硫化工艺!B:B,硫化工艺!C:C),"")</f>
        <v>52</v>
      </c>
      <c r="M222" s="349">
        <f t="shared" si="585"/>
        <v>0.899135446685879</v>
      </c>
      <c r="N222" s="347" t="str">
        <f t="shared" si="480"/>
        <v>22.5全钢</v>
      </c>
      <c r="O222" s="347">
        <f>IFERROR(_xlfn.XLOOKUP(F222,轮胎重量!J:J,轮胎重量!G:G),"")</f>
        <v>71.02</v>
      </c>
      <c r="P222" s="347">
        <f>IFERROR(_xlfn.XLOOKUP(G222,硫化工艺!I:I,硫化工艺!J:J),"")</f>
        <v>1035.286672</v>
      </c>
      <c r="Q222" s="347">
        <f t="shared" si="545"/>
        <v>0</v>
      </c>
      <c r="R222" s="347"/>
      <c r="S222" s="347"/>
      <c r="T222" s="347"/>
      <c r="U222" s="347"/>
      <c r="V222" s="347"/>
      <c r="W222" s="347"/>
      <c r="X222" s="347"/>
      <c r="Y222" s="347">
        <v>50</v>
      </c>
      <c r="Z222" s="347">
        <v>50</v>
      </c>
      <c r="AA222" s="347">
        <v>50</v>
      </c>
      <c r="AB222" s="347">
        <v>50</v>
      </c>
      <c r="AC222" s="347">
        <v>50</v>
      </c>
      <c r="AD222" s="347">
        <v>50</v>
      </c>
      <c r="AE222" s="347">
        <v>50</v>
      </c>
      <c r="AF222" s="347">
        <v>50</v>
      </c>
      <c r="AG222" s="347">
        <v>50</v>
      </c>
      <c r="AH222" s="347">
        <v>50</v>
      </c>
      <c r="AI222" s="347">
        <v>50</v>
      </c>
      <c r="AJ222" s="347">
        <v>50</v>
      </c>
      <c r="AK222" s="347">
        <v>50</v>
      </c>
      <c r="AL222" s="347">
        <v>50</v>
      </c>
      <c r="AM222" s="347">
        <v>50</v>
      </c>
      <c r="AN222" s="347">
        <v>50</v>
      </c>
      <c r="AO222" s="347">
        <v>50</v>
      </c>
      <c r="AP222" s="347"/>
      <c r="AQ222" s="347"/>
      <c r="AR222" s="347"/>
      <c r="AS222" s="347"/>
      <c r="AT222" s="347"/>
      <c r="AU222" s="347"/>
      <c r="AV222" s="347"/>
      <c r="AW222" s="347">
        <f t="shared" si="586"/>
        <v>850</v>
      </c>
      <c r="AX222" s="365">
        <f t="shared" si="587"/>
        <v>60.367</v>
      </c>
      <c r="AY222" s="365">
        <f t="shared" si="588"/>
        <v>87.999</v>
      </c>
      <c r="AZ222" s="367"/>
      <c r="BA222" s="258"/>
      <c r="BB222" s="258"/>
      <c r="BC222" s="330"/>
      <c r="BD222" s="330"/>
      <c r="BE222" s="330">
        <f t="shared" si="589"/>
        <v>0</v>
      </c>
      <c r="BF222" s="330">
        <f t="shared" si="590"/>
        <v>0</v>
      </c>
      <c r="BG222" s="330">
        <f t="shared" si="591"/>
        <v>0</v>
      </c>
      <c r="BH222" s="330">
        <f t="shared" si="592"/>
        <v>0</v>
      </c>
      <c r="BI222" s="330"/>
      <c r="BJ222" s="370" cm="1">
        <f t="array" ref="BJ222:BM222">_xlfn.LET(_xlpm.data,$R222:$AV222,_xlpm.starts,{1,8,16,23},_xlpm.lengths,{7,7,8,9},_xlpm.arr,_xlfn.MAP(_xlpm.starts,_xlpm.lengths,_xlfn.LAMBDA(_xlpm.s,_xlpm.l,SUM(INDEX(_xlpm.data,,_xlfn.SEQUENCE(,_xlpm.l,_xlpm.s))))),ROUND(_xlpm.arr*$O222/1000,2))</f>
        <v>0</v>
      </c>
      <c r="BK222" s="330">
        <v>24.86</v>
      </c>
      <c r="BL222" s="330">
        <v>28.41</v>
      </c>
      <c r="BM222" s="330">
        <v>7.1</v>
      </c>
      <c r="BN222" s="258">
        <f t="shared" si="593"/>
        <v>60.37</v>
      </c>
      <c r="BO222" s="258">
        <v>5.75</v>
      </c>
      <c r="BP222" s="258">
        <v>5.75</v>
      </c>
      <c r="BQ222" s="258">
        <v>0</v>
      </c>
      <c r="BR222" s="258">
        <v>0</v>
      </c>
      <c r="BS222" s="115"/>
      <c r="BT222" s="258" cm="1">
        <f ca="1" t="array" ref="BT222:BW222">_xlfn.HSTACK(SUM(INDEX($R222:$AV222,1,1):INDEX($R222:$AV222,1,7)),SUM(INDEX($R222:$AV222,1,7):INDEX($R222:$AV222,1,13)),SUM(INDEX($R222:$AV222,1,16):INDEX($R222:$AV222,1,23)),SUM(INDEX($R222:$AV222,1,23):INDEX($R222:$AV222,1,31)))</f>
        <v>0</v>
      </c>
      <c r="BU222" s="258">
        <v>300</v>
      </c>
      <c r="BV222" s="258">
        <v>400</v>
      </c>
      <c r="BW222" s="258">
        <v>100</v>
      </c>
      <c r="BY222" s="258">
        <f t="shared" si="522"/>
        <v>0</v>
      </c>
      <c r="BZ222" s="258">
        <f t="shared" si="523"/>
        <v>350</v>
      </c>
      <c r="CA222" s="258">
        <f t="shared" si="524"/>
        <v>400</v>
      </c>
      <c r="CB222" s="258">
        <f t="shared" si="525"/>
        <v>100</v>
      </c>
      <c r="CD222" s="113"/>
      <c r="CE222" s="258">
        <f t="shared" si="594"/>
        <v>0</v>
      </c>
      <c r="CF222" s="258">
        <f t="shared" si="595"/>
        <v>24.86</v>
      </c>
      <c r="CG222" s="258">
        <f t="shared" si="596"/>
        <v>28.41</v>
      </c>
      <c r="CH222" s="258">
        <f t="shared" si="597"/>
        <v>7.1</v>
      </c>
      <c r="CI222" s="258">
        <f t="shared" si="598"/>
        <v>60.37</v>
      </c>
      <c r="CJ222" s="113"/>
      <c r="CK222" s="258">
        <f t="shared" ref="CK222:CN222" si="600">IFERROR(ROUND(BY222*$P222,2),"")</f>
        <v>0</v>
      </c>
      <c r="CL222" s="258">
        <f t="shared" si="600"/>
        <v>362350.34</v>
      </c>
      <c r="CM222" s="258">
        <f t="shared" si="600"/>
        <v>414114.67</v>
      </c>
      <c r="CN222" s="258">
        <f t="shared" si="600"/>
        <v>103528.67</v>
      </c>
      <c r="CO222" s="258">
        <f t="shared" si="521"/>
        <v>879993.68</v>
      </c>
      <c r="CP222" s="258" t="e">
        <f>VLOOKUP(G222,[2]Sheet1!$C$3:$G$310,5,0)</f>
        <v>#N/A</v>
      </c>
      <c r="CQ222" s="258">
        <f>VLOOKUP(G222,[3]KCBB0101!$C$3:$F$691,4,0)</f>
        <v>4437</v>
      </c>
    </row>
    <row r="223" s="258" customFormat="1" ht="17.6" spans="1:93">
      <c r="A223" s="330"/>
      <c r="B223" s="334" t="str">
        <f>_xlfn.XLOOKUP(G223,销售需求表!A:A,销售需求表!C:C)</f>
        <v>北美</v>
      </c>
      <c r="C223" s="335" t="str">
        <f t="shared" si="581"/>
        <v>22.5</v>
      </c>
      <c r="D223" s="362" t="str">
        <f t="shared" si="584"/>
        <v>北美22.5寸</v>
      </c>
      <c r="E223" s="339" t="str">
        <f t="shared" si="547"/>
        <v>385/65R22.5-20PR(160K)-HA4 Plus</v>
      </c>
      <c r="F223" s="340" t="str">
        <f t="shared" si="578"/>
        <v>385/65R22.5-20PR-HA4 Plus</v>
      </c>
      <c r="G223" s="377" t="s">
        <v>570</v>
      </c>
      <c r="H223" s="334">
        <v>320</v>
      </c>
      <c r="I223" s="345"/>
      <c r="J223" s="346" t="str">
        <f t="shared" si="576"/>
        <v>385/65R22.5-HA4 Plus</v>
      </c>
      <c r="K223" s="347" t="str">
        <f>_xlfn.XLOOKUP(F223,投产规格!E:E,投产规格!D:D,"未投产")</f>
        <v>未投产</v>
      </c>
      <c r="L223" s="347">
        <f>IFERROR(_xlfn.XLOOKUP(F223,硫化工艺!B:B,硫化工艺!C:C),"")</f>
        <v>45</v>
      </c>
      <c r="M223" s="349">
        <f t="shared" si="585"/>
        <v>0.885245901639344</v>
      </c>
      <c r="N223" s="347" t="str">
        <f t="shared" si="480"/>
        <v>22.5全钢</v>
      </c>
      <c r="O223" s="347">
        <f>IFERROR(_xlfn.XLOOKUP(F223,轮胎重量!J:J,轮胎重量!G:G),"")</f>
        <v>71.92</v>
      </c>
      <c r="P223" s="350">
        <f t="shared" ref="P223:P228" si="601">O223*13.9</f>
        <v>999.688</v>
      </c>
      <c r="Q223" s="347">
        <f t="shared" si="545"/>
        <v>0</v>
      </c>
      <c r="R223" s="347"/>
      <c r="S223" s="347"/>
      <c r="T223" s="347"/>
      <c r="U223" s="347"/>
      <c r="V223" s="347"/>
      <c r="W223" s="347"/>
      <c r="X223" s="347"/>
      <c r="Y223" s="347"/>
      <c r="Z223" s="347"/>
      <c r="AA223" s="347"/>
      <c r="AB223" s="347"/>
      <c r="AC223" s="347"/>
      <c r="AD223" s="347"/>
      <c r="AE223" s="347"/>
      <c r="AF223" s="347"/>
      <c r="AG223" s="347"/>
      <c r="AH223" s="347"/>
      <c r="AI223" s="347"/>
      <c r="AJ223" s="347"/>
      <c r="AK223" s="347"/>
      <c r="AL223" s="347"/>
      <c r="AM223" s="347"/>
      <c r="AN223" s="347"/>
      <c r="AO223" s="347"/>
      <c r="AP223" s="347"/>
      <c r="AQ223" s="347"/>
      <c r="AR223" s="347"/>
      <c r="AS223" s="347"/>
      <c r="AT223" s="347"/>
      <c r="AU223" s="347"/>
      <c r="AV223" s="347"/>
      <c r="AW223" s="347" t="str">
        <f t="shared" si="586"/>
        <v/>
      </c>
      <c r="AX223" s="365" t="str">
        <f t="shared" si="587"/>
        <v/>
      </c>
      <c r="AY223" s="365" t="str">
        <f t="shared" si="588"/>
        <v/>
      </c>
      <c r="AZ223" s="367"/>
      <c r="BC223" s="330"/>
      <c r="BD223" s="330"/>
      <c r="BE223" s="330" t="e">
        <f t="shared" si="589"/>
        <v>#VALUE!</v>
      </c>
      <c r="BF223" s="330" t="e">
        <f t="shared" si="590"/>
        <v>#VALUE!</v>
      </c>
      <c r="BG223" s="330" t="e">
        <f t="shared" si="591"/>
        <v>#VALUE!</v>
      </c>
      <c r="BH223" s="330" t="e">
        <f t="shared" si="592"/>
        <v>#VALUE!</v>
      </c>
      <c r="BI223" s="330"/>
      <c r="BJ223" s="370" cm="1">
        <f t="array" ref="BJ223:BM223">_xlfn.LET(_xlpm.data,$R223:$AV223,_xlpm.starts,{1,8,16,23},_xlpm.lengths,{7,7,8,9},_xlpm.arr,_xlfn.MAP(_xlpm.starts,_xlpm.lengths,_xlfn.LAMBDA(_xlpm.s,_xlpm.l,SUM(INDEX(_xlpm.data,,_xlfn.SEQUENCE(,_xlpm.l,_xlpm.s))))),ROUND(_xlpm.arr*$O223/1000,2))</f>
        <v>0</v>
      </c>
      <c r="BK223" s="330">
        <v>0</v>
      </c>
      <c r="BL223" s="330">
        <v>0</v>
      </c>
      <c r="BM223" s="330">
        <v>0</v>
      </c>
      <c r="BN223" s="258">
        <f t="shared" si="593"/>
        <v>0</v>
      </c>
      <c r="BO223" s="258">
        <v>0</v>
      </c>
      <c r="BP223" s="258">
        <v>16.93</v>
      </c>
      <c r="BQ223" s="258">
        <v>0</v>
      </c>
      <c r="BR223" s="258">
        <v>0</v>
      </c>
      <c r="BS223" s="115"/>
      <c r="BT223" s="258" cm="1">
        <f ca="1" t="array" ref="BT223:BW223">_xlfn.HSTACK(SUM(INDEX($R223:$AV223,1,1):INDEX($R223:$AV223,1,7)),SUM(INDEX($R223:$AV223,1,7):INDEX($R223:$AV223,1,13)),SUM(INDEX($R223:$AV223,1,16):INDEX($R223:$AV223,1,23)),SUM(INDEX($R223:$AV223,1,23):INDEX($R223:$AV223,1,31)))</f>
        <v>0</v>
      </c>
      <c r="BU223" s="258">
        <v>0</v>
      </c>
      <c r="BV223" s="258">
        <v>0</v>
      </c>
      <c r="BW223" s="258">
        <v>0</v>
      </c>
      <c r="BY223" s="258">
        <f t="shared" si="522"/>
        <v>0</v>
      </c>
      <c r="BZ223" s="258">
        <f t="shared" si="523"/>
        <v>0</v>
      </c>
      <c r="CA223" s="258">
        <f t="shared" si="524"/>
        <v>0</v>
      </c>
      <c r="CB223" s="258">
        <f t="shared" si="525"/>
        <v>0</v>
      </c>
      <c r="CD223" s="113"/>
      <c r="CE223" s="258">
        <f t="shared" si="594"/>
        <v>0</v>
      </c>
      <c r="CF223" s="258">
        <f t="shared" si="595"/>
        <v>0</v>
      </c>
      <c r="CG223" s="258">
        <f t="shared" si="596"/>
        <v>0</v>
      </c>
      <c r="CH223" s="258">
        <f t="shared" si="597"/>
        <v>0</v>
      </c>
      <c r="CI223" s="258">
        <f t="shared" si="598"/>
        <v>0</v>
      </c>
      <c r="CJ223" s="113"/>
      <c r="CK223" s="258">
        <f t="shared" ref="CK223:CN223" si="602">IFERROR(ROUND(BY223*$P223,2),"")</f>
        <v>0</v>
      </c>
      <c r="CL223" s="258">
        <f t="shared" si="602"/>
        <v>0</v>
      </c>
      <c r="CM223" s="258">
        <f t="shared" si="602"/>
        <v>0</v>
      </c>
      <c r="CN223" s="258">
        <f t="shared" si="602"/>
        <v>0</v>
      </c>
      <c r="CO223" s="258">
        <f t="shared" si="521"/>
        <v>0</v>
      </c>
    </row>
    <row r="224" ht="17.6" spans="2:95">
      <c r="B224" s="334" t="str">
        <f>_xlfn.XLOOKUP(G224,销售需求表!A:A,销售需求表!C:C)</f>
        <v>北美</v>
      </c>
      <c r="C224" s="335" t="str">
        <f t="shared" si="581"/>
        <v>22.5</v>
      </c>
      <c r="D224" s="362" t="str">
        <f t="shared" si="584"/>
        <v>北美22.5寸</v>
      </c>
      <c r="E224" s="339" t="str">
        <f t="shared" si="547"/>
        <v>385/65R22.5-20PR(160K)-I-42W</v>
      </c>
      <c r="F224" s="340" t="str">
        <f t="shared" si="578"/>
        <v>385/65R22.5-20PR-I-42W</v>
      </c>
      <c r="G224" s="341" t="s">
        <v>571</v>
      </c>
      <c r="H224" s="334">
        <v>320</v>
      </c>
      <c r="I224" s="345"/>
      <c r="J224" s="346" t="str">
        <f t="shared" si="576"/>
        <v>385/65R22.5-I-42W</v>
      </c>
      <c r="K224" s="347" t="str">
        <f>_xlfn.XLOOKUP(F224,投产规格!E:E,投产规格!D:D,"未投产")</f>
        <v>✔</v>
      </c>
      <c r="L224" s="347">
        <f>IFERROR(_xlfn.XLOOKUP(F224,硫化工艺!B:B,硫化工艺!C:C),"")</f>
        <v>48</v>
      </c>
      <c r="M224" s="349">
        <f t="shared" si="585"/>
        <v>0.891640866873065</v>
      </c>
      <c r="N224" s="347" t="str">
        <f t="shared" si="480"/>
        <v>22.5全钢</v>
      </c>
      <c r="O224" s="347">
        <f>IFERROR(_xlfn.XLOOKUP(F224,轮胎重量!J:J,轮胎重量!G:G),"")</f>
        <v>73.929</v>
      </c>
      <c r="P224" s="347">
        <f>IFERROR(_xlfn.XLOOKUP(G224,硫化工艺!I:I,硫化工艺!J:J),"")</f>
        <v>1080.470349</v>
      </c>
      <c r="Q224" s="347">
        <f t="shared" si="545"/>
        <v>0</v>
      </c>
      <c r="R224" s="347"/>
      <c r="S224" s="347"/>
      <c r="T224" s="347"/>
      <c r="U224" s="347"/>
      <c r="V224" s="347"/>
      <c r="W224" s="347"/>
      <c r="X224" s="347">
        <v>40</v>
      </c>
      <c r="Y224" s="347">
        <v>40</v>
      </c>
      <c r="Z224" s="347">
        <v>40</v>
      </c>
      <c r="AA224" s="347">
        <v>40</v>
      </c>
      <c r="AB224" s="347">
        <v>40</v>
      </c>
      <c r="AC224" s="347">
        <v>40</v>
      </c>
      <c r="AD224" s="347">
        <v>40</v>
      </c>
      <c r="AE224" s="347">
        <v>40</v>
      </c>
      <c r="AF224" s="347">
        <v>40</v>
      </c>
      <c r="AG224" s="347">
        <v>40</v>
      </c>
      <c r="AH224" s="347"/>
      <c r="AI224" s="347"/>
      <c r="AJ224" s="347"/>
      <c r="AK224" s="347"/>
      <c r="AL224" s="347"/>
      <c r="AM224" s="347"/>
      <c r="AN224" s="347"/>
      <c r="AO224" s="347"/>
      <c r="AP224" s="347"/>
      <c r="AQ224" s="347"/>
      <c r="AR224" s="347"/>
      <c r="AS224" s="347"/>
      <c r="AT224" s="347"/>
      <c r="AU224" s="347"/>
      <c r="AV224" s="347"/>
      <c r="AW224" s="347">
        <f t="shared" si="586"/>
        <v>400</v>
      </c>
      <c r="AX224" s="365">
        <f t="shared" si="587"/>
        <v>29.5716</v>
      </c>
      <c r="AY224" s="365">
        <f t="shared" si="588"/>
        <v>43.219</v>
      </c>
      <c r="AZ224" s="366">
        <v>278.68</v>
      </c>
      <c r="BA224" s="368">
        <v>18.78</v>
      </c>
      <c r="BB224" s="368">
        <v>33.82</v>
      </c>
      <c r="BC224" s="368">
        <v>35.62</v>
      </c>
      <c r="BE224" s="330">
        <f t="shared" si="589"/>
        <v>111472</v>
      </c>
      <c r="BF224" s="330">
        <f t="shared" si="590"/>
        <v>7512</v>
      </c>
      <c r="BG224" s="330">
        <f t="shared" si="591"/>
        <v>13528</v>
      </c>
      <c r="BH224" s="330">
        <f t="shared" si="592"/>
        <v>14248</v>
      </c>
      <c r="BJ224" s="370" cm="1">
        <f t="array" ref="BJ224:BM224">_xlfn.LET(_xlpm.data,$R224:$AV224,_xlpm.starts,{1,8,16,23},_xlpm.lengths,{7,7,8,9},_xlpm.arr,_xlfn.MAP(_xlpm.starts,_xlpm.lengths,_xlfn.LAMBDA(_xlpm.s,_xlpm.l,SUM(INDEX(_xlpm.data,,_xlfn.SEQUENCE(,_xlpm.l,_xlpm.s))))),ROUND(_xlpm.arr*$O224/1000,2))</f>
        <v>2.96</v>
      </c>
      <c r="BK224" s="330">
        <v>20.7</v>
      </c>
      <c r="BL224" s="330">
        <v>2.96</v>
      </c>
      <c r="BM224" s="330">
        <v>0</v>
      </c>
      <c r="BN224" s="258">
        <f t="shared" si="593"/>
        <v>26.62</v>
      </c>
      <c r="BO224" s="258">
        <v>0</v>
      </c>
      <c r="BP224" s="258">
        <v>0</v>
      </c>
      <c r="BQ224" s="258">
        <v>0</v>
      </c>
      <c r="BR224" s="258">
        <v>0</v>
      </c>
      <c r="BT224" s="258" cm="1">
        <f ca="1" t="array" ref="BT224:BW224">_xlfn.HSTACK(SUM(INDEX($R224:$AV224,1,1):INDEX($R224:$AV224,1,7)),SUM(INDEX($R224:$AV224,1,7):INDEX($R224:$AV224,1,13)),SUM(INDEX($R224:$AV224,1,16):INDEX($R224:$AV224,1,23)),SUM(INDEX($R224:$AV224,1,23):INDEX($R224:$AV224,1,31)))</f>
        <v>40</v>
      </c>
      <c r="BU224" s="258">
        <v>280</v>
      </c>
      <c r="BV224" s="258">
        <v>40</v>
      </c>
      <c r="BW224" s="258">
        <v>0</v>
      </c>
      <c r="BY224" s="258">
        <f t="shared" si="522"/>
        <v>40</v>
      </c>
      <c r="BZ224" s="258">
        <f t="shared" si="523"/>
        <v>280</v>
      </c>
      <c r="CA224" s="258">
        <f t="shared" si="524"/>
        <v>80</v>
      </c>
      <c r="CB224" s="258">
        <f t="shared" si="525"/>
        <v>0</v>
      </c>
      <c r="CE224" s="258">
        <f t="shared" si="594"/>
        <v>2.96</v>
      </c>
      <c r="CF224" s="258">
        <f t="shared" si="595"/>
        <v>20.7</v>
      </c>
      <c r="CG224" s="258">
        <f t="shared" si="596"/>
        <v>5.91</v>
      </c>
      <c r="CH224" s="258">
        <f t="shared" si="597"/>
        <v>0</v>
      </c>
      <c r="CI224" s="258">
        <f t="shared" si="598"/>
        <v>29.57</v>
      </c>
      <c r="CK224" s="258">
        <f t="shared" ref="CK224:CN224" si="603">IFERROR(ROUND(BY224*$P224,2),"")</f>
        <v>43218.81</v>
      </c>
      <c r="CL224" s="258">
        <f t="shared" si="603"/>
        <v>302531.7</v>
      </c>
      <c r="CM224" s="258">
        <f t="shared" si="603"/>
        <v>86437.63</v>
      </c>
      <c r="CN224" s="258">
        <f t="shared" si="603"/>
        <v>0</v>
      </c>
      <c r="CO224" s="258">
        <f t="shared" si="521"/>
        <v>432188.14</v>
      </c>
      <c r="CP224" s="258">
        <f>VLOOKUP(G224,[2]Sheet1!$C$3:$G$310,5,0)</f>
        <v>5200</v>
      </c>
      <c r="CQ224" s="258" t="e">
        <f>VLOOKUP(G224,[3]KCBB0101!$C$3:$F$691,4,0)</f>
        <v>#N/A</v>
      </c>
    </row>
    <row r="225" s="258" customFormat="1" ht="17.6" spans="1:93">
      <c r="A225" s="330"/>
      <c r="B225" s="334" t="str">
        <f>_xlfn.XLOOKUP(G225,销售需求表!A:A,销售需求表!C:C)</f>
        <v>北美</v>
      </c>
      <c r="C225" s="335" t="str">
        <f t="shared" si="581"/>
        <v>22.5</v>
      </c>
      <c r="D225" s="362" t="str">
        <f t="shared" si="584"/>
        <v>北美22.5寸</v>
      </c>
      <c r="E225" s="339" t="str">
        <f t="shared" si="547"/>
        <v>385/65R22.5-20PR(160K)-M-TRAC MSF</v>
      </c>
      <c r="F225" s="340" t="str">
        <f t="shared" si="578"/>
        <v>385/65R22.5-20PR-M-TRAC MSF</v>
      </c>
      <c r="G225" s="377" t="s">
        <v>572</v>
      </c>
      <c r="H225" s="334">
        <v>800</v>
      </c>
      <c r="I225" s="345"/>
      <c r="J225" s="346" t="str">
        <f t="shared" si="576"/>
        <v>385/65R22.5-M-TRAC MSF</v>
      </c>
      <c r="K225" s="347" t="str">
        <f>_xlfn.XLOOKUP(F225,投产规格!E:E,投产规格!D:D,"未投产")</f>
        <v>未投产</v>
      </c>
      <c r="L225" s="347">
        <f>IFERROR(_xlfn.XLOOKUP(F225,硫化工艺!B:B,硫化工艺!C:C),"")</f>
        <v>48</v>
      </c>
      <c r="M225" s="349">
        <f t="shared" si="585"/>
        <v>0.891640866873065</v>
      </c>
      <c r="N225" s="347" t="str">
        <f t="shared" si="480"/>
        <v>22.5全钢</v>
      </c>
      <c r="O225" s="347">
        <f>IFERROR(_xlfn.XLOOKUP(F225,轮胎重量!J:J,轮胎重量!G:G),"")</f>
        <v>74.807</v>
      </c>
      <c r="P225" s="350">
        <f t="shared" si="601"/>
        <v>1039.8173</v>
      </c>
      <c r="Q225" s="347">
        <f t="shared" si="545"/>
        <v>0</v>
      </c>
      <c r="R225" s="347"/>
      <c r="S225" s="347"/>
      <c r="T225" s="347"/>
      <c r="U225" s="347"/>
      <c r="V225" s="347"/>
      <c r="W225" s="347"/>
      <c r="X225" s="347"/>
      <c r="Y225" s="347"/>
      <c r="Z225" s="347"/>
      <c r="AA225" s="347"/>
      <c r="AB225" s="347"/>
      <c r="AC225" s="347"/>
      <c r="AD225" s="347"/>
      <c r="AE225" s="347"/>
      <c r="AF225" s="347"/>
      <c r="AG225" s="347"/>
      <c r="AH225" s="347"/>
      <c r="AI225" s="347"/>
      <c r="AJ225" s="347"/>
      <c r="AK225" s="347"/>
      <c r="AL225" s="347"/>
      <c r="AM225" s="347"/>
      <c r="AN225" s="347"/>
      <c r="AO225" s="347"/>
      <c r="AP225" s="347"/>
      <c r="AQ225" s="347"/>
      <c r="AR225" s="347"/>
      <c r="AS225" s="347"/>
      <c r="AT225" s="347"/>
      <c r="AU225" s="347"/>
      <c r="AV225" s="347"/>
      <c r="AW225" s="347" t="str">
        <f t="shared" si="586"/>
        <v/>
      </c>
      <c r="AX225" s="365" t="str">
        <f t="shared" si="587"/>
        <v/>
      </c>
      <c r="AY225" s="365" t="str">
        <f t="shared" si="588"/>
        <v/>
      </c>
      <c r="AZ225" s="366">
        <v>278.68</v>
      </c>
      <c r="BA225" s="368">
        <v>18.78</v>
      </c>
      <c r="BB225" s="368">
        <v>33.82</v>
      </c>
      <c r="BC225" s="368">
        <v>35.62</v>
      </c>
      <c r="BD225" s="330"/>
      <c r="BE225" s="330" t="e">
        <f t="shared" si="589"/>
        <v>#VALUE!</v>
      </c>
      <c r="BF225" s="330" t="e">
        <f t="shared" si="590"/>
        <v>#VALUE!</v>
      </c>
      <c r="BG225" s="330" t="e">
        <f t="shared" si="591"/>
        <v>#VALUE!</v>
      </c>
      <c r="BH225" s="330" t="e">
        <f t="shared" si="592"/>
        <v>#VALUE!</v>
      </c>
      <c r="BI225" s="330"/>
      <c r="BJ225" s="370" cm="1">
        <f t="array" ref="BJ225:BM225">_xlfn.LET(_xlpm.data,$R225:$AV225,_xlpm.starts,{1,8,16,23},_xlpm.lengths,{7,7,8,9},_xlpm.arr,_xlfn.MAP(_xlpm.starts,_xlpm.lengths,_xlfn.LAMBDA(_xlpm.s,_xlpm.l,SUM(INDEX(_xlpm.data,,_xlfn.SEQUENCE(,_xlpm.l,_xlpm.s))))),ROUND(_xlpm.arr*$O225/1000,2))</f>
        <v>0</v>
      </c>
      <c r="BK225" s="330">
        <v>0</v>
      </c>
      <c r="BL225" s="330">
        <v>0</v>
      </c>
      <c r="BM225" s="330">
        <v>0</v>
      </c>
      <c r="BN225" s="258">
        <f t="shared" si="593"/>
        <v>0</v>
      </c>
      <c r="BO225" s="258">
        <v>0</v>
      </c>
      <c r="BP225" s="258">
        <v>0</v>
      </c>
      <c r="BQ225" s="258">
        <v>0</v>
      </c>
      <c r="BR225" s="258">
        <v>0</v>
      </c>
      <c r="BS225" s="115"/>
      <c r="BT225" s="258" cm="1">
        <f ca="1" t="array" ref="BT225:BW225">_xlfn.HSTACK(SUM(INDEX($R225:$AV225,1,1):INDEX($R225:$AV225,1,7)),SUM(INDEX($R225:$AV225,1,7):INDEX($R225:$AV225,1,13)),SUM(INDEX($R225:$AV225,1,16):INDEX($R225:$AV225,1,23)),SUM(INDEX($R225:$AV225,1,23):INDEX($R225:$AV225,1,31)))</f>
        <v>0</v>
      </c>
      <c r="BU225" s="258">
        <v>0</v>
      </c>
      <c r="BV225" s="258">
        <v>0</v>
      </c>
      <c r="BW225" s="258">
        <v>0</v>
      </c>
      <c r="BY225" s="258">
        <f t="shared" si="522"/>
        <v>0</v>
      </c>
      <c r="BZ225" s="258">
        <f t="shared" si="523"/>
        <v>0</v>
      </c>
      <c r="CA225" s="258">
        <f t="shared" si="524"/>
        <v>0</v>
      </c>
      <c r="CB225" s="258">
        <f t="shared" si="525"/>
        <v>0</v>
      </c>
      <c r="CD225" s="113"/>
      <c r="CE225" s="258">
        <f t="shared" si="594"/>
        <v>0</v>
      </c>
      <c r="CF225" s="258">
        <f t="shared" si="595"/>
        <v>0</v>
      </c>
      <c r="CG225" s="258">
        <f t="shared" si="596"/>
        <v>0</v>
      </c>
      <c r="CH225" s="258">
        <f t="shared" si="597"/>
        <v>0</v>
      </c>
      <c r="CI225" s="258">
        <f t="shared" si="598"/>
        <v>0</v>
      </c>
      <c r="CJ225" s="113"/>
      <c r="CK225" s="258">
        <f t="shared" ref="CK225:CN225" si="604">IFERROR(ROUND(BY225*$P225,2),"")</f>
        <v>0</v>
      </c>
      <c r="CL225" s="258">
        <f t="shared" si="604"/>
        <v>0</v>
      </c>
      <c r="CM225" s="258">
        <f t="shared" si="604"/>
        <v>0</v>
      </c>
      <c r="CN225" s="258">
        <f t="shared" si="604"/>
        <v>0</v>
      </c>
      <c r="CO225" s="258">
        <f t="shared" si="521"/>
        <v>0</v>
      </c>
    </row>
    <row r="226" s="258" customFormat="1" ht="17.6" spans="1:95">
      <c r="A226" s="330"/>
      <c r="B226" s="334" t="str">
        <f>_xlfn.XLOOKUP(G226,销售需求表!A:A,销售需求表!C:C)</f>
        <v>北美</v>
      </c>
      <c r="C226" s="335" t="str">
        <f t="shared" si="581"/>
        <v>22.5</v>
      </c>
      <c r="D226" s="362" t="str">
        <f t="shared" si="584"/>
        <v>北美22.5寸</v>
      </c>
      <c r="E226" s="339" t="str">
        <f t="shared" si="547"/>
        <v>385/65R22.5-20PR(160K)-Strong Guard H-MW</v>
      </c>
      <c r="F226" s="340" t="str">
        <f t="shared" si="578"/>
        <v>385/65R22.5-20PR-H-MW</v>
      </c>
      <c r="G226" s="341" t="s">
        <v>573</v>
      </c>
      <c r="H226" s="334">
        <v>820</v>
      </c>
      <c r="I226" s="345"/>
      <c r="J226" s="346" t="str">
        <f t="shared" si="576"/>
        <v>385/65R22.5-H-MW</v>
      </c>
      <c r="K226" s="347" t="str">
        <f>_xlfn.XLOOKUP(F226,投产规格!E:E,投产规格!D:D,"未投产")</f>
        <v>✔</v>
      </c>
      <c r="L226" s="347">
        <f>IFERROR(_xlfn.XLOOKUP(F226,硫化工艺!B:B,硫化工艺!C:C),"")</f>
        <v>50</v>
      </c>
      <c r="M226" s="349">
        <f t="shared" si="585"/>
        <v>0.895522388059701</v>
      </c>
      <c r="N226" s="347" t="str">
        <f t="shared" si="480"/>
        <v>22.5全钢</v>
      </c>
      <c r="O226" s="347">
        <f>IFERROR(_xlfn.XLOOKUP(F226,轮胎重量!J:J,轮胎重量!G:G),"")</f>
        <v>78.87</v>
      </c>
      <c r="P226" s="347">
        <f>IFERROR(_xlfn.XLOOKUP(G226,硫化工艺!I:I,硫化工艺!J:J),"")</f>
        <v>1153.70857</v>
      </c>
      <c r="Q226" s="347">
        <f t="shared" si="545"/>
        <v>0</v>
      </c>
      <c r="R226" s="347"/>
      <c r="S226" s="347"/>
      <c r="T226" s="347"/>
      <c r="U226" s="347"/>
      <c r="V226" s="347"/>
      <c r="W226" s="347"/>
      <c r="X226" s="347">
        <v>40</v>
      </c>
      <c r="Y226" s="347">
        <v>40</v>
      </c>
      <c r="Z226" s="347">
        <v>40</v>
      </c>
      <c r="AA226" s="347">
        <v>40</v>
      </c>
      <c r="AB226" s="347">
        <v>40</v>
      </c>
      <c r="AC226" s="347">
        <v>40</v>
      </c>
      <c r="AD226" s="347">
        <v>40</v>
      </c>
      <c r="AE226" s="347">
        <v>40</v>
      </c>
      <c r="AF226" s="347">
        <v>40</v>
      </c>
      <c r="AG226" s="347">
        <v>40</v>
      </c>
      <c r="AH226" s="347"/>
      <c r="AI226" s="347"/>
      <c r="AJ226" s="347"/>
      <c r="AK226" s="347"/>
      <c r="AL226" s="347"/>
      <c r="AM226" s="347"/>
      <c r="AN226" s="347"/>
      <c r="AO226" s="347"/>
      <c r="AP226" s="347"/>
      <c r="AQ226" s="347"/>
      <c r="AR226" s="347"/>
      <c r="AS226" s="347"/>
      <c r="AT226" s="347"/>
      <c r="AU226" s="347"/>
      <c r="AV226" s="347"/>
      <c r="AW226" s="347">
        <f t="shared" si="586"/>
        <v>400</v>
      </c>
      <c r="AX226" s="365">
        <f t="shared" si="587"/>
        <v>31.548</v>
      </c>
      <c r="AY226" s="365">
        <f t="shared" si="588"/>
        <v>46.148</v>
      </c>
      <c r="AZ226" s="366">
        <v>278.68</v>
      </c>
      <c r="BA226" s="368">
        <v>18.78</v>
      </c>
      <c r="BB226" s="368">
        <v>33.82</v>
      </c>
      <c r="BC226" s="368">
        <v>35.62</v>
      </c>
      <c r="BD226" s="330"/>
      <c r="BE226" s="330">
        <f t="shared" si="589"/>
        <v>111472</v>
      </c>
      <c r="BF226" s="330">
        <f t="shared" si="590"/>
        <v>7512</v>
      </c>
      <c r="BG226" s="330">
        <f t="shared" si="591"/>
        <v>13528</v>
      </c>
      <c r="BH226" s="330">
        <f t="shared" si="592"/>
        <v>14248</v>
      </c>
      <c r="BI226" s="330"/>
      <c r="BJ226" s="370" cm="1">
        <f t="array" ref="BJ226:BM226">_xlfn.LET(_xlpm.data,$R226:$AV226,_xlpm.starts,{1,8,16,23},_xlpm.lengths,{7,7,8,9},_xlpm.arr,_xlfn.MAP(_xlpm.starts,_xlpm.lengths,_xlfn.LAMBDA(_xlpm.s,_xlpm.l,SUM(INDEX(_xlpm.data,,_xlfn.SEQUENCE(,_xlpm.l,_xlpm.s))))),ROUND(_xlpm.arr*$O226/1000,2))</f>
        <v>3.15</v>
      </c>
      <c r="BK226" s="330">
        <v>22.08</v>
      </c>
      <c r="BL226" s="330">
        <v>3.15</v>
      </c>
      <c r="BM226" s="330">
        <v>0</v>
      </c>
      <c r="BN226" s="258">
        <f t="shared" si="593"/>
        <v>28.38</v>
      </c>
      <c r="BO226" s="258">
        <v>0</v>
      </c>
      <c r="BP226" s="258">
        <v>0</v>
      </c>
      <c r="BQ226" s="258">
        <v>0</v>
      </c>
      <c r="BR226" s="258">
        <v>0</v>
      </c>
      <c r="BS226" s="115"/>
      <c r="BT226" s="258" cm="1">
        <f ca="1" t="array" ref="BT226:BW226">_xlfn.HSTACK(SUM(INDEX($R226:$AV226,1,1):INDEX($R226:$AV226,1,7)),SUM(INDEX($R226:$AV226,1,7):INDEX($R226:$AV226,1,13)),SUM(INDEX($R226:$AV226,1,16):INDEX($R226:$AV226,1,23)),SUM(INDEX($R226:$AV226,1,23):INDEX($R226:$AV226,1,31)))</f>
        <v>40</v>
      </c>
      <c r="BU226" s="258">
        <v>280</v>
      </c>
      <c r="BV226" s="258">
        <v>40</v>
      </c>
      <c r="BW226" s="258">
        <v>0</v>
      </c>
      <c r="BY226" s="258">
        <f t="shared" si="522"/>
        <v>40</v>
      </c>
      <c r="BZ226" s="258">
        <f t="shared" si="523"/>
        <v>280</v>
      </c>
      <c r="CA226" s="258">
        <f t="shared" si="524"/>
        <v>80</v>
      </c>
      <c r="CB226" s="258">
        <f t="shared" si="525"/>
        <v>0</v>
      </c>
      <c r="CD226" s="113"/>
      <c r="CE226" s="258">
        <f t="shared" si="594"/>
        <v>3.15</v>
      </c>
      <c r="CF226" s="258">
        <f t="shared" si="595"/>
        <v>22.08</v>
      </c>
      <c r="CG226" s="258">
        <f t="shared" si="596"/>
        <v>6.31</v>
      </c>
      <c r="CH226" s="258">
        <f t="shared" si="597"/>
        <v>0</v>
      </c>
      <c r="CI226" s="258">
        <f t="shared" si="598"/>
        <v>31.54</v>
      </c>
      <c r="CJ226" s="113"/>
      <c r="CK226" s="258">
        <f t="shared" ref="CK226:CN226" si="605">IFERROR(ROUND(BY226*$P226,2),"")</f>
        <v>46148.34</v>
      </c>
      <c r="CL226" s="258">
        <f t="shared" si="605"/>
        <v>323038.4</v>
      </c>
      <c r="CM226" s="258">
        <f t="shared" si="605"/>
        <v>92296.69</v>
      </c>
      <c r="CN226" s="258">
        <f t="shared" si="605"/>
        <v>0</v>
      </c>
      <c r="CO226" s="258">
        <f t="shared" si="521"/>
        <v>461483.43</v>
      </c>
      <c r="CP226" s="258">
        <f>VLOOKUP(G226,[2]Sheet1!$C$3:$G$310,5,0)</f>
        <v>10700</v>
      </c>
      <c r="CQ226" s="258" t="e">
        <f>VLOOKUP(G226,[3]KCBB0101!$C$3:$F$691,4,0)</f>
        <v>#N/A</v>
      </c>
    </row>
    <row r="227" ht="17.6" spans="2:95">
      <c r="B227" s="334" t="str">
        <f>_xlfn.XLOOKUP(G227,销售需求表!A:A,销售需求表!C:C)</f>
        <v>亚</v>
      </c>
      <c r="C227" s="335" t="str">
        <f t="shared" si="581"/>
        <v>22.5</v>
      </c>
      <c r="D227" s="362" t="str">
        <f t="shared" ref="D227:D266" si="606">B227&amp;C227&amp;"寸"</f>
        <v>亚22.5寸</v>
      </c>
      <c r="E227" s="339" t="str">
        <f t="shared" si="547"/>
        <v>385/65R22.5-20PR(160K)-VA916</v>
      </c>
      <c r="F227" s="340" t="str">
        <f t="shared" si="578"/>
        <v>385/65R22.5-20PR-VA916</v>
      </c>
      <c r="G227" s="341" t="s">
        <v>574</v>
      </c>
      <c r="H227" s="334">
        <v>500</v>
      </c>
      <c r="I227" s="345"/>
      <c r="J227" s="346" t="str">
        <f t="shared" si="576"/>
        <v>385/65R22.5-VA916</v>
      </c>
      <c r="K227" s="347" t="str">
        <f>_xlfn.XLOOKUP(F227,投产规格!E:E,投产规格!D:D,"未投产")</f>
        <v>✔</v>
      </c>
      <c r="L227" s="347">
        <f>IFERROR(_xlfn.XLOOKUP(F227,硫化工艺!B:B,硫化工艺!C:C),"")</f>
        <v>47</v>
      </c>
      <c r="M227" s="349">
        <f t="shared" ref="M227:M266" si="607">IF(L227="","",L227/(L227+$L$1/60))</f>
        <v>0.889589905362776</v>
      </c>
      <c r="N227" s="347" t="str">
        <f t="shared" si="480"/>
        <v>22.5全钢</v>
      </c>
      <c r="O227" s="347">
        <f>IFERROR(_xlfn.XLOOKUP(F227,轮胎重量!J:J,轮胎重量!G:G),"")</f>
        <v>75.09</v>
      </c>
      <c r="P227" s="347">
        <f>IFERROR(_xlfn.XLOOKUP(G227,硫化工艺!I:I,硫化工艺!J:J),"")</f>
        <v>1092.271012</v>
      </c>
      <c r="Q227" s="347">
        <f t="shared" si="545"/>
        <v>0</v>
      </c>
      <c r="R227" s="347"/>
      <c r="S227" s="347"/>
      <c r="T227" s="347"/>
      <c r="U227" s="347"/>
      <c r="V227" s="347"/>
      <c r="W227" s="347"/>
      <c r="X227" s="347">
        <v>40</v>
      </c>
      <c r="Y227" s="347">
        <v>40</v>
      </c>
      <c r="Z227" s="347">
        <v>40</v>
      </c>
      <c r="AA227" s="347">
        <v>40</v>
      </c>
      <c r="AB227" s="347">
        <v>40</v>
      </c>
      <c r="AC227" s="347">
        <v>40</v>
      </c>
      <c r="AD227" s="347">
        <v>40</v>
      </c>
      <c r="AE227" s="347">
        <v>40</v>
      </c>
      <c r="AF227" s="347">
        <v>40</v>
      </c>
      <c r="AG227" s="347">
        <v>40</v>
      </c>
      <c r="AH227" s="347"/>
      <c r="AI227" s="347"/>
      <c r="AJ227" s="347"/>
      <c r="AK227" s="347"/>
      <c r="AL227" s="347"/>
      <c r="AM227" s="347"/>
      <c r="AN227" s="347"/>
      <c r="AO227" s="347"/>
      <c r="AP227" s="347"/>
      <c r="AQ227" s="347"/>
      <c r="AR227" s="347"/>
      <c r="AS227" s="347"/>
      <c r="AT227" s="347"/>
      <c r="AU227" s="347"/>
      <c r="AV227" s="347"/>
      <c r="AW227" s="347">
        <f t="shared" ref="AW227:AW266" si="608">IF(SUM(R227:AV227)=0,"",SUM(R227:AV227))</f>
        <v>400</v>
      </c>
      <c r="AX227" s="365">
        <f t="shared" ref="AX227:AX266" si="609">IFERROR(AW227*O227/1000,"")</f>
        <v>30.036</v>
      </c>
      <c r="AY227" s="365">
        <f t="shared" ref="AY227:AY266" si="610">IFERROR(ROUND(AW227*P227/10000,3),"")</f>
        <v>43.691</v>
      </c>
      <c r="AZ227" s="366">
        <v>267.67</v>
      </c>
      <c r="BA227" s="368">
        <v>18.96</v>
      </c>
      <c r="BB227" s="368">
        <v>33.92</v>
      </c>
      <c r="BC227" s="368">
        <v>36.12</v>
      </c>
      <c r="BE227" s="330">
        <f t="shared" si="589"/>
        <v>107068</v>
      </c>
      <c r="BF227" s="330">
        <f t="shared" si="590"/>
        <v>7584</v>
      </c>
      <c r="BG227" s="330">
        <f t="shared" si="591"/>
        <v>13568</v>
      </c>
      <c r="BH227" s="330">
        <f t="shared" si="592"/>
        <v>14448</v>
      </c>
      <c r="BJ227" s="370" cm="1">
        <f t="array" ref="BJ227:BM227">_xlfn.LET(_xlpm.data,$R227:$AV227,_xlpm.starts,{1,8,16,23},_xlpm.lengths,{7,7,8,9},_xlpm.arr,_xlfn.MAP(_xlpm.starts,_xlpm.lengths,_xlfn.LAMBDA(_xlpm.s,_xlpm.l,SUM(INDEX(_xlpm.data,,_xlfn.SEQUENCE(,_xlpm.l,_xlpm.s))))),ROUND(_xlpm.arr*$O227/1000,2))</f>
        <v>3</v>
      </c>
      <c r="BK227" s="330">
        <v>21.03</v>
      </c>
      <c r="BL227" s="330">
        <v>3</v>
      </c>
      <c r="BM227" s="330">
        <v>0</v>
      </c>
      <c r="BN227" s="258">
        <f t="shared" ref="BN227:BN266" si="611">SUM(BJ227:BM227)</f>
        <v>27.03</v>
      </c>
      <c r="BO227" s="258">
        <v>0</v>
      </c>
      <c r="BP227" s="258">
        <v>0</v>
      </c>
      <c r="BQ227" s="258">
        <v>0</v>
      </c>
      <c r="BR227" s="258">
        <v>0</v>
      </c>
      <c r="BT227" s="258" cm="1">
        <f ca="1" t="array" ref="BT227:BW227">_xlfn.HSTACK(SUM(INDEX($R227:$AV227,1,1):INDEX($R227:$AV227,1,7)),SUM(INDEX($R227:$AV227,1,7):INDEX($R227:$AV227,1,13)),SUM(INDEX($R227:$AV227,1,16):INDEX($R227:$AV227,1,23)),SUM(INDEX($R227:$AV227,1,23):INDEX($R227:$AV227,1,31)))</f>
        <v>40</v>
      </c>
      <c r="BU227" s="258">
        <v>280</v>
      </c>
      <c r="BV227" s="258">
        <v>40</v>
      </c>
      <c r="BW227" s="258">
        <v>0</v>
      </c>
      <c r="BY227" s="258">
        <f t="shared" si="522"/>
        <v>40</v>
      </c>
      <c r="BZ227" s="258">
        <f t="shared" si="523"/>
        <v>280</v>
      </c>
      <c r="CA227" s="258">
        <f t="shared" si="524"/>
        <v>80</v>
      </c>
      <c r="CB227" s="258">
        <f t="shared" si="525"/>
        <v>0</v>
      </c>
      <c r="CE227" s="258">
        <f t="shared" ref="CE227:CE266" si="612">ROUND(BY227*$O227/1000,2)</f>
        <v>3</v>
      </c>
      <c r="CF227" s="258">
        <f t="shared" ref="CF227:CF266" si="613">ROUND(BZ227*$O227/1000,2)</f>
        <v>21.03</v>
      </c>
      <c r="CG227" s="258">
        <f t="shared" ref="CG227:CG266" si="614">ROUND(CA227*$O227/1000,2)</f>
        <v>6.01</v>
      </c>
      <c r="CH227" s="258">
        <f t="shared" ref="CH227:CH266" si="615">ROUND(CB227*$O227/1000,2)</f>
        <v>0</v>
      </c>
      <c r="CI227" s="258">
        <f t="shared" ref="CI227:CI266" si="616">SUM(CE227:CH227)</f>
        <v>30.04</v>
      </c>
      <c r="CK227" s="258">
        <f t="shared" ref="CK227:CN227" si="617">IFERROR(ROUND(BY227*$P227,2),"")</f>
        <v>43690.84</v>
      </c>
      <c r="CL227" s="258">
        <f t="shared" si="617"/>
        <v>305835.88</v>
      </c>
      <c r="CM227" s="258">
        <f t="shared" si="617"/>
        <v>87381.68</v>
      </c>
      <c r="CN227" s="258">
        <f t="shared" si="617"/>
        <v>0</v>
      </c>
      <c r="CO227" s="258">
        <f t="shared" si="521"/>
        <v>436908.4</v>
      </c>
      <c r="CP227" s="258">
        <f>VLOOKUP(G227,[2]Sheet1!$C$3:$G$310,5,0)</f>
        <v>6000</v>
      </c>
      <c r="CQ227" s="258" t="e">
        <f>VLOOKUP(G227,[3]KCBB0101!$C$3:$F$691,4,0)</f>
        <v>#N/A</v>
      </c>
    </row>
    <row r="228" ht="17.6" spans="2:93">
      <c r="B228" s="334" t="str">
        <f>_xlfn.XLOOKUP(G228,销售需求表!A:A,销售需求表!C:C)</f>
        <v>北美</v>
      </c>
      <c r="C228" s="335" t="str">
        <f t="shared" si="581"/>
        <v>22.5</v>
      </c>
      <c r="D228" s="362" t="str">
        <f t="shared" si="606"/>
        <v>北美22.5寸</v>
      </c>
      <c r="E228" s="339" t="str">
        <f t="shared" si="547"/>
        <v>425/65R22.5-20PR(165K)-HA4 Plus</v>
      </c>
      <c r="F228" s="340" t="str">
        <f t="shared" si="578"/>
        <v>425/65R22.5-20PR-HA4 Plus</v>
      </c>
      <c r="G228" s="377" t="s">
        <v>575</v>
      </c>
      <c r="H228" s="334">
        <v>280</v>
      </c>
      <c r="I228" s="345"/>
      <c r="J228" s="346" t="str">
        <f t="shared" si="576"/>
        <v>425/65R22.5-HA4 Plus</v>
      </c>
      <c r="K228" s="347" t="str">
        <f>_xlfn.XLOOKUP(F228,投产规格!E:E,投产规格!D:D,"未投产")</f>
        <v>未投产</v>
      </c>
      <c r="L228" s="347">
        <f>IFERROR(_xlfn.XLOOKUP(F228,硫化工艺!B:B,硫化工艺!C:C),"")</f>
        <v>55</v>
      </c>
      <c r="M228" s="349">
        <f t="shared" si="607"/>
        <v>0.904109589041096</v>
      </c>
      <c r="N228" s="347" t="str">
        <f t="shared" si="480"/>
        <v>22.5全钢</v>
      </c>
      <c r="O228" s="347">
        <f>IFERROR(_xlfn.XLOOKUP(F228,轮胎重量!J:J,轮胎重量!G:G),"")</f>
        <v>83.23</v>
      </c>
      <c r="P228" s="350">
        <f t="shared" si="601"/>
        <v>1156.897</v>
      </c>
      <c r="Q228" s="347">
        <f t="shared" si="545"/>
        <v>0</v>
      </c>
      <c r="R228" s="347"/>
      <c r="S228" s="347"/>
      <c r="T228" s="347"/>
      <c r="U228" s="347"/>
      <c r="V228" s="347"/>
      <c r="W228" s="347"/>
      <c r="X228" s="347"/>
      <c r="Y228" s="347"/>
      <c r="Z228" s="347"/>
      <c r="AA228" s="347"/>
      <c r="AB228" s="347"/>
      <c r="AC228" s="347"/>
      <c r="AD228" s="347"/>
      <c r="AE228" s="347"/>
      <c r="AF228" s="347"/>
      <c r="AG228" s="347"/>
      <c r="AH228" s="347"/>
      <c r="AI228" s="347"/>
      <c r="AJ228" s="347"/>
      <c r="AK228" s="347"/>
      <c r="AL228" s="347"/>
      <c r="AM228" s="347"/>
      <c r="AN228" s="347"/>
      <c r="AO228" s="347"/>
      <c r="AP228" s="347"/>
      <c r="AQ228" s="347"/>
      <c r="AR228" s="347"/>
      <c r="AS228" s="347"/>
      <c r="AT228" s="347"/>
      <c r="AU228" s="347"/>
      <c r="AV228" s="347"/>
      <c r="AW228" s="347" t="str">
        <f t="shared" si="608"/>
        <v/>
      </c>
      <c r="AX228" s="365" t="str">
        <f t="shared" si="609"/>
        <v/>
      </c>
      <c r="AY228" s="365" t="str">
        <f t="shared" si="610"/>
        <v/>
      </c>
      <c r="AZ228" s="367"/>
      <c r="BE228" s="330" t="e">
        <f t="shared" si="589"/>
        <v>#VALUE!</v>
      </c>
      <c r="BF228" s="330" t="e">
        <f t="shared" si="590"/>
        <v>#VALUE!</v>
      </c>
      <c r="BG228" s="330" t="e">
        <f t="shared" si="591"/>
        <v>#VALUE!</v>
      </c>
      <c r="BH228" s="330" t="e">
        <f t="shared" si="592"/>
        <v>#VALUE!</v>
      </c>
      <c r="BJ228" s="370" cm="1">
        <f t="array" ref="BJ228:BM228">_xlfn.LET(_xlpm.data,$R228:$AV228,_xlpm.starts,{1,8,16,23},_xlpm.lengths,{7,7,8,9},_xlpm.arr,_xlfn.MAP(_xlpm.starts,_xlpm.lengths,_xlfn.LAMBDA(_xlpm.s,_xlpm.l,SUM(INDEX(_xlpm.data,,_xlfn.SEQUENCE(,_xlpm.l,_xlpm.s))))),ROUND(_xlpm.arr*$O228/1000,2))</f>
        <v>0</v>
      </c>
      <c r="BK228" s="330">
        <v>0</v>
      </c>
      <c r="BL228" s="330">
        <v>0</v>
      </c>
      <c r="BM228" s="330">
        <v>0</v>
      </c>
      <c r="BN228" s="258">
        <f t="shared" si="611"/>
        <v>0</v>
      </c>
      <c r="BO228" s="258">
        <v>17.1</v>
      </c>
      <c r="BP228" s="258">
        <v>17.1</v>
      </c>
      <c r="BQ228" s="258">
        <v>19.55</v>
      </c>
      <c r="BR228" s="258">
        <v>21.99</v>
      </c>
      <c r="BT228" s="258" cm="1">
        <f ca="1" t="array" ref="BT228:BW228">_xlfn.HSTACK(SUM(INDEX($R228:$AV228,1,1):INDEX($R228:$AV228,1,7)),SUM(INDEX($R228:$AV228,1,7):INDEX($R228:$AV228,1,13)),SUM(INDEX($R228:$AV228,1,16):INDEX($R228:$AV228,1,23)),SUM(INDEX($R228:$AV228,1,23):INDEX($R228:$AV228,1,31)))</f>
        <v>0</v>
      </c>
      <c r="BU228" s="258">
        <v>0</v>
      </c>
      <c r="BV228" s="258">
        <v>0</v>
      </c>
      <c r="BW228" s="258">
        <v>0</v>
      </c>
      <c r="BY228" s="258">
        <f t="shared" si="522"/>
        <v>0</v>
      </c>
      <c r="BZ228" s="258">
        <f t="shared" si="523"/>
        <v>0</v>
      </c>
      <c r="CA228" s="258">
        <f t="shared" si="524"/>
        <v>0</v>
      </c>
      <c r="CB228" s="258">
        <f t="shared" si="525"/>
        <v>0</v>
      </c>
      <c r="CE228" s="258">
        <f t="shared" si="612"/>
        <v>0</v>
      </c>
      <c r="CF228" s="258">
        <f t="shared" si="613"/>
        <v>0</v>
      </c>
      <c r="CG228" s="258">
        <f t="shared" si="614"/>
        <v>0</v>
      </c>
      <c r="CH228" s="258">
        <f t="shared" si="615"/>
        <v>0</v>
      </c>
      <c r="CI228" s="258">
        <f t="shared" si="616"/>
        <v>0</v>
      </c>
      <c r="CK228" s="258">
        <f t="shared" ref="CK228:CN228" si="618">IFERROR(ROUND(BY228*$P228,2),"")</f>
        <v>0</v>
      </c>
      <c r="CL228" s="258">
        <f t="shared" si="618"/>
        <v>0</v>
      </c>
      <c r="CM228" s="258">
        <f t="shared" si="618"/>
        <v>0</v>
      </c>
      <c r="CN228" s="258">
        <f t="shared" si="618"/>
        <v>0</v>
      </c>
      <c r="CO228" s="258">
        <f t="shared" si="521"/>
        <v>0</v>
      </c>
    </row>
    <row r="229" ht="17.6" spans="2:95">
      <c r="B229" s="334" t="str">
        <f>_xlfn.XLOOKUP(G229,销售需求表!A:A,销售需求表!C:C)</f>
        <v>北美</v>
      </c>
      <c r="C229" s="335" t="str">
        <f t="shared" ref="C229:C239" si="619">IFERROR(MID(F229,FIND("R",F229)+1,4),"")</f>
        <v>22.5</v>
      </c>
      <c r="D229" s="362" t="str">
        <f t="shared" si="606"/>
        <v>北美22.5寸</v>
      </c>
      <c r="E229" s="339" t="str">
        <f t="shared" si="547"/>
        <v>425/65R22.5-20PR(165K)-I-42W</v>
      </c>
      <c r="F229" s="340" t="str">
        <f t="shared" si="578"/>
        <v>425/65R22.5-20PR-I-42W</v>
      </c>
      <c r="G229" s="341" t="s">
        <v>576</v>
      </c>
      <c r="H229" s="334">
        <v>500</v>
      </c>
      <c r="I229" s="345"/>
      <c r="J229" s="346" t="str">
        <f t="shared" si="576"/>
        <v>425/65R22.5-I-42W</v>
      </c>
      <c r="K229" s="347" t="str">
        <f>_xlfn.XLOOKUP(F229,投产规格!E:E,投产规格!D:D,"未投产")</f>
        <v>✔</v>
      </c>
      <c r="L229" s="347">
        <f>IFERROR(_xlfn.XLOOKUP(F229,硫化工艺!B:B,硫化工艺!C:C),"")</f>
        <v>55</v>
      </c>
      <c r="M229" s="349">
        <f t="shared" si="607"/>
        <v>0.904109589041096</v>
      </c>
      <c r="N229" s="347" t="str">
        <f t="shared" si="480"/>
        <v>22.5全钢</v>
      </c>
      <c r="O229" s="347">
        <f>IFERROR(_xlfn.XLOOKUP(F229,轮胎重量!J:J,轮胎重量!G:G),"")</f>
        <v>88.98</v>
      </c>
      <c r="P229" s="347">
        <f>IFERROR(_xlfn.XLOOKUP(G229,硫化工艺!I:I,硫化工艺!J:J),"")</f>
        <v>1302.394429</v>
      </c>
      <c r="Q229" s="347">
        <f t="shared" si="545"/>
        <v>0</v>
      </c>
      <c r="R229" s="347"/>
      <c r="S229" s="347"/>
      <c r="T229" s="347"/>
      <c r="U229" s="347"/>
      <c r="V229" s="347"/>
      <c r="W229" s="347"/>
      <c r="X229" s="347"/>
      <c r="Y229" s="347"/>
      <c r="Z229" s="347"/>
      <c r="AA229" s="347"/>
      <c r="AB229" s="347"/>
      <c r="AC229" s="347"/>
      <c r="AD229" s="347"/>
      <c r="AE229" s="347"/>
      <c r="AF229" s="347"/>
      <c r="AG229" s="347"/>
      <c r="AH229" s="347">
        <v>40</v>
      </c>
      <c r="AI229" s="347">
        <v>40</v>
      </c>
      <c r="AJ229" s="347">
        <v>40</v>
      </c>
      <c r="AK229" s="347">
        <v>40</v>
      </c>
      <c r="AL229" s="347">
        <v>40</v>
      </c>
      <c r="AM229" s="347">
        <v>40</v>
      </c>
      <c r="AN229" s="347">
        <v>40</v>
      </c>
      <c r="AO229" s="347">
        <v>40</v>
      </c>
      <c r="AP229" s="347">
        <v>40</v>
      </c>
      <c r="AQ229" s="347">
        <v>40</v>
      </c>
      <c r="AR229" s="347">
        <v>40</v>
      </c>
      <c r="AS229" s="347">
        <v>40</v>
      </c>
      <c r="AT229" s="347">
        <v>40</v>
      </c>
      <c r="AU229" s="347">
        <v>40</v>
      </c>
      <c r="AV229" s="347">
        <v>40</v>
      </c>
      <c r="AW229" s="347">
        <f t="shared" si="608"/>
        <v>600</v>
      </c>
      <c r="AX229" s="365">
        <f t="shared" si="609"/>
        <v>53.388</v>
      </c>
      <c r="AY229" s="365">
        <f t="shared" si="610"/>
        <v>78.144</v>
      </c>
      <c r="AZ229" s="367"/>
      <c r="BE229" s="330">
        <f t="shared" si="589"/>
        <v>0</v>
      </c>
      <c r="BF229" s="330">
        <f t="shared" si="590"/>
        <v>0</v>
      </c>
      <c r="BG229" s="330">
        <f t="shared" si="591"/>
        <v>0</v>
      </c>
      <c r="BH229" s="330">
        <f t="shared" si="592"/>
        <v>0</v>
      </c>
      <c r="BJ229" s="370" cm="1">
        <f t="array" ref="BJ229:BM229">_xlfn.LET(_xlpm.data,$R229:$AV229,_xlpm.starts,{1,8,16,23},_xlpm.lengths,{7,7,8,9},_xlpm.arr,_xlfn.MAP(_xlpm.starts,_xlpm.lengths,_xlfn.LAMBDA(_xlpm.s,_xlpm.l,SUM(INDEX(_xlpm.data,,_xlfn.SEQUENCE(,_xlpm.l,_xlpm.s))))),ROUND(_xlpm.arr*$O229/1000,2))</f>
        <v>0</v>
      </c>
      <c r="BK229" s="330">
        <v>0</v>
      </c>
      <c r="BL229" s="330">
        <v>24.91</v>
      </c>
      <c r="BM229" s="330">
        <v>32.03</v>
      </c>
      <c r="BN229" s="258">
        <f t="shared" si="611"/>
        <v>56.94</v>
      </c>
      <c r="BO229" s="258">
        <v>17.42</v>
      </c>
      <c r="BP229" s="258">
        <v>17.42</v>
      </c>
      <c r="BQ229" s="258">
        <v>19.91</v>
      </c>
      <c r="BR229" s="258">
        <v>22.4</v>
      </c>
      <c r="BT229" s="258" cm="1">
        <f ca="1" t="array" ref="BT229:BW229">_xlfn.HSTACK(SUM(INDEX($R229:$AV229,1,1):INDEX($R229:$AV229,1,7)),SUM(INDEX($R229:$AV229,1,7):INDEX($R229:$AV229,1,13)),SUM(INDEX($R229:$AV229,1,16):INDEX($R229:$AV229,1,23)),SUM(INDEX($R229:$AV229,1,23):INDEX($R229:$AV229,1,31)))</f>
        <v>0</v>
      </c>
      <c r="BU229" s="258">
        <v>0</v>
      </c>
      <c r="BV229" s="258">
        <v>280</v>
      </c>
      <c r="BW229" s="258">
        <v>360</v>
      </c>
      <c r="BY229" s="258">
        <f t="shared" si="522"/>
        <v>0</v>
      </c>
      <c r="BZ229" s="258">
        <f t="shared" si="523"/>
        <v>0</v>
      </c>
      <c r="CA229" s="258">
        <f t="shared" si="524"/>
        <v>240</v>
      </c>
      <c r="CB229" s="258">
        <f t="shared" si="525"/>
        <v>360</v>
      </c>
      <c r="CE229" s="258">
        <f t="shared" si="612"/>
        <v>0</v>
      </c>
      <c r="CF229" s="258">
        <f t="shared" si="613"/>
        <v>0</v>
      </c>
      <c r="CG229" s="258">
        <f t="shared" si="614"/>
        <v>21.36</v>
      </c>
      <c r="CH229" s="258">
        <f t="shared" si="615"/>
        <v>32.03</v>
      </c>
      <c r="CI229" s="258">
        <f t="shared" si="616"/>
        <v>53.39</v>
      </c>
      <c r="CK229" s="258">
        <f t="shared" ref="CK229:CN229" si="620">IFERROR(ROUND(BY229*$P229,2),"")</f>
        <v>0</v>
      </c>
      <c r="CL229" s="258">
        <f t="shared" si="620"/>
        <v>0</v>
      </c>
      <c r="CM229" s="258">
        <f t="shared" si="620"/>
        <v>312574.66</v>
      </c>
      <c r="CN229" s="258">
        <f t="shared" si="620"/>
        <v>468861.99</v>
      </c>
      <c r="CO229" s="258">
        <f t="shared" si="521"/>
        <v>781436.65</v>
      </c>
      <c r="CP229" s="258">
        <f>VLOOKUP(G229,[2]Sheet1!$C$3:$G$310,5,0)</f>
        <v>2200</v>
      </c>
      <c r="CQ229" s="258" t="e">
        <f>VLOOKUP(G229,[3]KCBB0101!$C$3:$F$691,4,0)</f>
        <v>#N/A</v>
      </c>
    </row>
    <row r="230" ht="17.6" spans="2:93">
      <c r="B230" s="334" t="str">
        <f>_xlfn.XLOOKUP(G230,销售需求表!A:A,销售需求表!C:C)</f>
        <v>北美</v>
      </c>
      <c r="C230" s="335" t="str">
        <f t="shared" si="619"/>
        <v>22.5</v>
      </c>
      <c r="D230" s="362" t="str">
        <f t="shared" si="606"/>
        <v>北美22.5寸</v>
      </c>
      <c r="E230" s="339" t="str">
        <f t="shared" si="547"/>
        <v>425/65R22.5-20PR(165K)-M-TRAC MSF</v>
      </c>
      <c r="F230" s="340" t="str">
        <f t="shared" si="578"/>
        <v>425/65R22.5-20PR-M-TRAC MSF</v>
      </c>
      <c r="G230" s="377" t="s">
        <v>577</v>
      </c>
      <c r="H230" s="334">
        <v>500</v>
      </c>
      <c r="I230" s="345"/>
      <c r="J230" s="346" t="str">
        <f t="shared" si="576"/>
        <v>425/65R22.5-M-TRAC MSF</v>
      </c>
      <c r="K230" s="347" t="str">
        <f>_xlfn.XLOOKUP(F230,投产规格!E:E,投产规格!D:D,"未投产")</f>
        <v>未投产</v>
      </c>
      <c r="L230" s="347">
        <f>IFERROR(_xlfn.XLOOKUP(F230,硫化工艺!B:B,硫化工艺!C:C),"")</f>
        <v>55</v>
      </c>
      <c r="M230" s="349">
        <f t="shared" si="607"/>
        <v>0.904109589041096</v>
      </c>
      <c r="N230" s="347" t="str">
        <f t="shared" si="480"/>
        <v>22.5全钢</v>
      </c>
      <c r="O230" s="347">
        <f>IFERROR(_xlfn.XLOOKUP(F230,轮胎重量!J:J,轮胎重量!G:G),"")</f>
        <v>93.68</v>
      </c>
      <c r="P230" s="350">
        <f t="shared" ref="P230:P235" si="621">O230*13.9</f>
        <v>1302.152</v>
      </c>
      <c r="Q230" s="347">
        <f t="shared" si="545"/>
        <v>0</v>
      </c>
      <c r="R230" s="347"/>
      <c r="S230" s="347"/>
      <c r="T230" s="347"/>
      <c r="U230" s="347"/>
      <c r="V230" s="347"/>
      <c r="W230" s="347"/>
      <c r="X230" s="347"/>
      <c r="Y230" s="347"/>
      <c r="Z230" s="347"/>
      <c r="AA230" s="347"/>
      <c r="AB230" s="347"/>
      <c r="AC230" s="347"/>
      <c r="AD230" s="347"/>
      <c r="AE230" s="347"/>
      <c r="AF230" s="347"/>
      <c r="AG230" s="347"/>
      <c r="AH230" s="347"/>
      <c r="AI230" s="347"/>
      <c r="AJ230" s="347"/>
      <c r="AK230" s="347"/>
      <c r="AL230" s="347"/>
      <c r="AM230" s="347"/>
      <c r="AN230" s="347"/>
      <c r="AO230" s="347"/>
      <c r="AP230" s="347"/>
      <c r="AQ230" s="347"/>
      <c r="AR230" s="347"/>
      <c r="AS230" s="347"/>
      <c r="AT230" s="347"/>
      <c r="AU230" s="347"/>
      <c r="AV230" s="347"/>
      <c r="AW230" s="347" t="str">
        <f t="shared" si="608"/>
        <v/>
      </c>
      <c r="AX230" s="365" t="str">
        <f t="shared" si="609"/>
        <v/>
      </c>
      <c r="AY230" s="365" t="str">
        <f t="shared" si="610"/>
        <v/>
      </c>
      <c r="AZ230" s="367"/>
      <c r="BE230" s="330" t="e">
        <f t="shared" si="589"/>
        <v>#VALUE!</v>
      </c>
      <c r="BF230" s="330" t="e">
        <f t="shared" si="590"/>
        <v>#VALUE!</v>
      </c>
      <c r="BG230" s="330" t="e">
        <f t="shared" si="591"/>
        <v>#VALUE!</v>
      </c>
      <c r="BH230" s="330" t="e">
        <f t="shared" si="592"/>
        <v>#VALUE!</v>
      </c>
      <c r="BJ230" s="370" cm="1">
        <f t="array" ref="BJ230:BM230">_xlfn.LET(_xlpm.data,$R230:$AV230,_xlpm.starts,{1,8,16,23},_xlpm.lengths,{7,7,8,9},_xlpm.arr,_xlfn.MAP(_xlpm.starts,_xlpm.lengths,_xlfn.LAMBDA(_xlpm.s,_xlpm.l,SUM(INDEX(_xlpm.data,,_xlfn.SEQUENCE(,_xlpm.l,_xlpm.s))))),ROUND(_xlpm.arr*$O230/1000,2))</f>
        <v>0</v>
      </c>
      <c r="BK230" s="330">
        <v>0</v>
      </c>
      <c r="BL230" s="330">
        <v>0</v>
      </c>
      <c r="BM230" s="330">
        <v>0</v>
      </c>
      <c r="BN230" s="258">
        <f t="shared" si="611"/>
        <v>0</v>
      </c>
      <c r="BO230" s="258">
        <v>0</v>
      </c>
      <c r="BP230" s="258">
        <v>0</v>
      </c>
      <c r="BQ230" s="258">
        <v>0</v>
      </c>
      <c r="BR230" s="258">
        <v>0</v>
      </c>
      <c r="BT230" s="258" cm="1">
        <f ca="1" t="array" ref="BT230:BW230">_xlfn.HSTACK(SUM(INDEX($R230:$AV230,1,1):INDEX($R230:$AV230,1,7)),SUM(INDEX($R230:$AV230,1,7):INDEX($R230:$AV230,1,13)),SUM(INDEX($R230:$AV230,1,16):INDEX($R230:$AV230,1,23)),SUM(INDEX($R230:$AV230,1,23):INDEX($R230:$AV230,1,31)))</f>
        <v>0</v>
      </c>
      <c r="BU230" s="258">
        <v>0</v>
      </c>
      <c r="BV230" s="258">
        <v>0</v>
      </c>
      <c r="BW230" s="258">
        <v>0</v>
      </c>
      <c r="BY230" s="258">
        <f t="shared" si="522"/>
        <v>0</v>
      </c>
      <c r="BZ230" s="258">
        <f t="shared" si="523"/>
        <v>0</v>
      </c>
      <c r="CA230" s="258">
        <f t="shared" si="524"/>
        <v>0</v>
      </c>
      <c r="CB230" s="258">
        <f t="shared" si="525"/>
        <v>0</v>
      </c>
      <c r="CE230" s="258">
        <f t="shared" si="612"/>
        <v>0</v>
      </c>
      <c r="CF230" s="258">
        <f t="shared" si="613"/>
        <v>0</v>
      </c>
      <c r="CG230" s="258">
        <f t="shared" si="614"/>
        <v>0</v>
      </c>
      <c r="CH230" s="258">
        <f t="shared" si="615"/>
        <v>0</v>
      </c>
      <c r="CI230" s="258">
        <f t="shared" si="616"/>
        <v>0</v>
      </c>
      <c r="CK230" s="258">
        <f t="shared" ref="CK230:CN230" si="622">IFERROR(ROUND(BY230*$P230,2),"")</f>
        <v>0</v>
      </c>
      <c r="CL230" s="258">
        <f t="shared" si="622"/>
        <v>0</v>
      </c>
      <c r="CM230" s="258">
        <f t="shared" si="622"/>
        <v>0</v>
      </c>
      <c r="CN230" s="258">
        <f t="shared" si="622"/>
        <v>0</v>
      </c>
      <c r="CO230" s="258">
        <f t="shared" si="521"/>
        <v>0</v>
      </c>
    </row>
    <row r="231" ht="17.6" spans="2:95">
      <c r="B231" s="334" t="str">
        <f>_xlfn.XLOOKUP(G231,销售需求表!A:A,销售需求表!C:C)</f>
        <v>北美</v>
      </c>
      <c r="C231" s="335" t="str">
        <f t="shared" si="619"/>
        <v>22.5</v>
      </c>
      <c r="D231" s="362" t="str">
        <f t="shared" si="606"/>
        <v>北美22.5寸</v>
      </c>
      <c r="E231" s="339" t="str">
        <f t="shared" si="547"/>
        <v>425/65R22.5-20PR(165K)-Strong Guard H-MW</v>
      </c>
      <c r="F231" s="340" t="str">
        <f t="shared" si="578"/>
        <v>425/65R22.5-20PR-H-MW</v>
      </c>
      <c r="G231" s="341" t="s">
        <v>578</v>
      </c>
      <c r="H231" s="334">
        <v>920</v>
      </c>
      <c r="I231" s="345"/>
      <c r="J231" s="346" t="str">
        <f t="shared" si="576"/>
        <v>425/65R22.5-H-MW</v>
      </c>
      <c r="K231" s="347" t="str">
        <f>_xlfn.XLOOKUP(F231,投产规格!E:E,投产规格!D:D,"未投产")</f>
        <v>✔</v>
      </c>
      <c r="L231" s="347">
        <f>IFERROR(_xlfn.XLOOKUP(F231,硫化工艺!B:B,硫化工艺!C:C),"")</f>
        <v>60</v>
      </c>
      <c r="M231" s="349">
        <f t="shared" si="607"/>
        <v>0.911392405063291</v>
      </c>
      <c r="N231" s="347" t="str">
        <f t="shared" si="480"/>
        <v>22.5全钢</v>
      </c>
      <c r="O231" s="347">
        <f>IFERROR(_xlfn.XLOOKUP(F231,轮胎重量!J:J,轮胎重量!G:G),"")</f>
        <v>93.68</v>
      </c>
      <c r="P231" s="347">
        <f>IFERROR(_xlfn.XLOOKUP(G231,硫化工艺!I:I,硫化工艺!J:J),"")</f>
        <v>1376.124211</v>
      </c>
      <c r="Q231" s="347">
        <f t="shared" si="545"/>
        <v>0</v>
      </c>
      <c r="R231" s="347"/>
      <c r="S231" s="347"/>
      <c r="T231" s="347"/>
      <c r="U231" s="347"/>
      <c r="V231" s="347"/>
      <c r="W231" s="347"/>
      <c r="X231" s="347"/>
      <c r="Y231" s="347"/>
      <c r="Z231" s="347"/>
      <c r="AA231" s="347"/>
      <c r="AB231" s="347"/>
      <c r="AC231" s="347"/>
      <c r="AD231" s="347"/>
      <c r="AE231" s="347"/>
      <c r="AF231" s="347"/>
      <c r="AG231" s="347"/>
      <c r="AH231" s="347">
        <v>80</v>
      </c>
      <c r="AI231" s="347">
        <v>80</v>
      </c>
      <c r="AJ231" s="347">
        <v>80</v>
      </c>
      <c r="AK231" s="347">
        <v>80</v>
      </c>
      <c r="AL231" s="347">
        <v>80</v>
      </c>
      <c r="AM231" s="347">
        <v>80</v>
      </c>
      <c r="AN231" s="347">
        <v>40</v>
      </c>
      <c r="AO231" s="347">
        <v>40</v>
      </c>
      <c r="AP231" s="347">
        <v>40</v>
      </c>
      <c r="AQ231" s="347">
        <v>40</v>
      </c>
      <c r="AR231" s="347">
        <v>40</v>
      </c>
      <c r="AS231" s="347">
        <v>40</v>
      </c>
      <c r="AT231" s="347">
        <v>40</v>
      </c>
      <c r="AU231" s="347">
        <v>40</v>
      </c>
      <c r="AV231" s="347">
        <v>40</v>
      </c>
      <c r="AW231" s="347">
        <f t="shared" si="608"/>
        <v>840</v>
      </c>
      <c r="AX231" s="365">
        <f t="shared" si="609"/>
        <v>78.6912</v>
      </c>
      <c r="AY231" s="365">
        <f t="shared" si="610"/>
        <v>115.594</v>
      </c>
      <c r="AZ231" s="366">
        <v>286.15</v>
      </c>
      <c r="BA231" s="368">
        <v>19.86</v>
      </c>
      <c r="BB231" s="368">
        <v>35.02</v>
      </c>
      <c r="BC231" s="368">
        <v>37.26</v>
      </c>
      <c r="BE231" s="330">
        <f t="shared" si="589"/>
        <v>240366</v>
      </c>
      <c r="BF231" s="330">
        <f t="shared" si="590"/>
        <v>16682.4</v>
      </c>
      <c r="BG231" s="330">
        <f t="shared" si="591"/>
        <v>29416.8</v>
      </c>
      <c r="BH231" s="330">
        <f t="shared" si="592"/>
        <v>31298.4</v>
      </c>
      <c r="BJ231" s="370" cm="1">
        <f t="array" ref="BJ231:BM231">_xlfn.LET(_xlpm.data,$R231:$AV231,_xlpm.starts,{1,8,16,23},_xlpm.lengths,{7,7,8,9},_xlpm.arr,_xlfn.MAP(_xlpm.starts,_xlpm.lengths,_xlfn.LAMBDA(_xlpm.s,_xlpm.l,SUM(INDEX(_xlpm.data,,_xlfn.SEQUENCE(,_xlpm.l,_xlpm.s))))),ROUND(_xlpm.arr*$O231/1000,2))</f>
        <v>0</v>
      </c>
      <c r="BK231" s="330">
        <v>0</v>
      </c>
      <c r="BL231" s="330">
        <v>48.71</v>
      </c>
      <c r="BM231" s="330">
        <v>33.72</v>
      </c>
      <c r="BN231" s="258">
        <f t="shared" si="611"/>
        <v>82.43</v>
      </c>
      <c r="BO231" s="258">
        <v>17.18</v>
      </c>
      <c r="BP231" s="258">
        <v>17.18</v>
      </c>
      <c r="BQ231" s="258">
        <v>19.63</v>
      </c>
      <c r="BR231" s="258">
        <v>22.08</v>
      </c>
      <c r="BT231" s="258" cm="1">
        <f ca="1" t="array" ref="BT231:BW231">_xlfn.HSTACK(SUM(INDEX($R231:$AV231,1,1):INDEX($R231:$AV231,1,7)),SUM(INDEX($R231:$AV231,1,7):INDEX($R231:$AV231,1,13)),SUM(INDEX($R231:$AV231,1,16):INDEX($R231:$AV231,1,23)),SUM(INDEX($R231:$AV231,1,23):INDEX($R231:$AV231,1,31)))</f>
        <v>0</v>
      </c>
      <c r="BU231" s="258">
        <v>0</v>
      </c>
      <c r="BV231" s="258">
        <v>520</v>
      </c>
      <c r="BW231" s="258">
        <v>360</v>
      </c>
      <c r="BY231" s="258">
        <f t="shared" si="522"/>
        <v>0</v>
      </c>
      <c r="BZ231" s="258">
        <f t="shared" si="523"/>
        <v>0</v>
      </c>
      <c r="CA231" s="258">
        <f t="shared" si="524"/>
        <v>480</v>
      </c>
      <c r="CB231" s="258">
        <f t="shared" si="525"/>
        <v>360</v>
      </c>
      <c r="CE231" s="258">
        <f t="shared" si="612"/>
        <v>0</v>
      </c>
      <c r="CF231" s="258">
        <f t="shared" si="613"/>
        <v>0</v>
      </c>
      <c r="CG231" s="258">
        <f t="shared" si="614"/>
        <v>44.97</v>
      </c>
      <c r="CH231" s="258">
        <f t="shared" si="615"/>
        <v>33.72</v>
      </c>
      <c r="CI231" s="258">
        <f t="shared" si="616"/>
        <v>78.69</v>
      </c>
      <c r="CK231" s="258">
        <f t="shared" ref="CK231:CN231" si="623">IFERROR(ROUND(BY231*$P231,2),"")</f>
        <v>0</v>
      </c>
      <c r="CL231" s="258">
        <f t="shared" si="623"/>
        <v>0</v>
      </c>
      <c r="CM231" s="258">
        <f t="shared" si="623"/>
        <v>660539.62</v>
      </c>
      <c r="CN231" s="258">
        <f t="shared" si="623"/>
        <v>495404.72</v>
      </c>
      <c r="CO231" s="258">
        <f t="shared" si="521"/>
        <v>1155944.34</v>
      </c>
      <c r="CP231" s="258">
        <f>VLOOKUP(G231,[2]Sheet1!$C$3:$G$310,5,0)</f>
        <v>6800</v>
      </c>
      <c r="CQ231" s="258" t="e">
        <f>VLOOKUP(G231,[3]KCBB0101!$C$3:$F$691,4,0)</f>
        <v>#N/A</v>
      </c>
    </row>
    <row r="232" ht="17.6" spans="2:95">
      <c r="B232" s="334" t="str">
        <f>_xlfn.XLOOKUP(G232,销售需求表!A:A,销售需求表!C:C)</f>
        <v>亚</v>
      </c>
      <c r="C232" s="335" t="str">
        <f t="shared" si="619"/>
        <v>22.5</v>
      </c>
      <c r="D232" s="362" t="str">
        <f t="shared" si="606"/>
        <v>亚22.5寸</v>
      </c>
      <c r="E232" s="339" t="str">
        <f t="shared" si="547"/>
        <v>425/65R22.5-20PR(165K)-VA916</v>
      </c>
      <c r="F232" s="340" t="str">
        <f t="shared" si="578"/>
        <v>425/65R22.5-20PR-VA916</v>
      </c>
      <c r="G232" s="341" t="s">
        <v>579</v>
      </c>
      <c r="H232" s="334">
        <v>500</v>
      </c>
      <c r="I232" s="345"/>
      <c r="J232" s="346" t="str">
        <f t="shared" si="576"/>
        <v>425/65R22.5-VA916</v>
      </c>
      <c r="K232" s="347" t="str">
        <f>_xlfn.XLOOKUP(F232,投产规格!E:E,投产规格!D:D,"未投产")</f>
        <v>✔</v>
      </c>
      <c r="L232" s="347">
        <f>IFERROR(_xlfn.XLOOKUP(F232,硫化工艺!B:B,硫化工艺!C:C),"")</f>
        <v>55</v>
      </c>
      <c r="M232" s="349">
        <f t="shared" si="607"/>
        <v>0.904109589041096</v>
      </c>
      <c r="N232" s="347" t="str">
        <f t="shared" si="480"/>
        <v>22.5全钢</v>
      </c>
      <c r="O232" s="347">
        <f>IFERROR(_xlfn.XLOOKUP(F232,轮胎重量!J:J,轮胎重量!G:G),"")</f>
        <v>89.781</v>
      </c>
      <c r="P232" s="347">
        <f>IFERROR(_xlfn.XLOOKUP(G232,硫化工艺!I:I,硫化工艺!J:J),"")</f>
        <v>1312.663891</v>
      </c>
      <c r="Q232" s="347">
        <f t="shared" si="545"/>
        <v>0</v>
      </c>
      <c r="R232" s="347"/>
      <c r="S232" s="347"/>
      <c r="T232" s="347"/>
      <c r="U232" s="347"/>
      <c r="V232" s="347"/>
      <c r="W232" s="347"/>
      <c r="X232" s="347"/>
      <c r="Y232" s="347"/>
      <c r="Z232" s="347"/>
      <c r="AA232" s="347"/>
      <c r="AB232" s="347"/>
      <c r="AC232" s="347"/>
      <c r="AD232" s="347"/>
      <c r="AE232" s="347"/>
      <c r="AF232" s="347"/>
      <c r="AG232" s="347"/>
      <c r="AH232" s="347"/>
      <c r="AI232" s="347"/>
      <c r="AJ232" s="347"/>
      <c r="AK232" s="347"/>
      <c r="AL232" s="347"/>
      <c r="AM232" s="347"/>
      <c r="AN232" s="347">
        <v>40</v>
      </c>
      <c r="AO232" s="347">
        <v>40</v>
      </c>
      <c r="AP232" s="347">
        <v>40</v>
      </c>
      <c r="AQ232" s="347">
        <v>40</v>
      </c>
      <c r="AR232" s="347">
        <v>40</v>
      </c>
      <c r="AS232" s="347">
        <v>40</v>
      </c>
      <c r="AT232" s="347">
        <v>40</v>
      </c>
      <c r="AU232" s="347">
        <v>40</v>
      </c>
      <c r="AV232" s="347">
        <v>40</v>
      </c>
      <c r="AW232" s="347">
        <f t="shared" si="608"/>
        <v>360</v>
      </c>
      <c r="AX232" s="365">
        <f t="shared" si="609"/>
        <v>32.32116</v>
      </c>
      <c r="AY232" s="365">
        <f t="shared" si="610"/>
        <v>47.256</v>
      </c>
      <c r="AZ232" s="366">
        <v>286.15</v>
      </c>
      <c r="BA232" s="368">
        <v>19.86</v>
      </c>
      <c r="BB232" s="368">
        <v>35.02</v>
      </c>
      <c r="BC232" s="368">
        <v>37.26</v>
      </c>
      <c r="BE232" s="330">
        <f t="shared" si="589"/>
        <v>103014</v>
      </c>
      <c r="BF232" s="330">
        <f t="shared" si="590"/>
        <v>7149.6</v>
      </c>
      <c r="BG232" s="330">
        <f t="shared" si="591"/>
        <v>12607.2</v>
      </c>
      <c r="BH232" s="330">
        <f t="shared" si="592"/>
        <v>13413.6</v>
      </c>
      <c r="BJ232" s="370" cm="1">
        <f t="array" ref="BJ232:BM232">_xlfn.LET(_xlpm.data,$R232:$AV232,_xlpm.starts,{1,8,16,23},_xlpm.lengths,{7,7,8,9},_xlpm.arr,_xlfn.MAP(_xlpm.starts,_xlpm.lengths,_xlfn.LAMBDA(_xlpm.s,_xlpm.l,SUM(INDEX(_xlpm.data,,_xlfn.SEQUENCE(,_xlpm.l,_xlpm.s))))),ROUND(_xlpm.arr*$O232/1000,2))</f>
        <v>0</v>
      </c>
      <c r="BK232" s="330">
        <v>0</v>
      </c>
      <c r="BL232" s="330">
        <v>3.59</v>
      </c>
      <c r="BM232" s="330">
        <v>32.32</v>
      </c>
      <c r="BN232" s="258">
        <f t="shared" si="611"/>
        <v>35.91</v>
      </c>
      <c r="BO232" s="258">
        <v>0</v>
      </c>
      <c r="BP232" s="258">
        <v>0</v>
      </c>
      <c r="BQ232" s="258">
        <v>0</v>
      </c>
      <c r="BR232" s="258">
        <v>0</v>
      </c>
      <c r="BT232" s="258" cm="1">
        <f ca="1" t="array" ref="BT232:BW232">_xlfn.HSTACK(SUM(INDEX($R232:$AV232,1,1):INDEX($R232:$AV232,1,7)),SUM(INDEX($R232:$AV232,1,7):INDEX($R232:$AV232,1,13)),SUM(INDEX($R232:$AV232,1,16):INDEX($R232:$AV232,1,23)),SUM(INDEX($R232:$AV232,1,23):INDEX($R232:$AV232,1,31)))</f>
        <v>0</v>
      </c>
      <c r="BU232" s="258">
        <v>0</v>
      </c>
      <c r="BV232" s="258">
        <v>40</v>
      </c>
      <c r="BW232" s="258">
        <v>360</v>
      </c>
      <c r="BY232" s="258">
        <f t="shared" si="522"/>
        <v>0</v>
      </c>
      <c r="BZ232" s="258">
        <f t="shared" si="523"/>
        <v>0</v>
      </c>
      <c r="CA232" s="258">
        <f t="shared" si="524"/>
        <v>0</v>
      </c>
      <c r="CB232" s="258">
        <f t="shared" si="525"/>
        <v>360</v>
      </c>
      <c r="CE232" s="258">
        <f t="shared" si="612"/>
        <v>0</v>
      </c>
      <c r="CF232" s="258">
        <f t="shared" si="613"/>
        <v>0</v>
      </c>
      <c r="CG232" s="258">
        <f t="shared" si="614"/>
        <v>0</v>
      </c>
      <c r="CH232" s="258">
        <f t="shared" si="615"/>
        <v>32.32</v>
      </c>
      <c r="CI232" s="258">
        <f t="shared" si="616"/>
        <v>32.32</v>
      </c>
      <c r="CK232" s="258">
        <f t="shared" ref="CK232:CN232" si="624">IFERROR(ROUND(BY232*$P232,2),"")</f>
        <v>0</v>
      </c>
      <c r="CL232" s="258">
        <f t="shared" si="624"/>
        <v>0</v>
      </c>
      <c r="CM232" s="258">
        <f t="shared" si="624"/>
        <v>0</v>
      </c>
      <c r="CN232" s="258">
        <f t="shared" si="624"/>
        <v>472559</v>
      </c>
      <c r="CO232" s="258">
        <f t="shared" si="521"/>
        <v>472559</v>
      </c>
      <c r="CP232" s="258">
        <f>VLOOKUP(G232,[2]Sheet1!$C$3:$G$310,5,0)</f>
        <v>13700</v>
      </c>
      <c r="CQ232" s="258" t="e">
        <f>VLOOKUP(G232,[3]KCBB0101!$C$3:$F$691,4,0)</f>
        <v>#N/A</v>
      </c>
    </row>
    <row r="233" ht="17.6" spans="2:93">
      <c r="B233" s="334" t="str">
        <f>_xlfn.XLOOKUP(G233,销售需求表!A:A,销售需求表!C:C)</f>
        <v>北美</v>
      </c>
      <c r="C233" s="335" t="str">
        <f t="shared" si="619"/>
        <v>22.5</v>
      </c>
      <c r="D233" s="362" t="str">
        <f t="shared" si="606"/>
        <v>北美22.5寸</v>
      </c>
      <c r="E233" s="339" t="str">
        <f t="shared" si="547"/>
        <v>445/50R22.5-20PR(161L)-AD755</v>
      </c>
      <c r="F233" s="340" t="str">
        <f t="shared" si="578"/>
        <v>445/50R22.5-20PR-AD755</v>
      </c>
      <c r="G233" s="377" t="s">
        <v>580</v>
      </c>
      <c r="H233" s="334">
        <v>160</v>
      </c>
      <c r="I233" s="345"/>
      <c r="J233" s="346" t="str">
        <f t="shared" si="576"/>
        <v>445/50R22.5-AD755</v>
      </c>
      <c r="K233" s="347" t="str">
        <f>_xlfn.XLOOKUP(F233,投产规格!E:E,投产规格!D:D,"未投产")</f>
        <v>✔</v>
      </c>
      <c r="L233" s="347">
        <f>IFERROR(_xlfn.XLOOKUP(F233,硫化工艺!B:B,硫化工艺!C:C),"")</f>
        <v>58</v>
      </c>
      <c r="M233" s="349">
        <f t="shared" si="607"/>
        <v>0.908616187989556</v>
      </c>
      <c r="N233" s="347" t="str">
        <f t="shared" si="480"/>
        <v>22.5全钢</v>
      </c>
      <c r="O233" s="347">
        <f>IFERROR(_xlfn.XLOOKUP(F233,轮胎重量!J:J,轮胎重量!G:G),"")</f>
        <v>91.434</v>
      </c>
      <c r="P233" s="347">
        <f>IFERROR(_xlfn.XLOOKUP(G233,硫化工艺!I:I,硫化工艺!J:J),"")</f>
        <v>1358.789005</v>
      </c>
      <c r="Q233" s="347">
        <f t="shared" si="545"/>
        <v>0</v>
      </c>
      <c r="R233" s="347"/>
      <c r="S233" s="347"/>
      <c r="T233" s="347"/>
      <c r="U233" s="347"/>
      <c r="V233" s="347"/>
      <c r="W233" s="347"/>
      <c r="X233" s="347"/>
      <c r="Y233" s="347"/>
      <c r="Z233" s="347"/>
      <c r="AA233" s="347"/>
      <c r="AB233" s="347"/>
      <c r="AC233" s="347"/>
      <c r="AD233" s="347"/>
      <c r="AE233" s="347"/>
      <c r="AF233" s="347"/>
      <c r="AG233" s="347"/>
      <c r="AH233" s="347"/>
      <c r="AI233" s="347"/>
      <c r="AJ233" s="347"/>
      <c r="AK233" s="347"/>
      <c r="AL233" s="347"/>
      <c r="AM233" s="347"/>
      <c r="AN233" s="347"/>
      <c r="AO233" s="347"/>
      <c r="AP233" s="347"/>
      <c r="AQ233" s="347"/>
      <c r="AR233" s="347"/>
      <c r="AS233" s="347"/>
      <c r="AT233" s="347"/>
      <c r="AU233" s="347"/>
      <c r="AV233" s="347"/>
      <c r="AW233" s="347" t="str">
        <f t="shared" si="608"/>
        <v/>
      </c>
      <c r="AX233" s="365" t="str">
        <f t="shared" si="609"/>
        <v/>
      </c>
      <c r="AY233" s="365" t="str">
        <f t="shared" si="610"/>
        <v/>
      </c>
      <c r="AZ233" s="366">
        <v>277.61</v>
      </c>
      <c r="BA233" s="368">
        <v>18.99</v>
      </c>
      <c r="BB233" s="368">
        <v>33.91</v>
      </c>
      <c r="BC233" s="368">
        <v>36.31</v>
      </c>
      <c r="BE233" s="330" t="e">
        <f t="shared" si="589"/>
        <v>#VALUE!</v>
      </c>
      <c r="BF233" s="330" t="e">
        <f t="shared" si="590"/>
        <v>#VALUE!</v>
      </c>
      <c r="BG233" s="330" t="e">
        <f t="shared" si="591"/>
        <v>#VALUE!</v>
      </c>
      <c r="BH233" s="330" t="e">
        <f t="shared" si="592"/>
        <v>#VALUE!</v>
      </c>
      <c r="BJ233" s="370" cm="1">
        <f t="array" ref="BJ233:BM233">_xlfn.LET(_xlpm.data,$R233:$AV233,_xlpm.starts,{1,8,16,23},_xlpm.lengths,{7,7,8,9},_xlpm.arr,_xlfn.MAP(_xlpm.starts,_xlpm.lengths,_xlfn.LAMBDA(_xlpm.s,_xlpm.l,SUM(INDEX(_xlpm.data,,_xlfn.SEQUENCE(,_xlpm.l,_xlpm.s))))),ROUND(_xlpm.arr*$O233/1000,2))</f>
        <v>0</v>
      </c>
      <c r="BK233" s="330">
        <v>0</v>
      </c>
      <c r="BL233" s="330">
        <v>0</v>
      </c>
      <c r="BM233" s="330">
        <v>0</v>
      </c>
      <c r="BN233" s="258">
        <f t="shared" si="611"/>
        <v>0</v>
      </c>
      <c r="BO233" s="258">
        <v>33.4</v>
      </c>
      <c r="BP233" s="258">
        <v>33.4</v>
      </c>
      <c r="BQ233" s="258">
        <v>38.17</v>
      </c>
      <c r="BR233" s="258">
        <v>42.94</v>
      </c>
      <c r="BT233" s="258" cm="1">
        <f ca="1" t="array" ref="BT233:BW233">_xlfn.HSTACK(SUM(INDEX($R233:$AV233,1,1):INDEX($R233:$AV233,1,7)),SUM(INDEX($R233:$AV233,1,7):INDEX($R233:$AV233,1,13)),SUM(INDEX($R233:$AV233,1,16):INDEX($R233:$AV233,1,23)),SUM(INDEX($R233:$AV233,1,23):INDEX($R233:$AV233,1,31)))</f>
        <v>0</v>
      </c>
      <c r="BU233" s="258">
        <v>0</v>
      </c>
      <c r="BV233" s="258">
        <v>0</v>
      </c>
      <c r="BW233" s="258">
        <v>0</v>
      </c>
      <c r="BY233" s="258">
        <f t="shared" si="522"/>
        <v>0</v>
      </c>
      <c r="BZ233" s="258">
        <f t="shared" si="523"/>
        <v>0</v>
      </c>
      <c r="CA233" s="258">
        <f t="shared" si="524"/>
        <v>0</v>
      </c>
      <c r="CB233" s="258">
        <f t="shared" si="525"/>
        <v>0</v>
      </c>
      <c r="CE233" s="258">
        <f t="shared" si="612"/>
        <v>0</v>
      </c>
      <c r="CF233" s="258">
        <f t="shared" si="613"/>
        <v>0</v>
      </c>
      <c r="CG233" s="258">
        <f t="shared" si="614"/>
        <v>0</v>
      </c>
      <c r="CH233" s="258">
        <f t="shared" si="615"/>
        <v>0</v>
      </c>
      <c r="CI233" s="258">
        <f t="shared" si="616"/>
        <v>0</v>
      </c>
      <c r="CK233" s="258">
        <f t="shared" ref="CK233:CN233" si="625">IFERROR(ROUND(BY233*$P233,2),"")</f>
        <v>0</v>
      </c>
      <c r="CL233" s="258">
        <f t="shared" si="625"/>
        <v>0</v>
      </c>
      <c r="CM233" s="258">
        <f t="shared" si="625"/>
        <v>0</v>
      </c>
      <c r="CN233" s="258">
        <f t="shared" si="625"/>
        <v>0</v>
      </c>
      <c r="CO233" s="258">
        <f t="shared" si="521"/>
        <v>0</v>
      </c>
    </row>
    <row r="234" ht="17.6" spans="2:95">
      <c r="B234" s="334" t="str">
        <f>_xlfn.XLOOKUP(G234,销售需求表!A:A,销售需求表!C:C)</f>
        <v>北美</v>
      </c>
      <c r="C234" s="335" t="str">
        <f t="shared" si="619"/>
        <v>22.5</v>
      </c>
      <c r="D234" s="362" t="str">
        <f t="shared" si="606"/>
        <v>北美22.5寸</v>
      </c>
      <c r="E234" s="339" t="str">
        <f t="shared" si="547"/>
        <v>445/50R22.5-20PR(161L)-AD781</v>
      </c>
      <c r="F234" s="340" t="str">
        <f t="shared" si="578"/>
        <v>445/50R22.5-20PR-AD781</v>
      </c>
      <c r="G234" s="341" t="s">
        <v>581</v>
      </c>
      <c r="H234" s="334">
        <v>270</v>
      </c>
      <c r="I234" s="345">
        <v>2</v>
      </c>
      <c r="J234" s="346" t="str">
        <f t="shared" si="576"/>
        <v>445/50R22.5-AD781</v>
      </c>
      <c r="K234" s="347" t="str">
        <f>_xlfn.XLOOKUP(F234,投产规格!E:E,投产规格!D:D,"未投产")</f>
        <v>✔</v>
      </c>
      <c r="L234" s="347">
        <f>IFERROR(_xlfn.XLOOKUP(F234,硫化工艺!B:B,硫化工艺!C:C),"")</f>
        <v>58</v>
      </c>
      <c r="M234" s="349">
        <f t="shared" si="607"/>
        <v>0.908616187989556</v>
      </c>
      <c r="N234" s="347" t="str">
        <f t="shared" si="480"/>
        <v>22.5全钢</v>
      </c>
      <c r="O234" s="347">
        <f>IFERROR(_xlfn.XLOOKUP(F234,轮胎重量!J:J,轮胎重量!G:G),"")</f>
        <v>91.434</v>
      </c>
      <c r="P234" s="350">
        <f t="shared" si="621"/>
        <v>1270.9326</v>
      </c>
      <c r="Q234" s="347">
        <f t="shared" si="545"/>
        <v>45</v>
      </c>
      <c r="R234" s="347">
        <v>40</v>
      </c>
      <c r="S234" s="347">
        <v>40</v>
      </c>
      <c r="T234" s="347">
        <v>40</v>
      </c>
      <c r="U234" s="347">
        <v>40</v>
      </c>
      <c r="V234" s="347">
        <v>40</v>
      </c>
      <c r="W234" s="347">
        <v>40</v>
      </c>
      <c r="X234" s="347"/>
      <c r="Y234" s="347"/>
      <c r="Z234" s="347"/>
      <c r="AA234" s="347"/>
      <c r="AB234" s="347"/>
      <c r="AC234" s="347"/>
      <c r="AD234" s="347"/>
      <c r="AE234" s="347"/>
      <c r="AF234" s="347"/>
      <c r="AG234" s="347"/>
      <c r="AH234" s="347"/>
      <c r="AI234" s="347"/>
      <c r="AJ234" s="347"/>
      <c r="AK234" s="347"/>
      <c r="AL234" s="347"/>
      <c r="AM234" s="347"/>
      <c r="AN234" s="347"/>
      <c r="AO234" s="347"/>
      <c r="AP234" s="347"/>
      <c r="AQ234" s="347"/>
      <c r="AR234" s="347"/>
      <c r="AS234" s="347"/>
      <c r="AT234" s="347"/>
      <c r="AU234" s="347"/>
      <c r="AV234" s="347"/>
      <c r="AW234" s="347">
        <f t="shared" si="608"/>
        <v>240</v>
      </c>
      <c r="AX234" s="365">
        <f t="shared" si="609"/>
        <v>21.94416</v>
      </c>
      <c r="AY234" s="365">
        <f t="shared" si="610"/>
        <v>30.502</v>
      </c>
      <c r="AZ234" s="366">
        <v>284.32</v>
      </c>
      <c r="BA234" s="368">
        <v>19.78</v>
      </c>
      <c r="BB234" s="368">
        <v>34.87</v>
      </c>
      <c r="BC234" s="368">
        <v>37.18</v>
      </c>
      <c r="BE234" s="330">
        <f t="shared" si="589"/>
        <v>68236.8</v>
      </c>
      <c r="BF234" s="330">
        <f t="shared" si="590"/>
        <v>4747.2</v>
      </c>
      <c r="BG234" s="330">
        <f t="shared" si="591"/>
        <v>8368.8</v>
      </c>
      <c r="BH234" s="330">
        <f t="shared" si="592"/>
        <v>8923.2</v>
      </c>
      <c r="BJ234" s="370" cm="1">
        <f t="array" ref="BJ234:BM234">_xlfn.LET(_xlpm.data,$R234:$AV234,_xlpm.starts,{1,8,16,23},_xlpm.lengths,{7,7,8,9},_xlpm.arr,_xlfn.MAP(_xlpm.starts,_xlpm.lengths,_xlfn.LAMBDA(_xlpm.s,_xlpm.l,SUM(INDEX(_xlpm.data,,_xlfn.SEQUENCE(,_xlpm.l,_xlpm.s))))),ROUND(_xlpm.arr*$O234/1000,2))</f>
        <v>21.94</v>
      </c>
      <c r="BK234" s="330">
        <v>0</v>
      </c>
      <c r="BL234" s="330">
        <v>0</v>
      </c>
      <c r="BM234" s="330">
        <v>0</v>
      </c>
      <c r="BN234" s="258">
        <f t="shared" si="611"/>
        <v>21.94</v>
      </c>
      <c r="BO234" s="258">
        <v>15.99</v>
      </c>
      <c r="BP234" s="258">
        <v>15.99</v>
      </c>
      <c r="BQ234" s="258">
        <v>18.28</v>
      </c>
      <c r="BR234" s="258">
        <v>20.56</v>
      </c>
      <c r="BT234" s="258" cm="1">
        <f ca="1" t="array" ref="BT234:BW234">_xlfn.HSTACK(SUM(INDEX($R234:$AV234,1,1):INDEX($R234:$AV234,1,7)),SUM(INDEX($R234:$AV234,1,7):INDEX($R234:$AV234,1,13)),SUM(INDEX($R234:$AV234,1,16):INDEX($R234:$AV234,1,23)),SUM(INDEX($R234:$AV234,1,23):INDEX($R234:$AV234,1,31)))</f>
        <v>240</v>
      </c>
      <c r="BU234" s="258">
        <v>0</v>
      </c>
      <c r="BV234" s="258">
        <v>0</v>
      </c>
      <c r="BW234" s="258">
        <v>0</v>
      </c>
      <c r="BY234" s="258">
        <f t="shared" si="522"/>
        <v>240</v>
      </c>
      <c r="BZ234" s="258">
        <f t="shared" si="523"/>
        <v>0</v>
      </c>
      <c r="CA234" s="258">
        <f t="shared" si="524"/>
        <v>0</v>
      </c>
      <c r="CB234" s="258">
        <f t="shared" si="525"/>
        <v>0</v>
      </c>
      <c r="CE234" s="258">
        <f t="shared" si="612"/>
        <v>21.94</v>
      </c>
      <c r="CF234" s="258">
        <f t="shared" si="613"/>
        <v>0</v>
      </c>
      <c r="CG234" s="258">
        <f t="shared" si="614"/>
        <v>0</v>
      </c>
      <c r="CH234" s="258">
        <f t="shared" si="615"/>
        <v>0</v>
      </c>
      <c r="CI234" s="258">
        <f t="shared" si="616"/>
        <v>21.94</v>
      </c>
      <c r="CK234" s="258">
        <f t="shared" ref="CK234:CN234" si="626">IFERROR(ROUND(BY234*$P234,2),"")</f>
        <v>305023.82</v>
      </c>
      <c r="CL234" s="258">
        <f t="shared" si="626"/>
        <v>0</v>
      </c>
      <c r="CM234" s="258">
        <f t="shared" si="626"/>
        <v>0</v>
      </c>
      <c r="CN234" s="258">
        <f t="shared" si="626"/>
        <v>0</v>
      </c>
      <c r="CO234" s="258">
        <f t="shared" si="521"/>
        <v>305023.82</v>
      </c>
      <c r="CP234" s="258" t="e">
        <f>VLOOKUP(G234,[2]Sheet1!$C$3:$G$310,5,0)</f>
        <v>#N/A</v>
      </c>
      <c r="CQ234" s="258">
        <f>VLOOKUP(G234,[3]KCBB0101!$C$3:$F$691,4,0)</f>
        <v>6000</v>
      </c>
    </row>
    <row r="235" ht="17.6" spans="2:95">
      <c r="B235" s="334" t="str">
        <f>_xlfn.XLOOKUP(G235,销售需求表!A:A,销售需求表!C:C)</f>
        <v>北美</v>
      </c>
      <c r="C235" s="335" t="str">
        <f t="shared" si="619"/>
        <v>22.5</v>
      </c>
      <c r="D235" s="362" t="str">
        <f t="shared" si="606"/>
        <v>北美22.5寸</v>
      </c>
      <c r="E235" s="339" t="str">
        <f t="shared" si="547"/>
        <v>445/50R22.5-20PR(161L)-AT566</v>
      </c>
      <c r="F235" s="340" t="str">
        <f t="shared" si="578"/>
        <v>445/50R22.5-20PR-AT566</v>
      </c>
      <c r="G235" s="341" t="s">
        <v>582</v>
      </c>
      <c r="H235" s="334">
        <v>460</v>
      </c>
      <c r="I235" s="345">
        <v>2</v>
      </c>
      <c r="J235" s="346" t="str">
        <f t="shared" si="576"/>
        <v>445/50R22.5-AT566</v>
      </c>
      <c r="K235" s="347" t="str">
        <f>_xlfn.XLOOKUP(F235,投产规格!E:E,投产规格!D:D,"未投产")</f>
        <v>✔</v>
      </c>
      <c r="L235" s="347">
        <f>IFERROR(_xlfn.XLOOKUP(F235,硫化工艺!B:B,硫化工艺!C:C),"")</f>
        <v>55</v>
      </c>
      <c r="M235" s="349">
        <f t="shared" si="607"/>
        <v>0.904109589041096</v>
      </c>
      <c r="N235" s="347" t="str">
        <f t="shared" si="480"/>
        <v>22.5全钢</v>
      </c>
      <c r="O235" s="347">
        <f>IFERROR(_xlfn.XLOOKUP(F235,轮胎重量!J:J,轮胎重量!G:G),"")</f>
        <v>75.558</v>
      </c>
      <c r="P235" s="350">
        <f t="shared" si="621"/>
        <v>1050.2562</v>
      </c>
      <c r="Q235" s="347">
        <f t="shared" si="545"/>
        <v>47</v>
      </c>
      <c r="R235" s="347">
        <v>40</v>
      </c>
      <c r="S235" s="347">
        <v>40</v>
      </c>
      <c r="T235" s="347">
        <v>40</v>
      </c>
      <c r="U235" s="347">
        <v>40</v>
      </c>
      <c r="V235" s="347">
        <v>40</v>
      </c>
      <c r="W235" s="347">
        <v>40</v>
      </c>
      <c r="X235" s="347"/>
      <c r="Y235" s="347"/>
      <c r="Z235" s="347"/>
      <c r="AA235" s="347"/>
      <c r="AB235" s="347"/>
      <c r="AC235" s="347"/>
      <c r="AD235" s="347"/>
      <c r="AE235" s="347"/>
      <c r="AF235" s="347"/>
      <c r="AG235" s="347"/>
      <c r="AH235" s="347"/>
      <c r="AI235" s="347"/>
      <c r="AJ235" s="347"/>
      <c r="AK235" s="347"/>
      <c r="AL235" s="347"/>
      <c r="AM235" s="347"/>
      <c r="AN235" s="347"/>
      <c r="AO235" s="347"/>
      <c r="AP235" s="347"/>
      <c r="AQ235" s="347"/>
      <c r="AR235" s="347"/>
      <c r="AS235" s="347"/>
      <c r="AT235" s="347"/>
      <c r="AU235" s="347"/>
      <c r="AV235" s="347"/>
      <c r="AW235" s="347">
        <f t="shared" si="608"/>
        <v>240</v>
      </c>
      <c r="AX235" s="365">
        <f t="shared" si="609"/>
        <v>18.13392</v>
      </c>
      <c r="AY235" s="365">
        <f t="shared" si="610"/>
        <v>25.206</v>
      </c>
      <c r="AZ235" s="366">
        <v>277.96</v>
      </c>
      <c r="BA235" s="368">
        <v>20.24</v>
      </c>
      <c r="BB235" s="368">
        <v>35.05</v>
      </c>
      <c r="BC235" s="368">
        <v>38.72</v>
      </c>
      <c r="BE235" s="330">
        <f t="shared" si="589"/>
        <v>66710.4</v>
      </c>
      <c r="BF235" s="330">
        <f t="shared" si="590"/>
        <v>4857.6</v>
      </c>
      <c r="BG235" s="330">
        <f t="shared" si="591"/>
        <v>8412</v>
      </c>
      <c r="BH235" s="330">
        <f t="shared" si="592"/>
        <v>9292.8</v>
      </c>
      <c r="BJ235" s="370" cm="1">
        <f t="array" ref="BJ235:BM235">_xlfn.LET(_xlpm.data,$R235:$AV235,_xlpm.starts,{1,8,16,23},_xlpm.lengths,{7,7,8,9},_xlpm.arr,_xlfn.MAP(_xlpm.starts,_xlpm.lengths,_xlfn.LAMBDA(_xlpm.s,_xlpm.l,SUM(INDEX(_xlpm.data,,_xlfn.SEQUENCE(,_xlpm.l,_xlpm.s))))),ROUND(_xlpm.arr*$O235/1000,2))</f>
        <v>18.13</v>
      </c>
      <c r="BK235" s="330">
        <v>0</v>
      </c>
      <c r="BL235" s="330">
        <v>0</v>
      </c>
      <c r="BM235" s="330">
        <v>0</v>
      </c>
      <c r="BN235" s="258">
        <f t="shared" si="611"/>
        <v>18.13</v>
      </c>
      <c r="BO235" s="258">
        <v>33.77</v>
      </c>
      <c r="BP235" s="258">
        <v>33.77</v>
      </c>
      <c r="BQ235" s="258">
        <v>38.59</v>
      </c>
      <c r="BR235" s="258">
        <v>43.42</v>
      </c>
      <c r="BT235" s="258" cm="1">
        <f ca="1" t="array" ref="BT235:BW235">_xlfn.HSTACK(SUM(INDEX($R235:$AV235,1,1):INDEX($R235:$AV235,1,7)),SUM(INDEX($R235:$AV235,1,7):INDEX($R235:$AV235,1,13)),SUM(INDEX($R235:$AV235,1,16):INDEX($R235:$AV235,1,23)),SUM(INDEX($R235:$AV235,1,23):INDEX($R235:$AV235,1,31)))</f>
        <v>240</v>
      </c>
      <c r="BU235" s="258">
        <v>0</v>
      </c>
      <c r="BV235" s="258">
        <v>0</v>
      </c>
      <c r="BW235" s="258">
        <v>0</v>
      </c>
      <c r="BY235" s="258">
        <f t="shared" si="522"/>
        <v>240</v>
      </c>
      <c r="BZ235" s="258">
        <f t="shared" si="523"/>
        <v>0</v>
      </c>
      <c r="CA235" s="258">
        <f t="shared" si="524"/>
        <v>0</v>
      </c>
      <c r="CB235" s="258">
        <f t="shared" si="525"/>
        <v>0</v>
      </c>
      <c r="CE235" s="258">
        <f t="shared" si="612"/>
        <v>18.13</v>
      </c>
      <c r="CF235" s="258">
        <f t="shared" si="613"/>
        <v>0</v>
      </c>
      <c r="CG235" s="258">
        <f t="shared" si="614"/>
        <v>0</v>
      </c>
      <c r="CH235" s="258">
        <f t="shared" si="615"/>
        <v>0</v>
      </c>
      <c r="CI235" s="258">
        <f t="shared" si="616"/>
        <v>18.13</v>
      </c>
      <c r="CK235" s="258">
        <f t="shared" ref="CK235:CN235" si="627">IFERROR(ROUND(BY235*$P235,2),"")</f>
        <v>252061.49</v>
      </c>
      <c r="CL235" s="258">
        <f t="shared" si="627"/>
        <v>0</v>
      </c>
      <c r="CM235" s="258">
        <f t="shared" si="627"/>
        <v>0</v>
      </c>
      <c r="CN235" s="258">
        <f t="shared" si="627"/>
        <v>0</v>
      </c>
      <c r="CO235" s="258">
        <f t="shared" si="521"/>
        <v>252061.49</v>
      </c>
      <c r="CP235" s="258" t="e">
        <f>VLOOKUP(G235,[2]Sheet1!$C$3:$G$310,5,0)</f>
        <v>#N/A</v>
      </c>
      <c r="CQ235" s="258">
        <f>VLOOKUP(G235,[3]KCBB0101!$C$3:$F$691,4,0)</f>
        <v>6000</v>
      </c>
    </row>
    <row r="236" ht="17.6" spans="2:95">
      <c r="B236" s="334" t="str">
        <f>_xlfn.XLOOKUP(G236,销售需求表!A:A,销售需求表!C:C)</f>
        <v>北美</v>
      </c>
      <c r="C236" s="335" t="str">
        <f t="shared" si="619"/>
        <v>22.5</v>
      </c>
      <c r="D236" s="362" t="str">
        <f t="shared" si="606"/>
        <v>北美22.5寸</v>
      </c>
      <c r="E236" s="339" t="str">
        <f t="shared" si="547"/>
        <v>445/50R22.5-20PR(161L)-AT566</v>
      </c>
      <c r="F236" s="340" t="str">
        <f t="shared" si="578"/>
        <v>445/50R22.5-20PR-AT566</v>
      </c>
      <c r="G236" s="341" t="s">
        <v>583</v>
      </c>
      <c r="H236" s="334">
        <v>550</v>
      </c>
      <c r="I236" s="345">
        <v>2</v>
      </c>
      <c r="J236" s="346" t="str">
        <f t="shared" si="576"/>
        <v>445/50R22.5-AT566</v>
      </c>
      <c r="K236" s="347" t="str">
        <f>_xlfn.XLOOKUP(F236,投产规格!E:E,投产规格!D:D,"未投产")</f>
        <v>✔</v>
      </c>
      <c r="L236" s="347">
        <f>IFERROR(_xlfn.XLOOKUP(F236,硫化工艺!B:B,硫化工艺!C:C),"")</f>
        <v>55</v>
      </c>
      <c r="M236" s="349">
        <f t="shared" si="607"/>
        <v>0.904109589041096</v>
      </c>
      <c r="N236" s="347" t="str">
        <f t="shared" si="480"/>
        <v>22.5全钢</v>
      </c>
      <c r="O236" s="347">
        <f>IFERROR(_xlfn.XLOOKUP(F236,轮胎重量!J:J,轮胎重量!G:G),"")</f>
        <v>75.558</v>
      </c>
      <c r="P236" s="347">
        <f>IFERROR(_xlfn.XLOOKUP(G236,硫化工艺!I:I,硫化工艺!J:J),"")</f>
        <v>1140.466964</v>
      </c>
      <c r="Q236" s="347">
        <f t="shared" si="545"/>
        <v>47</v>
      </c>
      <c r="R236" s="347">
        <v>40</v>
      </c>
      <c r="S236" s="347">
        <v>40</v>
      </c>
      <c r="T236" s="347">
        <v>40</v>
      </c>
      <c r="U236" s="347">
        <v>40</v>
      </c>
      <c r="V236" s="347">
        <v>40</v>
      </c>
      <c r="W236" s="347">
        <v>40</v>
      </c>
      <c r="X236" s="347"/>
      <c r="Y236" s="347"/>
      <c r="Z236" s="347"/>
      <c r="AA236" s="347"/>
      <c r="AB236" s="347"/>
      <c r="AC236" s="347"/>
      <c r="AD236" s="347"/>
      <c r="AE236" s="347"/>
      <c r="AF236" s="347"/>
      <c r="AG236" s="347"/>
      <c r="AH236" s="347"/>
      <c r="AI236" s="347"/>
      <c r="AJ236" s="347"/>
      <c r="AK236" s="347"/>
      <c r="AL236" s="347"/>
      <c r="AM236" s="347"/>
      <c r="AN236" s="347"/>
      <c r="AO236" s="347"/>
      <c r="AP236" s="347"/>
      <c r="AQ236" s="347"/>
      <c r="AR236" s="347"/>
      <c r="AS236" s="347"/>
      <c r="AT236" s="347"/>
      <c r="AU236" s="347"/>
      <c r="AV236" s="347"/>
      <c r="AW236" s="347">
        <f t="shared" si="608"/>
        <v>240</v>
      </c>
      <c r="AX236" s="365">
        <f t="shared" si="609"/>
        <v>18.13392</v>
      </c>
      <c r="AY236" s="365">
        <f t="shared" si="610"/>
        <v>27.371</v>
      </c>
      <c r="AZ236" s="366">
        <v>286.13</v>
      </c>
      <c r="BA236" s="368">
        <v>20.47</v>
      </c>
      <c r="BB236" s="368">
        <v>35.43</v>
      </c>
      <c r="BC236" s="368">
        <v>38.84</v>
      </c>
      <c r="BE236" s="330">
        <f t="shared" si="589"/>
        <v>68671.2</v>
      </c>
      <c r="BF236" s="330">
        <f t="shared" si="590"/>
        <v>4912.8</v>
      </c>
      <c r="BG236" s="330">
        <f t="shared" si="591"/>
        <v>8503.2</v>
      </c>
      <c r="BH236" s="330">
        <f t="shared" si="592"/>
        <v>9321.6</v>
      </c>
      <c r="BJ236" s="370" cm="1">
        <f t="array" ref="BJ236:BM236">_xlfn.LET(_xlpm.data,$R236:$AV236,_xlpm.starts,{1,8,16,23},_xlpm.lengths,{7,7,8,9},_xlpm.arr,_xlfn.MAP(_xlpm.starts,_xlpm.lengths,_xlfn.LAMBDA(_xlpm.s,_xlpm.l,SUM(INDEX(_xlpm.data,,_xlfn.SEQUENCE(,_xlpm.l,_xlpm.s))))),ROUND(_xlpm.arr*$O236/1000,2))</f>
        <v>18.13</v>
      </c>
      <c r="BK236" s="330">
        <v>0</v>
      </c>
      <c r="BL236" s="330">
        <v>0</v>
      </c>
      <c r="BM236" s="330">
        <v>0</v>
      </c>
      <c r="BN236" s="258">
        <f t="shared" si="611"/>
        <v>18.13</v>
      </c>
      <c r="BO236" s="258">
        <v>0</v>
      </c>
      <c r="BP236" s="258">
        <v>0</v>
      </c>
      <c r="BQ236" s="258">
        <v>0</v>
      </c>
      <c r="BR236" s="258">
        <v>0</v>
      </c>
      <c r="BT236" s="258" cm="1">
        <f ca="1" t="array" ref="BT236:BW236">_xlfn.HSTACK(SUM(INDEX($R236:$AV236,1,1):INDEX($R236:$AV236,1,7)),SUM(INDEX($R236:$AV236,1,7):INDEX($R236:$AV236,1,13)),SUM(INDEX($R236:$AV236,1,16):INDEX($R236:$AV236,1,23)),SUM(INDEX($R236:$AV236,1,23):INDEX($R236:$AV236,1,31)))</f>
        <v>240</v>
      </c>
      <c r="BU236" s="258">
        <v>0</v>
      </c>
      <c r="BV236" s="258">
        <v>0</v>
      </c>
      <c r="BW236" s="258">
        <v>0</v>
      </c>
      <c r="BY236" s="258">
        <f t="shared" si="522"/>
        <v>240</v>
      </c>
      <c r="BZ236" s="258">
        <f t="shared" si="523"/>
        <v>0</v>
      </c>
      <c r="CA236" s="258">
        <f t="shared" si="524"/>
        <v>0</v>
      </c>
      <c r="CB236" s="258">
        <f t="shared" si="525"/>
        <v>0</v>
      </c>
      <c r="CE236" s="258">
        <f t="shared" si="612"/>
        <v>18.13</v>
      </c>
      <c r="CF236" s="258">
        <f t="shared" si="613"/>
        <v>0</v>
      </c>
      <c r="CG236" s="258">
        <f t="shared" si="614"/>
        <v>0</v>
      </c>
      <c r="CH236" s="258">
        <f t="shared" si="615"/>
        <v>0</v>
      </c>
      <c r="CI236" s="258">
        <f t="shared" si="616"/>
        <v>18.13</v>
      </c>
      <c r="CK236" s="258">
        <f t="shared" ref="CK236:CN236" si="628">IFERROR(ROUND(BY236*$P236,2),"")</f>
        <v>273712.07</v>
      </c>
      <c r="CL236" s="258">
        <f t="shared" si="628"/>
        <v>0</v>
      </c>
      <c r="CM236" s="258">
        <f t="shared" si="628"/>
        <v>0</v>
      </c>
      <c r="CN236" s="258">
        <f t="shared" si="628"/>
        <v>0</v>
      </c>
      <c r="CO236" s="258">
        <f t="shared" si="521"/>
        <v>273712.07</v>
      </c>
      <c r="CP236" s="258" t="e">
        <f>VLOOKUP(G236,[2]Sheet1!$C$3:$G$310,5,0)</f>
        <v>#N/A</v>
      </c>
      <c r="CQ236" s="258">
        <f>VLOOKUP(G236,[3]KCBB0101!$C$3:$F$691,4,0)</f>
        <v>9000</v>
      </c>
    </row>
    <row r="237" ht="17.6" spans="2:93">
      <c r="B237" s="334" t="str">
        <f>_xlfn.XLOOKUP(G237,销售需求表!A:A,销售需求表!C:C)</f>
        <v>北美</v>
      </c>
      <c r="C237" s="335" t="str">
        <f t="shared" si="619"/>
        <v>22.5</v>
      </c>
      <c r="D237" s="362" t="str">
        <f t="shared" si="606"/>
        <v>北美22.5寸</v>
      </c>
      <c r="E237" s="339" t="str">
        <f t="shared" si="547"/>
        <v>445/50R22.5-20PR(161L)-AT570</v>
      </c>
      <c r="F237" s="340" t="str">
        <f t="shared" si="578"/>
        <v>445/50R22.5-20PR-AT570</v>
      </c>
      <c r="G237" s="377" t="s">
        <v>584</v>
      </c>
      <c r="H237" s="334">
        <v>180</v>
      </c>
      <c r="I237" s="345"/>
      <c r="J237" s="346" t="str">
        <f t="shared" si="576"/>
        <v>445/50R22.5-AT570</v>
      </c>
      <c r="K237" s="347" t="str">
        <f>_xlfn.XLOOKUP(F237,投产规格!E:E,投产规格!D:D,"未投产")</f>
        <v>✔</v>
      </c>
      <c r="L237" s="347">
        <f>IFERROR(_xlfn.XLOOKUP(F237,硫化工艺!B:B,硫化工艺!C:C),"")</f>
        <v>55</v>
      </c>
      <c r="M237" s="349">
        <f t="shared" si="607"/>
        <v>0.904109589041096</v>
      </c>
      <c r="N237" s="347" t="str">
        <f t="shared" si="480"/>
        <v>22.5全钢</v>
      </c>
      <c r="O237" s="347">
        <f>IFERROR(_xlfn.XLOOKUP(F237,轮胎重量!J:J,轮胎重量!G:G),"")</f>
        <v>75.558</v>
      </c>
      <c r="P237" s="347">
        <f>IFERROR(_xlfn.XLOOKUP(G237,硫化工艺!I:I,硫化工艺!J:J),"")</f>
        <v>1124.107796</v>
      </c>
      <c r="Q237" s="347">
        <f t="shared" si="545"/>
        <v>0</v>
      </c>
      <c r="R237" s="347"/>
      <c r="S237" s="347"/>
      <c r="T237" s="347"/>
      <c r="U237" s="347"/>
      <c r="V237" s="347"/>
      <c r="W237" s="347"/>
      <c r="X237" s="347"/>
      <c r="Y237" s="347"/>
      <c r="Z237" s="347"/>
      <c r="AA237" s="347"/>
      <c r="AB237" s="347"/>
      <c r="AC237" s="347"/>
      <c r="AD237" s="347"/>
      <c r="AE237" s="347"/>
      <c r="AF237" s="347"/>
      <c r="AG237" s="347"/>
      <c r="AH237" s="347"/>
      <c r="AI237" s="347"/>
      <c r="AJ237" s="347"/>
      <c r="AK237" s="347"/>
      <c r="AL237" s="347"/>
      <c r="AM237" s="347"/>
      <c r="AN237" s="347"/>
      <c r="AO237" s="347"/>
      <c r="AP237" s="347"/>
      <c r="AQ237" s="347"/>
      <c r="AR237" s="347"/>
      <c r="AS237" s="347"/>
      <c r="AT237" s="347"/>
      <c r="AU237" s="347"/>
      <c r="AV237" s="347"/>
      <c r="AW237" s="347" t="str">
        <f t="shared" si="608"/>
        <v/>
      </c>
      <c r="AX237" s="365" t="str">
        <f t="shared" si="609"/>
        <v/>
      </c>
      <c r="AY237" s="365" t="str">
        <f t="shared" si="610"/>
        <v/>
      </c>
      <c r="AZ237" s="366">
        <v>271.35</v>
      </c>
      <c r="BA237" s="368">
        <v>19.07</v>
      </c>
      <c r="BB237" s="368">
        <v>34.07</v>
      </c>
      <c r="BC237" s="368">
        <v>36.24</v>
      </c>
      <c r="BE237" s="330" t="e">
        <f t="shared" si="589"/>
        <v>#VALUE!</v>
      </c>
      <c r="BF237" s="330" t="e">
        <f t="shared" si="590"/>
        <v>#VALUE!</v>
      </c>
      <c r="BG237" s="330" t="e">
        <f t="shared" si="591"/>
        <v>#VALUE!</v>
      </c>
      <c r="BH237" s="330" t="e">
        <f t="shared" si="592"/>
        <v>#VALUE!</v>
      </c>
      <c r="BJ237" s="370" cm="1">
        <f t="array" ref="BJ237:BM237">_xlfn.LET(_xlpm.data,$R237:$AV237,_xlpm.starts,{1,8,16,23},_xlpm.lengths,{7,7,8,9},_xlpm.arr,_xlfn.MAP(_xlpm.starts,_xlpm.lengths,_xlfn.LAMBDA(_xlpm.s,_xlpm.l,SUM(INDEX(_xlpm.data,,_xlfn.SEQUENCE(,_xlpm.l,_xlpm.s))))),ROUND(_xlpm.arr*$O237/1000,2))</f>
        <v>0</v>
      </c>
      <c r="BK237" s="330">
        <v>0</v>
      </c>
      <c r="BL237" s="330">
        <v>0</v>
      </c>
      <c r="BM237" s="330">
        <v>0</v>
      </c>
      <c r="BN237" s="258">
        <f t="shared" si="611"/>
        <v>0</v>
      </c>
      <c r="BO237" s="258">
        <v>0</v>
      </c>
      <c r="BP237" s="258">
        <v>0</v>
      </c>
      <c r="BQ237" s="258">
        <v>0</v>
      </c>
      <c r="BR237" s="258">
        <v>0</v>
      </c>
      <c r="BS237" s="115">
        <f t="shared" ref="BS237:BS240" si="629">AC237*O237/1000</f>
        <v>0</v>
      </c>
      <c r="BT237" s="258" cm="1">
        <f ca="1" t="array" ref="BT237:BW237">_xlfn.HSTACK(SUM(INDEX($R237:$AV237,1,1):INDEX($R237:$AV237,1,7)),SUM(INDEX($R237:$AV237,1,7):INDEX($R237:$AV237,1,13)),SUM(INDEX($R237:$AV237,1,16):INDEX($R237:$AV237,1,23)),SUM(INDEX($R237:$AV237,1,23):INDEX($R237:$AV237,1,31)))</f>
        <v>0</v>
      </c>
      <c r="BU237" s="258">
        <v>0</v>
      </c>
      <c r="BV237" s="258">
        <v>0</v>
      </c>
      <c r="BW237" s="258">
        <v>0</v>
      </c>
      <c r="BY237" s="258">
        <f t="shared" si="522"/>
        <v>0</v>
      </c>
      <c r="BZ237" s="258">
        <f t="shared" si="523"/>
        <v>0</v>
      </c>
      <c r="CA237" s="258">
        <f t="shared" si="524"/>
        <v>0</v>
      </c>
      <c r="CB237" s="258">
        <f t="shared" si="525"/>
        <v>0</v>
      </c>
      <c r="CE237" s="258">
        <f t="shared" si="612"/>
        <v>0</v>
      </c>
      <c r="CF237" s="258">
        <f t="shared" si="613"/>
        <v>0</v>
      </c>
      <c r="CG237" s="258">
        <f t="shared" si="614"/>
        <v>0</v>
      </c>
      <c r="CH237" s="258">
        <f t="shared" si="615"/>
        <v>0</v>
      </c>
      <c r="CI237" s="258">
        <f t="shared" si="616"/>
        <v>0</v>
      </c>
      <c r="CK237" s="258">
        <f t="shared" ref="CK237:CN237" si="630">IFERROR(ROUND(BY237*$P237,2),"")</f>
        <v>0</v>
      </c>
      <c r="CL237" s="258">
        <f t="shared" si="630"/>
        <v>0</v>
      </c>
      <c r="CM237" s="258">
        <f t="shared" si="630"/>
        <v>0</v>
      </c>
      <c r="CN237" s="258">
        <f t="shared" si="630"/>
        <v>0</v>
      </c>
      <c r="CO237" s="258">
        <f t="shared" si="521"/>
        <v>0</v>
      </c>
    </row>
    <row r="238" s="258" customFormat="1" ht="17.6" spans="1:93">
      <c r="A238" s="330"/>
      <c r="B238" s="334" t="str">
        <f>_xlfn.XLOOKUP(G238,销售需求表!A:A,销售需求表!C:C)</f>
        <v>北美</v>
      </c>
      <c r="C238" s="335" t="str">
        <f t="shared" si="619"/>
        <v>22.5</v>
      </c>
      <c r="D238" s="362" t="str">
        <f t="shared" si="606"/>
        <v>北美22.5寸</v>
      </c>
      <c r="E238" s="339" t="str">
        <f t="shared" si="547"/>
        <v>445/50R22.5-20PR(161L)-HT2 Plus</v>
      </c>
      <c r="F238" s="340" t="str">
        <f t="shared" si="578"/>
        <v>445/50R22.5-20PR-HT2 Plus</v>
      </c>
      <c r="G238" s="377" t="s">
        <v>585</v>
      </c>
      <c r="H238" s="334">
        <v>200</v>
      </c>
      <c r="I238" s="345"/>
      <c r="J238" s="346" t="str">
        <f t="shared" si="576"/>
        <v>445/50R22.5-HT2 Plus</v>
      </c>
      <c r="K238" s="347" t="str">
        <f>_xlfn.XLOOKUP(F238,投产规格!E:E,投产规格!D:D,"未投产")</f>
        <v>✔</v>
      </c>
      <c r="L238" s="347">
        <f>IFERROR(_xlfn.XLOOKUP(F238,硫化工艺!B:B,硫化工艺!C:C),"")</f>
        <v>55</v>
      </c>
      <c r="M238" s="349">
        <f t="shared" si="607"/>
        <v>0.904109589041096</v>
      </c>
      <c r="N238" s="347" t="str">
        <f t="shared" si="480"/>
        <v>22.5全钢</v>
      </c>
      <c r="O238" s="347">
        <f>IFERROR(_xlfn.XLOOKUP(F238,轮胎重量!J:J,轮胎重量!G:G),"")</f>
        <v>75.558</v>
      </c>
      <c r="P238" s="347">
        <f>IFERROR(_xlfn.XLOOKUP(G238,硫化工艺!I:I,硫化工艺!J:J),"")</f>
        <v>1140.466964</v>
      </c>
      <c r="Q238" s="347">
        <f t="shared" si="545"/>
        <v>0</v>
      </c>
      <c r="R238" s="347"/>
      <c r="S238" s="347"/>
      <c r="T238" s="347"/>
      <c r="U238" s="347"/>
      <c r="V238" s="347"/>
      <c r="W238" s="347"/>
      <c r="X238" s="347"/>
      <c r="Y238" s="347"/>
      <c r="Z238" s="347"/>
      <c r="AA238" s="347"/>
      <c r="AB238" s="347"/>
      <c r="AC238" s="347"/>
      <c r="AD238" s="347"/>
      <c r="AE238" s="347"/>
      <c r="AF238" s="347"/>
      <c r="AG238" s="347"/>
      <c r="AH238" s="347"/>
      <c r="AI238" s="347"/>
      <c r="AJ238" s="347"/>
      <c r="AK238" s="347"/>
      <c r="AL238" s="347"/>
      <c r="AM238" s="347"/>
      <c r="AN238" s="347"/>
      <c r="AO238" s="347"/>
      <c r="AP238" s="347"/>
      <c r="AQ238" s="347"/>
      <c r="AR238" s="347"/>
      <c r="AS238" s="347"/>
      <c r="AT238" s="347"/>
      <c r="AU238" s="347"/>
      <c r="AV238" s="347"/>
      <c r="AW238" s="347" t="str">
        <f t="shared" si="608"/>
        <v/>
      </c>
      <c r="AX238" s="365" t="str">
        <f t="shared" si="609"/>
        <v/>
      </c>
      <c r="AY238" s="365" t="str">
        <f t="shared" si="610"/>
        <v/>
      </c>
      <c r="AZ238" s="366">
        <v>271.35</v>
      </c>
      <c r="BA238" s="368">
        <v>19.07</v>
      </c>
      <c r="BB238" s="368">
        <v>34.07</v>
      </c>
      <c r="BC238" s="368">
        <v>36.24</v>
      </c>
      <c r="BD238" s="330"/>
      <c r="BE238" s="330" t="e">
        <f t="shared" si="589"/>
        <v>#VALUE!</v>
      </c>
      <c r="BF238" s="330" t="e">
        <f t="shared" si="590"/>
        <v>#VALUE!</v>
      </c>
      <c r="BG238" s="330" t="e">
        <f t="shared" si="591"/>
        <v>#VALUE!</v>
      </c>
      <c r="BH238" s="330" t="e">
        <f t="shared" si="592"/>
        <v>#VALUE!</v>
      </c>
      <c r="BI238" s="330"/>
      <c r="BJ238" s="370" cm="1">
        <f t="array" ref="BJ238:BM238">_xlfn.LET(_xlpm.data,$R238:$AV238,_xlpm.starts,{1,8,16,23},_xlpm.lengths,{7,7,8,9},_xlpm.arr,_xlfn.MAP(_xlpm.starts,_xlpm.lengths,_xlfn.LAMBDA(_xlpm.s,_xlpm.l,SUM(INDEX(_xlpm.data,,_xlfn.SEQUENCE(,_xlpm.l,_xlpm.s))))),ROUND(_xlpm.arr*$O238/1000,2))</f>
        <v>0</v>
      </c>
      <c r="BK238" s="330">
        <v>0</v>
      </c>
      <c r="BL238" s="330">
        <v>0</v>
      </c>
      <c r="BM238" s="330">
        <v>0</v>
      </c>
      <c r="BN238" s="258">
        <f t="shared" si="611"/>
        <v>0</v>
      </c>
      <c r="BO238" s="258">
        <v>0</v>
      </c>
      <c r="BP238" s="258">
        <v>0</v>
      </c>
      <c r="BQ238" s="258">
        <v>0</v>
      </c>
      <c r="BR238" s="258">
        <v>0</v>
      </c>
      <c r="BS238" s="115"/>
      <c r="BT238" s="258" cm="1">
        <f ca="1" t="array" ref="BT238:BW238">_xlfn.HSTACK(SUM(INDEX($R238:$AV238,1,1):INDEX($R238:$AV238,1,7)),SUM(INDEX($R238:$AV238,1,7):INDEX($R238:$AV238,1,13)),SUM(INDEX($R238:$AV238,1,16):INDEX($R238:$AV238,1,23)),SUM(INDEX($R238:$AV238,1,23):INDEX($R238:$AV238,1,31)))</f>
        <v>0</v>
      </c>
      <c r="BU238" s="258">
        <v>0</v>
      </c>
      <c r="BV238" s="258">
        <v>0</v>
      </c>
      <c r="BW238" s="258">
        <v>0</v>
      </c>
      <c r="BY238" s="258">
        <f t="shared" si="522"/>
        <v>0</v>
      </c>
      <c r="BZ238" s="258">
        <f t="shared" si="523"/>
        <v>0</v>
      </c>
      <c r="CA238" s="258">
        <f t="shared" si="524"/>
        <v>0</v>
      </c>
      <c r="CB238" s="258">
        <f t="shared" si="525"/>
        <v>0</v>
      </c>
      <c r="CD238" s="113"/>
      <c r="CE238" s="258">
        <f t="shared" si="612"/>
        <v>0</v>
      </c>
      <c r="CF238" s="258">
        <f t="shared" si="613"/>
        <v>0</v>
      </c>
      <c r="CG238" s="258">
        <f t="shared" si="614"/>
        <v>0</v>
      </c>
      <c r="CH238" s="258">
        <f t="shared" si="615"/>
        <v>0</v>
      </c>
      <c r="CI238" s="258">
        <f t="shared" si="616"/>
        <v>0</v>
      </c>
      <c r="CJ238" s="113"/>
      <c r="CK238" s="258">
        <f t="shared" ref="CK238:CN238" si="631">IFERROR(ROUND(BY238*$P238,2),"")</f>
        <v>0</v>
      </c>
      <c r="CL238" s="258">
        <f t="shared" si="631"/>
        <v>0</v>
      </c>
      <c r="CM238" s="258">
        <f t="shared" si="631"/>
        <v>0</v>
      </c>
      <c r="CN238" s="258">
        <f t="shared" si="631"/>
        <v>0</v>
      </c>
      <c r="CO238" s="258">
        <f t="shared" si="521"/>
        <v>0</v>
      </c>
    </row>
    <row r="239" ht="17.6" spans="2:93">
      <c r="B239" s="334" t="str">
        <f>_xlfn.XLOOKUP(G239,销售需求表!A:A,销售需求表!C:C)</f>
        <v>北美</v>
      </c>
      <c r="C239" s="335" t="str">
        <f t="shared" si="619"/>
        <v>22.5</v>
      </c>
      <c r="D239" s="362" t="str">
        <f t="shared" si="606"/>
        <v>北美22.5寸</v>
      </c>
      <c r="E239" s="339" t="str">
        <f t="shared" si="547"/>
        <v>445/65R22.5-20PR(169K)-I-42W</v>
      </c>
      <c r="F239" s="340" t="str">
        <f t="shared" si="578"/>
        <v>445/65R22.5-20PR-I-42W</v>
      </c>
      <c r="G239" s="377" t="s">
        <v>586</v>
      </c>
      <c r="H239" s="334">
        <v>360</v>
      </c>
      <c r="I239" s="345"/>
      <c r="J239" s="346" t="str">
        <f t="shared" si="576"/>
        <v>445/65R22.5-I-42W</v>
      </c>
      <c r="K239" s="347" t="str">
        <f>_xlfn.XLOOKUP(F239,投产规格!E:E,投产规格!D:D,"未投产")</f>
        <v>✔</v>
      </c>
      <c r="L239" s="347">
        <f>IFERROR(_xlfn.XLOOKUP(F239,硫化工艺!B:B,硫化工艺!C:C),"")</f>
        <v>55</v>
      </c>
      <c r="M239" s="349">
        <f t="shared" si="607"/>
        <v>0.904109589041096</v>
      </c>
      <c r="N239" s="347" t="str">
        <f t="shared" si="480"/>
        <v>22.5全钢</v>
      </c>
      <c r="O239" s="347">
        <f>IFERROR(_xlfn.XLOOKUP(F239,轮胎重量!J:J,轮胎重量!G:G),"")</f>
        <v>91.279</v>
      </c>
      <c r="P239" s="347">
        <f>IFERROR(_xlfn.XLOOKUP(G239,硫化工艺!I:I,硫化工艺!J:J),"")</f>
        <v>1336.754251</v>
      </c>
      <c r="Q239" s="347">
        <f t="shared" si="545"/>
        <v>0</v>
      </c>
      <c r="R239" s="347"/>
      <c r="S239" s="347"/>
      <c r="T239" s="347"/>
      <c r="U239" s="347"/>
      <c r="V239" s="347"/>
      <c r="W239" s="347"/>
      <c r="X239" s="347"/>
      <c r="Y239" s="347"/>
      <c r="Z239" s="347"/>
      <c r="AA239" s="347"/>
      <c r="AB239" s="347"/>
      <c r="AC239" s="347"/>
      <c r="AD239" s="347"/>
      <c r="AE239" s="347"/>
      <c r="AF239" s="347"/>
      <c r="AG239" s="347"/>
      <c r="AH239" s="347"/>
      <c r="AI239" s="347"/>
      <c r="AJ239" s="347"/>
      <c r="AK239" s="347"/>
      <c r="AL239" s="347"/>
      <c r="AM239" s="347"/>
      <c r="AN239" s="347"/>
      <c r="AO239" s="347"/>
      <c r="AP239" s="347"/>
      <c r="AQ239" s="347"/>
      <c r="AR239" s="347"/>
      <c r="AS239" s="347"/>
      <c r="AT239" s="347"/>
      <c r="AU239" s="347"/>
      <c r="AV239" s="347"/>
      <c r="AW239" s="347" t="str">
        <f t="shared" si="608"/>
        <v/>
      </c>
      <c r="AX239" s="365" t="str">
        <f t="shared" si="609"/>
        <v/>
      </c>
      <c r="AY239" s="365" t="str">
        <f t="shared" si="610"/>
        <v/>
      </c>
      <c r="AZ239" s="366">
        <v>271.35</v>
      </c>
      <c r="BA239" s="368">
        <v>19.07</v>
      </c>
      <c r="BB239" s="368">
        <v>34.07</v>
      </c>
      <c r="BC239" s="368">
        <v>36.24</v>
      </c>
      <c r="BE239" s="330" t="e">
        <f t="shared" si="589"/>
        <v>#VALUE!</v>
      </c>
      <c r="BF239" s="330" t="e">
        <f t="shared" si="590"/>
        <v>#VALUE!</v>
      </c>
      <c r="BG239" s="330" t="e">
        <f t="shared" si="591"/>
        <v>#VALUE!</v>
      </c>
      <c r="BH239" s="330" t="e">
        <f t="shared" si="592"/>
        <v>#VALUE!</v>
      </c>
      <c r="BJ239" s="370" cm="1">
        <f t="array" ref="BJ239:BM239">_xlfn.LET(_xlpm.data,$R239:$AV239,_xlpm.starts,{1,8,16,23},_xlpm.lengths,{7,7,8,9},_xlpm.arr,_xlfn.MAP(_xlpm.starts,_xlpm.lengths,_xlfn.LAMBDA(_xlpm.s,_xlpm.l,SUM(INDEX(_xlpm.data,,_xlfn.SEQUENCE(,_xlpm.l,_xlpm.s))))),ROUND(_xlpm.arr*$O239/1000,2))</f>
        <v>0</v>
      </c>
      <c r="BK239" s="330">
        <v>0</v>
      </c>
      <c r="BL239" s="330">
        <v>0</v>
      </c>
      <c r="BM239" s="330">
        <v>0</v>
      </c>
      <c r="BN239" s="258">
        <f t="shared" si="611"/>
        <v>0</v>
      </c>
      <c r="BO239" s="258">
        <v>0</v>
      </c>
      <c r="BP239" s="258">
        <v>0</v>
      </c>
      <c r="BQ239" s="258">
        <v>0</v>
      </c>
      <c r="BR239" s="258">
        <v>0</v>
      </c>
      <c r="BS239" s="115">
        <f t="shared" si="629"/>
        <v>0</v>
      </c>
      <c r="BT239" s="258" cm="1">
        <f ca="1" t="array" ref="BT239:BW239">_xlfn.HSTACK(SUM(INDEX($R239:$AV239,1,1):INDEX($R239:$AV239,1,7)),SUM(INDEX($R239:$AV239,1,7):INDEX($R239:$AV239,1,13)),SUM(INDEX($R239:$AV239,1,16):INDEX($R239:$AV239,1,23)),SUM(INDEX($R239:$AV239,1,23):INDEX($R239:$AV239,1,31)))</f>
        <v>0</v>
      </c>
      <c r="BU239" s="258">
        <v>0</v>
      </c>
      <c r="BV239" s="258">
        <v>0</v>
      </c>
      <c r="BW239" s="258">
        <v>0</v>
      </c>
      <c r="BY239" s="258">
        <f t="shared" si="522"/>
        <v>0</v>
      </c>
      <c r="BZ239" s="258">
        <f t="shared" si="523"/>
        <v>0</v>
      </c>
      <c r="CA239" s="258">
        <f t="shared" si="524"/>
        <v>0</v>
      </c>
      <c r="CB239" s="258">
        <f t="shared" si="525"/>
        <v>0</v>
      </c>
      <c r="CE239" s="258">
        <f t="shared" si="612"/>
        <v>0</v>
      </c>
      <c r="CF239" s="258">
        <f t="shared" si="613"/>
        <v>0</v>
      </c>
      <c r="CG239" s="258">
        <f t="shared" si="614"/>
        <v>0</v>
      </c>
      <c r="CH239" s="258">
        <f t="shared" si="615"/>
        <v>0</v>
      </c>
      <c r="CI239" s="258">
        <f t="shared" si="616"/>
        <v>0</v>
      </c>
      <c r="CK239" s="258">
        <f t="shared" ref="CK239:CN239" si="632">IFERROR(ROUND(BY239*$P239,2),"")</f>
        <v>0</v>
      </c>
      <c r="CL239" s="258">
        <f t="shared" si="632"/>
        <v>0</v>
      </c>
      <c r="CM239" s="258">
        <f t="shared" si="632"/>
        <v>0</v>
      </c>
      <c r="CN239" s="258">
        <f t="shared" si="632"/>
        <v>0</v>
      </c>
      <c r="CO239" s="258">
        <f t="shared" si="521"/>
        <v>0</v>
      </c>
    </row>
    <row r="240" ht="17.6" spans="2:95">
      <c r="B240" s="334" t="str">
        <f>_xlfn.XLOOKUP(G240,销售需求表!A:A,销售需求表!C:C)</f>
        <v>亚</v>
      </c>
      <c r="C240" s="335" t="str">
        <f t="shared" ref="C235:C298" si="633">IFERROR(MID(F240,FIND("R",F240)+1,2),"")</f>
        <v>20</v>
      </c>
      <c r="D240" s="362" t="str">
        <f t="shared" si="606"/>
        <v>亚20寸</v>
      </c>
      <c r="E240" s="339" t="str">
        <f t="shared" si="547"/>
        <v>10.00R20-18PR(149/146F)-CB332</v>
      </c>
      <c r="F240" s="340" t="str">
        <f t="shared" si="578"/>
        <v>10.00R20-18PR-CB332</v>
      </c>
      <c r="G240" s="341" t="s">
        <v>587</v>
      </c>
      <c r="H240" s="334">
        <v>680</v>
      </c>
      <c r="I240" s="345"/>
      <c r="J240" s="346" t="str">
        <f t="shared" si="576"/>
        <v>10.00R20-CB332</v>
      </c>
      <c r="K240" s="347" t="str">
        <f>_xlfn.XLOOKUP(F240,投产规格!E:E,投产规格!D:D,"未投产")</f>
        <v>✔</v>
      </c>
      <c r="L240" s="347">
        <f>IFERROR(_xlfn.XLOOKUP(F240,硫化工艺!B:B,硫化工艺!C:C),"")</f>
        <v>50.5</v>
      </c>
      <c r="M240" s="349">
        <f t="shared" si="607"/>
        <v>0.896449704142012</v>
      </c>
      <c r="N240" s="347" t="str">
        <f t="shared" si="480"/>
        <v>20全钢</v>
      </c>
      <c r="O240" s="347">
        <f>IFERROR(_xlfn.XLOOKUP(F240,轮胎重量!J:J,轮胎重量!G:G),"")</f>
        <v>67.895</v>
      </c>
      <c r="P240" s="347">
        <f>IFERROR(_xlfn.XLOOKUP(G240,硫化工艺!I:I,硫化工艺!J:J),"")</f>
        <v>998.2196</v>
      </c>
      <c r="Q240" s="347">
        <f t="shared" si="545"/>
        <v>0</v>
      </c>
      <c r="R240" s="347"/>
      <c r="S240" s="347"/>
      <c r="T240" s="347"/>
      <c r="U240" s="347"/>
      <c r="V240" s="347"/>
      <c r="W240" s="347"/>
      <c r="X240" s="347"/>
      <c r="Y240" s="347"/>
      <c r="Z240" s="347"/>
      <c r="AA240" s="347"/>
      <c r="AB240" s="354">
        <v>60</v>
      </c>
      <c r="AC240" s="354">
        <v>60</v>
      </c>
      <c r="AD240" s="354">
        <v>60</v>
      </c>
      <c r="AE240" s="354">
        <v>60</v>
      </c>
      <c r="AF240" s="354">
        <v>60</v>
      </c>
      <c r="AG240" s="354">
        <v>60</v>
      </c>
      <c r="AH240" s="354">
        <v>60</v>
      </c>
      <c r="AI240" s="354">
        <v>60</v>
      </c>
      <c r="AJ240" s="354">
        <v>60</v>
      </c>
      <c r="AK240" s="354">
        <v>60</v>
      </c>
      <c r="AL240" s="354">
        <v>60</v>
      </c>
      <c r="AM240" s="354">
        <v>60</v>
      </c>
      <c r="AN240" s="354">
        <v>60</v>
      </c>
      <c r="AO240" s="354">
        <v>60</v>
      </c>
      <c r="AP240" s="347"/>
      <c r="AQ240" s="347"/>
      <c r="AR240" s="347"/>
      <c r="AS240" s="347"/>
      <c r="AT240" s="347"/>
      <c r="AU240" s="347"/>
      <c r="AV240" s="347"/>
      <c r="AW240" s="347">
        <f t="shared" si="608"/>
        <v>840</v>
      </c>
      <c r="AX240" s="365">
        <f t="shared" si="609"/>
        <v>57.0318</v>
      </c>
      <c r="AY240" s="365">
        <f t="shared" si="610"/>
        <v>83.85</v>
      </c>
      <c r="AZ240" s="366">
        <v>293.54</v>
      </c>
      <c r="BA240" s="368">
        <v>21.02</v>
      </c>
      <c r="BB240" s="368">
        <v>36.06</v>
      </c>
      <c r="BC240" s="368">
        <v>39.59</v>
      </c>
      <c r="BE240" s="330">
        <f t="shared" ref="BE240:BE266" si="634">AZ240*AW240</f>
        <v>246573.6</v>
      </c>
      <c r="BF240" s="330">
        <f t="shared" ref="BF240:BF266" si="635">BA240*AW240</f>
        <v>17656.8</v>
      </c>
      <c r="BG240" s="330">
        <f t="shared" ref="BG240:BG266" si="636">BB240*AW240</f>
        <v>30290.4</v>
      </c>
      <c r="BH240" s="330">
        <f t="shared" ref="BH240:BH266" si="637">BC240*AW240</f>
        <v>33255.6</v>
      </c>
      <c r="BJ240" s="370" cm="1">
        <f t="array" ref="BJ240:BM240">_xlfn.LET(_xlpm.data,$R240:$AV240,_xlpm.starts,{1,8,16,23},_xlpm.lengths,{7,7,8,9},_xlpm.arr,_xlfn.MAP(_xlpm.starts,_xlpm.lengths,_xlfn.LAMBDA(_xlpm.s,_xlpm.l,SUM(INDEX(_xlpm.data,,_xlfn.SEQUENCE(,_xlpm.l,_xlpm.s))))),ROUND(_xlpm.arr*$O240/1000,2))</f>
        <v>0</v>
      </c>
      <c r="BK240" s="330">
        <v>16.29</v>
      </c>
      <c r="BL240" s="330">
        <v>32.59</v>
      </c>
      <c r="BM240" s="330">
        <v>8.15</v>
      </c>
      <c r="BN240" s="258">
        <f t="shared" si="611"/>
        <v>57.03</v>
      </c>
      <c r="BO240" s="258">
        <v>0</v>
      </c>
      <c r="BP240" s="258">
        <v>0</v>
      </c>
      <c r="BQ240" s="258">
        <v>0</v>
      </c>
      <c r="BR240" s="258">
        <v>0</v>
      </c>
      <c r="BS240" s="115">
        <f t="shared" si="629"/>
        <v>4.0737</v>
      </c>
      <c r="BT240" s="258" cm="1">
        <f ca="1" t="array" ref="BT240:BW240">_xlfn.HSTACK(SUM(INDEX($R240:$AV240,1,1):INDEX($R240:$AV240,1,7)),SUM(INDEX($R240:$AV240,1,7):INDEX($R240:$AV240,1,13)),SUM(INDEX($R240:$AV240,1,16):INDEX($R240:$AV240,1,23)),SUM(INDEX($R240:$AV240,1,23):INDEX($R240:$AV240,1,31)))</f>
        <v>0</v>
      </c>
      <c r="BU240" s="258">
        <v>180</v>
      </c>
      <c r="BV240" s="258">
        <v>480</v>
      </c>
      <c r="BW240" s="258">
        <v>120</v>
      </c>
      <c r="BY240" s="258">
        <f t="shared" si="522"/>
        <v>0</v>
      </c>
      <c r="BZ240" s="258">
        <f t="shared" si="523"/>
        <v>240</v>
      </c>
      <c r="CA240" s="258">
        <f t="shared" si="524"/>
        <v>480</v>
      </c>
      <c r="CB240" s="258">
        <f t="shared" si="525"/>
        <v>120</v>
      </c>
      <c r="CE240" s="258">
        <f t="shared" si="612"/>
        <v>0</v>
      </c>
      <c r="CF240" s="258">
        <f t="shared" si="613"/>
        <v>16.29</v>
      </c>
      <c r="CG240" s="258">
        <f t="shared" si="614"/>
        <v>32.59</v>
      </c>
      <c r="CH240" s="258">
        <f t="shared" si="615"/>
        <v>8.15</v>
      </c>
      <c r="CI240" s="258">
        <f t="shared" si="616"/>
        <v>57.03</v>
      </c>
      <c r="CK240" s="258">
        <f t="shared" ref="CK240:CN240" si="638">IFERROR(ROUND(BY240*$P240,2),"")</f>
        <v>0</v>
      </c>
      <c r="CL240" s="258">
        <f t="shared" si="638"/>
        <v>239572.7</v>
      </c>
      <c r="CM240" s="258">
        <f t="shared" si="638"/>
        <v>479145.41</v>
      </c>
      <c r="CN240" s="258">
        <f t="shared" si="638"/>
        <v>119786.35</v>
      </c>
      <c r="CO240" s="258">
        <f t="shared" si="521"/>
        <v>838504.46</v>
      </c>
      <c r="CP240" s="258">
        <f>VLOOKUP(G240,[2]Sheet1!$C$3:$G$310,5,0)</f>
        <v>5200</v>
      </c>
      <c r="CQ240" s="258" t="e">
        <f>VLOOKUP(G240,[3]KCBB0101!$C$3:$F$691,4,0)</f>
        <v>#N/A</v>
      </c>
    </row>
    <row r="241" ht="17.6" spans="2:93">
      <c r="B241" s="334" t="str">
        <f>_xlfn.XLOOKUP(G241,销售需求表!A:A,销售需求表!C:C)</f>
        <v>亚</v>
      </c>
      <c r="C241" s="335" t="str">
        <f t="shared" si="633"/>
        <v>20</v>
      </c>
      <c r="D241" s="362" t="str">
        <f t="shared" si="606"/>
        <v>亚20寸</v>
      </c>
      <c r="E241" s="339" t="str">
        <f t="shared" si="547"/>
        <v>10.00R20-18PR(149/146F)-CB972</v>
      </c>
      <c r="F241" s="340" t="str">
        <f t="shared" si="578"/>
        <v>10.00R20-18PR-CB972</v>
      </c>
      <c r="G241" s="339" t="s">
        <v>588</v>
      </c>
      <c r="H241" s="334">
        <v>280</v>
      </c>
      <c r="I241" s="345"/>
      <c r="J241" s="346" t="str">
        <f t="shared" si="576"/>
        <v>10.00R20-CB972</v>
      </c>
      <c r="K241" s="347" t="str">
        <f>_xlfn.XLOOKUP(F241,投产规格!E:E,投产规格!D:D,"未投产")</f>
        <v>✔</v>
      </c>
      <c r="L241" s="347">
        <f>IFERROR(_xlfn.XLOOKUP(F241,硫化工艺!B:B,硫化工艺!C:C),"")</f>
        <v>47.5</v>
      </c>
      <c r="M241" s="349">
        <f t="shared" si="607"/>
        <v>0.890625</v>
      </c>
      <c r="N241" s="347" t="str">
        <f t="shared" si="480"/>
        <v>20全钢</v>
      </c>
      <c r="O241" s="347">
        <f>IFERROR(_xlfn.XLOOKUP(F241,轮胎重量!J:J,轮胎重量!G:G),"")</f>
        <v>66.409</v>
      </c>
      <c r="P241" s="347">
        <f>IFERROR(_xlfn.XLOOKUP(G241,硫化工艺!I:I,硫化工艺!J:J),"")</f>
        <v>953.7136</v>
      </c>
      <c r="Q241" s="347">
        <f t="shared" si="545"/>
        <v>0</v>
      </c>
      <c r="R241" s="347"/>
      <c r="S241" s="347"/>
      <c r="T241" s="347"/>
      <c r="U241" s="347"/>
      <c r="V241" s="347"/>
      <c r="W241" s="347"/>
      <c r="X241" s="347"/>
      <c r="Y241" s="347"/>
      <c r="Z241" s="347"/>
      <c r="AA241" s="347"/>
      <c r="AB241" s="347"/>
      <c r="AC241" s="347"/>
      <c r="AD241" s="347"/>
      <c r="AE241" s="347"/>
      <c r="AF241" s="347"/>
      <c r="AG241" s="347"/>
      <c r="AH241" s="347"/>
      <c r="AI241" s="347"/>
      <c r="AJ241" s="347"/>
      <c r="AK241" s="347"/>
      <c r="AL241" s="347"/>
      <c r="AM241" s="347"/>
      <c r="AN241" s="347"/>
      <c r="AO241" s="347"/>
      <c r="AP241" s="347"/>
      <c r="AQ241" s="347"/>
      <c r="AR241" s="347"/>
      <c r="AS241" s="347"/>
      <c r="AT241" s="347"/>
      <c r="AU241" s="347"/>
      <c r="AV241" s="347"/>
      <c r="AW241" s="347" t="str">
        <f t="shared" si="608"/>
        <v/>
      </c>
      <c r="AX241" s="365" t="str">
        <f t="shared" si="609"/>
        <v/>
      </c>
      <c r="AY241" s="365" t="str">
        <f t="shared" si="610"/>
        <v/>
      </c>
      <c r="AZ241" s="366">
        <v>293.54</v>
      </c>
      <c r="BA241" s="368">
        <v>21.02</v>
      </c>
      <c r="BB241" s="368">
        <v>36.06</v>
      </c>
      <c r="BC241" s="368">
        <v>39.59</v>
      </c>
      <c r="BE241" s="330" t="e">
        <f t="shared" si="634"/>
        <v>#VALUE!</v>
      </c>
      <c r="BF241" s="330" t="e">
        <f t="shared" si="635"/>
        <v>#VALUE!</v>
      </c>
      <c r="BG241" s="330" t="e">
        <f t="shared" si="636"/>
        <v>#VALUE!</v>
      </c>
      <c r="BH241" s="330" t="e">
        <f t="shared" si="637"/>
        <v>#VALUE!</v>
      </c>
      <c r="BJ241" s="370" cm="1">
        <f t="array" ref="BJ241:BM241">_xlfn.LET(_xlpm.data,$R241:$AV241,_xlpm.starts,{1,8,16,23},_xlpm.lengths,{7,7,8,9},_xlpm.arr,_xlfn.MAP(_xlpm.starts,_xlpm.lengths,_xlfn.LAMBDA(_xlpm.s,_xlpm.l,SUM(INDEX(_xlpm.data,,_xlfn.SEQUENCE(,_xlpm.l,_xlpm.s))))),ROUND(_xlpm.arr*$O241/1000,2))</f>
        <v>0</v>
      </c>
      <c r="BK241" s="330">
        <v>0</v>
      </c>
      <c r="BL241" s="330">
        <v>0</v>
      </c>
      <c r="BM241" s="330">
        <v>0</v>
      </c>
      <c r="BN241" s="258">
        <f t="shared" si="611"/>
        <v>0</v>
      </c>
      <c r="BO241" s="258">
        <v>0</v>
      </c>
      <c r="BP241" s="258">
        <v>0</v>
      </c>
      <c r="BQ241" s="258">
        <v>0</v>
      </c>
      <c r="BR241" s="258">
        <v>0</v>
      </c>
      <c r="BT241" s="258" cm="1">
        <f ca="1" t="array" ref="BT241:BW241">_xlfn.HSTACK(SUM(INDEX($R241:$AV241,1,1):INDEX($R241:$AV241,1,7)),SUM(INDEX($R241:$AV241,1,7):INDEX($R241:$AV241,1,13)),SUM(INDEX($R241:$AV241,1,16):INDEX($R241:$AV241,1,23)),SUM(INDEX($R241:$AV241,1,23):INDEX($R241:$AV241,1,31)))</f>
        <v>0</v>
      </c>
      <c r="BU241" s="258">
        <v>0</v>
      </c>
      <c r="BV241" s="258">
        <v>0</v>
      </c>
      <c r="BW241" s="258">
        <v>0</v>
      </c>
      <c r="BY241" s="258">
        <f t="shared" si="522"/>
        <v>0</v>
      </c>
      <c r="BZ241" s="258">
        <f t="shared" si="523"/>
        <v>0</v>
      </c>
      <c r="CA241" s="258">
        <f t="shared" si="524"/>
        <v>0</v>
      </c>
      <c r="CB241" s="258">
        <f t="shared" si="525"/>
        <v>0</v>
      </c>
      <c r="CE241" s="258">
        <f t="shared" si="612"/>
        <v>0</v>
      </c>
      <c r="CF241" s="258">
        <f t="shared" si="613"/>
        <v>0</v>
      </c>
      <c r="CG241" s="258">
        <f t="shared" si="614"/>
        <v>0</v>
      </c>
      <c r="CH241" s="258">
        <f t="shared" si="615"/>
        <v>0</v>
      </c>
      <c r="CI241" s="258">
        <f t="shared" si="616"/>
        <v>0</v>
      </c>
      <c r="CK241" s="258">
        <f t="shared" ref="CK241:CN241" si="639">IFERROR(ROUND(BY241*$P241,2),"")</f>
        <v>0</v>
      </c>
      <c r="CL241" s="258">
        <f t="shared" si="639"/>
        <v>0</v>
      </c>
      <c r="CM241" s="258">
        <f t="shared" si="639"/>
        <v>0</v>
      </c>
      <c r="CN241" s="258">
        <f t="shared" si="639"/>
        <v>0</v>
      </c>
      <c r="CO241" s="258">
        <f t="shared" si="521"/>
        <v>0</v>
      </c>
    </row>
    <row r="242" s="258" customFormat="1" ht="17.6" spans="1:93">
      <c r="A242" s="330"/>
      <c r="B242" s="334" t="str">
        <f>_xlfn.XLOOKUP(G242,销售需求表!A:A,销售需求表!C:C)</f>
        <v>亚</v>
      </c>
      <c r="C242" s="335" t="str">
        <f t="shared" si="633"/>
        <v>20</v>
      </c>
      <c r="D242" s="362" t="str">
        <f t="shared" si="606"/>
        <v>亚20寸</v>
      </c>
      <c r="E242" s="339" t="str">
        <f t="shared" si="547"/>
        <v>10.00R20-18PR(149/146F)-MT100</v>
      </c>
      <c r="F242" s="340" t="str">
        <f t="shared" si="578"/>
        <v>10.00R20-18PR-MT100</v>
      </c>
      <c r="G242" s="339" t="s">
        <v>589</v>
      </c>
      <c r="H242" s="334">
        <v>200</v>
      </c>
      <c r="I242" s="345"/>
      <c r="J242" s="346" t="str">
        <f t="shared" si="576"/>
        <v>10.00R20-MT100</v>
      </c>
      <c r="K242" s="347" t="str">
        <f>_xlfn.XLOOKUP(F242,投产规格!E:E,投产规格!D:D,"未投产")</f>
        <v>✔</v>
      </c>
      <c r="L242" s="347">
        <f>IFERROR(_xlfn.XLOOKUP(F242,硫化工艺!B:B,硫化工艺!C:C),"")</f>
        <v>47.5</v>
      </c>
      <c r="M242" s="349">
        <f t="shared" si="607"/>
        <v>0.890625</v>
      </c>
      <c r="N242" s="347" t="str">
        <f t="shared" si="480"/>
        <v>20全钢</v>
      </c>
      <c r="O242" s="347">
        <f>IFERROR(_xlfn.XLOOKUP(F242,轮胎重量!J:J,轮胎重量!G:G),"")</f>
        <v>66.409</v>
      </c>
      <c r="P242" s="347">
        <f>IFERROR(_xlfn.XLOOKUP(G242,硫化工艺!I:I,硫化工艺!J:J),"")</f>
        <v>955.076269</v>
      </c>
      <c r="Q242" s="347">
        <f t="shared" si="545"/>
        <v>0</v>
      </c>
      <c r="R242" s="347"/>
      <c r="S242" s="347"/>
      <c r="T242" s="347"/>
      <c r="U242" s="347"/>
      <c r="V242" s="347"/>
      <c r="W242" s="347"/>
      <c r="X242" s="347"/>
      <c r="Y242" s="347"/>
      <c r="Z242" s="347"/>
      <c r="AA242" s="347"/>
      <c r="AB242" s="347"/>
      <c r="AC242" s="347"/>
      <c r="AD242" s="347"/>
      <c r="AE242" s="347"/>
      <c r="AF242" s="347"/>
      <c r="AG242" s="347"/>
      <c r="AH242" s="347"/>
      <c r="AI242" s="347"/>
      <c r="AJ242" s="347"/>
      <c r="AK242" s="347"/>
      <c r="AL242" s="347"/>
      <c r="AM242" s="347"/>
      <c r="AN242" s="347"/>
      <c r="AO242" s="347"/>
      <c r="AP242" s="347"/>
      <c r="AQ242" s="347"/>
      <c r="AR242" s="347"/>
      <c r="AS242" s="347"/>
      <c r="AT242" s="347"/>
      <c r="AU242" s="347"/>
      <c r="AV242" s="347"/>
      <c r="AW242" s="347" t="str">
        <f t="shared" si="608"/>
        <v/>
      </c>
      <c r="AX242" s="365" t="str">
        <f t="shared" si="609"/>
        <v/>
      </c>
      <c r="AY242" s="365" t="str">
        <f t="shared" si="610"/>
        <v/>
      </c>
      <c r="AZ242" s="366">
        <v>293.54</v>
      </c>
      <c r="BA242" s="368">
        <v>21.02</v>
      </c>
      <c r="BB242" s="368">
        <v>36.06</v>
      </c>
      <c r="BC242" s="368">
        <v>39.59</v>
      </c>
      <c r="BD242" s="330"/>
      <c r="BE242" s="330" t="e">
        <f t="shared" si="634"/>
        <v>#VALUE!</v>
      </c>
      <c r="BF242" s="330" t="e">
        <f t="shared" si="635"/>
        <v>#VALUE!</v>
      </c>
      <c r="BG242" s="330" t="e">
        <f t="shared" si="636"/>
        <v>#VALUE!</v>
      </c>
      <c r="BH242" s="330" t="e">
        <f t="shared" si="637"/>
        <v>#VALUE!</v>
      </c>
      <c r="BI242" s="330"/>
      <c r="BJ242" s="370" cm="1">
        <f t="array" ref="BJ242:BM242">_xlfn.LET(_xlpm.data,$R242:$AV242,_xlpm.starts,{1,8,16,23},_xlpm.lengths,{7,7,8,9},_xlpm.arr,_xlfn.MAP(_xlpm.starts,_xlpm.lengths,_xlfn.LAMBDA(_xlpm.s,_xlpm.l,SUM(INDEX(_xlpm.data,,_xlfn.SEQUENCE(,_xlpm.l,_xlpm.s))))),ROUND(_xlpm.arr*$O242/1000,2))</f>
        <v>0</v>
      </c>
      <c r="BK242" s="330">
        <v>0</v>
      </c>
      <c r="BL242" s="330">
        <v>0</v>
      </c>
      <c r="BM242" s="330">
        <v>0</v>
      </c>
      <c r="BN242" s="258">
        <f t="shared" si="611"/>
        <v>0</v>
      </c>
      <c r="BO242" s="258">
        <v>0</v>
      </c>
      <c r="BP242" s="258">
        <v>0</v>
      </c>
      <c r="BQ242" s="258">
        <v>0</v>
      </c>
      <c r="BR242" s="258">
        <v>0</v>
      </c>
      <c r="BS242" s="115">
        <f>AC242*O242/1000</f>
        <v>0</v>
      </c>
      <c r="BT242" s="258" cm="1">
        <f ca="1" t="array" ref="BT242:BW242">_xlfn.HSTACK(SUM(INDEX($R242:$AV242,1,1):INDEX($R242:$AV242,1,7)),SUM(INDEX($R242:$AV242,1,7):INDEX($R242:$AV242,1,13)),SUM(INDEX($R242:$AV242,1,16):INDEX($R242:$AV242,1,23)),SUM(INDEX($R242:$AV242,1,23):INDEX($R242:$AV242,1,31)))</f>
        <v>0</v>
      </c>
      <c r="BU242" s="258">
        <v>0</v>
      </c>
      <c r="BV242" s="258">
        <v>0</v>
      </c>
      <c r="BW242" s="258">
        <v>0</v>
      </c>
      <c r="BY242" s="258">
        <f t="shared" si="522"/>
        <v>0</v>
      </c>
      <c r="BZ242" s="258">
        <f t="shared" si="523"/>
        <v>0</v>
      </c>
      <c r="CA242" s="258">
        <f t="shared" si="524"/>
        <v>0</v>
      </c>
      <c r="CB242" s="258">
        <f t="shared" si="525"/>
        <v>0</v>
      </c>
      <c r="CD242" s="113"/>
      <c r="CE242" s="258">
        <f t="shared" si="612"/>
        <v>0</v>
      </c>
      <c r="CF242" s="258">
        <f t="shared" si="613"/>
        <v>0</v>
      </c>
      <c r="CG242" s="258">
        <f t="shared" si="614"/>
        <v>0</v>
      </c>
      <c r="CH242" s="258">
        <f t="shared" si="615"/>
        <v>0</v>
      </c>
      <c r="CI242" s="258">
        <f t="shared" si="616"/>
        <v>0</v>
      </c>
      <c r="CJ242" s="113"/>
      <c r="CK242" s="258">
        <f t="shared" ref="CK242:CN242" si="640">IFERROR(ROUND(BY242*$P242,2),"")</f>
        <v>0</v>
      </c>
      <c r="CL242" s="258">
        <f t="shared" si="640"/>
        <v>0</v>
      </c>
      <c r="CM242" s="258">
        <f t="shared" si="640"/>
        <v>0</v>
      </c>
      <c r="CN242" s="258">
        <f t="shared" si="640"/>
        <v>0</v>
      </c>
      <c r="CO242" s="258">
        <f t="shared" si="521"/>
        <v>0</v>
      </c>
    </row>
    <row r="243" ht="17.6" spans="2:95">
      <c r="B243" s="334" t="str">
        <f>_xlfn.XLOOKUP(G243,销售需求表!A:A,销售需求表!C:C)</f>
        <v>亚</v>
      </c>
      <c r="C243" s="335" t="str">
        <f t="shared" si="633"/>
        <v>20</v>
      </c>
      <c r="D243" s="362" t="str">
        <f t="shared" si="606"/>
        <v>亚20寸</v>
      </c>
      <c r="E243" s="339" t="str">
        <f t="shared" si="547"/>
        <v>10.00R20-18PR(149/146J)-AZ601</v>
      </c>
      <c r="F243" s="340" t="str">
        <f t="shared" si="578"/>
        <v>10.00R20-18PR-AZ601</v>
      </c>
      <c r="G243" s="341" t="s">
        <v>590</v>
      </c>
      <c r="H243" s="334">
        <v>1600</v>
      </c>
      <c r="I243" s="345"/>
      <c r="J243" s="346" t="str">
        <f t="shared" si="576"/>
        <v>10.00R20-AZ601</v>
      </c>
      <c r="K243" s="347" t="str">
        <f>_xlfn.XLOOKUP(F243,投产规格!E:E,投产规格!D:D,"未投产")</f>
        <v>✔</v>
      </c>
      <c r="L243" s="347">
        <f>IFERROR(_xlfn.XLOOKUP(F243,硫化工艺!B:B,硫化工艺!C:C),"")</f>
        <v>41</v>
      </c>
      <c r="M243" s="349">
        <f t="shared" si="607"/>
        <v>0.875444839857651</v>
      </c>
      <c r="N243" s="347" t="str">
        <f t="shared" si="480"/>
        <v>20全钢</v>
      </c>
      <c r="O243" s="347">
        <f>IFERROR(_xlfn.XLOOKUP(F243,轮胎重量!J:J,轮胎重量!G:G),"")</f>
        <v>58.525</v>
      </c>
      <c r="P243" s="347">
        <f>IFERROR(_xlfn.XLOOKUP(G243,硫化工艺!I:I,硫化工艺!J:J),"")</f>
        <v>841.9964</v>
      </c>
      <c r="Q243" s="347">
        <f t="shared" si="545"/>
        <v>0</v>
      </c>
      <c r="R243" s="347"/>
      <c r="S243" s="347"/>
      <c r="T243" s="347"/>
      <c r="U243" s="347"/>
      <c r="V243" s="347"/>
      <c r="W243" s="347"/>
      <c r="X243" s="347"/>
      <c r="Y243" s="347">
        <v>60</v>
      </c>
      <c r="Z243" s="347">
        <v>60</v>
      </c>
      <c r="AA243" s="347">
        <v>60</v>
      </c>
      <c r="AB243" s="347">
        <v>60</v>
      </c>
      <c r="AC243" s="347">
        <v>60</v>
      </c>
      <c r="AD243" s="347">
        <v>60</v>
      </c>
      <c r="AE243" s="347">
        <v>60</v>
      </c>
      <c r="AF243" s="347">
        <v>60</v>
      </c>
      <c r="AG243" s="347">
        <v>60</v>
      </c>
      <c r="AH243" s="347">
        <v>60</v>
      </c>
      <c r="AI243" s="347">
        <v>60</v>
      </c>
      <c r="AJ243" s="347">
        <v>60</v>
      </c>
      <c r="AK243" s="347">
        <v>60</v>
      </c>
      <c r="AL243" s="347">
        <v>60</v>
      </c>
      <c r="AM243" s="347">
        <v>60</v>
      </c>
      <c r="AN243" s="347">
        <v>60</v>
      </c>
      <c r="AO243" s="347">
        <v>60</v>
      </c>
      <c r="AP243" s="347">
        <v>60</v>
      </c>
      <c r="AQ243" s="347">
        <v>60</v>
      </c>
      <c r="AR243" s="347">
        <v>60</v>
      </c>
      <c r="AS243" s="347">
        <v>60</v>
      </c>
      <c r="AT243" s="347">
        <v>60</v>
      </c>
      <c r="AU243" s="347">
        <v>60</v>
      </c>
      <c r="AV243" s="347">
        <v>60</v>
      </c>
      <c r="AW243" s="347">
        <f t="shared" si="608"/>
        <v>1440</v>
      </c>
      <c r="AX243" s="365">
        <f t="shared" si="609"/>
        <v>84.276</v>
      </c>
      <c r="AY243" s="365">
        <f t="shared" si="610"/>
        <v>121.247</v>
      </c>
      <c r="AZ243" s="367"/>
      <c r="BE243" s="330">
        <f t="shared" si="634"/>
        <v>0</v>
      </c>
      <c r="BF243" s="330">
        <f t="shared" si="635"/>
        <v>0</v>
      </c>
      <c r="BG243" s="330">
        <f t="shared" si="636"/>
        <v>0</v>
      </c>
      <c r="BH243" s="330">
        <f t="shared" si="637"/>
        <v>0</v>
      </c>
      <c r="BJ243" s="370" cm="1">
        <f t="array" ref="BJ243:BM243">_xlfn.LET(_xlpm.data,$R243:$AV243,_xlpm.starts,{1,8,16,23},_xlpm.lengths,{7,7,8,9},_xlpm.arr,_xlfn.MAP(_xlpm.starts,_xlpm.lengths,_xlfn.LAMBDA(_xlpm.s,_xlpm.l,SUM(INDEX(_xlpm.data,,_xlfn.SEQUENCE(,_xlpm.l,_xlpm.s))))),ROUND(_xlpm.arr*$O243/1000,2))</f>
        <v>0</v>
      </c>
      <c r="BK243" s="330">
        <v>24.58</v>
      </c>
      <c r="BL243" s="330">
        <v>28.09</v>
      </c>
      <c r="BM243" s="330">
        <v>31.6</v>
      </c>
      <c r="BN243" s="258">
        <f t="shared" si="611"/>
        <v>84.27</v>
      </c>
      <c r="BO243" s="258">
        <v>0</v>
      </c>
      <c r="BP243" s="258">
        <v>0</v>
      </c>
      <c r="BQ243" s="258">
        <v>9.27</v>
      </c>
      <c r="BR243" s="258">
        <v>0</v>
      </c>
      <c r="BS243" s="115">
        <f>SUM(BS237:BS242)</f>
        <v>4.0737</v>
      </c>
      <c r="BT243" s="258" cm="1">
        <f ca="1" t="array" ref="BT243:BW243">_xlfn.HSTACK(SUM(INDEX($R243:$AV243,1,1):INDEX($R243:$AV243,1,7)),SUM(INDEX($R243:$AV243,1,7):INDEX($R243:$AV243,1,13)),SUM(INDEX($R243:$AV243,1,16):INDEX($R243:$AV243,1,23)),SUM(INDEX($R243:$AV243,1,23):INDEX($R243:$AV243,1,31)))</f>
        <v>0</v>
      </c>
      <c r="BU243" s="258">
        <v>360</v>
      </c>
      <c r="BV243" s="258">
        <v>480</v>
      </c>
      <c r="BW243" s="258">
        <v>540</v>
      </c>
      <c r="BX243" s="258">
        <f>BS346-BS243</f>
        <v>-1.40808</v>
      </c>
      <c r="BY243" s="258">
        <f t="shared" si="522"/>
        <v>0</v>
      </c>
      <c r="BZ243" s="258">
        <f t="shared" si="523"/>
        <v>420</v>
      </c>
      <c r="CA243" s="258">
        <f t="shared" si="524"/>
        <v>480</v>
      </c>
      <c r="CB243" s="258">
        <f t="shared" si="525"/>
        <v>540</v>
      </c>
      <c r="CE243" s="258">
        <f t="shared" si="612"/>
        <v>0</v>
      </c>
      <c r="CF243" s="258">
        <f t="shared" si="613"/>
        <v>24.58</v>
      </c>
      <c r="CG243" s="258">
        <f t="shared" si="614"/>
        <v>28.09</v>
      </c>
      <c r="CH243" s="258">
        <f t="shared" si="615"/>
        <v>31.6</v>
      </c>
      <c r="CI243" s="258">
        <f t="shared" si="616"/>
        <v>84.27</v>
      </c>
      <c r="CK243" s="258">
        <f t="shared" ref="CK243:CN243" si="641">IFERROR(ROUND(BY243*$P243,2),"")</f>
        <v>0</v>
      </c>
      <c r="CL243" s="258">
        <f t="shared" si="641"/>
        <v>353638.49</v>
      </c>
      <c r="CM243" s="258">
        <f t="shared" si="641"/>
        <v>404158.27</v>
      </c>
      <c r="CN243" s="258">
        <f t="shared" si="641"/>
        <v>454678.06</v>
      </c>
      <c r="CO243" s="258">
        <f t="shared" si="521"/>
        <v>1212474.82</v>
      </c>
      <c r="CP243" s="258">
        <f>VLOOKUP(G243,[2]Sheet1!$C$3:$G$310,5,0)</f>
        <v>6850</v>
      </c>
      <c r="CQ243" s="258" t="e">
        <f>VLOOKUP(G243,[3]KCBB0101!$C$3:$F$691,4,0)</f>
        <v>#N/A</v>
      </c>
    </row>
    <row r="244" ht="17.6" spans="2:95">
      <c r="B244" s="334" t="str">
        <f>_xlfn.XLOOKUP(G244,销售需求表!A:A,销售需求表!C:C)</f>
        <v>亚</v>
      </c>
      <c r="C244" s="335" t="str">
        <f t="shared" si="633"/>
        <v>20</v>
      </c>
      <c r="D244" s="362" t="str">
        <f t="shared" si="606"/>
        <v>亚20寸</v>
      </c>
      <c r="E244" s="339" t="str">
        <f t="shared" si="547"/>
        <v>10.00R20-18PR(149/146J)-AZ676</v>
      </c>
      <c r="F244" s="340" t="str">
        <f t="shared" si="578"/>
        <v>10.00R20-18PR-AZ676</v>
      </c>
      <c r="G244" s="341" t="s">
        <v>591</v>
      </c>
      <c r="H244" s="334">
        <v>3800</v>
      </c>
      <c r="I244" s="345">
        <v>2</v>
      </c>
      <c r="J244" s="346" t="str">
        <f t="shared" si="576"/>
        <v>10.00R20-AZ676</v>
      </c>
      <c r="K244" s="347" t="str">
        <f>_xlfn.XLOOKUP(F244,投产规格!E:E,投产规格!D:D,"未投产")</f>
        <v>✔</v>
      </c>
      <c r="L244" s="347">
        <f>IFERROR(_xlfn.XLOOKUP(F244,硫化工艺!B:B,硫化工艺!C:C),"")</f>
        <v>38.5</v>
      </c>
      <c r="M244" s="349">
        <f t="shared" si="607"/>
        <v>0.868421052631579</v>
      </c>
      <c r="N244" s="347" t="str">
        <f t="shared" ref="N244:N266" si="642">C244&amp;"全钢"</f>
        <v>20全钢</v>
      </c>
      <c r="O244" s="347">
        <f>IFERROR(_xlfn.XLOOKUP(F244,轮胎重量!J:J,轮胎重量!G:G),"")</f>
        <v>60.74</v>
      </c>
      <c r="P244" s="347">
        <f>IFERROR(_xlfn.XLOOKUP(G244,硫化工艺!I:I,硫化工艺!J:J),"")</f>
        <v>881.1236</v>
      </c>
      <c r="Q244" s="347">
        <f t="shared" si="545"/>
        <v>65</v>
      </c>
      <c r="R244" s="347"/>
      <c r="S244" s="347"/>
      <c r="T244" s="347"/>
      <c r="U244" s="347"/>
      <c r="V244" s="347"/>
      <c r="W244" s="347"/>
      <c r="X244" s="347"/>
      <c r="Y244" s="347">
        <v>60</v>
      </c>
      <c r="Z244" s="347">
        <v>60</v>
      </c>
      <c r="AA244" s="347">
        <v>60</v>
      </c>
      <c r="AB244" s="347">
        <v>60</v>
      </c>
      <c r="AC244" s="347">
        <v>60</v>
      </c>
      <c r="AD244" s="347">
        <v>60</v>
      </c>
      <c r="AE244" s="347">
        <v>60</v>
      </c>
      <c r="AF244" s="347">
        <v>60</v>
      </c>
      <c r="AG244" s="347">
        <v>60</v>
      </c>
      <c r="AH244" s="347">
        <v>60</v>
      </c>
      <c r="AI244" s="347">
        <v>60</v>
      </c>
      <c r="AJ244" s="347">
        <v>60</v>
      </c>
      <c r="AK244" s="347">
        <v>60</v>
      </c>
      <c r="AL244" s="347">
        <v>60</v>
      </c>
      <c r="AM244" s="347">
        <v>60</v>
      </c>
      <c r="AN244" s="347">
        <v>60</v>
      </c>
      <c r="AO244" s="347">
        <v>60</v>
      </c>
      <c r="AP244" s="378">
        <v>120</v>
      </c>
      <c r="AQ244" s="378">
        <v>120</v>
      </c>
      <c r="AR244" s="378">
        <v>120</v>
      </c>
      <c r="AS244" s="378">
        <v>120</v>
      </c>
      <c r="AT244" s="378">
        <v>120</v>
      </c>
      <c r="AU244" s="378">
        <v>120</v>
      </c>
      <c r="AV244" s="378">
        <v>120</v>
      </c>
      <c r="AW244" s="347">
        <f t="shared" si="608"/>
        <v>1860</v>
      </c>
      <c r="AX244" s="365">
        <f t="shared" si="609"/>
        <v>112.9764</v>
      </c>
      <c r="AY244" s="365">
        <f t="shared" si="610"/>
        <v>163.889</v>
      </c>
      <c r="AZ244" s="367"/>
      <c r="BE244" s="330">
        <f t="shared" si="634"/>
        <v>0</v>
      </c>
      <c r="BF244" s="330">
        <f t="shared" si="635"/>
        <v>0</v>
      </c>
      <c r="BG244" s="330">
        <f t="shared" si="636"/>
        <v>0</v>
      </c>
      <c r="BH244" s="330">
        <f t="shared" si="637"/>
        <v>0</v>
      </c>
      <c r="BJ244" s="370" cm="1">
        <f t="array" ref="BJ244:BM244">_xlfn.LET(_xlpm.data,$R244:$AV244,_xlpm.starts,{1,8,16,23},_xlpm.lengths,{7,7,8,9},_xlpm.arr,_xlfn.MAP(_xlpm.starts,_xlpm.lengths,_xlfn.LAMBDA(_xlpm.s,_xlpm.l,SUM(INDEX(_xlpm.data,,_xlfn.SEQUENCE(,_xlpm.l,_xlpm.s))))),ROUND(_xlpm.arr*$O244/1000,2))</f>
        <v>0</v>
      </c>
      <c r="BK244" s="330">
        <v>25.51</v>
      </c>
      <c r="BL244" s="330">
        <v>29.16</v>
      </c>
      <c r="BM244" s="330">
        <v>58.31</v>
      </c>
      <c r="BN244" s="258">
        <f t="shared" si="611"/>
        <v>112.98</v>
      </c>
      <c r="BO244" s="258">
        <v>0</v>
      </c>
      <c r="BP244" s="258">
        <v>6.18</v>
      </c>
      <c r="BQ244" s="258">
        <v>0</v>
      </c>
      <c r="BR244" s="258">
        <v>0</v>
      </c>
      <c r="BT244" s="258" cm="1">
        <f ca="1" t="array" ref="BT244:BW244">_xlfn.HSTACK(SUM(INDEX($R244:$AV244,1,1):INDEX($R244:$AV244,1,7)),SUM(INDEX($R244:$AV244,1,7):INDEX($R244:$AV244,1,13)),SUM(INDEX($R244:$AV244,1,16):INDEX($R244:$AV244,1,23)),SUM(INDEX($R244:$AV244,1,23):INDEX($R244:$AV244,1,31)))</f>
        <v>0</v>
      </c>
      <c r="BU244" s="258">
        <v>360</v>
      </c>
      <c r="BV244" s="258">
        <v>480</v>
      </c>
      <c r="BW244" s="258">
        <v>960</v>
      </c>
      <c r="BY244" s="258">
        <f t="shared" si="522"/>
        <v>0</v>
      </c>
      <c r="BZ244" s="258">
        <f t="shared" si="523"/>
        <v>420</v>
      </c>
      <c r="CA244" s="258">
        <f t="shared" si="524"/>
        <v>480</v>
      </c>
      <c r="CB244" s="258">
        <f t="shared" si="525"/>
        <v>960</v>
      </c>
      <c r="CE244" s="258">
        <f t="shared" si="612"/>
        <v>0</v>
      </c>
      <c r="CF244" s="258">
        <f t="shared" si="613"/>
        <v>25.51</v>
      </c>
      <c r="CG244" s="258">
        <f t="shared" si="614"/>
        <v>29.16</v>
      </c>
      <c r="CH244" s="258">
        <f t="shared" si="615"/>
        <v>58.31</v>
      </c>
      <c r="CI244" s="258">
        <f t="shared" si="616"/>
        <v>112.98</v>
      </c>
      <c r="CK244" s="258">
        <f t="shared" ref="CK244:CN244" si="643">IFERROR(ROUND(BY244*$P244,2),"")</f>
        <v>0</v>
      </c>
      <c r="CL244" s="258">
        <f t="shared" si="643"/>
        <v>370071.91</v>
      </c>
      <c r="CM244" s="258">
        <f t="shared" si="643"/>
        <v>422939.33</v>
      </c>
      <c r="CN244" s="258">
        <f t="shared" si="643"/>
        <v>845878.66</v>
      </c>
      <c r="CO244" s="258">
        <f t="shared" si="521"/>
        <v>1638889.9</v>
      </c>
      <c r="CP244" s="258" t="e">
        <f>VLOOKUP(G244,[2]Sheet1!$C$3:$G$310,5,0)</f>
        <v>#N/A</v>
      </c>
      <c r="CQ244" s="258">
        <f>VLOOKUP(G244,[3]KCBB0101!$C$3:$F$691,4,0)</f>
        <v>5491</v>
      </c>
    </row>
    <row r="245" ht="17.6" spans="2:95">
      <c r="B245" s="334" t="str">
        <f>_xlfn.XLOOKUP(G245,销售需求表!A:A,销售需求表!C:C)</f>
        <v>亚</v>
      </c>
      <c r="C245" s="335" t="str">
        <f t="shared" si="633"/>
        <v>20</v>
      </c>
      <c r="D245" s="362" t="str">
        <f t="shared" si="606"/>
        <v>亚20寸</v>
      </c>
      <c r="E245" s="339" t="str">
        <f t="shared" si="547"/>
        <v>10.00R20-18PR(149/146J)-AZ686</v>
      </c>
      <c r="F245" s="340" t="str">
        <f t="shared" si="578"/>
        <v>10.00R20-18PR-AZ686</v>
      </c>
      <c r="G245" s="341" t="s">
        <v>592</v>
      </c>
      <c r="H245" s="334">
        <v>200</v>
      </c>
      <c r="I245" s="345"/>
      <c r="J245" s="346" t="str">
        <f t="shared" si="576"/>
        <v>10.00R20-AZ686</v>
      </c>
      <c r="K245" s="347" t="str">
        <f>_xlfn.XLOOKUP(F245,投产规格!E:E,投产规格!D:D,"未投产")</f>
        <v>✔</v>
      </c>
      <c r="L245" s="347">
        <f>IFERROR(_xlfn.XLOOKUP(F245,硫化工艺!B:B,硫化工艺!C:C),"")</f>
        <v>41</v>
      </c>
      <c r="M245" s="349">
        <f t="shared" si="607"/>
        <v>0.875444839857651</v>
      </c>
      <c r="N245" s="347" t="str">
        <f t="shared" si="642"/>
        <v>20全钢</v>
      </c>
      <c r="O245" s="347">
        <f>IFERROR(_xlfn.XLOOKUP(F245,轮胎重量!J:J,轮胎重量!G:G),"")</f>
        <v>58.525</v>
      </c>
      <c r="P245" s="347">
        <f>IFERROR(_xlfn.XLOOKUP(G245,硫化工艺!I:I,硫化工艺!J:J),"")</f>
        <v>841.9964</v>
      </c>
      <c r="Q245" s="347">
        <f t="shared" si="545"/>
        <v>0</v>
      </c>
      <c r="R245" s="347"/>
      <c r="S245" s="347"/>
      <c r="T245" s="347"/>
      <c r="U245" s="347"/>
      <c r="V245" s="347"/>
      <c r="W245" s="347"/>
      <c r="X245" s="347"/>
      <c r="Y245" s="347"/>
      <c r="Z245" s="347"/>
      <c r="AA245" s="347"/>
      <c r="AB245" s="347"/>
      <c r="AC245" s="347"/>
      <c r="AD245" s="347"/>
      <c r="AE245" s="347"/>
      <c r="AF245" s="347"/>
      <c r="AG245" s="347">
        <v>60</v>
      </c>
      <c r="AH245" s="347">
        <v>60</v>
      </c>
      <c r="AI245" s="347">
        <v>60</v>
      </c>
      <c r="AJ245" s="347">
        <v>60</v>
      </c>
      <c r="AK245" s="347">
        <v>60</v>
      </c>
      <c r="AL245" s="347"/>
      <c r="AM245" s="347"/>
      <c r="AN245" s="347"/>
      <c r="AO245" s="347"/>
      <c r="AP245" s="347"/>
      <c r="AQ245" s="347"/>
      <c r="AR245" s="347"/>
      <c r="AS245" s="347"/>
      <c r="AT245" s="347"/>
      <c r="AU245" s="347"/>
      <c r="AV245" s="347"/>
      <c r="AW245" s="347">
        <f t="shared" si="608"/>
        <v>300</v>
      </c>
      <c r="AX245" s="365">
        <f t="shared" si="609"/>
        <v>17.5575</v>
      </c>
      <c r="AY245" s="365">
        <f t="shared" si="610"/>
        <v>25.26</v>
      </c>
      <c r="AZ245" s="366">
        <v>662.56</v>
      </c>
      <c r="BA245" s="368">
        <v>41.87</v>
      </c>
      <c r="BB245" s="368">
        <v>63.47</v>
      </c>
      <c r="BC245" s="368">
        <v>70.94</v>
      </c>
      <c r="BE245" s="330">
        <f t="shared" si="634"/>
        <v>198768</v>
      </c>
      <c r="BF245" s="330">
        <f t="shared" si="635"/>
        <v>12561</v>
      </c>
      <c r="BG245" s="330">
        <f t="shared" si="636"/>
        <v>19041</v>
      </c>
      <c r="BH245" s="330">
        <f t="shared" si="637"/>
        <v>21282</v>
      </c>
      <c r="BJ245" s="370" cm="1">
        <f t="array" ref="BJ245:BM245">_xlfn.LET(_xlpm.data,$R245:$AV245,_xlpm.starts,{1,8,16,23},_xlpm.lengths,{7,7,8,9},_xlpm.arr,_xlfn.MAP(_xlpm.starts,_xlpm.lengths,_xlfn.LAMBDA(_xlpm.s,_xlpm.l,SUM(INDEX(_xlpm.data,,_xlfn.SEQUENCE(,_xlpm.l,_xlpm.s))))),ROUND(_xlpm.arr*$O245/1000,2))</f>
        <v>0</v>
      </c>
      <c r="BK245" s="330">
        <v>0</v>
      </c>
      <c r="BL245" s="330">
        <v>17.56</v>
      </c>
      <c r="BM245" s="330">
        <v>0</v>
      </c>
      <c r="BN245" s="258">
        <f t="shared" si="611"/>
        <v>17.56</v>
      </c>
      <c r="BO245" s="258">
        <v>0</v>
      </c>
      <c r="BP245" s="258">
        <v>13.68</v>
      </c>
      <c r="BQ245" s="258">
        <v>0</v>
      </c>
      <c r="BR245" s="258">
        <v>0</v>
      </c>
      <c r="BT245" s="258" cm="1">
        <f ca="1" t="array" ref="BT245:BW245">_xlfn.HSTACK(SUM(INDEX($R245:$AV245,1,1):INDEX($R245:$AV245,1,7)),SUM(INDEX($R245:$AV245,1,7):INDEX($R245:$AV245,1,13)),SUM(INDEX($R245:$AV245,1,16):INDEX($R245:$AV245,1,23)),SUM(INDEX($R245:$AV245,1,23):INDEX($R245:$AV245,1,31)))</f>
        <v>0</v>
      </c>
      <c r="BU245" s="258">
        <v>0</v>
      </c>
      <c r="BV245" s="258">
        <v>300</v>
      </c>
      <c r="BW245" s="258">
        <v>0</v>
      </c>
      <c r="BY245" s="258">
        <f t="shared" si="522"/>
        <v>0</v>
      </c>
      <c r="BZ245" s="258">
        <f t="shared" si="523"/>
        <v>0</v>
      </c>
      <c r="CA245" s="258">
        <f t="shared" si="524"/>
        <v>300</v>
      </c>
      <c r="CB245" s="258">
        <f t="shared" si="525"/>
        <v>0</v>
      </c>
      <c r="CE245" s="258">
        <f t="shared" si="612"/>
        <v>0</v>
      </c>
      <c r="CF245" s="258">
        <f t="shared" si="613"/>
        <v>0</v>
      </c>
      <c r="CG245" s="258">
        <f t="shared" si="614"/>
        <v>17.56</v>
      </c>
      <c r="CH245" s="258">
        <f t="shared" si="615"/>
        <v>0</v>
      </c>
      <c r="CI245" s="258">
        <f t="shared" si="616"/>
        <v>17.56</v>
      </c>
      <c r="CK245" s="258">
        <f t="shared" ref="CK245:CN245" si="644">IFERROR(ROUND(BY245*$P245,2),"")</f>
        <v>0</v>
      </c>
      <c r="CL245" s="258">
        <f t="shared" si="644"/>
        <v>0</v>
      </c>
      <c r="CM245" s="258">
        <f t="shared" si="644"/>
        <v>252598.92</v>
      </c>
      <c r="CN245" s="258">
        <f t="shared" si="644"/>
        <v>0</v>
      </c>
      <c r="CO245" s="258">
        <f t="shared" si="521"/>
        <v>252598.92</v>
      </c>
      <c r="CP245" s="258" t="e">
        <f>VLOOKUP(G245,[2]Sheet1!$C$3:$G$310,5,0)</f>
        <v>#N/A</v>
      </c>
      <c r="CQ245" s="258">
        <f>VLOOKUP(G245,[3]KCBB0101!$C$3:$F$691,4,0)</f>
        <v>5300</v>
      </c>
    </row>
    <row r="246" ht="17.6" spans="2:95">
      <c r="B246" s="334" t="str">
        <f>_xlfn.XLOOKUP(G246,销售需求表!A:A,销售需求表!C:C)</f>
        <v>亚</v>
      </c>
      <c r="C246" s="335" t="str">
        <f t="shared" si="633"/>
        <v>20</v>
      </c>
      <c r="D246" s="362" t="str">
        <f t="shared" si="606"/>
        <v>亚20寸</v>
      </c>
      <c r="E246" s="339" t="str">
        <f t="shared" si="547"/>
        <v>10.00R20-18PR(149/146J)-AZ686</v>
      </c>
      <c r="F246" s="340" t="str">
        <f t="shared" si="578"/>
        <v>10.00R20-18PR-AZ686</v>
      </c>
      <c r="G246" s="341" t="s">
        <v>593</v>
      </c>
      <c r="H246" s="334">
        <v>220</v>
      </c>
      <c r="I246" s="345"/>
      <c r="J246" s="346" t="str">
        <f t="shared" si="576"/>
        <v>10.00R20-AZ686</v>
      </c>
      <c r="K246" s="347" t="str">
        <f>_xlfn.XLOOKUP(F246,投产规格!E:E,投产规格!D:D,"未投产")</f>
        <v>✔</v>
      </c>
      <c r="L246" s="347">
        <f>IFERROR(_xlfn.XLOOKUP(F246,硫化工艺!B:B,硫化工艺!C:C),"")</f>
        <v>41</v>
      </c>
      <c r="M246" s="349">
        <f t="shared" si="607"/>
        <v>0.875444839857651</v>
      </c>
      <c r="N246" s="347" t="str">
        <f t="shared" si="642"/>
        <v>20全钢</v>
      </c>
      <c r="O246" s="347">
        <f>IFERROR(_xlfn.XLOOKUP(F246,轮胎重量!J:J,轮胎重量!G:G),"")</f>
        <v>58.525</v>
      </c>
      <c r="P246" s="347">
        <f>IFERROR(_xlfn.XLOOKUP(G246,硫化工艺!I:I,硫化工艺!J:J),"")</f>
        <v>856.0265</v>
      </c>
      <c r="Q246" s="347">
        <f t="shared" si="545"/>
        <v>0</v>
      </c>
      <c r="R246" s="347"/>
      <c r="S246" s="347"/>
      <c r="T246" s="347"/>
      <c r="U246" s="347"/>
      <c r="V246" s="347"/>
      <c r="W246" s="347"/>
      <c r="X246" s="347"/>
      <c r="Y246" s="347"/>
      <c r="Z246" s="347"/>
      <c r="AA246" s="347"/>
      <c r="AB246" s="347"/>
      <c r="AC246" s="347"/>
      <c r="AD246" s="347"/>
      <c r="AE246" s="347"/>
      <c r="AF246" s="347"/>
      <c r="AG246" s="347"/>
      <c r="AH246" s="347"/>
      <c r="AI246" s="347"/>
      <c r="AJ246" s="347"/>
      <c r="AK246" s="347"/>
      <c r="AL246" s="347">
        <v>60</v>
      </c>
      <c r="AM246" s="347">
        <v>60</v>
      </c>
      <c r="AN246" s="347">
        <v>60</v>
      </c>
      <c r="AO246" s="347">
        <v>60</v>
      </c>
      <c r="AP246" s="347">
        <v>60</v>
      </c>
      <c r="AQ246" s="347"/>
      <c r="AR246" s="347"/>
      <c r="AS246" s="347"/>
      <c r="AT246" s="347"/>
      <c r="AU246" s="347"/>
      <c r="AV246" s="347"/>
      <c r="AW246" s="347">
        <f t="shared" si="608"/>
        <v>300</v>
      </c>
      <c r="AX246" s="365">
        <f t="shared" si="609"/>
        <v>17.5575</v>
      </c>
      <c r="AY246" s="365">
        <f t="shared" si="610"/>
        <v>25.681</v>
      </c>
      <c r="AZ246" s="366">
        <v>662.56</v>
      </c>
      <c r="BA246" s="368">
        <v>41.87</v>
      </c>
      <c r="BB246" s="368">
        <v>63.47</v>
      </c>
      <c r="BC246" s="368">
        <v>70.94</v>
      </c>
      <c r="BE246" s="330">
        <f t="shared" si="634"/>
        <v>198768</v>
      </c>
      <c r="BF246" s="330">
        <f t="shared" si="635"/>
        <v>12561</v>
      </c>
      <c r="BG246" s="330">
        <f t="shared" si="636"/>
        <v>19041</v>
      </c>
      <c r="BH246" s="330">
        <f t="shared" si="637"/>
        <v>21282</v>
      </c>
      <c r="BJ246" s="370" cm="1">
        <f t="array" ref="BJ246:BM246">_xlfn.LET(_xlpm.data,$R246:$AV246,_xlpm.starts,{1,8,16,23},_xlpm.lengths,{7,7,8,9},_xlpm.arr,_xlfn.MAP(_xlpm.starts,_xlpm.lengths,_xlfn.LAMBDA(_xlpm.s,_xlpm.l,SUM(INDEX(_xlpm.data,,_xlfn.SEQUENCE(,_xlpm.l,_xlpm.s))))),ROUND(_xlpm.arr*$O246/1000,2))</f>
        <v>0</v>
      </c>
      <c r="BK246" s="330">
        <v>0</v>
      </c>
      <c r="BL246" s="330">
        <v>10.53</v>
      </c>
      <c r="BM246" s="330">
        <v>10.53</v>
      </c>
      <c r="BN246" s="258">
        <f t="shared" si="611"/>
        <v>21.06</v>
      </c>
      <c r="BO246" s="258">
        <v>0</v>
      </c>
      <c r="BP246" s="258">
        <v>13.68</v>
      </c>
      <c r="BQ246" s="258">
        <v>0</v>
      </c>
      <c r="BR246" s="258">
        <v>0</v>
      </c>
      <c r="BT246" s="258" cm="1">
        <f ca="1" t="array" ref="BT246:BW246">_xlfn.HSTACK(SUM(INDEX($R246:$AV246,1,1):INDEX($R246:$AV246,1,7)),SUM(INDEX($R246:$AV246,1,7):INDEX($R246:$AV246,1,13)),SUM(INDEX($R246:$AV246,1,16):INDEX($R246:$AV246,1,23)),SUM(INDEX($R246:$AV246,1,23):INDEX($R246:$AV246,1,31)))</f>
        <v>0</v>
      </c>
      <c r="BU246" s="258">
        <v>0</v>
      </c>
      <c r="BV246" s="258">
        <v>180</v>
      </c>
      <c r="BW246" s="258">
        <v>180</v>
      </c>
      <c r="BY246" s="258">
        <f t="shared" si="522"/>
        <v>0</v>
      </c>
      <c r="BZ246" s="258">
        <f t="shared" si="523"/>
        <v>0</v>
      </c>
      <c r="CA246" s="258">
        <f t="shared" si="524"/>
        <v>120</v>
      </c>
      <c r="CB246" s="258">
        <f t="shared" si="525"/>
        <v>180</v>
      </c>
      <c r="CE246" s="258">
        <f t="shared" si="612"/>
        <v>0</v>
      </c>
      <c r="CF246" s="258">
        <f t="shared" si="613"/>
        <v>0</v>
      </c>
      <c r="CG246" s="258">
        <f t="shared" si="614"/>
        <v>7.02</v>
      </c>
      <c r="CH246" s="258">
        <f t="shared" si="615"/>
        <v>10.53</v>
      </c>
      <c r="CI246" s="258">
        <f t="shared" si="616"/>
        <v>17.55</v>
      </c>
      <c r="CK246" s="258">
        <f t="shared" ref="CK246:CN246" si="645">IFERROR(ROUND(BY246*$P246,2),"")</f>
        <v>0</v>
      </c>
      <c r="CL246" s="258">
        <f t="shared" si="645"/>
        <v>0</v>
      </c>
      <c r="CM246" s="258">
        <f t="shared" si="645"/>
        <v>102723.18</v>
      </c>
      <c r="CN246" s="258">
        <f t="shared" si="645"/>
        <v>154084.77</v>
      </c>
      <c r="CO246" s="258">
        <f t="shared" si="521"/>
        <v>256807.95</v>
      </c>
      <c r="CP246" s="258" t="e">
        <f>VLOOKUP(G246,[2]Sheet1!$C$3:$G$310,5,0)</f>
        <v>#N/A</v>
      </c>
      <c r="CQ246" s="258">
        <f>VLOOKUP(G246,[3]KCBB0101!$C$3:$F$691,4,0)</f>
        <v>5012</v>
      </c>
    </row>
    <row r="247" ht="17.6" spans="2:93">
      <c r="B247" s="334" t="str">
        <f>_xlfn.XLOOKUP(G247,销售需求表!A:A,销售需求表!C:C)</f>
        <v>亚</v>
      </c>
      <c r="C247" s="335" t="str">
        <f t="shared" si="633"/>
        <v>20</v>
      </c>
      <c r="D247" s="362" t="str">
        <f t="shared" si="606"/>
        <v>亚20寸</v>
      </c>
      <c r="E247" s="339" t="str">
        <f t="shared" si="547"/>
        <v>10.00R20-18PR(149/146J)-AZ850</v>
      </c>
      <c r="F247" s="340" t="str">
        <f t="shared" si="578"/>
        <v>10.00R20-18PR-AZ850</v>
      </c>
      <c r="G247" s="339" t="s">
        <v>594</v>
      </c>
      <c r="H247" s="334">
        <v>380</v>
      </c>
      <c r="I247" s="345"/>
      <c r="J247" s="346" t="str">
        <f t="shared" si="576"/>
        <v>10.00R20-AZ850</v>
      </c>
      <c r="K247" s="347" t="str">
        <f>_xlfn.XLOOKUP(F247,投产规格!E:E,投产规格!D:D,"未投产")</f>
        <v>✔</v>
      </c>
      <c r="L247" s="347">
        <f>IFERROR(_xlfn.XLOOKUP(F247,硫化工艺!B:B,硫化工艺!C:C),"")</f>
        <v>41</v>
      </c>
      <c r="M247" s="349">
        <f t="shared" si="607"/>
        <v>0.875444839857651</v>
      </c>
      <c r="N247" s="347" t="str">
        <f t="shared" si="642"/>
        <v>20全钢</v>
      </c>
      <c r="O247" s="347">
        <f>IFERROR(_xlfn.XLOOKUP(F247,轮胎重量!J:J,轮胎重量!G:G),"")</f>
        <v>62.472</v>
      </c>
      <c r="P247" s="347">
        <f>IFERROR(_xlfn.XLOOKUP(G247,硫化工艺!I:I,硫化工艺!J:J),"")</f>
        <v>899.759</v>
      </c>
      <c r="Q247" s="347">
        <f t="shared" si="545"/>
        <v>0</v>
      </c>
      <c r="R247" s="347"/>
      <c r="S247" s="347"/>
      <c r="T247" s="347"/>
      <c r="U247" s="347"/>
      <c r="V247" s="347"/>
      <c r="W247" s="347"/>
      <c r="X247" s="347"/>
      <c r="Y247" s="347"/>
      <c r="Z247" s="347"/>
      <c r="AA247" s="347"/>
      <c r="AB247" s="347"/>
      <c r="AC247" s="347"/>
      <c r="AD247" s="347"/>
      <c r="AE247" s="347"/>
      <c r="AF247" s="347"/>
      <c r="AG247" s="347"/>
      <c r="AH247" s="347"/>
      <c r="AI247" s="347"/>
      <c r="AJ247" s="347"/>
      <c r="AK247" s="347"/>
      <c r="AL247" s="347"/>
      <c r="AM247" s="347"/>
      <c r="AN247" s="347"/>
      <c r="AO247" s="347"/>
      <c r="AP247" s="347"/>
      <c r="AQ247" s="347"/>
      <c r="AR247" s="347"/>
      <c r="AS247" s="347"/>
      <c r="AT247" s="347"/>
      <c r="AU247" s="347"/>
      <c r="AV247" s="347"/>
      <c r="AW247" s="347" t="str">
        <f t="shared" si="608"/>
        <v/>
      </c>
      <c r="AX247" s="365" t="str">
        <f t="shared" si="609"/>
        <v/>
      </c>
      <c r="AY247" s="365" t="str">
        <f t="shared" si="610"/>
        <v/>
      </c>
      <c r="AZ247" s="366">
        <v>662.56</v>
      </c>
      <c r="BA247" s="368">
        <v>41.87</v>
      </c>
      <c r="BB247" s="368">
        <v>63.47</v>
      </c>
      <c r="BC247" s="368">
        <v>70.94</v>
      </c>
      <c r="BE247" s="330" t="e">
        <f t="shared" si="634"/>
        <v>#VALUE!</v>
      </c>
      <c r="BF247" s="330" t="e">
        <f t="shared" si="635"/>
        <v>#VALUE!</v>
      </c>
      <c r="BG247" s="330" t="e">
        <f t="shared" si="636"/>
        <v>#VALUE!</v>
      </c>
      <c r="BH247" s="330" t="e">
        <f t="shared" si="637"/>
        <v>#VALUE!</v>
      </c>
      <c r="BJ247" s="370" cm="1">
        <f t="array" ref="BJ247:BM247">_xlfn.LET(_xlpm.data,$R247:$AV247,_xlpm.starts,{1,8,16,23},_xlpm.lengths,{7,7,8,9},_xlpm.arr,_xlfn.MAP(_xlpm.starts,_xlpm.lengths,_xlfn.LAMBDA(_xlpm.s,_xlpm.l,SUM(INDEX(_xlpm.data,,_xlfn.SEQUENCE(,_xlpm.l,_xlpm.s))))),ROUND(_xlpm.arr*$O247/1000,2))</f>
        <v>0</v>
      </c>
      <c r="BK247" s="330">
        <v>0</v>
      </c>
      <c r="BL247" s="330">
        <v>0</v>
      </c>
      <c r="BM247" s="330">
        <v>0</v>
      </c>
      <c r="BN247" s="258">
        <f t="shared" si="611"/>
        <v>0</v>
      </c>
      <c r="BO247" s="258">
        <v>0</v>
      </c>
      <c r="BP247" s="258">
        <v>13.68</v>
      </c>
      <c r="BQ247" s="258">
        <v>0</v>
      </c>
      <c r="BR247" s="258">
        <v>0</v>
      </c>
      <c r="BT247" s="258" cm="1">
        <f ca="1" t="array" ref="BT247:BW247">_xlfn.HSTACK(SUM(INDEX($R247:$AV247,1,1):INDEX($R247:$AV247,1,7)),SUM(INDEX($R247:$AV247,1,7):INDEX($R247:$AV247,1,13)),SUM(INDEX($R247:$AV247,1,16):INDEX($R247:$AV247,1,23)),SUM(INDEX($R247:$AV247,1,23):INDEX($R247:$AV247,1,31)))</f>
        <v>0</v>
      </c>
      <c r="BU247" s="258">
        <v>0</v>
      </c>
      <c r="BV247" s="258">
        <v>0</v>
      </c>
      <c r="BW247" s="258">
        <v>0</v>
      </c>
      <c r="BY247" s="258">
        <f t="shared" si="522"/>
        <v>0</v>
      </c>
      <c r="BZ247" s="258">
        <f t="shared" si="523"/>
        <v>0</v>
      </c>
      <c r="CA247" s="258">
        <f t="shared" si="524"/>
        <v>0</v>
      </c>
      <c r="CB247" s="258">
        <f t="shared" si="525"/>
        <v>0</v>
      </c>
      <c r="CE247" s="258">
        <f t="shared" si="612"/>
        <v>0</v>
      </c>
      <c r="CF247" s="258">
        <f t="shared" si="613"/>
        <v>0</v>
      </c>
      <c r="CG247" s="258">
        <f t="shared" si="614"/>
        <v>0</v>
      </c>
      <c r="CH247" s="258">
        <f t="shared" si="615"/>
        <v>0</v>
      </c>
      <c r="CI247" s="258">
        <f t="shared" si="616"/>
        <v>0</v>
      </c>
      <c r="CK247" s="258">
        <f t="shared" ref="CK247:CN247" si="646">IFERROR(ROUND(BY247*$P247,2),"")</f>
        <v>0</v>
      </c>
      <c r="CL247" s="258">
        <f t="shared" si="646"/>
        <v>0</v>
      </c>
      <c r="CM247" s="258">
        <f t="shared" si="646"/>
        <v>0</v>
      </c>
      <c r="CN247" s="258">
        <f t="shared" si="646"/>
        <v>0</v>
      </c>
      <c r="CO247" s="258">
        <f t="shared" si="521"/>
        <v>0</v>
      </c>
    </row>
    <row r="248" ht="17.6" spans="2:93">
      <c r="B248" s="334" t="str">
        <f>_xlfn.XLOOKUP(G248,销售需求表!A:A,销售需求表!C:C)</f>
        <v>亚</v>
      </c>
      <c r="C248" s="335" t="str">
        <f t="shared" si="633"/>
        <v>20</v>
      </c>
      <c r="D248" s="362" t="str">
        <f t="shared" si="606"/>
        <v>亚20寸</v>
      </c>
      <c r="E248" s="339" t="str">
        <f t="shared" si="547"/>
        <v>10.00R20-18PR(149/146J)-AZ850</v>
      </c>
      <c r="F248" s="340" t="str">
        <f t="shared" si="578"/>
        <v>10.00R20-18PR-AZ850</v>
      </c>
      <c r="G248" s="339" t="s">
        <v>595</v>
      </c>
      <c r="H248" s="334">
        <v>220</v>
      </c>
      <c r="I248" s="345"/>
      <c r="J248" s="346" t="str">
        <f t="shared" si="576"/>
        <v>10.00R20-AZ850</v>
      </c>
      <c r="K248" s="347" t="str">
        <f>_xlfn.XLOOKUP(F248,投产规格!E:E,投产规格!D:D,"未投产")</f>
        <v>✔</v>
      </c>
      <c r="L248" s="347">
        <f>IFERROR(_xlfn.XLOOKUP(F248,硫化工艺!B:B,硫化工艺!C:C),"")</f>
        <v>41</v>
      </c>
      <c r="M248" s="349">
        <f t="shared" si="607"/>
        <v>0.875444839857651</v>
      </c>
      <c r="N248" s="347" t="str">
        <f t="shared" si="642"/>
        <v>20全钢</v>
      </c>
      <c r="O248" s="347">
        <f>IFERROR(_xlfn.XLOOKUP(F248,轮胎重量!J:J,轮胎重量!G:G),"")</f>
        <v>62.472</v>
      </c>
      <c r="P248" s="347">
        <f>IFERROR(_xlfn.XLOOKUP(G248,硫化工艺!I:I,硫化工艺!J:J),"")</f>
        <v>932.9124</v>
      </c>
      <c r="Q248" s="347">
        <f t="shared" si="545"/>
        <v>0</v>
      </c>
      <c r="R248" s="347"/>
      <c r="S248" s="347"/>
      <c r="T248" s="347"/>
      <c r="U248" s="347"/>
      <c r="V248" s="347"/>
      <c r="W248" s="347"/>
      <c r="X248" s="347"/>
      <c r="Y248" s="347"/>
      <c r="Z248" s="347"/>
      <c r="AA248" s="347"/>
      <c r="AB248" s="347"/>
      <c r="AC248" s="347"/>
      <c r="AD248" s="347"/>
      <c r="AE248" s="347"/>
      <c r="AF248" s="347"/>
      <c r="AG248" s="347"/>
      <c r="AH248" s="347"/>
      <c r="AI248" s="347"/>
      <c r="AJ248" s="347"/>
      <c r="AK248" s="347"/>
      <c r="AL248" s="347"/>
      <c r="AM248" s="347"/>
      <c r="AN248" s="347"/>
      <c r="AO248" s="347"/>
      <c r="AP248" s="347"/>
      <c r="AQ248" s="347"/>
      <c r="AR248" s="347"/>
      <c r="AS248" s="347"/>
      <c r="AT248" s="347"/>
      <c r="AU248" s="347"/>
      <c r="AV248" s="347"/>
      <c r="AW248" s="347" t="str">
        <f t="shared" si="608"/>
        <v/>
      </c>
      <c r="AX248" s="365" t="str">
        <f t="shared" si="609"/>
        <v/>
      </c>
      <c r="AY248" s="365" t="str">
        <f t="shared" si="610"/>
        <v/>
      </c>
      <c r="AZ248" s="366">
        <v>662.56</v>
      </c>
      <c r="BA248" s="368">
        <v>41.87</v>
      </c>
      <c r="BB248" s="368">
        <v>63.47</v>
      </c>
      <c r="BC248" s="368">
        <v>70.94</v>
      </c>
      <c r="BE248" s="330" t="e">
        <f t="shared" si="634"/>
        <v>#VALUE!</v>
      </c>
      <c r="BF248" s="330" t="e">
        <f t="shared" si="635"/>
        <v>#VALUE!</v>
      </c>
      <c r="BG248" s="330" t="e">
        <f t="shared" si="636"/>
        <v>#VALUE!</v>
      </c>
      <c r="BH248" s="330" t="e">
        <f t="shared" si="637"/>
        <v>#VALUE!</v>
      </c>
      <c r="BJ248" s="370" cm="1">
        <f t="array" ref="BJ248:BM248">_xlfn.LET(_xlpm.data,$R248:$AV248,_xlpm.starts,{1,8,16,23},_xlpm.lengths,{7,7,8,9},_xlpm.arr,_xlfn.MAP(_xlpm.starts,_xlpm.lengths,_xlfn.LAMBDA(_xlpm.s,_xlpm.l,SUM(INDEX(_xlpm.data,,_xlfn.SEQUENCE(,_xlpm.l,_xlpm.s))))),ROUND(_xlpm.arr*$O248/1000,2))</f>
        <v>0</v>
      </c>
      <c r="BK248" s="330">
        <v>0</v>
      </c>
      <c r="BL248" s="330">
        <v>0</v>
      </c>
      <c r="BM248" s="330">
        <v>0</v>
      </c>
      <c r="BN248" s="258">
        <f t="shared" si="611"/>
        <v>0</v>
      </c>
      <c r="BO248" s="258">
        <v>0</v>
      </c>
      <c r="BP248" s="258">
        <v>0</v>
      </c>
      <c r="BQ248" s="258">
        <v>0</v>
      </c>
      <c r="BR248" s="258">
        <v>0</v>
      </c>
      <c r="BT248" s="258" cm="1">
        <f ca="1" t="array" ref="BT248:BW248">_xlfn.HSTACK(SUM(INDEX($R248:$AV248,1,1):INDEX($R248:$AV248,1,7)),SUM(INDEX($R248:$AV248,1,7):INDEX($R248:$AV248,1,13)),SUM(INDEX($R248:$AV248,1,16):INDEX($R248:$AV248,1,23)),SUM(INDEX($R248:$AV248,1,23):INDEX($R248:$AV248,1,31)))</f>
        <v>0</v>
      </c>
      <c r="BU248" s="258">
        <v>0</v>
      </c>
      <c r="BV248" s="258">
        <v>0</v>
      </c>
      <c r="BW248" s="258">
        <v>0</v>
      </c>
      <c r="BY248" s="258">
        <f t="shared" si="522"/>
        <v>0</v>
      </c>
      <c r="BZ248" s="258">
        <f t="shared" si="523"/>
        <v>0</v>
      </c>
      <c r="CA248" s="258">
        <f t="shared" si="524"/>
        <v>0</v>
      </c>
      <c r="CB248" s="258">
        <f t="shared" si="525"/>
        <v>0</v>
      </c>
      <c r="CE248" s="258">
        <f t="shared" si="612"/>
        <v>0</v>
      </c>
      <c r="CF248" s="258">
        <f t="shared" si="613"/>
        <v>0</v>
      </c>
      <c r="CG248" s="258">
        <f t="shared" si="614"/>
        <v>0</v>
      </c>
      <c r="CH248" s="258">
        <f t="shared" si="615"/>
        <v>0</v>
      </c>
      <c r="CI248" s="258">
        <f t="shared" si="616"/>
        <v>0</v>
      </c>
      <c r="CK248" s="258">
        <f t="shared" ref="CK248:CN248" si="647">IFERROR(ROUND(BY248*$P248,2),"")</f>
        <v>0</v>
      </c>
      <c r="CL248" s="258">
        <f t="shared" si="647"/>
        <v>0</v>
      </c>
      <c r="CM248" s="258">
        <f t="shared" si="647"/>
        <v>0</v>
      </c>
      <c r="CN248" s="258">
        <f t="shared" si="647"/>
        <v>0</v>
      </c>
      <c r="CO248" s="258">
        <f t="shared" si="521"/>
        <v>0</v>
      </c>
    </row>
    <row r="249" ht="17.6" spans="2:93">
      <c r="B249" s="334" t="str">
        <f>_xlfn.XLOOKUP(G249,销售需求表!A:A,销售需求表!C:C)</f>
        <v>南美</v>
      </c>
      <c r="C249" s="335" t="str">
        <f t="shared" si="633"/>
        <v>20</v>
      </c>
      <c r="D249" s="362" t="str">
        <f t="shared" si="606"/>
        <v>南美20寸</v>
      </c>
      <c r="E249" s="339" t="str">
        <f t="shared" si="547"/>
        <v>10.00R20-18PR(149/146J)-BMA08</v>
      </c>
      <c r="F249" s="340" t="str">
        <f t="shared" ref="F249:F265" si="648">IFERROR(MID(G249,3,FIND("(",G249)-3)&amp;"-"&amp;SUBSTITUTE(MID(G249,FIND("[",G249)+1,FIND("]",G249)-FIND("[",G249)-1),"Strong Guard ",""),"")</f>
        <v>10.00R20-18PR-BMA08</v>
      </c>
      <c r="G249" s="339" t="s">
        <v>596</v>
      </c>
      <c r="H249" s="334">
        <v>120</v>
      </c>
      <c r="I249" s="345"/>
      <c r="J249" s="346" t="str">
        <f t="shared" si="576"/>
        <v>10.00R20-BMA08</v>
      </c>
      <c r="K249" s="347" t="str">
        <f>_xlfn.XLOOKUP(F249,投产规格!E:E,投产规格!D:D,"未投产")</f>
        <v>✔</v>
      </c>
      <c r="L249" s="347">
        <f>IFERROR(_xlfn.XLOOKUP(F249,硫化工艺!B:B,硫化工艺!C:C),"")</f>
        <v>38.5</v>
      </c>
      <c r="M249" s="349">
        <f t="shared" si="607"/>
        <v>0.868421052631579</v>
      </c>
      <c r="N249" s="347" t="str">
        <f t="shared" si="642"/>
        <v>20全钢</v>
      </c>
      <c r="O249" s="347">
        <f>IFERROR(_xlfn.XLOOKUP(F249,轮胎重量!J:J,轮胎重量!G:G),"")</f>
        <v>60.74</v>
      </c>
      <c r="P249" s="350">
        <f>O249*13.9</f>
        <v>844.286</v>
      </c>
      <c r="Q249" s="347">
        <f t="shared" si="545"/>
        <v>0</v>
      </c>
      <c r="R249" s="347"/>
      <c r="S249" s="347"/>
      <c r="T249" s="347"/>
      <c r="U249" s="347"/>
      <c r="V249" s="347"/>
      <c r="W249" s="347"/>
      <c r="X249" s="347"/>
      <c r="Y249" s="347"/>
      <c r="Z249" s="347"/>
      <c r="AA249" s="347"/>
      <c r="AB249" s="347"/>
      <c r="AC249" s="347"/>
      <c r="AD249" s="347"/>
      <c r="AE249" s="347"/>
      <c r="AF249" s="347"/>
      <c r="AG249" s="347"/>
      <c r="AH249" s="347"/>
      <c r="AI249" s="347"/>
      <c r="AJ249" s="347"/>
      <c r="AK249" s="347"/>
      <c r="AL249" s="347"/>
      <c r="AM249" s="347"/>
      <c r="AN249" s="347"/>
      <c r="AO249" s="347"/>
      <c r="AP249" s="347"/>
      <c r="AQ249" s="347"/>
      <c r="AR249" s="347"/>
      <c r="AS249" s="347"/>
      <c r="AT249" s="347"/>
      <c r="AU249" s="347"/>
      <c r="AV249" s="347"/>
      <c r="AW249" s="347" t="str">
        <f t="shared" si="608"/>
        <v/>
      </c>
      <c r="AX249" s="365" t="str">
        <f t="shared" si="609"/>
        <v/>
      </c>
      <c r="AY249" s="365" t="str">
        <f t="shared" si="610"/>
        <v/>
      </c>
      <c r="AZ249" s="366">
        <v>643.94</v>
      </c>
      <c r="BA249" s="368">
        <v>41.3</v>
      </c>
      <c r="BB249" s="368">
        <v>62.99</v>
      </c>
      <c r="BC249" s="368">
        <v>69.71</v>
      </c>
      <c r="BE249" s="330" t="e">
        <f t="shared" si="634"/>
        <v>#VALUE!</v>
      </c>
      <c r="BF249" s="330" t="e">
        <f t="shared" si="635"/>
        <v>#VALUE!</v>
      </c>
      <c r="BG249" s="330" t="e">
        <f t="shared" si="636"/>
        <v>#VALUE!</v>
      </c>
      <c r="BH249" s="330" t="e">
        <f t="shared" si="637"/>
        <v>#VALUE!</v>
      </c>
      <c r="BJ249" s="370" cm="1">
        <f t="array" ref="BJ249:BM249">_xlfn.LET(_xlpm.data,$R249:$AV249,_xlpm.starts,{1,8,16,23},_xlpm.lengths,{7,7,8,9},_xlpm.arr,_xlfn.MAP(_xlpm.starts,_xlpm.lengths,_xlfn.LAMBDA(_xlpm.s,_xlpm.l,SUM(INDEX(_xlpm.data,,_xlfn.SEQUENCE(,_xlpm.l,_xlpm.s))))),ROUND(_xlpm.arr*$O249/1000,2))</f>
        <v>0</v>
      </c>
      <c r="BK249" s="330">
        <v>0</v>
      </c>
      <c r="BL249" s="330">
        <v>0</v>
      </c>
      <c r="BM249" s="330">
        <v>0</v>
      </c>
      <c r="BN249" s="258">
        <f t="shared" si="611"/>
        <v>0</v>
      </c>
      <c r="BO249" s="258">
        <v>0</v>
      </c>
      <c r="BP249" s="258">
        <v>0</v>
      </c>
      <c r="BQ249" s="258">
        <v>0</v>
      </c>
      <c r="BR249" s="258">
        <v>0</v>
      </c>
      <c r="BT249" s="258" cm="1">
        <f ca="1" t="array" ref="BT249:BW249">_xlfn.HSTACK(SUM(INDEX($R249:$AV249,1,1):INDEX($R249:$AV249,1,7)),SUM(INDEX($R249:$AV249,1,7):INDEX($R249:$AV249,1,13)),SUM(INDEX($R249:$AV249,1,16):INDEX($R249:$AV249,1,23)),SUM(INDEX($R249:$AV249,1,23):INDEX($R249:$AV249,1,31)))</f>
        <v>0</v>
      </c>
      <c r="BU249" s="258">
        <v>0</v>
      </c>
      <c r="BV249" s="258">
        <v>0</v>
      </c>
      <c r="BW249" s="258">
        <v>0</v>
      </c>
      <c r="BY249" s="258">
        <f t="shared" si="522"/>
        <v>0</v>
      </c>
      <c r="BZ249" s="258">
        <f t="shared" si="523"/>
        <v>0</v>
      </c>
      <c r="CA249" s="258">
        <f t="shared" si="524"/>
        <v>0</v>
      </c>
      <c r="CB249" s="258">
        <f t="shared" si="525"/>
        <v>0</v>
      </c>
      <c r="CE249" s="258">
        <f t="shared" si="612"/>
        <v>0</v>
      </c>
      <c r="CF249" s="258">
        <f t="shared" si="613"/>
        <v>0</v>
      </c>
      <c r="CG249" s="258">
        <f t="shared" si="614"/>
        <v>0</v>
      </c>
      <c r="CH249" s="258">
        <f t="shared" si="615"/>
        <v>0</v>
      </c>
      <c r="CI249" s="258">
        <f t="shared" si="616"/>
        <v>0</v>
      </c>
      <c r="CK249" s="258">
        <f t="shared" ref="CK249:CN249" si="649">IFERROR(ROUND(BY249*$P249,2),"")</f>
        <v>0</v>
      </c>
      <c r="CL249" s="258">
        <f t="shared" si="649"/>
        <v>0</v>
      </c>
      <c r="CM249" s="258">
        <f t="shared" si="649"/>
        <v>0</v>
      </c>
      <c r="CN249" s="258">
        <f t="shared" si="649"/>
        <v>0</v>
      </c>
      <c r="CO249" s="258">
        <f t="shared" si="521"/>
        <v>0</v>
      </c>
    </row>
    <row r="250" s="258" customFormat="1" ht="17.6" spans="1:95">
      <c r="A250" s="330"/>
      <c r="B250" s="334" t="str">
        <f>_xlfn.XLOOKUP(G250,销售需求表!A:A,销售需求表!C:C)</f>
        <v>亚</v>
      </c>
      <c r="C250" s="335" t="str">
        <f t="shared" si="633"/>
        <v>20</v>
      </c>
      <c r="D250" s="362" t="str">
        <f t="shared" si="606"/>
        <v>亚20寸</v>
      </c>
      <c r="E250" s="339" t="str">
        <f t="shared" si="547"/>
        <v>10.00R20-18PR(149/146J)-CM988</v>
      </c>
      <c r="F250" s="340" t="str">
        <f t="shared" si="648"/>
        <v>10.00R20-18PR-CM988</v>
      </c>
      <c r="G250" s="341" t="s">
        <v>597</v>
      </c>
      <c r="H250" s="334">
        <v>820</v>
      </c>
      <c r="I250" s="345">
        <v>2</v>
      </c>
      <c r="J250" s="346" t="str">
        <f t="shared" si="576"/>
        <v>10.00R20-CM988</v>
      </c>
      <c r="K250" s="347" t="str">
        <f>_xlfn.XLOOKUP(F250,投产规格!E:E,投产规格!D:D,"未投产")</f>
        <v>✔</v>
      </c>
      <c r="L250" s="347">
        <f>IFERROR(_xlfn.XLOOKUP(F250,硫化工艺!B:B,硫化工艺!C:C),"")</f>
        <v>41</v>
      </c>
      <c r="M250" s="349">
        <f t="shared" si="607"/>
        <v>0.875444839857651</v>
      </c>
      <c r="N250" s="347" t="str">
        <f t="shared" si="642"/>
        <v>20全钢</v>
      </c>
      <c r="O250" s="347">
        <f>IFERROR(_xlfn.XLOOKUP(F250,轮胎重量!J:J,轮胎重量!G:G),"")</f>
        <v>63.277</v>
      </c>
      <c r="P250" s="347">
        <f>IFERROR(_xlfn.XLOOKUP(G250,硫化工艺!I:I,硫化工艺!J:J),"")</f>
        <v>923.8208</v>
      </c>
      <c r="Q250" s="347">
        <f t="shared" si="545"/>
        <v>61</v>
      </c>
      <c r="R250" s="347">
        <v>60</v>
      </c>
      <c r="S250" s="347">
        <v>60</v>
      </c>
      <c r="T250" s="347">
        <v>60</v>
      </c>
      <c r="U250" s="347">
        <v>60</v>
      </c>
      <c r="V250" s="347">
        <v>60</v>
      </c>
      <c r="W250" s="347">
        <v>60</v>
      </c>
      <c r="X250" s="347">
        <v>60</v>
      </c>
      <c r="Y250" s="347">
        <v>60</v>
      </c>
      <c r="Z250" s="347">
        <v>60</v>
      </c>
      <c r="AA250" s="347">
        <v>60</v>
      </c>
      <c r="AB250" s="347">
        <v>60</v>
      </c>
      <c r="AC250" s="347">
        <v>60</v>
      </c>
      <c r="AD250" s="347">
        <v>60</v>
      </c>
      <c r="AE250" s="347">
        <v>60</v>
      </c>
      <c r="AF250" s="347">
        <v>60</v>
      </c>
      <c r="AG250" s="347"/>
      <c r="AH250" s="347"/>
      <c r="AI250" s="347"/>
      <c r="AJ250" s="347"/>
      <c r="AK250" s="347"/>
      <c r="AL250" s="347"/>
      <c r="AM250" s="347"/>
      <c r="AN250" s="347"/>
      <c r="AO250" s="347"/>
      <c r="AP250" s="347"/>
      <c r="AQ250" s="347"/>
      <c r="AR250" s="347"/>
      <c r="AS250" s="347"/>
      <c r="AT250" s="347"/>
      <c r="AU250" s="347"/>
      <c r="AV250" s="347"/>
      <c r="AW250" s="347">
        <f t="shared" si="608"/>
        <v>900</v>
      </c>
      <c r="AX250" s="365">
        <f t="shared" si="609"/>
        <v>56.9493</v>
      </c>
      <c r="AY250" s="365">
        <f t="shared" si="610"/>
        <v>83.144</v>
      </c>
      <c r="AZ250" s="366">
        <v>643.94</v>
      </c>
      <c r="BA250" s="368">
        <v>41.3</v>
      </c>
      <c r="BB250" s="368">
        <v>62.99</v>
      </c>
      <c r="BC250" s="368">
        <v>69.71</v>
      </c>
      <c r="BD250" s="330"/>
      <c r="BE250" s="330">
        <f t="shared" si="634"/>
        <v>579546</v>
      </c>
      <c r="BF250" s="330">
        <f t="shared" si="635"/>
        <v>37170</v>
      </c>
      <c r="BG250" s="330">
        <f t="shared" si="636"/>
        <v>56691</v>
      </c>
      <c r="BH250" s="330">
        <f t="shared" si="637"/>
        <v>62739</v>
      </c>
      <c r="BI250" s="330"/>
      <c r="BJ250" s="370" cm="1">
        <f t="array" ref="BJ250:BM250">_xlfn.LET(_xlpm.data,$R250:$AV250,_xlpm.starts,{1,8,16,23},_xlpm.lengths,{7,7,8,9},_xlpm.arr,_xlfn.MAP(_xlpm.starts,_xlpm.lengths,_xlfn.LAMBDA(_xlpm.s,_xlpm.l,SUM(INDEX(_xlpm.data,,_xlfn.SEQUENCE(,_xlpm.l,_xlpm.s))))),ROUND(_xlpm.arr*$O250/1000,2))</f>
        <v>26.58</v>
      </c>
      <c r="BK250" s="330">
        <v>26.58</v>
      </c>
      <c r="BL250" s="330">
        <v>0</v>
      </c>
      <c r="BM250" s="330">
        <v>0</v>
      </c>
      <c r="BN250" s="258">
        <f t="shared" si="611"/>
        <v>53.16</v>
      </c>
      <c r="BO250" s="258">
        <v>25.02</v>
      </c>
      <c r="BP250" s="258">
        <v>10.72</v>
      </c>
      <c r="BQ250" s="258">
        <v>0</v>
      </c>
      <c r="BR250" s="258">
        <v>0</v>
      </c>
      <c r="BS250" s="115"/>
      <c r="BT250" s="258" cm="1">
        <f ca="1" t="array" ref="BT250:BW250">_xlfn.HSTACK(SUM(INDEX($R250:$AV250,1,1):INDEX($R250:$AV250,1,7)),SUM(INDEX($R250:$AV250,1,7):INDEX($R250:$AV250,1,13)),SUM(INDEX($R250:$AV250,1,16):INDEX($R250:$AV250,1,23)),SUM(INDEX($R250:$AV250,1,23):INDEX($R250:$AV250,1,31)))</f>
        <v>420</v>
      </c>
      <c r="BU250" s="258">
        <v>420</v>
      </c>
      <c r="BV250" s="258">
        <v>0</v>
      </c>
      <c r="BW250" s="258">
        <v>0</v>
      </c>
      <c r="BY250" s="258">
        <f t="shared" si="522"/>
        <v>420</v>
      </c>
      <c r="BZ250" s="258">
        <f t="shared" si="523"/>
        <v>420</v>
      </c>
      <c r="CA250" s="258">
        <f t="shared" si="524"/>
        <v>60</v>
      </c>
      <c r="CB250" s="258">
        <f t="shared" si="525"/>
        <v>0</v>
      </c>
      <c r="CD250" s="113"/>
      <c r="CE250" s="258">
        <f t="shared" si="612"/>
        <v>26.58</v>
      </c>
      <c r="CF250" s="258">
        <f t="shared" si="613"/>
        <v>26.58</v>
      </c>
      <c r="CG250" s="258">
        <f t="shared" si="614"/>
        <v>3.8</v>
      </c>
      <c r="CH250" s="258">
        <f t="shared" si="615"/>
        <v>0</v>
      </c>
      <c r="CI250" s="258">
        <f t="shared" si="616"/>
        <v>56.96</v>
      </c>
      <c r="CJ250" s="113"/>
      <c r="CK250" s="258">
        <f t="shared" ref="CK250:CN250" si="650">IFERROR(ROUND(BY250*$P250,2),"")</f>
        <v>388004.74</v>
      </c>
      <c r="CL250" s="258">
        <f t="shared" si="650"/>
        <v>388004.74</v>
      </c>
      <c r="CM250" s="258">
        <f t="shared" si="650"/>
        <v>55429.25</v>
      </c>
      <c r="CN250" s="258">
        <f t="shared" si="650"/>
        <v>0</v>
      </c>
      <c r="CO250" s="258">
        <f t="shared" si="521"/>
        <v>831438.73</v>
      </c>
      <c r="CP250" s="258">
        <f>VLOOKUP(G250,[2]Sheet1!$C$3:$G$310,5,0)</f>
        <v>8200</v>
      </c>
      <c r="CQ250" s="258" t="e">
        <f>VLOOKUP(G250,[3]KCBB0101!$C$3:$F$691,4,0)</f>
        <v>#N/A</v>
      </c>
    </row>
    <row r="251" ht="17.6" spans="2:95">
      <c r="B251" s="334" t="str">
        <f>_xlfn.XLOOKUP(G251,销售需求表!A:A,销售需求表!C:C)</f>
        <v>亚</v>
      </c>
      <c r="C251" s="335" t="str">
        <f t="shared" si="633"/>
        <v>20</v>
      </c>
      <c r="D251" s="362" t="str">
        <f t="shared" si="606"/>
        <v>亚20寸</v>
      </c>
      <c r="E251" s="339" t="str">
        <f t="shared" si="547"/>
        <v>10.00R20-18PR(149/146J)-CR926</v>
      </c>
      <c r="F251" s="340" t="str">
        <f t="shared" si="648"/>
        <v>10.00R20-18PR-CR926</v>
      </c>
      <c r="G251" s="341" t="s">
        <v>598</v>
      </c>
      <c r="H251" s="334">
        <v>3800</v>
      </c>
      <c r="I251" s="345">
        <v>2</v>
      </c>
      <c r="J251" s="346" t="str">
        <f t="shared" si="576"/>
        <v>10.00R20-CR926</v>
      </c>
      <c r="K251" s="347" t="str">
        <f>_xlfn.XLOOKUP(F251,投产规格!E:E,投产规格!D:D,"未投产")</f>
        <v>✔</v>
      </c>
      <c r="L251" s="347">
        <f>IFERROR(_xlfn.XLOOKUP(F251,硫化工艺!B:B,硫化工艺!C:C),"")</f>
        <v>39</v>
      </c>
      <c r="M251" s="349">
        <f t="shared" si="607"/>
        <v>0.869888475836431</v>
      </c>
      <c r="N251" s="347" t="str">
        <f t="shared" si="642"/>
        <v>20全钢</v>
      </c>
      <c r="O251" s="347">
        <f>IFERROR(_xlfn.XLOOKUP(F251,轮胎重量!J:J,轮胎重量!G:G),"")</f>
        <v>60.575</v>
      </c>
      <c r="P251" s="347">
        <f>IFERROR(_xlfn.XLOOKUP(G251,硫化工艺!I:I,硫化工艺!J:J),"")</f>
        <v>864.6183</v>
      </c>
      <c r="Q251" s="347">
        <f t="shared" si="545"/>
        <v>64</v>
      </c>
      <c r="R251" s="347">
        <v>60</v>
      </c>
      <c r="S251" s="347">
        <v>60</v>
      </c>
      <c r="T251" s="347">
        <v>60</v>
      </c>
      <c r="U251" s="347">
        <v>60</v>
      </c>
      <c r="V251" s="347">
        <v>60</v>
      </c>
      <c r="W251" s="347">
        <v>60</v>
      </c>
      <c r="X251" s="347">
        <v>60</v>
      </c>
      <c r="Y251" s="347">
        <v>60</v>
      </c>
      <c r="Z251" s="347">
        <v>60</v>
      </c>
      <c r="AA251" s="347">
        <v>60</v>
      </c>
      <c r="AB251" s="347">
        <v>60</v>
      </c>
      <c r="AC251" s="347">
        <v>60</v>
      </c>
      <c r="AD251" s="347">
        <v>60</v>
      </c>
      <c r="AE251" s="347">
        <v>60</v>
      </c>
      <c r="AF251" s="347">
        <v>60</v>
      </c>
      <c r="AG251" s="347">
        <v>60</v>
      </c>
      <c r="AH251" s="347">
        <v>60</v>
      </c>
      <c r="AI251" s="347">
        <v>60</v>
      </c>
      <c r="AJ251" s="347">
        <v>60</v>
      </c>
      <c r="AK251" s="347">
        <v>60</v>
      </c>
      <c r="AL251" s="347">
        <v>60</v>
      </c>
      <c r="AM251" s="347">
        <v>60</v>
      </c>
      <c r="AN251" s="347">
        <v>60</v>
      </c>
      <c r="AO251" s="347">
        <v>60</v>
      </c>
      <c r="AP251" s="347">
        <v>60</v>
      </c>
      <c r="AQ251" s="347">
        <v>60</v>
      </c>
      <c r="AR251" s="347">
        <v>60</v>
      </c>
      <c r="AS251" s="347">
        <v>60</v>
      </c>
      <c r="AT251" s="347">
        <v>60</v>
      </c>
      <c r="AU251" s="347">
        <v>60</v>
      </c>
      <c r="AV251" s="347">
        <v>60</v>
      </c>
      <c r="AW251" s="347">
        <f t="shared" si="608"/>
        <v>1860</v>
      </c>
      <c r="AX251" s="365">
        <f t="shared" si="609"/>
        <v>112.6695</v>
      </c>
      <c r="AY251" s="365">
        <f t="shared" si="610"/>
        <v>160.819</v>
      </c>
      <c r="AZ251" s="366">
        <v>630.63</v>
      </c>
      <c r="BA251" s="368">
        <v>40.39</v>
      </c>
      <c r="BB251" s="368">
        <v>61.99</v>
      </c>
      <c r="BC251" s="368">
        <v>68.43</v>
      </c>
      <c r="BE251" s="330">
        <f t="shared" si="634"/>
        <v>1172971.8</v>
      </c>
      <c r="BF251" s="330">
        <f t="shared" si="635"/>
        <v>75125.4</v>
      </c>
      <c r="BG251" s="330">
        <f t="shared" si="636"/>
        <v>115301.4</v>
      </c>
      <c r="BH251" s="330">
        <f t="shared" si="637"/>
        <v>127279.8</v>
      </c>
      <c r="BJ251" s="370" cm="1">
        <f t="array" ref="BJ251:BM251">_xlfn.LET(_xlpm.data,$R251:$AV251,_xlpm.starts,{1,8,16,23},_xlpm.lengths,{7,7,8,9},_xlpm.arr,_xlfn.MAP(_xlpm.starts,_xlpm.lengths,_xlfn.LAMBDA(_xlpm.s,_xlpm.l,SUM(INDEX(_xlpm.data,,_xlfn.SEQUENCE(,_xlpm.l,_xlpm.s))))),ROUND(_xlpm.arr*$O251/1000,2))</f>
        <v>25.44</v>
      </c>
      <c r="BK251" s="330">
        <v>25.44</v>
      </c>
      <c r="BL251" s="330">
        <v>29.08</v>
      </c>
      <c r="BM251" s="330">
        <v>32.71</v>
      </c>
      <c r="BN251" s="258">
        <f t="shared" si="611"/>
        <v>112.67</v>
      </c>
      <c r="BO251" s="258">
        <v>0</v>
      </c>
      <c r="BP251" s="258">
        <v>15.26</v>
      </c>
      <c r="BQ251" s="258">
        <v>0</v>
      </c>
      <c r="BR251" s="258">
        <v>0</v>
      </c>
      <c r="BT251" s="258" cm="1">
        <f ca="1" t="array" ref="BT251:BW251">_xlfn.HSTACK(SUM(INDEX($R251:$AV251,1,1):INDEX($R251:$AV251,1,7)),SUM(INDEX($R251:$AV251,1,7):INDEX($R251:$AV251,1,13)),SUM(INDEX($R251:$AV251,1,16):INDEX($R251:$AV251,1,23)),SUM(INDEX($R251:$AV251,1,23):INDEX($R251:$AV251,1,31)))</f>
        <v>420</v>
      </c>
      <c r="BU251" s="258">
        <v>420</v>
      </c>
      <c r="BV251" s="258">
        <v>480</v>
      </c>
      <c r="BW251" s="258">
        <v>540</v>
      </c>
      <c r="BY251" s="258">
        <f t="shared" si="522"/>
        <v>420</v>
      </c>
      <c r="BZ251" s="258">
        <f t="shared" si="523"/>
        <v>420</v>
      </c>
      <c r="CA251" s="258">
        <f t="shared" si="524"/>
        <v>480</v>
      </c>
      <c r="CB251" s="258">
        <f t="shared" si="525"/>
        <v>540</v>
      </c>
      <c r="CE251" s="258">
        <f t="shared" si="612"/>
        <v>25.44</v>
      </c>
      <c r="CF251" s="258">
        <f t="shared" si="613"/>
        <v>25.44</v>
      </c>
      <c r="CG251" s="258">
        <f t="shared" si="614"/>
        <v>29.08</v>
      </c>
      <c r="CH251" s="258">
        <f t="shared" si="615"/>
        <v>32.71</v>
      </c>
      <c r="CI251" s="258">
        <f t="shared" si="616"/>
        <v>112.67</v>
      </c>
      <c r="CK251" s="258">
        <f t="shared" ref="CK251:CN251" si="651">IFERROR(ROUND(BY251*$P251,2),"")</f>
        <v>363139.69</v>
      </c>
      <c r="CL251" s="258">
        <f t="shared" si="651"/>
        <v>363139.69</v>
      </c>
      <c r="CM251" s="258">
        <f t="shared" si="651"/>
        <v>415016.78</v>
      </c>
      <c r="CN251" s="258">
        <f t="shared" si="651"/>
        <v>466893.88</v>
      </c>
      <c r="CO251" s="258">
        <f t="shared" si="521"/>
        <v>1608190.04</v>
      </c>
      <c r="CP251" s="258" t="e">
        <f>VLOOKUP(G251,[2]Sheet1!$C$3:$G$310,5,0)</f>
        <v>#N/A</v>
      </c>
      <c r="CQ251" s="258">
        <f>VLOOKUP(G251,[3]KCBB0101!$C$3:$F$691,4,0)</f>
        <v>3500</v>
      </c>
    </row>
    <row r="252" ht="17.6" spans="2:95">
      <c r="B252" s="334" t="str">
        <f>_xlfn.XLOOKUP(G252,销售需求表!A:A,销售需求表!C:C)</f>
        <v>亚</v>
      </c>
      <c r="C252" s="335" t="str">
        <f t="shared" si="633"/>
        <v>20</v>
      </c>
      <c r="D252" s="362" t="str">
        <f t="shared" si="606"/>
        <v>亚20寸</v>
      </c>
      <c r="E252" s="339" t="str">
        <f t="shared" si="547"/>
        <v>10.00R20-18PR(149/146J)-CR926</v>
      </c>
      <c r="F252" s="340" t="str">
        <f t="shared" si="648"/>
        <v>10.00R20-18PR-CR926</v>
      </c>
      <c r="G252" s="341" t="s">
        <v>599</v>
      </c>
      <c r="H252" s="334">
        <v>350</v>
      </c>
      <c r="I252" s="345">
        <v>2</v>
      </c>
      <c r="J252" s="346" t="str">
        <f t="shared" si="576"/>
        <v>10.00R20-CR926</v>
      </c>
      <c r="K252" s="347" t="str">
        <f>_xlfn.XLOOKUP(F252,投产规格!E:E,投产规格!D:D,"未投产")</f>
        <v>✔</v>
      </c>
      <c r="L252" s="347">
        <f>IFERROR(_xlfn.XLOOKUP(F252,硫化工艺!B:B,硫化工艺!C:C),"")</f>
        <v>39</v>
      </c>
      <c r="M252" s="349">
        <f t="shared" si="607"/>
        <v>0.869888475836431</v>
      </c>
      <c r="N252" s="347" t="str">
        <f t="shared" si="642"/>
        <v>20全钢</v>
      </c>
      <c r="O252" s="347">
        <f>IFERROR(_xlfn.XLOOKUP(F252,轮胎重量!J:J,轮胎重量!G:G),"")</f>
        <v>60.575</v>
      </c>
      <c r="P252" s="347">
        <f>IFERROR(_xlfn.XLOOKUP(G252,硫化工艺!I:I,硫化工艺!J:J),"")</f>
        <v>865.848641</v>
      </c>
      <c r="Q252" s="347">
        <f t="shared" si="545"/>
        <v>64</v>
      </c>
      <c r="R252" s="347">
        <v>60</v>
      </c>
      <c r="S252" s="347">
        <v>60</v>
      </c>
      <c r="T252" s="347">
        <v>60</v>
      </c>
      <c r="U252" s="347">
        <v>60</v>
      </c>
      <c r="V252" s="347">
        <v>60</v>
      </c>
      <c r="W252" s="347">
        <v>60</v>
      </c>
      <c r="X252" s="347"/>
      <c r="Y252" s="347"/>
      <c r="Z252" s="347"/>
      <c r="AA252" s="347"/>
      <c r="AB252" s="347"/>
      <c r="AC252" s="347"/>
      <c r="AD252" s="347"/>
      <c r="AE252" s="347"/>
      <c r="AF252" s="347"/>
      <c r="AG252" s="347"/>
      <c r="AH252" s="347"/>
      <c r="AI252" s="347"/>
      <c r="AJ252" s="347"/>
      <c r="AK252" s="347"/>
      <c r="AL252" s="347"/>
      <c r="AM252" s="347"/>
      <c r="AN252" s="347"/>
      <c r="AO252" s="347"/>
      <c r="AP252" s="347"/>
      <c r="AQ252" s="347"/>
      <c r="AR252" s="347"/>
      <c r="AS252" s="347"/>
      <c r="AT252" s="347"/>
      <c r="AU252" s="347"/>
      <c r="AV252" s="347"/>
      <c r="AW252" s="347">
        <f t="shared" si="608"/>
        <v>360</v>
      </c>
      <c r="AX252" s="365">
        <f t="shared" si="609"/>
        <v>21.807</v>
      </c>
      <c r="AY252" s="365">
        <f t="shared" si="610"/>
        <v>31.171</v>
      </c>
      <c r="AZ252" s="367"/>
      <c r="BE252" s="330">
        <f t="shared" si="634"/>
        <v>0</v>
      </c>
      <c r="BF252" s="330">
        <f t="shared" si="635"/>
        <v>0</v>
      </c>
      <c r="BG252" s="330">
        <f t="shared" si="636"/>
        <v>0</v>
      </c>
      <c r="BH252" s="330">
        <f t="shared" si="637"/>
        <v>0</v>
      </c>
      <c r="BJ252" s="370" cm="1">
        <f t="array" ref="BJ252:BM252">_xlfn.LET(_xlpm.data,$R252:$AV252,_xlpm.starts,{1,8,16,23},_xlpm.lengths,{7,7,8,9},_xlpm.arr,_xlfn.MAP(_xlpm.starts,_xlpm.lengths,_xlfn.LAMBDA(_xlpm.s,_xlpm.l,SUM(INDEX(_xlpm.data,,_xlfn.SEQUENCE(,_xlpm.l,_xlpm.s))))),ROUND(_xlpm.arr*$O252/1000,2))</f>
        <v>21.81</v>
      </c>
      <c r="BK252" s="330">
        <v>0</v>
      </c>
      <c r="BL252" s="330">
        <v>0</v>
      </c>
      <c r="BM252" s="330">
        <v>0</v>
      </c>
      <c r="BN252" s="258">
        <f t="shared" si="611"/>
        <v>21.81</v>
      </c>
      <c r="BO252" s="258">
        <v>0</v>
      </c>
      <c r="BP252" s="258">
        <v>0</v>
      </c>
      <c r="BQ252" s="258">
        <v>8.92</v>
      </c>
      <c r="BR252" s="258">
        <v>0</v>
      </c>
      <c r="BT252" s="258" cm="1">
        <f ca="1" t="array" ref="BT252:BW252">_xlfn.HSTACK(SUM(INDEX($R252:$AV252,1,1):INDEX($R252:$AV252,1,7)),SUM(INDEX($R252:$AV252,1,7):INDEX($R252:$AV252,1,13)),SUM(INDEX($R252:$AV252,1,16):INDEX($R252:$AV252,1,23)),SUM(INDEX($R252:$AV252,1,23):INDEX($R252:$AV252,1,31)))</f>
        <v>360</v>
      </c>
      <c r="BU252" s="258">
        <v>0</v>
      </c>
      <c r="BV252" s="258">
        <v>0</v>
      </c>
      <c r="BW252" s="258">
        <v>0</v>
      </c>
      <c r="BY252" s="258">
        <f t="shared" si="522"/>
        <v>360</v>
      </c>
      <c r="BZ252" s="258">
        <f t="shared" si="523"/>
        <v>0</v>
      </c>
      <c r="CA252" s="258">
        <f t="shared" si="524"/>
        <v>0</v>
      </c>
      <c r="CB252" s="258">
        <f t="shared" si="525"/>
        <v>0</v>
      </c>
      <c r="CE252" s="258">
        <f t="shared" si="612"/>
        <v>21.81</v>
      </c>
      <c r="CF252" s="258">
        <f t="shared" si="613"/>
        <v>0</v>
      </c>
      <c r="CG252" s="258">
        <f t="shared" si="614"/>
        <v>0</v>
      </c>
      <c r="CH252" s="258">
        <f t="shared" si="615"/>
        <v>0</v>
      </c>
      <c r="CI252" s="258">
        <f t="shared" si="616"/>
        <v>21.81</v>
      </c>
      <c r="CK252" s="258">
        <f t="shared" ref="CK252:CN252" si="652">IFERROR(ROUND(BY252*$P252,2),"")</f>
        <v>311705.51</v>
      </c>
      <c r="CL252" s="258">
        <f t="shared" si="652"/>
        <v>0</v>
      </c>
      <c r="CM252" s="258">
        <f t="shared" si="652"/>
        <v>0</v>
      </c>
      <c r="CN252" s="258">
        <f t="shared" si="652"/>
        <v>0</v>
      </c>
      <c r="CO252" s="258">
        <f t="shared" si="521"/>
        <v>311705.51</v>
      </c>
      <c r="CP252" s="258" t="e">
        <f>VLOOKUP(G252,[2]Sheet1!$C$3:$G$310,5,0)</f>
        <v>#N/A</v>
      </c>
      <c r="CQ252" s="258">
        <f>VLOOKUP(G252,[3]KCBB0101!$C$3:$F$691,4,0)</f>
        <v>5701</v>
      </c>
    </row>
    <row r="253" ht="17.6" spans="2:95">
      <c r="B253" s="334" t="str">
        <f>_xlfn.XLOOKUP(G253,销售需求表!A:A,销售需求表!C:C)</f>
        <v>亚</v>
      </c>
      <c r="C253" s="335" t="str">
        <f t="shared" si="633"/>
        <v>20</v>
      </c>
      <c r="D253" s="362" t="str">
        <f t="shared" si="606"/>
        <v>亚20寸</v>
      </c>
      <c r="E253" s="339" t="str">
        <f t="shared" si="547"/>
        <v>10.00R20-18PR(149/146J)-CR926</v>
      </c>
      <c r="F253" s="340" t="str">
        <f t="shared" si="648"/>
        <v>10.00R20-18PR-CR926</v>
      </c>
      <c r="G253" s="341" t="s">
        <v>600</v>
      </c>
      <c r="H253" s="334">
        <v>1800</v>
      </c>
      <c r="I253" s="345">
        <v>2</v>
      </c>
      <c r="J253" s="346" t="str">
        <f t="shared" si="576"/>
        <v>10.00R20-CR926</v>
      </c>
      <c r="K253" s="347" t="str">
        <f>_xlfn.XLOOKUP(F253,投产规格!E:E,投产规格!D:D,"未投产")</f>
        <v>✔</v>
      </c>
      <c r="L253" s="347">
        <f>IFERROR(_xlfn.XLOOKUP(F253,硫化工艺!B:B,硫化工艺!C:C),"")</f>
        <v>39</v>
      </c>
      <c r="M253" s="349">
        <f t="shared" si="607"/>
        <v>0.869888475836431</v>
      </c>
      <c r="N253" s="347" t="str">
        <f t="shared" si="642"/>
        <v>20全钢</v>
      </c>
      <c r="O253" s="347">
        <f>IFERROR(_xlfn.XLOOKUP(F253,轮胎重量!J:J,轮胎重量!G:G),"")</f>
        <v>60.575</v>
      </c>
      <c r="P253" s="347">
        <f>IFERROR(_xlfn.XLOOKUP(G253,硫化工艺!I:I,硫化工艺!J:J),"")</f>
        <v>902.417341</v>
      </c>
      <c r="Q253" s="347">
        <f t="shared" si="545"/>
        <v>64</v>
      </c>
      <c r="R253" s="347">
        <v>60</v>
      </c>
      <c r="S253" s="347">
        <v>60</v>
      </c>
      <c r="T253" s="347">
        <v>60</v>
      </c>
      <c r="U253" s="347">
        <v>60</v>
      </c>
      <c r="V253" s="347">
        <v>60</v>
      </c>
      <c r="W253" s="347">
        <v>60</v>
      </c>
      <c r="X253" s="347">
        <v>60</v>
      </c>
      <c r="Y253" s="347">
        <v>60</v>
      </c>
      <c r="Z253" s="347">
        <v>60</v>
      </c>
      <c r="AA253" s="347">
        <v>60</v>
      </c>
      <c r="AB253" s="347">
        <v>60</v>
      </c>
      <c r="AC253" s="347">
        <v>60</v>
      </c>
      <c r="AD253" s="347">
        <v>60</v>
      </c>
      <c r="AE253" s="347">
        <v>60</v>
      </c>
      <c r="AF253" s="347">
        <v>60</v>
      </c>
      <c r="AG253" s="347">
        <v>60</v>
      </c>
      <c r="AH253" s="347">
        <v>60</v>
      </c>
      <c r="AI253" s="347">
        <v>60</v>
      </c>
      <c r="AJ253" s="347">
        <v>60</v>
      </c>
      <c r="AK253" s="347">
        <v>60</v>
      </c>
      <c r="AL253" s="347">
        <v>60</v>
      </c>
      <c r="AM253" s="347">
        <v>60</v>
      </c>
      <c r="AN253" s="347">
        <v>60</v>
      </c>
      <c r="AO253" s="347">
        <v>60</v>
      </c>
      <c r="AP253" s="347">
        <v>60</v>
      </c>
      <c r="AQ253" s="347">
        <v>60</v>
      </c>
      <c r="AR253" s="347">
        <v>60</v>
      </c>
      <c r="AS253" s="347">
        <v>60</v>
      </c>
      <c r="AT253" s="347">
        <v>60</v>
      </c>
      <c r="AU253" s="347">
        <v>60</v>
      </c>
      <c r="AV253" s="347">
        <v>60</v>
      </c>
      <c r="AW253" s="347">
        <f t="shared" si="608"/>
        <v>1860</v>
      </c>
      <c r="AX253" s="365">
        <f t="shared" si="609"/>
        <v>112.6695</v>
      </c>
      <c r="AY253" s="365">
        <f t="shared" si="610"/>
        <v>167.85</v>
      </c>
      <c r="AZ253" s="367"/>
      <c r="BE253" s="330">
        <f t="shared" si="634"/>
        <v>0</v>
      </c>
      <c r="BF253" s="330">
        <f t="shared" si="635"/>
        <v>0</v>
      </c>
      <c r="BG253" s="330">
        <f t="shared" si="636"/>
        <v>0</v>
      </c>
      <c r="BH253" s="330">
        <f t="shared" si="637"/>
        <v>0</v>
      </c>
      <c r="BJ253" s="370" cm="1">
        <f t="array" ref="BJ253:BM253">_xlfn.LET(_xlpm.data,$R253:$AV253,_xlpm.starts,{1,8,16,23},_xlpm.lengths,{7,7,8,9},_xlpm.arr,_xlfn.MAP(_xlpm.starts,_xlpm.lengths,_xlfn.LAMBDA(_xlpm.s,_xlpm.l,SUM(INDEX(_xlpm.data,,_xlfn.SEQUENCE(,_xlpm.l,_xlpm.s))))),ROUND(_xlpm.arr*$O253/1000,2))</f>
        <v>25.44</v>
      </c>
      <c r="BK253" s="330">
        <v>25.44</v>
      </c>
      <c r="BL253" s="330">
        <v>29.08</v>
      </c>
      <c r="BM253" s="330">
        <v>32.71</v>
      </c>
      <c r="BN253" s="258">
        <f t="shared" si="611"/>
        <v>112.67</v>
      </c>
      <c r="BO253" s="258">
        <v>0</v>
      </c>
      <c r="BP253" s="258">
        <v>0</v>
      </c>
      <c r="BQ253" s="258">
        <v>0</v>
      </c>
      <c r="BR253" s="258">
        <v>0</v>
      </c>
      <c r="BT253" s="258" cm="1">
        <f ca="1" t="array" ref="BT253:BW253">_xlfn.HSTACK(SUM(INDEX($R253:$AV253,1,1):INDEX($R253:$AV253,1,7)),SUM(INDEX($R253:$AV253,1,7):INDEX($R253:$AV253,1,13)),SUM(INDEX($R253:$AV253,1,16):INDEX($R253:$AV253,1,23)),SUM(INDEX($R253:$AV253,1,23):INDEX($R253:$AV253,1,31)))</f>
        <v>420</v>
      </c>
      <c r="BU253" s="258">
        <v>420</v>
      </c>
      <c r="BV253" s="258">
        <v>480</v>
      </c>
      <c r="BW253" s="258">
        <v>540</v>
      </c>
      <c r="BY253" s="258">
        <f t="shared" si="522"/>
        <v>420</v>
      </c>
      <c r="BZ253" s="258">
        <f t="shared" si="523"/>
        <v>420</v>
      </c>
      <c r="CA253" s="258">
        <f t="shared" si="524"/>
        <v>480</v>
      </c>
      <c r="CB253" s="258">
        <f t="shared" si="525"/>
        <v>540</v>
      </c>
      <c r="CE253" s="258">
        <f t="shared" si="612"/>
        <v>25.44</v>
      </c>
      <c r="CF253" s="258">
        <f t="shared" si="613"/>
        <v>25.44</v>
      </c>
      <c r="CG253" s="258">
        <f t="shared" si="614"/>
        <v>29.08</v>
      </c>
      <c r="CH253" s="258">
        <f t="shared" si="615"/>
        <v>32.71</v>
      </c>
      <c r="CI253" s="258">
        <f t="shared" si="616"/>
        <v>112.67</v>
      </c>
      <c r="CK253" s="258">
        <f t="shared" ref="CK253:CN253" si="653">IFERROR(ROUND(BY253*$P253,2),"")</f>
        <v>379015.28</v>
      </c>
      <c r="CL253" s="258">
        <f t="shared" si="653"/>
        <v>379015.28</v>
      </c>
      <c r="CM253" s="258">
        <f t="shared" si="653"/>
        <v>433160.32</v>
      </c>
      <c r="CN253" s="258">
        <f t="shared" si="653"/>
        <v>487305.36</v>
      </c>
      <c r="CO253" s="258">
        <f t="shared" si="521"/>
        <v>1678496.24</v>
      </c>
      <c r="CP253" s="258" t="e">
        <f>VLOOKUP(G253,[2]Sheet1!$C$3:$G$310,5,0)</f>
        <v>#N/A</v>
      </c>
      <c r="CQ253" s="258">
        <f>VLOOKUP(G253,[3]KCBB0101!$C$3:$F$691,4,0)</f>
        <v>8863</v>
      </c>
    </row>
    <row r="254" ht="17.6" spans="2:95">
      <c r="B254" s="334" t="str">
        <f>_xlfn.XLOOKUP(G254,销售需求表!A:A,销售需求表!C:C)</f>
        <v>亚</v>
      </c>
      <c r="C254" s="335" t="str">
        <f t="shared" si="633"/>
        <v>20</v>
      </c>
      <c r="D254" s="362" t="str">
        <f t="shared" si="606"/>
        <v>亚20寸</v>
      </c>
      <c r="E254" s="339" t="str">
        <f t="shared" si="547"/>
        <v>10.00R20-18PR(149/146J)-CR926</v>
      </c>
      <c r="F254" s="340" t="str">
        <f t="shared" si="648"/>
        <v>10.00R20-18PR-CR926</v>
      </c>
      <c r="G254" s="341" t="s">
        <v>601</v>
      </c>
      <c r="H254" s="334">
        <v>1700</v>
      </c>
      <c r="I254" s="345"/>
      <c r="J254" s="346" t="str">
        <f t="shared" si="576"/>
        <v>10.00R20-CR926</v>
      </c>
      <c r="K254" s="347" t="str">
        <f>_xlfn.XLOOKUP(F254,投产规格!E:E,投产规格!D:D,"未投产")</f>
        <v>✔</v>
      </c>
      <c r="L254" s="347">
        <f>IFERROR(_xlfn.XLOOKUP(F254,硫化工艺!B:B,硫化工艺!C:C),"")</f>
        <v>39</v>
      </c>
      <c r="M254" s="349">
        <f t="shared" si="607"/>
        <v>0.869888475836431</v>
      </c>
      <c r="N254" s="347" t="str">
        <f t="shared" si="642"/>
        <v>20全钢</v>
      </c>
      <c r="O254" s="347">
        <f>IFERROR(_xlfn.XLOOKUP(F254,轮胎重量!J:J,轮胎重量!G:G),"")</f>
        <v>60.575</v>
      </c>
      <c r="P254" s="347">
        <f>IFERROR(_xlfn.XLOOKUP(G254,硫化工艺!I:I,硫化工艺!J:J),"")</f>
        <v>870.9729</v>
      </c>
      <c r="Q254" s="347">
        <f t="shared" si="545"/>
        <v>0</v>
      </c>
      <c r="R254" s="347"/>
      <c r="S254" s="347"/>
      <c r="T254" s="347"/>
      <c r="U254" s="347"/>
      <c r="V254" s="347"/>
      <c r="W254" s="347"/>
      <c r="X254" s="347">
        <v>60</v>
      </c>
      <c r="Y254" s="347">
        <v>60</v>
      </c>
      <c r="Z254" s="347">
        <v>60</v>
      </c>
      <c r="AA254" s="347">
        <v>60</v>
      </c>
      <c r="AB254" s="347">
        <v>60</v>
      </c>
      <c r="AC254" s="347">
        <v>60</v>
      </c>
      <c r="AD254" s="347">
        <v>60</v>
      </c>
      <c r="AE254" s="347">
        <v>60</v>
      </c>
      <c r="AF254" s="347">
        <v>60</v>
      </c>
      <c r="AG254" s="347">
        <v>60</v>
      </c>
      <c r="AH254" s="347">
        <v>60</v>
      </c>
      <c r="AI254" s="347">
        <v>60</v>
      </c>
      <c r="AJ254" s="347">
        <v>60</v>
      </c>
      <c r="AK254" s="347">
        <v>60</v>
      </c>
      <c r="AL254" s="347">
        <v>60</v>
      </c>
      <c r="AM254" s="347">
        <v>60</v>
      </c>
      <c r="AN254" s="347">
        <v>60</v>
      </c>
      <c r="AO254" s="347">
        <v>60</v>
      </c>
      <c r="AP254" s="347">
        <v>60</v>
      </c>
      <c r="AQ254" s="347">
        <v>60</v>
      </c>
      <c r="AR254" s="347">
        <v>60</v>
      </c>
      <c r="AS254" s="347">
        <v>60</v>
      </c>
      <c r="AT254" s="347">
        <v>60</v>
      </c>
      <c r="AU254" s="347">
        <v>60</v>
      </c>
      <c r="AV254" s="347">
        <v>60</v>
      </c>
      <c r="AW254" s="347">
        <f t="shared" si="608"/>
        <v>1500</v>
      </c>
      <c r="AX254" s="365">
        <f t="shared" si="609"/>
        <v>90.8625</v>
      </c>
      <c r="AY254" s="365">
        <f t="shared" si="610"/>
        <v>130.646</v>
      </c>
      <c r="AZ254" s="367"/>
      <c r="BE254" s="330">
        <f t="shared" si="634"/>
        <v>0</v>
      </c>
      <c r="BF254" s="330">
        <f t="shared" si="635"/>
        <v>0</v>
      </c>
      <c r="BG254" s="330">
        <f t="shared" si="636"/>
        <v>0</v>
      </c>
      <c r="BH254" s="330">
        <f t="shared" si="637"/>
        <v>0</v>
      </c>
      <c r="BJ254" s="370" cm="1">
        <f t="array" ref="BJ254:BM254">_xlfn.LET(_xlpm.data,$R254:$AV254,_xlpm.starts,{1,8,16,23},_xlpm.lengths,{7,7,8,9},_xlpm.arr,_xlfn.MAP(_xlpm.starts,_xlpm.lengths,_xlfn.LAMBDA(_xlpm.s,_xlpm.l,SUM(INDEX(_xlpm.data,,_xlfn.SEQUENCE(,_xlpm.l,_xlpm.s))))),ROUND(_xlpm.arr*$O254/1000,2))</f>
        <v>3.63</v>
      </c>
      <c r="BK254" s="330">
        <v>25.44</v>
      </c>
      <c r="BL254" s="330">
        <v>29.08</v>
      </c>
      <c r="BM254" s="330">
        <v>32.71</v>
      </c>
      <c r="BN254" s="258">
        <f t="shared" si="611"/>
        <v>90.86</v>
      </c>
      <c r="BO254" s="258">
        <v>0</v>
      </c>
      <c r="BP254" s="258">
        <v>0</v>
      </c>
      <c r="BQ254" s="258">
        <v>0</v>
      </c>
      <c r="BR254" s="258">
        <v>0</v>
      </c>
      <c r="BT254" s="258" cm="1">
        <f ca="1" t="array" ref="BT254:BW254">_xlfn.HSTACK(SUM(INDEX($R254:$AV254,1,1):INDEX($R254:$AV254,1,7)),SUM(INDEX($R254:$AV254,1,7):INDEX($R254:$AV254,1,13)),SUM(INDEX($R254:$AV254,1,16):INDEX($R254:$AV254,1,23)),SUM(INDEX($R254:$AV254,1,23):INDEX($R254:$AV254,1,31)))</f>
        <v>60</v>
      </c>
      <c r="BU254" s="258">
        <v>420</v>
      </c>
      <c r="BV254" s="258">
        <v>480</v>
      </c>
      <c r="BW254" s="258">
        <v>540</v>
      </c>
      <c r="BY254" s="258">
        <f t="shared" si="522"/>
        <v>60</v>
      </c>
      <c r="BZ254" s="258">
        <f t="shared" si="523"/>
        <v>420</v>
      </c>
      <c r="CA254" s="258">
        <f t="shared" si="524"/>
        <v>480</v>
      </c>
      <c r="CB254" s="258">
        <f t="shared" si="525"/>
        <v>540</v>
      </c>
      <c r="CE254" s="258">
        <f t="shared" si="612"/>
        <v>3.63</v>
      </c>
      <c r="CF254" s="258">
        <f t="shared" si="613"/>
        <v>25.44</v>
      </c>
      <c r="CG254" s="258">
        <f t="shared" si="614"/>
        <v>29.08</v>
      </c>
      <c r="CH254" s="258">
        <f t="shared" si="615"/>
        <v>32.71</v>
      </c>
      <c r="CI254" s="258">
        <f t="shared" si="616"/>
        <v>90.86</v>
      </c>
      <c r="CK254" s="258">
        <f t="shared" ref="CK254:CN254" si="654">IFERROR(ROUND(BY254*$P254,2),"")</f>
        <v>52258.37</v>
      </c>
      <c r="CL254" s="258">
        <f t="shared" si="654"/>
        <v>365808.62</v>
      </c>
      <c r="CM254" s="258">
        <f t="shared" si="654"/>
        <v>418066.99</v>
      </c>
      <c r="CN254" s="258">
        <f t="shared" si="654"/>
        <v>470325.37</v>
      </c>
      <c r="CO254" s="258">
        <f t="shared" si="521"/>
        <v>1306459.35</v>
      </c>
      <c r="CP254" s="258">
        <f>VLOOKUP(G254,[2]Sheet1!$C$3:$G$310,5,0)</f>
        <v>5400</v>
      </c>
      <c r="CQ254" s="258" t="e">
        <f>VLOOKUP(G254,[3]KCBB0101!$C$3:$F$691,4,0)</f>
        <v>#N/A</v>
      </c>
    </row>
    <row r="255" ht="17.6" spans="2:95">
      <c r="B255" s="334" t="str">
        <f>_xlfn.XLOOKUP(G255,销售需求表!A:A,销售需求表!C:C)</f>
        <v>亚</v>
      </c>
      <c r="C255" s="335" t="str">
        <f t="shared" si="633"/>
        <v>20</v>
      </c>
      <c r="D255" s="362" t="str">
        <f t="shared" si="606"/>
        <v>亚20寸</v>
      </c>
      <c r="E255" s="339" t="str">
        <f t="shared" si="547"/>
        <v>10.00R20-18PR(149/146J)-EZ369</v>
      </c>
      <c r="F255" s="340" t="str">
        <f t="shared" si="648"/>
        <v>10.00R20-18PR-EZ369</v>
      </c>
      <c r="G255" s="341" t="s">
        <v>602</v>
      </c>
      <c r="H255" s="334">
        <v>300</v>
      </c>
      <c r="I255" s="345"/>
      <c r="J255" s="346" t="str">
        <f t="shared" si="576"/>
        <v>10.00R20-EZ369</v>
      </c>
      <c r="K255" s="347" t="str">
        <f>_xlfn.XLOOKUP(F255,投产规格!E:E,投产规格!D:D,"未投产")</f>
        <v>✔</v>
      </c>
      <c r="L255" s="347">
        <f>IFERROR(_xlfn.XLOOKUP(F255,硫化工艺!B:B,硫化工艺!C:C),"")</f>
        <v>42</v>
      </c>
      <c r="M255" s="349">
        <f t="shared" si="607"/>
        <v>0.878048780487805</v>
      </c>
      <c r="N255" s="347" t="str">
        <f t="shared" si="642"/>
        <v>20全钢</v>
      </c>
      <c r="O255" s="347">
        <f>IFERROR(_xlfn.XLOOKUP(F255,轮胎重量!J:J,轮胎重量!G:G),"")</f>
        <v>62.812</v>
      </c>
      <c r="P255" s="350">
        <f>O255*13.9</f>
        <v>873.0868</v>
      </c>
      <c r="Q255" s="347">
        <f t="shared" si="545"/>
        <v>0</v>
      </c>
      <c r="R255" s="347"/>
      <c r="S255" s="347"/>
      <c r="T255" s="347"/>
      <c r="U255" s="347"/>
      <c r="V255" s="347"/>
      <c r="W255" s="347"/>
      <c r="X255" s="347"/>
      <c r="Y255" s="347"/>
      <c r="Z255" s="347"/>
      <c r="AA255" s="347"/>
      <c r="AB255" s="347"/>
      <c r="AC255" s="347"/>
      <c r="AD255" s="347"/>
      <c r="AE255" s="347"/>
      <c r="AF255" s="347"/>
      <c r="AG255" s="347"/>
      <c r="AH255" s="347"/>
      <c r="AI255" s="347"/>
      <c r="AJ255" s="347"/>
      <c r="AK255" s="347"/>
      <c r="AL255" s="347"/>
      <c r="AM255" s="347"/>
      <c r="AN255" s="347"/>
      <c r="AO255" s="347"/>
      <c r="AP255" s="347"/>
      <c r="AQ255" s="347">
        <v>60</v>
      </c>
      <c r="AR255" s="347">
        <v>60</v>
      </c>
      <c r="AS255" s="347">
        <v>60</v>
      </c>
      <c r="AT255" s="347">
        <v>60</v>
      </c>
      <c r="AU255" s="347">
        <v>60</v>
      </c>
      <c r="AV255" s="347">
        <v>60</v>
      </c>
      <c r="AW255" s="347">
        <f t="shared" si="608"/>
        <v>360</v>
      </c>
      <c r="AX255" s="365">
        <f t="shared" si="609"/>
        <v>22.61232</v>
      </c>
      <c r="AY255" s="365">
        <f t="shared" si="610"/>
        <v>31.431</v>
      </c>
      <c r="AZ255" s="367"/>
      <c r="BE255" s="330">
        <f t="shared" si="634"/>
        <v>0</v>
      </c>
      <c r="BF255" s="330">
        <f t="shared" si="635"/>
        <v>0</v>
      </c>
      <c r="BG255" s="330">
        <f t="shared" si="636"/>
        <v>0</v>
      </c>
      <c r="BH255" s="330">
        <f t="shared" si="637"/>
        <v>0</v>
      </c>
      <c r="BJ255" s="370" cm="1">
        <f t="array" ref="BJ255:BM255">_xlfn.LET(_xlpm.data,$R255:$AV255,_xlpm.starts,{1,8,16,23},_xlpm.lengths,{7,7,8,9},_xlpm.arr,_xlfn.MAP(_xlpm.starts,_xlpm.lengths,_xlfn.LAMBDA(_xlpm.s,_xlpm.l,SUM(INDEX(_xlpm.data,,_xlfn.SEQUENCE(,_xlpm.l,_xlpm.s))))),ROUND(_xlpm.arr*$O255/1000,2))</f>
        <v>0</v>
      </c>
      <c r="BK255" s="330">
        <v>0</v>
      </c>
      <c r="BL255" s="330">
        <v>0</v>
      </c>
      <c r="BM255" s="330">
        <v>22.61</v>
      </c>
      <c r="BN255" s="258">
        <f t="shared" si="611"/>
        <v>22.61</v>
      </c>
      <c r="BO255" s="258">
        <v>0</v>
      </c>
      <c r="BP255" s="258">
        <v>0</v>
      </c>
      <c r="BQ255" s="258">
        <v>36.64</v>
      </c>
      <c r="BR255" s="258">
        <v>65.95</v>
      </c>
      <c r="BT255" s="258" cm="1">
        <f ca="1" t="array" ref="BT255:BW255">_xlfn.HSTACK(SUM(INDEX($R255:$AV255,1,1):INDEX($R255:$AV255,1,7)),SUM(INDEX($R255:$AV255,1,7):INDEX($R255:$AV255,1,13)),SUM(INDEX($R255:$AV255,1,16):INDEX($R255:$AV255,1,23)),SUM(INDEX($R255:$AV255,1,23):INDEX($R255:$AV255,1,31)))</f>
        <v>0</v>
      </c>
      <c r="BU255" s="258">
        <v>0</v>
      </c>
      <c r="BV255" s="258">
        <v>0</v>
      </c>
      <c r="BW255" s="258">
        <v>360</v>
      </c>
      <c r="BY255" s="258">
        <f t="shared" si="522"/>
        <v>0</v>
      </c>
      <c r="BZ255" s="258">
        <f t="shared" si="523"/>
        <v>0</v>
      </c>
      <c r="CA255" s="258">
        <f t="shared" si="524"/>
        <v>0</v>
      </c>
      <c r="CB255" s="258">
        <f t="shared" si="525"/>
        <v>360</v>
      </c>
      <c r="CE255" s="258">
        <f t="shared" si="612"/>
        <v>0</v>
      </c>
      <c r="CF255" s="258">
        <f t="shared" si="613"/>
        <v>0</v>
      </c>
      <c r="CG255" s="258">
        <f t="shared" si="614"/>
        <v>0</v>
      </c>
      <c r="CH255" s="258">
        <f t="shared" si="615"/>
        <v>22.61</v>
      </c>
      <c r="CI255" s="258">
        <f t="shared" si="616"/>
        <v>22.61</v>
      </c>
      <c r="CK255" s="258">
        <f t="shared" ref="CK255:CN255" si="655">IFERROR(ROUND(BY255*$P255,2),"")</f>
        <v>0</v>
      </c>
      <c r="CL255" s="258">
        <f t="shared" si="655"/>
        <v>0</v>
      </c>
      <c r="CM255" s="258">
        <f t="shared" si="655"/>
        <v>0</v>
      </c>
      <c r="CN255" s="258">
        <f t="shared" si="655"/>
        <v>314311.25</v>
      </c>
      <c r="CO255" s="258">
        <f t="shared" si="521"/>
        <v>314311.25</v>
      </c>
      <c r="CP255" s="258" t="e">
        <f>VLOOKUP(G255,[2]Sheet1!$C$3:$G$310,5,0)</f>
        <v>#N/A</v>
      </c>
      <c r="CQ255" s="258">
        <f>VLOOKUP(G255,[3]KCBB0101!$C$3:$F$691,4,0)</f>
        <v>9000</v>
      </c>
    </row>
    <row r="256" ht="17.6" spans="2:95">
      <c r="B256" s="334" t="str">
        <f>_xlfn.XLOOKUP(G256,销售需求表!A:A,销售需求表!C:C)</f>
        <v>亚</v>
      </c>
      <c r="C256" s="335" t="str">
        <f t="shared" si="633"/>
        <v>20</v>
      </c>
      <c r="D256" s="362" t="str">
        <f t="shared" si="606"/>
        <v>亚20寸</v>
      </c>
      <c r="E256" s="339" t="str">
        <f t="shared" si="547"/>
        <v>10.00R20-18PR(149/146J)-MT200</v>
      </c>
      <c r="F256" s="340" t="str">
        <f t="shared" si="648"/>
        <v>10.00R20-18PR-MT200</v>
      </c>
      <c r="G256" s="341" t="s">
        <v>603</v>
      </c>
      <c r="H256" s="334">
        <v>820</v>
      </c>
      <c r="I256" s="345"/>
      <c r="J256" s="346" t="str">
        <f t="shared" si="576"/>
        <v>10.00R20-MT200</v>
      </c>
      <c r="K256" s="347" t="str">
        <f>_xlfn.XLOOKUP(F256,投产规格!E:E,投产规格!D:D,"未投产")</f>
        <v>✔</v>
      </c>
      <c r="L256" s="347">
        <f>IFERROR(_xlfn.XLOOKUP(F256,硫化工艺!B:B,硫化工艺!C:C),"")</f>
        <v>39</v>
      </c>
      <c r="M256" s="349">
        <f t="shared" si="607"/>
        <v>0.869888475836431</v>
      </c>
      <c r="N256" s="347" t="str">
        <f t="shared" si="642"/>
        <v>20全钢</v>
      </c>
      <c r="O256" s="347">
        <f>IFERROR(_xlfn.XLOOKUP(F256,轮胎重量!J:J,轮胎重量!G:G),"")</f>
        <v>60.01</v>
      </c>
      <c r="P256" s="350">
        <f>O256*13.9</f>
        <v>834.139</v>
      </c>
      <c r="Q256" s="347">
        <f t="shared" si="545"/>
        <v>0</v>
      </c>
      <c r="R256" s="347"/>
      <c r="S256" s="347"/>
      <c r="T256" s="347"/>
      <c r="U256" s="347"/>
      <c r="V256" s="347"/>
      <c r="W256" s="347"/>
      <c r="X256" s="347"/>
      <c r="Y256" s="347"/>
      <c r="Z256" s="347"/>
      <c r="AA256" s="347"/>
      <c r="AB256" s="347"/>
      <c r="AC256" s="347"/>
      <c r="AD256" s="354">
        <v>60</v>
      </c>
      <c r="AE256" s="354">
        <v>60</v>
      </c>
      <c r="AF256" s="354">
        <v>60</v>
      </c>
      <c r="AG256" s="354">
        <v>60</v>
      </c>
      <c r="AH256" s="354">
        <v>60</v>
      </c>
      <c r="AI256" s="354">
        <v>60</v>
      </c>
      <c r="AJ256" s="354">
        <v>60</v>
      </c>
      <c r="AK256" s="354">
        <v>60</v>
      </c>
      <c r="AL256" s="354">
        <v>60</v>
      </c>
      <c r="AM256" s="354">
        <v>60</v>
      </c>
      <c r="AN256" s="354">
        <v>60</v>
      </c>
      <c r="AO256" s="347"/>
      <c r="AP256" s="347"/>
      <c r="AQ256" s="347"/>
      <c r="AR256" s="347"/>
      <c r="AS256" s="347"/>
      <c r="AT256" s="347"/>
      <c r="AU256" s="347"/>
      <c r="AV256" s="347"/>
      <c r="AW256" s="347">
        <f t="shared" si="608"/>
        <v>660</v>
      </c>
      <c r="AX256" s="365">
        <f t="shared" si="609"/>
        <v>39.6066</v>
      </c>
      <c r="AY256" s="365">
        <f t="shared" si="610"/>
        <v>55.053</v>
      </c>
      <c r="AZ256" s="367"/>
      <c r="BE256" s="330">
        <f t="shared" si="634"/>
        <v>0</v>
      </c>
      <c r="BF256" s="330">
        <f t="shared" si="635"/>
        <v>0</v>
      </c>
      <c r="BG256" s="330">
        <f t="shared" si="636"/>
        <v>0</v>
      </c>
      <c r="BH256" s="330">
        <f t="shared" si="637"/>
        <v>0</v>
      </c>
      <c r="BJ256" s="370" cm="1">
        <f t="array" ref="BJ256:BM256">_xlfn.LET(_xlpm.data,$R256:$AV256,_xlpm.starts,{1,8,16,23},_xlpm.lengths,{7,7,8,9},_xlpm.arr,_xlfn.MAP(_xlpm.starts,_xlpm.lengths,_xlfn.LAMBDA(_xlpm.s,_xlpm.l,SUM(INDEX(_xlpm.data,,_xlfn.SEQUENCE(,_xlpm.l,_xlpm.s))))),ROUND(_xlpm.arr*$O256/1000,2))</f>
        <v>0</v>
      </c>
      <c r="BK256" s="330">
        <v>7.2</v>
      </c>
      <c r="BL256" s="330">
        <v>28.8</v>
      </c>
      <c r="BM256" s="330">
        <v>3.6</v>
      </c>
      <c r="BN256" s="258">
        <f t="shared" si="611"/>
        <v>39.6</v>
      </c>
      <c r="BO256" s="258">
        <v>23.65</v>
      </c>
      <c r="BP256" s="258">
        <v>3.38</v>
      </c>
      <c r="BQ256" s="258">
        <v>0</v>
      </c>
      <c r="BR256" s="258">
        <v>0</v>
      </c>
      <c r="BT256" s="258" cm="1">
        <f ca="1" t="array" ref="BT256:BW256">_xlfn.HSTACK(SUM(INDEX($R256:$AV256,1,1):INDEX($R256:$AV256,1,7)),SUM(INDEX($R256:$AV256,1,7):INDEX($R256:$AV256,1,13)),SUM(INDEX($R256:$AV256,1,16):INDEX($R256:$AV256,1,23)),SUM(INDEX($R256:$AV256,1,23):INDEX($R256:$AV256,1,31)))</f>
        <v>0</v>
      </c>
      <c r="BU256" s="258">
        <v>60</v>
      </c>
      <c r="BV256" s="258">
        <v>480</v>
      </c>
      <c r="BW256" s="258">
        <v>60</v>
      </c>
      <c r="BY256" s="258">
        <f t="shared" si="522"/>
        <v>0</v>
      </c>
      <c r="BZ256" s="258">
        <f t="shared" si="523"/>
        <v>120</v>
      </c>
      <c r="CA256" s="258">
        <f t="shared" si="524"/>
        <v>480</v>
      </c>
      <c r="CB256" s="258">
        <f t="shared" si="525"/>
        <v>60</v>
      </c>
      <c r="CE256" s="258">
        <f t="shared" si="612"/>
        <v>0</v>
      </c>
      <c r="CF256" s="258">
        <f t="shared" si="613"/>
        <v>7.2</v>
      </c>
      <c r="CG256" s="258">
        <f t="shared" si="614"/>
        <v>28.8</v>
      </c>
      <c r="CH256" s="258">
        <f t="shared" si="615"/>
        <v>3.6</v>
      </c>
      <c r="CI256" s="258">
        <f t="shared" si="616"/>
        <v>39.6</v>
      </c>
      <c r="CK256" s="258">
        <f t="shared" ref="CK256:CN256" si="656">IFERROR(ROUND(BY256*$P256,2),"")</f>
        <v>0</v>
      </c>
      <c r="CL256" s="258">
        <f t="shared" si="656"/>
        <v>100096.68</v>
      </c>
      <c r="CM256" s="258">
        <f t="shared" si="656"/>
        <v>400386.72</v>
      </c>
      <c r="CN256" s="258">
        <f t="shared" si="656"/>
        <v>50048.34</v>
      </c>
      <c r="CO256" s="258">
        <f t="shared" si="521"/>
        <v>550531.74</v>
      </c>
      <c r="CP256" s="258" t="e">
        <f>VLOOKUP(G256,[2]Sheet1!$C$3:$G$310,5,0)</f>
        <v>#N/A</v>
      </c>
      <c r="CQ256" s="258">
        <f>VLOOKUP(G256,[3]KCBB0101!$C$3:$F$691,4,0)</f>
        <v>3000</v>
      </c>
    </row>
    <row r="257" ht="17.6" spans="2:95">
      <c r="B257" s="334" t="str">
        <f>_xlfn.XLOOKUP(G257,销售需求表!A:A,销售需求表!C:C)</f>
        <v>亚</v>
      </c>
      <c r="C257" s="335" t="str">
        <f t="shared" si="633"/>
        <v>20</v>
      </c>
      <c r="D257" s="362" t="str">
        <f t="shared" si="606"/>
        <v>亚20寸</v>
      </c>
      <c r="E257" s="339" t="str">
        <f t="shared" si="547"/>
        <v>10.00R20-18PR(149/146J)-TZ202</v>
      </c>
      <c r="F257" s="340" t="str">
        <f t="shared" si="648"/>
        <v>10.00R20-18PR-TZ202</v>
      </c>
      <c r="G257" s="341" t="s">
        <v>604</v>
      </c>
      <c r="H257" s="334">
        <v>2700</v>
      </c>
      <c r="I257" s="345">
        <v>2</v>
      </c>
      <c r="J257" s="346" t="str">
        <f t="shared" si="576"/>
        <v>10.00R20-TZ202</v>
      </c>
      <c r="K257" s="347" t="str">
        <f>_xlfn.XLOOKUP(F257,投产规格!E:E,投产规格!D:D,"未投产")</f>
        <v>✔</v>
      </c>
      <c r="L257" s="347">
        <f>IFERROR(_xlfn.XLOOKUP(F257,硫化工艺!B:B,硫化工艺!C:C),"")</f>
        <v>39</v>
      </c>
      <c r="M257" s="349">
        <f t="shared" si="607"/>
        <v>0.869888475836431</v>
      </c>
      <c r="N257" s="347" t="str">
        <f t="shared" si="642"/>
        <v>20全钢</v>
      </c>
      <c r="O257" s="347">
        <f>IFERROR(_xlfn.XLOOKUP(F257,轮胎重量!J:J,轮胎重量!G:G),"")</f>
        <v>60.575</v>
      </c>
      <c r="P257" s="347">
        <f>IFERROR(_xlfn.XLOOKUP(G257,硫化工艺!I:I,硫化工艺!J:J),"")</f>
        <v>874.859559</v>
      </c>
      <c r="Q257" s="347">
        <f t="shared" si="545"/>
        <v>64</v>
      </c>
      <c r="R257" s="347"/>
      <c r="S257" s="347"/>
      <c r="T257" s="347"/>
      <c r="U257" s="347"/>
      <c r="V257" s="347"/>
      <c r="W257" s="347"/>
      <c r="X257" s="347"/>
      <c r="Y257" s="347"/>
      <c r="Z257" s="347"/>
      <c r="AA257" s="347"/>
      <c r="AB257" s="347"/>
      <c r="AC257" s="347"/>
      <c r="AD257" s="347"/>
      <c r="AE257" s="347"/>
      <c r="AF257" s="347"/>
      <c r="AG257" s="347"/>
      <c r="AH257" s="347"/>
      <c r="AI257" s="347"/>
      <c r="AJ257" s="347"/>
      <c r="AK257" s="347"/>
      <c r="AL257" s="347"/>
      <c r="AM257" s="347"/>
      <c r="AN257" s="347"/>
      <c r="AO257" s="347"/>
      <c r="AP257" s="378">
        <v>120</v>
      </c>
      <c r="AQ257" s="378">
        <v>120</v>
      </c>
      <c r="AR257" s="378">
        <v>120</v>
      </c>
      <c r="AS257" s="378">
        <v>120</v>
      </c>
      <c r="AT257" s="378">
        <v>120</v>
      </c>
      <c r="AU257" s="378">
        <v>120</v>
      </c>
      <c r="AV257" s="378">
        <v>120</v>
      </c>
      <c r="AW257" s="347">
        <f t="shared" si="608"/>
        <v>840</v>
      </c>
      <c r="AX257" s="365">
        <f t="shared" si="609"/>
        <v>50.883</v>
      </c>
      <c r="AY257" s="365">
        <f t="shared" si="610"/>
        <v>73.488</v>
      </c>
      <c r="AZ257" s="366">
        <v>587.82</v>
      </c>
      <c r="BA257" s="368">
        <v>35.89</v>
      </c>
      <c r="BB257" s="368">
        <v>57.47</v>
      </c>
      <c r="BC257" s="368">
        <v>60.86</v>
      </c>
      <c r="BE257" s="330">
        <f t="shared" si="634"/>
        <v>493768.8</v>
      </c>
      <c r="BF257" s="330">
        <f t="shared" si="635"/>
        <v>30147.6</v>
      </c>
      <c r="BG257" s="330">
        <f t="shared" si="636"/>
        <v>48274.8</v>
      </c>
      <c r="BH257" s="330">
        <f t="shared" si="637"/>
        <v>51122.4</v>
      </c>
      <c r="BJ257" s="370" cm="1">
        <f t="array" ref="BJ257:BM257">_xlfn.LET(_xlpm.data,$R257:$AV257,_xlpm.starts,{1,8,16,23},_xlpm.lengths,{7,7,8,9},_xlpm.arr,_xlfn.MAP(_xlpm.starts,_xlpm.lengths,_xlfn.LAMBDA(_xlpm.s,_xlpm.l,SUM(INDEX(_xlpm.data,,_xlfn.SEQUENCE(,_xlpm.l,_xlpm.s))))),ROUND(_xlpm.arr*$O257/1000,2))</f>
        <v>0</v>
      </c>
      <c r="BK257" s="330">
        <v>0</v>
      </c>
      <c r="BL257" s="330">
        <v>0</v>
      </c>
      <c r="BM257" s="330">
        <v>50.88</v>
      </c>
      <c r="BN257" s="258">
        <f t="shared" si="611"/>
        <v>50.88</v>
      </c>
      <c r="BO257" s="258">
        <v>25.95</v>
      </c>
      <c r="BP257" s="258">
        <v>25.95</v>
      </c>
      <c r="BQ257" s="258">
        <v>29.65</v>
      </c>
      <c r="BR257" s="258">
        <v>33.36</v>
      </c>
      <c r="BT257" s="258" cm="1">
        <f ca="1" t="array" ref="BT257:BW257">_xlfn.HSTACK(SUM(INDEX($R257:$AV257,1,1):INDEX($R257:$AV257,1,7)),SUM(INDEX($R257:$AV257,1,7):INDEX($R257:$AV257,1,13)),SUM(INDEX($R257:$AV257,1,16):INDEX($R257:$AV257,1,23)),SUM(INDEX($R257:$AV257,1,23):INDEX($R257:$AV257,1,31)))</f>
        <v>0</v>
      </c>
      <c r="BU257" s="258">
        <v>0</v>
      </c>
      <c r="BV257" s="258">
        <v>0</v>
      </c>
      <c r="BW257" s="258">
        <v>840</v>
      </c>
      <c r="BY257" s="258">
        <f t="shared" si="522"/>
        <v>0</v>
      </c>
      <c r="BZ257" s="258">
        <f t="shared" si="523"/>
        <v>0</v>
      </c>
      <c r="CA257" s="258">
        <f t="shared" si="524"/>
        <v>0</v>
      </c>
      <c r="CB257" s="258">
        <f t="shared" si="525"/>
        <v>840</v>
      </c>
      <c r="CE257" s="258">
        <f t="shared" si="612"/>
        <v>0</v>
      </c>
      <c r="CF257" s="258">
        <f t="shared" si="613"/>
        <v>0</v>
      </c>
      <c r="CG257" s="258">
        <f t="shared" si="614"/>
        <v>0</v>
      </c>
      <c r="CH257" s="258">
        <f t="shared" si="615"/>
        <v>50.88</v>
      </c>
      <c r="CI257" s="258">
        <f t="shared" si="616"/>
        <v>50.88</v>
      </c>
      <c r="CK257" s="258">
        <f t="shared" ref="CK257:CN257" si="657">IFERROR(ROUND(BY257*$P257,2),"")</f>
        <v>0</v>
      </c>
      <c r="CL257" s="258">
        <f t="shared" si="657"/>
        <v>0</v>
      </c>
      <c r="CM257" s="258">
        <f t="shared" si="657"/>
        <v>0</v>
      </c>
      <c r="CN257" s="258">
        <f t="shared" si="657"/>
        <v>734882.03</v>
      </c>
      <c r="CO257" s="258">
        <f t="shared" si="521"/>
        <v>734882.03</v>
      </c>
      <c r="CP257" s="258" t="e">
        <f>VLOOKUP(G257,[2]Sheet1!$C$3:$G$310,5,0)</f>
        <v>#N/A</v>
      </c>
      <c r="CQ257" s="258">
        <f>VLOOKUP(G257,[3]KCBB0101!$C$3:$F$691,4,0)</f>
        <v>7155</v>
      </c>
    </row>
    <row r="258" ht="17.6" spans="2:93">
      <c r="B258" s="334" t="str">
        <f>_xlfn.XLOOKUP(G258,销售需求表!A:A,销售需求表!C:C)</f>
        <v>亚</v>
      </c>
      <c r="C258" s="335" t="str">
        <f t="shared" si="633"/>
        <v>20</v>
      </c>
      <c r="D258" s="362" t="str">
        <f t="shared" si="606"/>
        <v>亚20寸</v>
      </c>
      <c r="E258" s="339" t="str">
        <f t="shared" si="547"/>
        <v>10.00R20-18PR(149/146J)-TZ303</v>
      </c>
      <c r="F258" s="340" t="str">
        <f t="shared" si="648"/>
        <v>10.00R20-18PR-TZ303</v>
      </c>
      <c r="G258" s="339" t="s">
        <v>605</v>
      </c>
      <c r="H258" s="334">
        <v>680</v>
      </c>
      <c r="I258" s="345"/>
      <c r="J258" s="346" t="str">
        <f t="shared" si="576"/>
        <v>10.00R20-TZ303</v>
      </c>
      <c r="K258" s="347" t="str">
        <f>_xlfn.XLOOKUP(F258,投产规格!E:E,投产规格!D:D,"未投产")</f>
        <v>✔</v>
      </c>
      <c r="L258" s="347">
        <f>IFERROR(_xlfn.XLOOKUP(F258,硫化工艺!B:B,硫化工艺!C:C),"")</f>
        <v>47.5</v>
      </c>
      <c r="M258" s="349">
        <f t="shared" si="607"/>
        <v>0.890625</v>
      </c>
      <c r="N258" s="347" t="str">
        <f t="shared" si="642"/>
        <v>20全钢</v>
      </c>
      <c r="O258" s="347">
        <f>IFERROR(_xlfn.XLOOKUP(F258,轮胎重量!J:J,轮胎重量!G:G),"")</f>
        <v>62.812</v>
      </c>
      <c r="P258" s="347">
        <f>IFERROR(_xlfn.XLOOKUP(G258,硫化工艺!I:I,硫化工艺!J:J),"")</f>
        <v>904.1739</v>
      </c>
      <c r="Q258" s="347">
        <f t="shared" si="545"/>
        <v>0</v>
      </c>
      <c r="R258" s="347"/>
      <c r="S258" s="347"/>
      <c r="T258" s="347"/>
      <c r="U258" s="347"/>
      <c r="V258" s="347"/>
      <c r="W258" s="347"/>
      <c r="X258" s="347"/>
      <c r="Y258" s="347"/>
      <c r="Z258" s="347"/>
      <c r="AA258" s="347"/>
      <c r="AB258" s="347"/>
      <c r="AC258" s="347"/>
      <c r="AD258" s="347"/>
      <c r="AE258" s="347"/>
      <c r="AF258" s="347"/>
      <c r="AG258" s="347"/>
      <c r="AH258" s="347"/>
      <c r="AI258" s="347"/>
      <c r="AJ258" s="347"/>
      <c r="AK258" s="347"/>
      <c r="AL258" s="347"/>
      <c r="AM258" s="347"/>
      <c r="AN258" s="347"/>
      <c r="AO258" s="347"/>
      <c r="AP258" s="347"/>
      <c r="AQ258" s="347"/>
      <c r="AR258" s="347"/>
      <c r="AS258" s="347"/>
      <c r="AT258" s="347"/>
      <c r="AU258" s="347"/>
      <c r="AV258" s="347"/>
      <c r="AW258" s="347" t="str">
        <f t="shared" si="608"/>
        <v/>
      </c>
      <c r="AX258" s="365" t="str">
        <f t="shared" si="609"/>
        <v/>
      </c>
      <c r="AY258" s="365" t="str">
        <f t="shared" si="610"/>
        <v/>
      </c>
      <c r="AZ258" s="366">
        <v>596.36</v>
      </c>
      <c r="BA258" s="368">
        <v>38.01</v>
      </c>
      <c r="BB258" s="368">
        <v>59.39</v>
      </c>
      <c r="BC258" s="368">
        <v>64.97</v>
      </c>
      <c r="BE258" s="330" t="e">
        <f t="shared" si="634"/>
        <v>#VALUE!</v>
      </c>
      <c r="BF258" s="330" t="e">
        <f t="shared" si="635"/>
        <v>#VALUE!</v>
      </c>
      <c r="BG258" s="330" t="e">
        <f t="shared" si="636"/>
        <v>#VALUE!</v>
      </c>
      <c r="BH258" s="330" t="e">
        <f t="shared" si="637"/>
        <v>#VALUE!</v>
      </c>
      <c r="BJ258" s="370" cm="1">
        <f t="array" ref="BJ258:BM258">_xlfn.LET(_xlpm.data,$R258:$AV258,_xlpm.starts,{1,8,16,23},_xlpm.lengths,{7,7,8,9},_xlpm.arr,_xlfn.MAP(_xlpm.starts,_xlpm.lengths,_xlfn.LAMBDA(_xlpm.s,_xlpm.l,SUM(INDEX(_xlpm.data,,_xlfn.SEQUENCE(,_xlpm.l,_xlpm.s))))),ROUND(_xlpm.arr*$O258/1000,2))</f>
        <v>0</v>
      </c>
      <c r="BK258" s="330">
        <v>0</v>
      </c>
      <c r="BL258" s="330">
        <v>0</v>
      </c>
      <c r="BM258" s="330">
        <v>0</v>
      </c>
      <c r="BN258" s="258">
        <f t="shared" si="611"/>
        <v>0</v>
      </c>
      <c r="BO258" s="258">
        <v>0</v>
      </c>
      <c r="BP258" s="258">
        <v>0</v>
      </c>
      <c r="BQ258" s="258">
        <v>0</v>
      </c>
      <c r="BR258" s="258">
        <v>0</v>
      </c>
      <c r="BT258" s="258" cm="1">
        <f ca="1" t="array" ref="BT258:BW258">_xlfn.HSTACK(SUM(INDEX($R258:$AV258,1,1):INDEX($R258:$AV258,1,7)),SUM(INDEX($R258:$AV258,1,7):INDEX($R258:$AV258,1,13)),SUM(INDEX($R258:$AV258,1,16):INDEX($R258:$AV258,1,23)),SUM(INDEX($R258:$AV258,1,23):INDEX($R258:$AV258,1,31)))</f>
        <v>0</v>
      </c>
      <c r="BU258" s="258">
        <v>0</v>
      </c>
      <c r="BV258" s="258">
        <v>0</v>
      </c>
      <c r="BW258" s="258">
        <v>0</v>
      </c>
      <c r="BY258" s="258">
        <f t="shared" si="522"/>
        <v>0</v>
      </c>
      <c r="BZ258" s="258">
        <f t="shared" si="523"/>
        <v>0</v>
      </c>
      <c r="CA258" s="258">
        <f t="shared" si="524"/>
        <v>0</v>
      </c>
      <c r="CB258" s="258">
        <f t="shared" si="525"/>
        <v>0</v>
      </c>
      <c r="CE258" s="258">
        <f t="shared" si="612"/>
        <v>0</v>
      </c>
      <c r="CF258" s="258">
        <f t="shared" si="613"/>
        <v>0</v>
      </c>
      <c r="CG258" s="258">
        <f t="shared" si="614"/>
        <v>0</v>
      </c>
      <c r="CH258" s="258">
        <f t="shared" si="615"/>
        <v>0</v>
      </c>
      <c r="CI258" s="258">
        <f t="shared" si="616"/>
        <v>0</v>
      </c>
      <c r="CK258" s="258">
        <f t="shared" ref="CK258:CN258" si="658">IFERROR(ROUND(BY258*$P258,2),"")</f>
        <v>0</v>
      </c>
      <c r="CL258" s="258">
        <f t="shared" si="658"/>
        <v>0</v>
      </c>
      <c r="CM258" s="258">
        <f t="shared" si="658"/>
        <v>0</v>
      </c>
      <c r="CN258" s="258">
        <f t="shared" si="658"/>
        <v>0</v>
      </c>
      <c r="CO258" s="258">
        <f t="shared" si="521"/>
        <v>0</v>
      </c>
    </row>
    <row r="259" ht="17.6" spans="2:95">
      <c r="B259" s="334" t="str">
        <f>_xlfn.XLOOKUP(G259,销售需求表!A:A,销售需求表!C:C)</f>
        <v>亚</v>
      </c>
      <c r="C259" s="335" t="str">
        <f t="shared" si="633"/>
        <v>20</v>
      </c>
      <c r="D259" s="362" t="str">
        <f t="shared" si="606"/>
        <v>亚20寸</v>
      </c>
      <c r="E259" s="339" t="str">
        <f t="shared" si="547"/>
        <v>10.00R20-18PR(149/146K)-FOLO.R109</v>
      </c>
      <c r="F259" s="340" t="str">
        <f t="shared" si="648"/>
        <v>10.00R20-18PR-FOLO.R109</v>
      </c>
      <c r="G259" s="341" t="s">
        <v>606</v>
      </c>
      <c r="H259" s="334">
        <f>400+1000</f>
        <v>1400</v>
      </c>
      <c r="I259" s="345">
        <v>2</v>
      </c>
      <c r="J259" s="346" t="str">
        <f t="shared" si="576"/>
        <v>10.00R20-FOLO.R109</v>
      </c>
      <c r="K259" s="347" t="str">
        <f>_xlfn.XLOOKUP(F259,投产规格!E:E,投产规格!D:D,"未投产")</f>
        <v>✔</v>
      </c>
      <c r="L259" s="347">
        <f>IFERROR(_xlfn.XLOOKUP(F259,硫化工艺!B:B,硫化工艺!C:C),"")</f>
        <v>41</v>
      </c>
      <c r="M259" s="349">
        <f t="shared" si="607"/>
        <v>0.875444839857651</v>
      </c>
      <c r="N259" s="347" t="str">
        <f t="shared" si="642"/>
        <v>20全钢</v>
      </c>
      <c r="O259" s="347">
        <f>IFERROR(_xlfn.XLOOKUP(F259,轮胎重量!J:J,轮胎重量!G:G),"")</f>
        <v>61.689</v>
      </c>
      <c r="P259" s="347">
        <f>IFERROR(_xlfn.XLOOKUP(G259,硫化工艺!I:I,硫化工艺!J:J),"")</f>
        <v>898.1882</v>
      </c>
      <c r="Q259" s="347">
        <f t="shared" si="545"/>
        <v>61</v>
      </c>
      <c r="R259" s="347"/>
      <c r="S259" s="347"/>
      <c r="T259" s="347"/>
      <c r="U259" s="347"/>
      <c r="V259" s="347"/>
      <c r="W259" s="347"/>
      <c r="X259" s="347"/>
      <c r="Y259" s="347">
        <v>60</v>
      </c>
      <c r="Z259" s="347">
        <v>60</v>
      </c>
      <c r="AA259" s="347">
        <v>60</v>
      </c>
      <c r="AB259" s="347">
        <v>60</v>
      </c>
      <c r="AC259" s="347">
        <v>60</v>
      </c>
      <c r="AD259" s="347">
        <v>60</v>
      </c>
      <c r="AE259" s="347">
        <v>60</v>
      </c>
      <c r="AF259" s="347">
        <v>60</v>
      </c>
      <c r="AG259" s="347">
        <v>60</v>
      </c>
      <c r="AH259" s="347">
        <v>60</v>
      </c>
      <c r="AI259" s="347">
        <v>60</v>
      </c>
      <c r="AJ259" s="347">
        <v>60</v>
      </c>
      <c r="AK259" s="347">
        <v>60</v>
      </c>
      <c r="AL259" s="347">
        <v>60</v>
      </c>
      <c r="AM259" s="347">
        <v>60</v>
      </c>
      <c r="AN259" s="347">
        <v>60</v>
      </c>
      <c r="AO259" s="347">
        <v>60</v>
      </c>
      <c r="AP259" s="378">
        <v>60</v>
      </c>
      <c r="AQ259" s="378">
        <v>60</v>
      </c>
      <c r="AR259" s="378">
        <v>60</v>
      </c>
      <c r="AS259" s="378">
        <v>60</v>
      </c>
      <c r="AT259" s="378">
        <v>60</v>
      </c>
      <c r="AU259" s="378">
        <v>60</v>
      </c>
      <c r="AV259" s="378">
        <v>60</v>
      </c>
      <c r="AW259" s="347">
        <f t="shared" si="608"/>
        <v>1440</v>
      </c>
      <c r="AX259" s="365">
        <f t="shared" si="609"/>
        <v>88.83216</v>
      </c>
      <c r="AY259" s="365">
        <f t="shared" si="610"/>
        <v>129.339</v>
      </c>
      <c r="AZ259" s="366">
        <v>596.36</v>
      </c>
      <c r="BA259" s="368">
        <v>38.01</v>
      </c>
      <c r="BB259" s="368">
        <v>59.39</v>
      </c>
      <c r="BC259" s="368">
        <v>64.97</v>
      </c>
      <c r="BE259" s="330">
        <f t="shared" si="634"/>
        <v>858758.4</v>
      </c>
      <c r="BF259" s="330">
        <f t="shared" si="635"/>
        <v>54734.4</v>
      </c>
      <c r="BG259" s="330">
        <f t="shared" si="636"/>
        <v>85521.6</v>
      </c>
      <c r="BH259" s="330">
        <f t="shared" si="637"/>
        <v>93556.8</v>
      </c>
      <c r="BJ259" s="370" cm="1">
        <f t="array" ref="BJ259:BM259">_xlfn.LET(_xlpm.data,$R259:$AV259,_xlpm.starts,{1,8,16,23},_xlpm.lengths,{7,7,8,9},_xlpm.arr,_xlfn.MAP(_xlpm.starts,_xlpm.lengths,_xlfn.LAMBDA(_xlpm.s,_xlpm.l,SUM(INDEX(_xlpm.data,,_xlfn.SEQUENCE(,_xlpm.l,_xlpm.s))))),ROUND(_xlpm.arr*$O259/1000,2))</f>
        <v>0</v>
      </c>
      <c r="BK259" s="330">
        <v>25.91</v>
      </c>
      <c r="BL259" s="330">
        <v>29.61</v>
      </c>
      <c r="BM259" s="330">
        <v>33.31</v>
      </c>
      <c r="BN259" s="258">
        <f t="shared" si="611"/>
        <v>88.83</v>
      </c>
      <c r="BO259" s="258">
        <v>0</v>
      </c>
      <c r="BP259" s="258">
        <v>0</v>
      </c>
      <c r="BQ259" s="258">
        <v>0</v>
      </c>
      <c r="BR259" s="258">
        <v>0</v>
      </c>
      <c r="BT259" s="258" cm="1">
        <f ca="1" t="array" ref="BT259:BW259">_xlfn.HSTACK(SUM(INDEX($R259:$AV259,1,1):INDEX($R259:$AV259,1,7)),SUM(INDEX($R259:$AV259,1,7):INDEX($R259:$AV259,1,13)),SUM(INDEX($R259:$AV259,1,16):INDEX($R259:$AV259,1,23)),SUM(INDEX($R259:$AV259,1,23):INDEX($R259:$AV259,1,31)))</f>
        <v>0</v>
      </c>
      <c r="BU259" s="258">
        <v>360</v>
      </c>
      <c r="BV259" s="258">
        <v>480</v>
      </c>
      <c r="BW259" s="258">
        <v>540</v>
      </c>
      <c r="BY259" s="258">
        <f t="shared" si="522"/>
        <v>0</v>
      </c>
      <c r="BZ259" s="258">
        <f t="shared" si="523"/>
        <v>420</v>
      </c>
      <c r="CA259" s="258">
        <f t="shared" si="524"/>
        <v>480</v>
      </c>
      <c r="CB259" s="258">
        <f t="shared" si="525"/>
        <v>540</v>
      </c>
      <c r="CE259" s="258">
        <f t="shared" si="612"/>
        <v>0</v>
      </c>
      <c r="CF259" s="258">
        <f t="shared" si="613"/>
        <v>25.91</v>
      </c>
      <c r="CG259" s="258">
        <f t="shared" si="614"/>
        <v>29.61</v>
      </c>
      <c r="CH259" s="258">
        <f t="shared" si="615"/>
        <v>33.31</v>
      </c>
      <c r="CI259" s="258">
        <f t="shared" si="616"/>
        <v>88.83</v>
      </c>
      <c r="CK259" s="258">
        <f t="shared" ref="CK259:CN259" si="659">IFERROR(ROUND(BY259*$P259,2),"")</f>
        <v>0</v>
      </c>
      <c r="CL259" s="258">
        <f t="shared" si="659"/>
        <v>377239.04</v>
      </c>
      <c r="CM259" s="258">
        <f t="shared" si="659"/>
        <v>431130.34</v>
      </c>
      <c r="CN259" s="258">
        <f t="shared" si="659"/>
        <v>485021.63</v>
      </c>
      <c r="CO259" s="258">
        <f t="shared" si="521"/>
        <v>1293391.01</v>
      </c>
      <c r="CP259" s="258">
        <f>VLOOKUP(G259,[2]Sheet1!$C$3:$G$310,5,0)</f>
        <v>5600</v>
      </c>
      <c r="CQ259" s="258" t="e">
        <f>VLOOKUP(G259,[3]KCBB0101!$C$3:$F$691,4,0)</f>
        <v>#N/A</v>
      </c>
    </row>
    <row r="260" ht="17.6" spans="2:95">
      <c r="B260" s="334" t="str">
        <f>_xlfn.XLOOKUP(G260,销售需求表!A:A,销售需求表!C:C)</f>
        <v>亚</v>
      </c>
      <c r="C260" s="335" t="str">
        <f t="shared" si="633"/>
        <v>20</v>
      </c>
      <c r="D260" s="362" t="str">
        <f t="shared" si="606"/>
        <v>亚20寸</v>
      </c>
      <c r="E260" s="339" t="str">
        <f t="shared" si="547"/>
        <v>10.00R20-18PR(149/146K)-MOBY.R856X</v>
      </c>
      <c r="F260" s="340" t="str">
        <f t="shared" si="648"/>
        <v>10.00R20-18PR-MOBY.R856X</v>
      </c>
      <c r="G260" s="341" t="s">
        <v>607</v>
      </c>
      <c r="H260" s="334">
        <f>120+2400</f>
        <v>2520</v>
      </c>
      <c r="I260" s="345"/>
      <c r="J260" s="346" t="str">
        <f t="shared" si="576"/>
        <v>10.00R20-MOBY.R856X</v>
      </c>
      <c r="K260" s="347" t="str">
        <f>_xlfn.XLOOKUP(F260,投产规格!E:E,投产规格!D:D,"未投产")</f>
        <v>✔</v>
      </c>
      <c r="L260" s="347">
        <f>IFERROR(_xlfn.XLOOKUP(F260,硫化工艺!B:B,硫化工艺!C:C),"")</f>
        <v>41</v>
      </c>
      <c r="M260" s="349">
        <f t="shared" si="607"/>
        <v>0.875444839857651</v>
      </c>
      <c r="N260" s="347" t="str">
        <f t="shared" si="642"/>
        <v>20全钢</v>
      </c>
      <c r="O260" s="347">
        <f>IFERROR(_xlfn.XLOOKUP(F260,轮胎重量!J:J,轮胎重量!G:G),"")</f>
        <v>64.4</v>
      </c>
      <c r="P260" s="347">
        <f>IFERROR(_xlfn.XLOOKUP(G260,硫化工艺!I:I,硫化工艺!J:J),"")</f>
        <v>926.784733</v>
      </c>
      <c r="Q260" s="347">
        <f t="shared" si="545"/>
        <v>0</v>
      </c>
      <c r="R260" s="347"/>
      <c r="S260" s="347"/>
      <c r="T260" s="347"/>
      <c r="U260" s="347"/>
      <c r="V260" s="347"/>
      <c r="W260" s="347"/>
      <c r="X260" s="347"/>
      <c r="Y260" s="347">
        <v>60</v>
      </c>
      <c r="Z260" s="347">
        <v>60</v>
      </c>
      <c r="AA260" s="347">
        <v>60</v>
      </c>
      <c r="AB260" s="347">
        <v>60</v>
      </c>
      <c r="AC260" s="347">
        <v>60</v>
      </c>
      <c r="AD260" s="347">
        <v>60</v>
      </c>
      <c r="AE260" s="347">
        <v>60</v>
      </c>
      <c r="AF260" s="347">
        <v>60</v>
      </c>
      <c r="AG260" s="347">
        <v>60</v>
      </c>
      <c r="AH260" s="347">
        <v>60</v>
      </c>
      <c r="AI260" s="347">
        <v>60</v>
      </c>
      <c r="AJ260" s="347">
        <v>60</v>
      </c>
      <c r="AK260" s="347">
        <v>60</v>
      </c>
      <c r="AL260" s="347">
        <v>60</v>
      </c>
      <c r="AM260" s="347">
        <v>60</v>
      </c>
      <c r="AN260" s="347">
        <v>60</v>
      </c>
      <c r="AO260" s="347">
        <v>60</v>
      </c>
      <c r="AP260" s="347">
        <v>60</v>
      </c>
      <c r="AQ260" s="347">
        <v>60</v>
      </c>
      <c r="AR260" s="347">
        <v>60</v>
      </c>
      <c r="AS260" s="347">
        <v>60</v>
      </c>
      <c r="AT260" s="347">
        <v>60</v>
      </c>
      <c r="AU260" s="347">
        <v>60</v>
      </c>
      <c r="AV260" s="347">
        <v>60</v>
      </c>
      <c r="AW260" s="347">
        <f t="shared" si="608"/>
        <v>1440</v>
      </c>
      <c r="AX260" s="365">
        <f t="shared" si="609"/>
        <v>92.736</v>
      </c>
      <c r="AY260" s="365">
        <f t="shared" si="610"/>
        <v>133.457</v>
      </c>
      <c r="AZ260" s="367"/>
      <c r="BE260" s="330">
        <f t="shared" si="634"/>
        <v>0</v>
      </c>
      <c r="BF260" s="330">
        <f t="shared" si="635"/>
        <v>0</v>
      </c>
      <c r="BG260" s="330">
        <f t="shared" si="636"/>
        <v>0</v>
      </c>
      <c r="BH260" s="330">
        <f t="shared" si="637"/>
        <v>0</v>
      </c>
      <c r="BJ260" s="370" cm="1">
        <f t="array" ref="BJ260:BM260">_xlfn.LET(_xlpm.data,$R260:$AV260,_xlpm.starts,{1,8,16,23},_xlpm.lengths,{7,7,8,9},_xlpm.arr,_xlfn.MAP(_xlpm.starts,_xlpm.lengths,_xlfn.LAMBDA(_xlpm.s,_xlpm.l,SUM(INDEX(_xlpm.data,,_xlfn.SEQUENCE(,_xlpm.l,_xlpm.s))))),ROUND(_xlpm.arr*$O260/1000,2))</f>
        <v>0</v>
      </c>
      <c r="BK260" s="330">
        <v>27.05</v>
      </c>
      <c r="BL260" s="330">
        <v>30.91</v>
      </c>
      <c r="BM260" s="330">
        <v>34.78</v>
      </c>
      <c r="BN260" s="258">
        <f t="shared" si="611"/>
        <v>92.74</v>
      </c>
      <c r="BO260" s="258">
        <v>0</v>
      </c>
      <c r="BP260" s="258">
        <v>0</v>
      </c>
      <c r="BQ260" s="258">
        <v>0</v>
      </c>
      <c r="BR260" s="258">
        <v>0</v>
      </c>
      <c r="BT260" s="258" cm="1">
        <f ca="1" t="array" ref="BT260:BW260">_xlfn.HSTACK(SUM(INDEX($R260:$AV260,1,1):INDEX($R260:$AV260,1,7)),SUM(INDEX($R260:$AV260,1,7):INDEX($R260:$AV260,1,13)),SUM(INDEX($R260:$AV260,1,16):INDEX($R260:$AV260,1,23)),SUM(INDEX($R260:$AV260,1,23):INDEX($R260:$AV260,1,31)))</f>
        <v>0</v>
      </c>
      <c r="BU260" s="258">
        <v>360</v>
      </c>
      <c r="BV260" s="258">
        <v>480</v>
      </c>
      <c r="BW260" s="258">
        <v>540</v>
      </c>
      <c r="BY260" s="258">
        <f t="shared" si="522"/>
        <v>0</v>
      </c>
      <c r="BZ260" s="258">
        <f t="shared" si="523"/>
        <v>420</v>
      </c>
      <c r="CA260" s="258">
        <f t="shared" si="524"/>
        <v>480</v>
      </c>
      <c r="CB260" s="258">
        <f t="shared" si="525"/>
        <v>540</v>
      </c>
      <c r="CE260" s="258">
        <f t="shared" si="612"/>
        <v>0</v>
      </c>
      <c r="CF260" s="258">
        <f t="shared" si="613"/>
        <v>27.05</v>
      </c>
      <c r="CG260" s="258">
        <f t="shared" si="614"/>
        <v>30.91</v>
      </c>
      <c r="CH260" s="258">
        <f t="shared" si="615"/>
        <v>34.78</v>
      </c>
      <c r="CI260" s="258">
        <f t="shared" si="616"/>
        <v>92.74</v>
      </c>
      <c r="CK260" s="258">
        <f t="shared" ref="CK260:CN260" si="660">IFERROR(ROUND(BY260*$P260,2),"")</f>
        <v>0</v>
      </c>
      <c r="CL260" s="258">
        <f t="shared" si="660"/>
        <v>389249.59</v>
      </c>
      <c r="CM260" s="258">
        <f t="shared" si="660"/>
        <v>444856.67</v>
      </c>
      <c r="CN260" s="258">
        <f t="shared" si="660"/>
        <v>500463.76</v>
      </c>
      <c r="CO260" s="258">
        <f t="shared" si="521"/>
        <v>1334570.02</v>
      </c>
      <c r="CP260" s="258">
        <f>VLOOKUP(G260,[2]Sheet1!$C$3:$G$310,5,0)</f>
        <v>8900</v>
      </c>
      <c r="CQ260" s="258" t="e">
        <f>VLOOKUP(G260,[3]KCBB0101!$C$3:$F$691,4,0)</f>
        <v>#N/A</v>
      </c>
    </row>
    <row r="261" ht="17.6" spans="2:95">
      <c r="B261" s="334" t="str">
        <f>_xlfn.XLOOKUP(G261,销售需求表!A:A,销售需求表!C:C)</f>
        <v>亚</v>
      </c>
      <c r="C261" s="335" t="str">
        <f t="shared" si="633"/>
        <v>20</v>
      </c>
      <c r="D261" s="362" t="str">
        <f t="shared" si="606"/>
        <v>亚20寸</v>
      </c>
      <c r="E261" s="339" t="str">
        <f t="shared" si="547"/>
        <v>11.00R20-18PR(152/149F)-CB332A</v>
      </c>
      <c r="F261" s="340" t="str">
        <f t="shared" si="648"/>
        <v>11.00R20-18PR-CB332A</v>
      </c>
      <c r="G261" s="341" t="s">
        <v>608</v>
      </c>
      <c r="H261" s="334">
        <v>700</v>
      </c>
      <c r="I261" s="345"/>
      <c r="J261" s="346" t="str">
        <f t="shared" si="576"/>
        <v>11.00R20-CB332A</v>
      </c>
      <c r="K261" s="347" t="str">
        <f>_xlfn.XLOOKUP(F261,投产规格!E:E,投产规格!D:D,"未投产")</f>
        <v>✔</v>
      </c>
      <c r="L261" s="347">
        <f>IFERROR(_xlfn.XLOOKUP(F261,硫化工艺!B:B,硫化工艺!C:C),"")</f>
        <v>55</v>
      </c>
      <c r="M261" s="349">
        <f t="shared" si="607"/>
        <v>0.904109589041096</v>
      </c>
      <c r="N261" s="347" t="str">
        <f t="shared" si="642"/>
        <v>20全钢</v>
      </c>
      <c r="O261" s="347">
        <f>IFERROR(_xlfn.XLOOKUP(F261,轮胎重量!J:J,轮胎重量!G:G),"")</f>
        <v>72.058</v>
      </c>
      <c r="P261" s="347">
        <f>IFERROR(_xlfn.XLOOKUP(G261,硫化工艺!I:I,硫化工艺!J:J),"")</f>
        <v>1028.2433</v>
      </c>
      <c r="Q261" s="347">
        <f t="shared" si="545"/>
        <v>0</v>
      </c>
      <c r="R261" s="347"/>
      <c r="S261" s="347"/>
      <c r="T261" s="347"/>
      <c r="U261" s="347"/>
      <c r="V261" s="347"/>
      <c r="W261" s="347"/>
      <c r="X261" s="347"/>
      <c r="Y261" s="347"/>
      <c r="Z261" s="347"/>
      <c r="AA261" s="347"/>
      <c r="AB261" s="347"/>
      <c r="AC261" s="347"/>
      <c r="AD261" s="347"/>
      <c r="AE261" s="347"/>
      <c r="AF261" s="347"/>
      <c r="AG261" s="347"/>
      <c r="AH261" s="347"/>
      <c r="AI261" s="347"/>
      <c r="AJ261" s="347">
        <v>50</v>
      </c>
      <c r="AK261" s="347">
        <v>50</v>
      </c>
      <c r="AL261" s="347">
        <v>50</v>
      </c>
      <c r="AM261" s="347">
        <v>50</v>
      </c>
      <c r="AN261" s="347">
        <v>50</v>
      </c>
      <c r="AO261" s="347">
        <v>50</v>
      </c>
      <c r="AP261" s="347">
        <v>50</v>
      </c>
      <c r="AQ261" s="347">
        <v>50</v>
      </c>
      <c r="AR261" s="347">
        <v>50</v>
      </c>
      <c r="AS261" s="347">
        <v>50</v>
      </c>
      <c r="AT261" s="347">
        <v>50</v>
      </c>
      <c r="AU261" s="347">
        <v>50</v>
      </c>
      <c r="AV261" s="347">
        <v>50</v>
      </c>
      <c r="AW261" s="347">
        <f t="shared" si="608"/>
        <v>650</v>
      </c>
      <c r="AX261" s="365">
        <f t="shared" si="609"/>
        <v>46.8377</v>
      </c>
      <c r="AY261" s="365">
        <f t="shared" si="610"/>
        <v>66.836</v>
      </c>
      <c r="AZ261" s="367"/>
      <c r="BE261" s="330">
        <f t="shared" si="634"/>
        <v>0</v>
      </c>
      <c r="BF261" s="330">
        <f t="shared" si="635"/>
        <v>0</v>
      </c>
      <c r="BG261" s="330">
        <f t="shared" si="636"/>
        <v>0</v>
      </c>
      <c r="BH261" s="330">
        <f t="shared" si="637"/>
        <v>0</v>
      </c>
      <c r="BJ261" s="370" cm="1">
        <f t="array" ref="BJ261:BM261">_xlfn.LET(_xlpm.data,$R261:$AV261,_xlpm.starts,{1,8,16,23},_xlpm.lengths,{7,7,8,9},_xlpm.arr,_xlfn.MAP(_xlpm.starts,_xlpm.lengths,_xlfn.LAMBDA(_xlpm.s,_xlpm.l,SUM(INDEX(_xlpm.data,,_xlfn.SEQUENCE(,_xlpm.l,_xlpm.s))))),ROUND(_xlpm.arr*$O261/1000,2))</f>
        <v>0</v>
      </c>
      <c r="BK261" s="330">
        <v>0</v>
      </c>
      <c r="BL261" s="330">
        <v>18.01</v>
      </c>
      <c r="BM261" s="330">
        <v>32.43</v>
      </c>
      <c r="BN261" s="258">
        <f t="shared" si="611"/>
        <v>50.44</v>
      </c>
      <c r="BO261" s="258">
        <v>0</v>
      </c>
      <c r="BP261" s="258">
        <v>0</v>
      </c>
      <c r="BQ261" s="258">
        <v>0</v>
      </c>
      <c r="BR261" s="258">
        <v>0</v>
      </c>
      <c r="BT261" s="258" cm="1">
        <f ca="1" t="array" ref="BT261:BW261">_xlfn.HSTACK(SUM(INDEX($R261:$AV261,1,1):INDEX($R261:$AV261,1,7)),SUM(INDEX($R261:$AV261,1,7):INDEX($R261:$AV261,1,13)),SUM(INDEX($R261:$AV261,1,16):INDEX($R261:$AV261,1,23)),SUM(INDEX($R261:$AV261,1,23):INDEX($R261:$AV261,1,31)))</f>
        <v>0</v>
      </c>
      <c r="BU261" s="258">
        <v>0</v>
      </c>
      <c r="BV261" s="258">
        <v>250</v>
      </c>
      <c r="BW261" s="258">
        <v>450</v>
      </c>
      <c r="BY261" s="258">
        <f t="shared" si="522"/>
        <v>0</v>
      </c>
      <c r="BZ261" s="258">
        <f t="shared" si="523"/>
        <v>0</v>
      </c>
      <c r="CA261" s="258">
        <f t="shared" si="524"/>
        <v>200</v>
      </c>
      <c r="CB261" s="258">
        <f t="shared" si="525"/>
        <v>450</v>
      </c>
      <c r="CE261" s="258">
        <f t="shared" si="612"/>
        <v>0</v>
      </c>
      <c r="CF261" s="258">
        <f t="shared" si="613"/>
        <v>0</v>
      </c>
      <c r="CG261" s="258">
        <f t="shared" si="614"/>
        <v>14.41</v>
      </c>
      <c r="CH261" s="258">
        <f t="shared" si="615"/>
        <v>32.43</v>
      </c>
      <c r="CI261" s="258">
        <f t="shared" si="616"/>
        <v>46.84</v>
      </c>
      <c r="CK261" s="258">
        <f t="shared" ref="CK261:CN261" si="661">IFERROR(ROUND(BY261*$P261,2),"")</f>
        <v>0</v>
      </c>
      <c r="CL261" s="258">
        <f t="shared" si="661"/>
        <v>0</v>
      </c>
      <c r="CM261" s="258">
        <f t="shared" si="661"/>
        <v>205648.66</v>
      </c>
      <c r="CN261" s="258">
        <f t="shared" si="661"/>
        <v>462709.49</v>
      </c>
      <c r="CO261" s="258">
        <f t="shared" si="521"/>
        <v>668358.15</v>
      </c>
      <c r="CP261" s="258">
        <f>VLOOKUP(G261,[2]Sheet1!$C$3:$G$310,5,0)</f>
        <v>3200</v>
      </c>
      <c r="CQ261" s="258" t="e">
        <f>VLOOKUP(G261,[3]KCBB0101!$C$3:$F$691,4,0)</f>
        <v>#N/A</v>
      </c>
    </row>
    <row r="262" ht="17.6" spans="2:95">
      <c r="B262" s="334" t="str">
        <f>_xlfn.XLOOKUP(G262,销售需求表!A:A,销售需求表!C:C)</f>
        <v>亚</v>
      </c>
      <c r="C262" s="335" t="str">
        <f t="shared" si="633"/>
        <v>20</v>
      </c>
      <c r="D262" s="362" t="str">
        <f t="shared" si="606"/>
        <v>亚20寸</v>
      </c>
      <c r="E262" s="339" t="str">
        <f t="shared" si="547"/>
        <v>11.00R20-18PR(152/149F)-CB972</v>
      </c>
      <c r="F262" s="340" t="str">
        <f t="shared" si="648"/>
        <v>11.00R20-18PR-CB972</v>
      </c>
      <c r="G262" s="341" t="s">
        <v>609</v>
      </c>
      <c r="H262" s="334">
        <v>220</v>
      </c>
      <c r="I262" s="345"/>
      <c r="J262" s="346" t="str">
        <f t="shared" si="576"/>
        <v>11.00R20-CB972</v>
      </c>
      <c r="K262" s="347" t="str">
        <f>_xlfn.XLOOKUP(F262,投产规格!E:E,投产规格!D:D,"未投产")</f>
        <v>✔</v>
      </c>
      <c r="L262" s="347">
        <f>IFERROR(_xlfn.XLOOKUP(F262,硫化工艺!B:B,硫化工艺!C:C),"")</f>
        <v>48.5</v>
      </c>
      <c r="M262" s="349">
        <f t="shared" si="607"/>
        <v>0.892638036809816</v>
      </c>
      <c r="N262" s="347" t="str">
        <f t="shared" si="642"/>
        <v>20全钢</v>
      </c>
      <c r="O262" s="347">
        <f>IFERROR(_xlfn.XLOOKUP(F262,轮胎重量!J:J,轮胎重量!G:G),"")</f>
        <v>76.169</v>
      </c>
      <c r="P262" s="347">
        <f>IFERROR(_xlfn.XLOOKUP(G262,硫化工艺!I:I,硫化工艺!J:J),"")</f>
        <v>1073.2848</v>
      </c>
      <c r="Q262" s="347">
        <f t="shared" si="545"/>
        <v>0</v>
      </c>
      <c r="R262" s="347"/>
      <c r="S262" s="347"/>
      <c r="T262" s="347"/>
      <c r="U262" s="347"/>
      <c r="V262" s="347"/>
      <c r="W262" s="347"/>
      <c r="X262" s="347"/>
      <c r="Y262" s="347"/>
      <c r="Z262" s="347"/>
      <c r="AA262" s="347"/>
      <c r="AB262" s="347"/>
      <c r="AC262" s="347"/>
      <c r="AD262" s="347"/>
      <c r="AE262" s="347">
        <v>50</v>
      </c>
      <c r="AF262" s="347">
        <v>50</v>
      </c>
      <c r="AG262" s="347">
        <v>50</v>
      </c>
      <c r="AH262" s="347">
        <v>50</v>
      </c>
      <c r="AI262" s="347">
        <v>50</v>
      </c>
      <c r="AJ262" s="347"/>
      <c r="AK262" s="347"/>
      <c r="AL262" s="347"/>
      <c r="AM262" s="347"/>
      <c r="AN262" s="347"/>
      <c r="AO262" s="347"/>
      <c r="AP262" s="347"/>
      <c r="AQ262" s="347"/>
      <c r="AR262" s="347"/>
      <c r="AS262" s="347"/>
      <c r="AT262" s="347"/>
      <c r="AU262" s="347"/>
      <c r="AV262" s="347"/>
      <c r="AW262" s="347">
        <f t="shared" si="608"/>
        <v>250</v>
      </c>
      <c r="AX262" s="365">
        <f t="shared" si="609"/>
        <v>19.04225</v>
      </c>
      <c r="AY262" s="365">
        <f t="shared" si="610"/>
        <v>26.832</v>
      </c>
      <c r="AZ262" s="366">
        <v>716.49</v>
      </c>
      <c r="BA262" s="368">
        <v>44.5</v>
      </c>
      <c r="BB262" s="368">
        <v>67.45</v>
      </c>
      <c r="BC262" s="368">
        <v>73.48</v>
      </c>
      <c r="BE262" s="330">
        <f t="shared" si="634"/>
        <v>179122.5</v>
      </c>
      <c r="BF262" s="330">
        <f t="shared" si="635"/>
        <v>11125</v>
      </c>
      <c r="BG262" s="330">
        <f t="shared" si="636"/>
        <v>16862.5</v>
      </c>
      <c r="BH262" s="330">
        <f t="shared" si="637"/>
        <v>18370</v>
      </c>
      <c r="BJ262" s="370" cm="1">
        <f t="array" ref="BJ262:BM262">_xlfn.LET(_xlpm.data,$R262:$AV262,_xlpm.starts,{1,8,16,23},_xlpm.lengths,{7,7,8,9},_xlpm.arr,_xlfn.MAP(_xlpm.starts,_xlpm.lengths,_xlfn.LAMBDA(_xlpm.s,_xlpm.l,SUM(INDEX(_xlpm.data,,_xlfn.SEQUENCE(,_xlpm.l,_xlpm.s))))),ROUND(_xlpm.arr*$O262/1000,2))</f>
        <v>0</v>
      </c>
      <c r="BK262" s="330">
        <v>3.81</v>
      </c>
      <c r="BL262" s="330">
        <v>11.43</v>
      </c>
      <c r="BM262" s="330">
        <v>0</v>
      </c>
      <c r="BN262" s="258">
        <f t="shared" si="611"/>
        <v>15.24</v>
      </c>
      <c r="BO262" s="258">
        <v>45.69</v>
      </c>
      <c r="BP262" s="258">
        <v>0</v>
      </c>
      <c r="BQ262" s="258">
        <v>0</v>
      </c>
      <c r="BR262" s="258">
        <v>0</v>
      </c>
      <c r="BT262" s="258" cm="1">
        <f ca="1" t="array" ref="BT262:BW262">_xlfn.HSTACK(SUM(INDEX($R262:$AV262,1,1):INDEX($R262:$AV262,1,7)),SUM(INDEX($R262:$AV262,1,7):INDEX($R262:$AV262,1,13)),SUM(INDEX($R262:$AV262,1,16):INDEX($R262:$AV262,1,23)),SUM(INDEX($R262:$AV262,1,23):INDEX($R262:$AV262,1,31)))</f>
        <v>0</v>
      </c>
      <c r="BU262" s="258">
        <v>0</v>
      </c>
      <c r="BV262" s="258">
        <v>150</v>
      </c>
      <c r="BW262" s="258">
        <v>0</v>
      </c>
      <c r="BY262" s="258">
        <f t="shared" si="522"/>
        <v>0</v>
      </c>
      <c r="BZ262" s="258">
        <f t="shared" si="523"/>
        <v>50</v>
      </c>
      <c r="CA262" s="258">
        <f t="shared" si="524"/>
        <v>200</v>
      </c>
      <c r="CB262" s="258">
        <f t="shared" si="525"/>
        <v>0</v>
      </c>
      <c r="CE262" s="258">
        <f t="shared" si="612"/>
        <v>0</v>
      </c>
      <c r="CF262" s="258">
        <f t="shared" si="613"/>
        <v>3.81</v>
      </c>
      <c r="CG262" s="258">
        <f t="shared" si="614"/>
        <v>15.23</v>
      </c>
      <c r="CH262" s="258">
        <f t="shared" si="615"/>
        <v>0</v>
      </c>
      <c r="CI262" s="258">
        <f t="shared" si="616"/>
        <v>19.04</v>
      </c>
      <c r="CK262" s="258">
        <f t="shared" ref="CK262:CN262" si="662">IFERROR(ROUND(BY262*$P262,2),"")</f>
        <v>0</v>
      </c>
      <c r="CL262" s="258">
        <f t="shared" si="662"/>
        <v>53664.24</v>
      </c>
      <c r="CM262" s="258">
        <f t="shared" si="662"/>
        <v>214656.96</v>
      </c>
      <c r="CN262" s="258">
        <f t="shared" si="662"/>
        <v>0</v>
      </c>
      <c r="CO262" s="258">
        <f>SUM(CK262:CN262)</f>
        <v>268321.2</v>
      </c>
      <c r="CP262" s="258" t="e">
        <f>VLOOKUP(G262,[2]Sheet1!$C$3:$G$310,5,0)</f>
        <v>#N/A</v>
      </c>
      <c r="CQ262" s="258">
        <f>VLOOKUP(G262,[3]KCBB0101!$C$3:$F$691,4,0)</f>
        <v>4757</v>
      </c>
    </row>
    <row r="263" ht="17.6" spans="2:95">
      <c r="B263" s="334" t="str">
        <f>_xlfn.XLOOKUP(G263,销售需求表!A:A,销售需求表!C:C)</f>
        <v>亚</v>
      </c>
      <c r="C263" s="335" t="str">
        <f t="shared" si="633"/>
        <v>20</v>
      </c>
      <c r="D263" s="362" t="str">
        <f t="shared" si="606"/>
        <v>亚20寸</v>
      </c>
      <c r="E263" s="339" t="str">
        <f t="shared" si="547"/>
        <v>11.00R20-18PR(152/149F)-CB972</v>
      </c>
      <c r="F263" s="340" t="str">
        <f t="shared" si="648"/>
        <v>11.00R20-18PR-CB972</v>
      </c>
      <c r="G263" s="341" t="s">
        <v>610</v>
      </c>
      <c r="H263" s="334">
        <v>900</v>
      </c>
      <c r="I263" s="345"/>
      <c r="J263" s="346" t="str">
        <f t="shared" si="576"/>
        <v>11.00R20-CB972</v>
      </c>
      <c r="K263" s="347" t="str">
        <f>_xlfn.XLOOKUP(F263,投产规格!E:E,投产规格!D:D,"未投产")</f>
        <v>✔</v>
      </c>
      <c r="L263" s="347">
        <f>IFERROR(_xlfn.XLOOKUP(F263,硫化工艺!B:B,硫化工艺!C:C),"")</f>
        <v>48.5</v>
      </c>
      <c r="M263" s="349">
        <f t="shared" si="607"/>
        <v>0.892638036809816</v>
      </c>
      <c r="N263" s="347" t="str">
        <f t="shared" si="642"/>
        <v>20全钢</v>
      </c>
      <c r="O263" s="347">
        <f>IFERROR(_xlfn.XLOOKUP(F263,轮胎重量!J:J,轮胎重量!G:G),"")</f>
        <v>76.169</v>
      </c>
      <c r="P263" s="347">
        <f>IFERROR(_xlfn.XLOOKUP(G263,硫化工艺!I:I,硫化工艺!J:J),"")</f>
        <v>1073.2848</v>
      </c>
      <c r="Q263" s="347">
        <f t="shared" si="545"/>
        <v>0</v>
      </c>
      <c r="R263" s="347"/>
      <c r="S263" s="347"/>
      <c r="T263" s="347"/>
      <c r="U263" s="347"/>
      <c r="V263" s="347"/>
      <c r="W263" s="347"/>
      <c r="X263" s="347"/>
      <c r="Y263" s="347"/>
      <c r="Z263" s="347"/>
      <c r="AA263" s="347"/>
      <c r="AB263" s="347"/>
      <c r="AC263" s="347"/>
      <c r="AD263" s="347"/>
      <c r="AE263" s="347">
        <v>50</v>
      </c>
      <c r="AF263" s="347">
        <v>50</v>
      </c>
      <c r="AG263" s="347">
        <v>50</v>
      </c>
      <c r="AH263" s="347">
        <v>50</v>
      </c>
      <c r="AI263" s="347">
        <v>50</v>
      </c>
      <c r="AJ263" s="347">
        <v>50</v>
      </c>
      <c r="AK263" s="347">
        <v>50</v>
      </c>
      <c r="AL263" s="347">
        <v>50</v>
      </c>
      <c r="AM263" s="347">
        <v>50</v>
      </c>
      <c r="AN263" s="347">
        <v>50</v>
      </c>
      <c r="AO263" s="347">
        <v>50</v>
      </c>
      <c r="AP263" s="347">
        <v>50</v>
      </c>
      <c r="AQ263" s="347">
        <v>50</v>
      </c>
      <c r="AR263" s="347">
        <v>50</v>
      </c>
      <c r="AS263" s="347">
        <v>50</v>
      </c>
      <c r="AT263" s="347">
        <v>50</v>
      </c>
      <c r="AU263" s="347">
        <v>50</v>
      </c>
      <c r="AV263" s="347">
        <v>50</v>
      </c>
      <c r="AW263" s="347">
        <f t="shared" si="608"/>
        <v>900</v>
      </c>
      <c r="AX263" s="365">
        <f t="shared" si="609"/>
        <v>68.5521</v>
      </c>
      <c r="AY263" s="365">
        <f t="shared" si="610"/>
        <v>96.596</v>
      </c>
      <c r="AZ263" s="366">
        <v>618.6</v>
      </c>
      <c r="BA263" s="368">
        <v>39.01</v>
      </c>
      <c r="BB263" s="368">
        <v>60.79</v>
      </c>
      <c r="BC263" s="368">
        <v>65.96</v>
      </c>
      <c r="BE263" s="330">
        <f t="shared" si="634"/>
        <v>556740</v>
      </c>
      <c r="BF263" s="330">
        <f t="shared" si="635"/>
        <v>35109</v>
      </c>
      <c r="BG263" s="330">
        <f t="shared" si="636"/>
        <v>54711</v>
      </c>
      <c r="BH263" s="330">
        <f t="shared" si="637"/>
        <v>59364</v>
      </c>
      <c r="BJ263" s="370" cm="1">
        <f t="array" ref="BJ263:BM263">_xlfn.LET(_xlpm.data,$R263:$AV263,_xlpm.starts,{1,8,16,23},_xlpm.lengths,{7,7,8,9},_xlpm.arr,_xlfn.MAP(_xlpm.starts,_xlpm.lengths,_xlfn.LAMBDA(_xlpm.s,_xlpm.l,SUM(INDEX(_xlpm.data,,_xlfn.SEQUENCE(,_xlpm.l,_xlpm.s))))),ROUND(_xlpm.arr*$O263/1000,2))</f>
        <v>0</v>
      </c>
      <c r="BK263" s="330">
        <v>3.81</v>
      </c>
      <c r="BL263" s="330">
        <v>30.47</v>
      </c>
      <c r="BM263" s="330">
        <v>34.28</v>
      </c>
      <c r="BN263" s="258">
        <f t="shared" si="611"/>
        <v>68.56</v>
      </c>
      <c r="BO263" s="258">
        <v>21.64</v>
      </c>
      <c r="BP263" s="258">
        <v>50.5</v>
      </c>
      <c r="BQ263" s="258">
        <v>0</v>
      </c>
      <c r="BR263" s="258">
        <v>0</v>
      </c>
      <c r="BT263" s="258" cm="1">
        <f ca="1" t="array" ref="BT263:BW263">_xlfn.HSTACK(SUM(INDEX($R263:$AV263,1,1):INDEX($R263:$AV263,1,7)),SUM(INDEX($R263:$AV263,1,7):INDEX($R263:$AV263,1,13)),SUM(INDEX($R263:$AV263,1,16):INDEX($R263:$AV263,1,23)),SUM(INDEX($R263:$AV263,1,23):INDEX($R263:$AV263,1,31)))</f>
        <v>0</v>
      </c>
      <c r="BU263" s="258">
        <v>0</v>
      </c>
      <c r="BV263" s="258">
        <v>400</v>
      </c>
      <c r="BW263" s="258">
        <v>450</v>
      </c>
      <c r="BY263" s="258">
        <f>SUM(R263:X263)</f>
        <v>0</v>
      </c>
      <c r="BZ263" s="258">
        <f>SUM(Y263:AE263)</f>
        <v>50</v>
      </c>
      <c r="CA263" s="258">
        <f>SUM(AF263:AM263)</f>
        <v>400</v>
      </c>
      <c r="CB263" s="258">
        <f>SUM(AN263:AV263)</f>
        <v>450</v>
      </c>
      <c r="CE263" s="258">
        <f t="shared" si="612"/>
        <v>0</v>
      </c>
      <c r="CF263" s="258">
        <f t="shared" si="613"/>
        <v>3.81</v>
      </c>
      <c r="CG263" s="258">
        <f t="shared" si="614"/>
        <v>30.47</v>
      </c>
      <c r="CH263" s="258">
        <f t="shared" si="615"/>
        <v>34.28</v>
      </c>
      <c r="CI263" s="258">
        <f t="shared" si="616"/>
        <v>68.56</v>
      </c>
      <c r="CK263" s="258">
        <f t="shared" ref="CK263:CN263" si="663">IFERROR(ROUND(BY263*$P263,2),"")</f>
        <v>0</v>
      </c>
      <c r="CL263" s="258">
        <f t="shared" si="663"/>
        <v>53664.24</v>
      </c>
      <c r="CM263" s="258">
        <f t="shared" si="663"/>
        <v>429313.92</v>
      </c>
      <c r="CN263" s="258">
        <f t="shared" si="663"/>
        <v>482978.16</v>
      </c>
      <c r="CO263" s="258">
        <f>SUM(CK263:CN263)</f>
        <v>965956.32</v>
      </c>
      <c r="CP263" s="258">
        <f>VLOOKUP(G263,[2]Sheet1!$C$3:$G$310,5,0)</f>
        <v>10600</v>
      </c>
      <c r="CQ263" s="258" t="e">
        <f>VLOOKUP(G263,[3]KCBB0101!$C$3:$F$691,4,0)</f>
        <v>#N/A</v>
      </c>
    </row>
    <row r="264" ht="17.6" spans="2:95">
      <c r="B264" s="334" t="str">
        <f>_xlfn.XLOOKUP(G264,销售需求表!A:A,销售需求表!C:C)</f>
        <v>亚</v>
      </c>
      <c r="C264" s="335" t="str">
        <f t="shared" si="633"/>
        <v>20</v>
      </c>
      <c r="D264" s="362" t="str">
        <f t="shared" si="606"/>
        <v>亚20寸</v>
      </c>
      <c r="E264" s="339" t="str">
        <f t="shared" si="547"/>
        <v>11.00R20-18PR(152/149F)-CB972</v>
      </c>
      <c r="F264" s="340" t="str">
        <f t="shared" si="648"/>
        <v>11.00R20-18PR-CB972</v>
      </c>
      <c r="G264" s="341" t="s">
        <v>611</v>
      </c>
      <c r="H264" s="334">
        <v>1900</v>
      </c>
      <c r="I264" s="345">
        <v>6</v>
      </c>
      <c r="J264" s="346" t="str">
        <f t="shared" si="576"/>
        <v>11.00R20-CB972</v>
      </c>
      <c r="K264" s="347" t="str">
        <f>_xlfn.XLOOKUP(F264,投产规格!E:E,投产规格!D:D,"未投产")</f>
        <v>✔</v>
      </c>
      <c r="L264" s="347">
        <f>IFERROR(_xlfn.XLOOKUP(F264,硫化工艺!B:B,硫化工艺!C:C),"")</f>
        <v>48.5</v>
      </c>
      <c r="M264" s="349">
        <f t="shared" si="607"/>
        <v>0.892638036809816</v>
      </c>
      <c r="N264" s="347" t="str">
        <f t="shared" si="642"/>
        <v>20全钢</v>
      </c>
      <c r="O264" s="347">
        <f>IFERROR(_xlfn.XLOOKUP(F264,轮胎重量!J:J,轮胎重量!G:G),"")</f>
        <v>76.169</v>
      </c>
      <c r="P264" s="347">
        <f>IFERROR(_xlfn.XLOOKUP(G264,硫化工艺!I:I,硫化工艺!J:J),"")</f>
        <v>1073.2848</v>
      </c>
      <c r="Q264" s="347">
        <f t="shared" si="545"/>
        <v>159</v>
      </c>
      <c r="R264" s="347">
        <v>150</v>
      </c>
      <c r="S264" s="347">
        <v>150</v>
      </c>
      <c r="T264" s="347">
        <v>150</v>
      </c>
      <c r="U264" s="347">
        <v>150</v>
      </c>
      <c r="V264" s="347">
        <v>150</v>
      </c>
      <c r="W264" s="347">
        <v>150</v>
      </c>
      <c r="X264" s="347">
        <v>150</v>
      </c>
      <c r="Y264" s="347">
        <v>150</v>
      </c>
      <c r="Z264" s="347">
        <v>150</v>
      </c>
      <c r="AA264" s="347">
        <v>150</v>
      </c>
      <c r="AB264" s="347">
        <v>150</v>
      </c>
      <c r="AC264" s="347">
        <v>150</v>
      </c>
      <c r="AD264" s="347">
        <v>150</v>
      </c>
      <c r="AE264" s="347"/>
      <c r="AF264" s="347"/>
      <c r="AG264" s="347"/>
      <c r="AH264" s="347"/>
      <c r="AI264" s="347"/>
      <c r="AJ264" s="347"/>
      <c r="AK264" s="347"/>
      <c r="AL264" s="347"/>
      <c r="AM264" s="347"/>
      <c r="AN264" s="347"/>
      <c r="AO264" s="347"/>
      <c r="AP264" s="347"/>
      <c r="AQ264" s="347"/>
      <c r="AR264" s="347"/>
      <c r="AS264" s="347"/>
      <c r="AT264" s="347"/>
      <c r="AU264" s="347"/>
      <c r="AV264" s="347"/>
      <c r="AW264" s="347">
        <f t="shared" si="608"/>
        <v>1950</v>
      </c>
      <c r="AX264" s="365">
        <f t="shared" si="609"/>
        <v>148.52955</v>
      </c>
      <c r="AY264" s="365">
        <f t="shared" si="610"/>
        <v>209.291</v>
      </c>
      <c r="AZ264" s="366">
        <v>618.6</v>
      </c>
      <c r="BA264" s="368">
        <v>39.01</v>
      </c>
      <c r="BB264" s="368">
        <v>60.79</v>
      </c>
      <c r="BC264" s="368">
        <v>65.96</v>
      </c>
      <c r="BE264" s="330">
        <f t="shared" si="634"/>
        <v>1206270</v>
      </c>
      <c r="BF264" s="330">
        <f t="shared" si="635"/>
        <v>76069.5</v>
      </c>
      <c r="BG264" s="330">
        <f t="shared" si="636"/>
        <v>118540.5</v>
      </c>
      <c r="BH264" s="330">
        <f t="shared" si="637"/>
        <v>128622</v>
      </c>
      <c r="BJ264" s="370" cm="1">
        <f t="array" ref="BJ264:BM264">_xlfn.LET(_xlpm.data,$R264:$AV264,_xlpm.starts,{1,8,16,23},_xlpm.lengths,{7,7,8,9},_xlpm.arr,_xlfn.MAP(_xlpm.starts,_xlpm.lengths,_xlfn.LAMBDA(_xlpm.s,_xlpm.l,SUM(INDEX(_xlpm.data,,_xlfn.SEQUENCE(,_xlpm.l,_xlpm.s))))),ROUND(_xlpm.arr*$O264/1000,2))</f>
        <v>79.98</v>
      </c>
      <c r="BK264" s="330">
        <v>68.55</v>
      </c>
      <c r="BL264" s="330">
        <v>0</v>
      </c>
      <c r="BM264" s="330">
        <v>0</v>
      </c>
      <c r="BN264" s="258">
        <f t="shared" si="611"/>
        <v>148.53</v>
      </c>
      <c r="BO264" s="258">
        <v>21.64</v>
      </c>
      <c r="BP264" s="258">
        <v>50.5</v>
      </c>
      <c r="BQ264" s="258">
        <v>0</v>
      </c>
      <c r="BR264" s="258">
        <v>0</v>
      </c>
      <c r="BT264" s="258" cm="1">
        <f ca="1" t="array" ref="BT264:BW264">_xlfn.HSTACK(SUM(INDEX($R264:$AV264,1,1):INDEX($R264:$AV264,1,7)),SUM(INDEX($R264:$AV264,1,7):INDEX($R264:$AV264,1,13)),SUM(INDEX($R264:$AV264,1,16):INDEX($R264:$AV264,1,23)),SUM(INDEX($R264:$AV264,1,23):INDEX($R264:$AV264,1,31)))</f>
        <v>1050</v>
      </c>
      <c r="BU264" s="258">
        <v>1050</v>
      </c>
      <c r="BV264" s="258">
        <v>0</v>
      </c>
      <c r="BW264" s="258">
        <v>0</v>
      </c>
      <c r="BY264" s="258">
        <f>SUM(R264:X264)</f>
        <v>1050</v>
      </c>
      <c r="BZ264" s="258">
        <f>SUM(Y264:AE264)</f>
        <v>900</v>
      </c>
      <c r="CA264" s="258">
        <f>SUM(AF264:AM264)</f>
        <v>0</v>
      </c>
      <c r="CB264" s="258">
        <f>SUM(AN264:AV264)</f>
        <v>0</v>
      </c>
      <c r="CE264" s="258">
        <f t="shared" si="612"/>
        <v>79.98</v>
      </c>
      <c r="CF264" s="258">
        <f t="shared" si="613"/>
        <v>68.55</v>
      </c>
      <c r="CG264" s="258">
        <f t="shared" si="614"/>
        <v>0</v>
      </c>
      <c r="CH264" s="258">
        <f t="shared" si="615"/>
        <v>0</v>
      </c>
      <c r="CI264" s="258">
        <f t="shared" si="616"/>
        <v>148.53</v>
      </c>
      <c r="CK264" s="258">
        <f t="shared" ref="CK264:CN264" si="664">IFERROR(ROUND(BY264*$P264,2),"")</f>
        <v>1126949.04</v>
      </c>
      <c r="CL264" s="258">
        <f t="shared" si="664"/>
        <v>965956.32</v>
      </c>
      <c r="CM264" s="258">
        <f t="shared" si="664"/>
        <v>0</v>
      </c>
      <c r="CN264" s="258">
        <f t="shared" si="664"/>
        <v>0</v>
      </c>
      <c r="CO264" s="258">
        <f>SUM(CK264:CN264)</f>
        <v>2092905.36</v>
      </c>
      <c r="CP264" s="258" t="e">
        <f>VLOOKUP(G264,[2]Sheet1!$C$3:$G$310,5,0)</f>
        <v>#N/A</v>
      </c>
      <c r="CQ264" s="258">
        <f>VLOOKUP(G264,[3]KCBB0101!$C$3:$F$691,4,0)</f>
        <v>7274</v>
      </c>
    </row>
    <row r="265" ht="17.6" spans="2:95">
      <c r="B265" s="334" t="str">
        <f>_xlfn.XLOOKUP(G265,销售需求表!A:A,销售需求表!C:C)</f>
        <v>亚</v>
      </c>
      <c r="C265" s="335" t="str">
        <f t="shared" si="633"/>
        <v>20</v>
      </c>
      <c r="D265" s="362" t="str">
        <f t="shared" si="606"/>
        <v>亚20寸</v>
      </c>
      <c r="E265" s="339" t="str">
        <f t="shared" si="547"/>
        <v>11.00R20-18PR(152/149F)-EZ330A</v>
      </c>
      <c r="F265" s="340" t="str">
        <f t="shared" si="648"/>
        <v>11.00R20-18PR-EZ330A</v>
      </c>
      <c r="G265" s="342" t="s">
        <v>159</v>
      </c>
      <c r="H265" s="334">
        <v>160</v>
      </c>
      <c r="I265" s="345"/>
      <c r="J265" s="346" t="str">
        <f t="shared" si="576"/>
        <v>11.00R20-EZ330A</v>
      </c>
      <c r="K265" s="347" t="str">
        <f>_xlfn.XLOOKUP(F265,投产规格!E:E,投产规格!D:D,"未投产")</f>
        <v>✔</v>
      </c>
      <c r="L265" s="347">
        <f>IFERROR(_xlfn.XLOOKUP(F265,硫化工艺!B:B,硫化工艺!C:C),"")</f>
        <v>54.5</v>
      </c>
      <c r="M265" s="349">
        <f t="shared" si="607"/>
        <v>0.903314917127072</v>
      </c>
      <c r="N265" s="347" t="str">
        <f t="shared" si="642"/>
        <v>20全钢</v>
      </c>
      <c r="O265" s="347">
        <f>IFERROR(_xlfn.XLOOKUP(F265,轮胎重量!J:J,轮胎重量!G:G),"")</f>
        <v>72.058</v>
      </c>
      <c r="P265" s="347">
        <f>IFERROR(_xlfn.XLOOKUP(G265,硫化工艺!I:I,硫化工艺!J:J),"")</f>
        <v>1017.870308</v>
      </c>
      <c r="Q265" s="347">
        <f t="shared" si="545"/>
        <v>0</v>
      </c>
      <c r="R265" s="347"/>
      <c r="S265" s="347"/>
      <c r="T265" s="347"/>
      <c r="U265" s="347"/>
      <c r="V265" s="347"/>
      <c r="W265" s="347"/>
      <c r="X265" s="347"/>
      <c r="Y265" s="347"/>
      <c r="Z265" s="347"/>
      <c r="AA265" s="347"/>
      <c r="AB265" s="347"/>
      <c r="AC265" s="347"/>
      <c r="AD265" s="347"/>
      <c r="AE265" s="347"/>
      <c r="AF265" s="347"/>
      <c r="AG265" s="347"/>
      <c r="AH265" s="347"/>
      <c r="AI265" s="347"/>
      <c r="AJ265" s="347"/>
      <c r="AK265" s="347"/>
      <c r="AL265" s="347"/>
      <c r="AM265" s="347"/>
      <c r="AN265" s="347">
        <v>60</v>
      </c>
      <c r="AO265" s="347">
        <v>60</v>
      </c>
      <c r="AP265" s="347">
        <v>60</v>
      </c>
      <c r="AQ265" s="347">
        <v>60</v>
      </c>
      <c r="AR265" s="347">
        <v>60</v>
      </c>
      <c r="AS265" s="347"/>
      <c r="AT265" s="347"/>
      <c r="AU265" s="347"/>
      <c r="AV265" s="347"/>
      <c r="AW265" s="347">
        <v>3000</v>
      </c>
      <c r="AX265" s="365">
        <f t="shared" si="609"/>
        <v>216.174</v>
      </c>
      <c r="AY265" s="365">
        <f t="shared" si="610"/>
        <v>305.361</v>
      </c>
      <c r="AZ265" s="366">
        <v>618.6</v>
      </c>
      <c r="BA265" s="368">
        <v>39.01</v>
      </c>
      <c r="BB265" s="368">
        <v>60.79</v>
      </c>
      <c r="BC265" s="368">
        <v>65.96</v>
      </c>
      <c r="BE265" s="330">
        <f t="shared" si="634"/>
        <v>1855800</v>
      </c>
      <c r="BF265" s="330">
        <f t="shared" si="635"/>
        <v>117030</v>
      </c>
      <c r="BG265" s="330">
        <f t="shared" si="636"/>
        <v>182370</v>
      </c>
      <c r="BH265" s="330">
        <f t="shared" si="637"/>
        <v>197880</v>
      </c>
      <c r="BJ265" s="370" cm="1">
        <f t="array" ref="BJ265:BM265">_xlfn.LET(_xlpm.data,$R265:$AV265,_xlpm.starts,{1,8,16,23},_xlpm.lengths,{7,7,8,9},_xlpm.arr,_xlfn.MAP(_xlpm.starts,_xlpm.lengths,_xlfn.LAMBDA(_xlpm.s,_xlpm.l,SUM(INDEX(_xlpm.data,,_xlfn.SEQUENCE(,_xlpm.l,_xlpm.s))))),ROUND(_xlpm.arr*$O265/1000,2))</f>
        <v>0</v>
      </c>
      <c r="BK265" s="330">
        <v>0</v>
      </c>
      <c r="BL265" s="330">
        <v>4.32</v>
      </c>
      <c r="BM265" s="330">
        <v>21.62</v>
      </c>
      <c r="BN265" s="258">
        <f t="shared" si="611"/>
        <v>25.94</v>
      </c>
      <c r="BO265" s="258">
        <v>21.64</v>
      </c>
      <c r="BP265" s="258">
        <v>50.5</v>
      </c>
      <c r="BQ265" s="258">
        <v>0</v>
      </c>
      <c r="BR265" s="258">
        <v>0</v>
      </c>
      <c r="BT265" s="258" cm="1">
        <f ca="1" t="array" ref="BT265:BW265">_xlfn.HSTACK(SUM(INDEX($R265:$AV265,1,1):INDEX($R265:$AV265,1,7)),SUM(INDEX($R265:$AV265,1,7):INDEX($R265:$AV265,1,13)),SUM(INDEX($R265:$AV265,1,16):INDEX($R265:$AV265,1,23)),SUM(INDEX($R265:$AV265,1,23):INDEX($R265:$AV265,1,31)))</f>
        <v>0</v>
      </c>
      <c r="BU265" s="258">
        <v>0</v>
      </c>
      <c r="BV265" s="258">
        <v>60</v>
      </c>
      <c r="BW265" s="258">
        <v>300</v>
      </c>
      <c r="BY265" s="258">
        <f>SUM(R265:X265)</f>
        <v>0</v>
      </c>
      <c r="BZ265" s="258">
        <f>SUM(Y265:AE265)</f>
        <v>0</v>
      </c>
      <c r="CA265" s="258">
        <f>SUM(AF265:AM265)</f>
        <v>0</v>
      </c>
      <c r="CB265" s="258">
        <f>SUM(AN265:AV265)</f>
        <v>300</v>
      </c>
      <c r="CE265" s="258">
        <f t="shared" si="612"/>
        <v>0</v>
      </c>
      <c r="CF265" s="258">
        <f t="shared" si="613"/>
        <v>0</v>
      </c>
      <c r="CG265" s="258">
        <f t="shared" si="614"/>
        <v>0</v>
      </c>
      <c r="CH265" s="258">
        <f t="shared" si="615"/>
        <v>21.62</v>
      </c>
      <c r="CI265" s="258">
        <f t="shared" si="616"/>
        <v>21.62</v>
      </c>
      <c r="CK265" s="258">
        <f t="shared" ref="CK265:CN265" si="665">IFERROR(ROUND(BY265*$P265,2),"")</f>
        <v>0</v>
      </c>
      <c r="CL265" s="258">
        <f t="shared" si="665"/>
        <v>0</v>
      </c>
      <c r="CM265" s="258">
        <f t="shared" si="665"/>
        <v>0</v>
      </c>
      <c r="CN265" s="258">
        <f t="shared" si="665"/>
        <v>305361.09</v>
      </c>
      <c r="CO265" s="258">
        <f>SUM(CK265:CN265)</f>
        <v>305361.09</v>
      </c>
      <c r="CP265" s="258" t="e">
        <f>VLOOKUP(G265,[2]Sheet1!$C$3:$G$310,5,0)</f>
        <v>#N/A</v>
      </c>
      <c r="CQ265" s="258">
        <f>VLOOKUP(G265,[3]KCBB0101!$C$3:$F$691,4,0)</f>
        <v>1847</v>
      </c>
    </row>
    <row r="266" ht="17.6" spans="2:95">
      <c r="B266" s="334" t="str">
        <f>_xlfn.XLOOKUP(G266,销售需求表!A:A,销售需求表!C:C)</f>
        <v>亚</v>
      </c>
      <c r="C266" s="335" t="str">
        <f t="shared" si="633"/>
        <v>20</v>
      </c>
      <c r="D266" s="362" t="str">
        <f t="shared" si="606"/>
        <v>亚20寸</v>
      </c>
      <c r="E266" s="339" t="str">
        <f t="shared" si="547"/>
        <v>11.00R20-18PR(152/149F)-TZ101</v>
      </c>
      <c r="F266" s="340" t="str">
        <f t="shared" ref="F266:F297" si="666">IFERROR(MID(G266,3,FIND("(",G266)-3)&amp;"-"&amp;SUBSTITUTE(MID(G266,FIND("[",G266)+1,FIND("]",G266)-FIND("[",G266)-1),"Strong Guard ",""),"")</f>
        <v>11.00R20-18PR-TZ101</v>
      </c>
      <c r="G266" s="342" t="s">
        <v>19</v>
      </c>
      <c r="H266" s="334">
        <v>880</v>
      </c>
      <c r="I266" s="345"/>
      <c r="J266" s="346" t="str">
        <f t="shared" si="576"/>
        <v>11.00R20-TZ101</v>
      </c>
      <c r="K266" s="347" t="str">
        <f>_xlfn.XLOOKUP(F266,投产规格!E:E,投产规格!D:D,"未投产")</f>
        <v>✔</v>
      </c>
      <c r="L266" s="347">
        <f>IFERROR(_xlfn.XLOOKUP(F266,硫化工艺!B:B,硫化工艺!C:C),"")</f>
        <v>48.5</v>
      </c>
      <c r="M266" s="349">
        <f t="shared" si="607"/>
        <v>0.892638036809816</v>
      </c>
      <c r="N266" s="347" t="str">
        <f t="shared" si="642"/>
        <v>20全钢</v>
      </c>
      <c r="O266" s="347">
        <f>IFERROR(_xlfn.XLOOKUP(F266,轮胎重量!J:J,轮胎重量!G:G),"")</f>
        <v>76.169</v>
      </c>
      <c r="P266" s="347">
        <f>IFERROR(_xlfn.XLOOKUP(G266,硫化工艺!I:I,硫化工艺!J:J),"")</f>
        <v>1074.9984</v>
      </c>
      <c r="Q266" s="347">
        <f t="shared" si="545"/>
        <v>0</v>
      </c>
      <c r="R266" s="347"/>
      <c r="S266" s="347"/>
      <c r="T266" s="347"/>
      <c r="U266" s="347"/>
      <c r="V266" s="347"/>
      <c r="W266" s="347"/>
      <c r="X266" s="347"/>
      <c r="Y266" s="347"/>
      <c r="Z266" s="347"/>
      <c r="AA266" s="347"/>
      <c r="AB266" s="347"/>
      <c r="AC266" s="347"/>
      <c r="AD266" s="347"/>
      <c r="AE266" s="347">
        <v>50</v>
      </c>
      <c r="AF266" s="347">
        <v>50</v>
      </c>
      <c r="AG266" s="347">
        <v>50</v>
      </c>
      <c r="AH266" s="347">
        <v>50</v>
      </c>
      <c r="AI266" s="347">
        <v>50</v>
      </c>
      <c r="AJ266" s="347">
        <v>50</v>
      </c>
      <c r="AK266" s="347">
        <v>50</v>
      </c>
      <c r="AL266" s="347">
        <v>50</v>
      </c>
      <c r="AM266" s="347">
        <v>50</v>
      </c>
      <c r="AN266" s="347">
        <v>50</v>
      </c>
      <c r="AO266" s="347">
        <v>50</v>
      </c>
      <c r="AP266" s="347">
        <v>50</v>
      </c>
      <c r="AQ266" s="347">
        <v>50</v>
      </c>
      <c r="AR266" s="347">
        <v>50</v>
      </c>
      <c r="AS266" s="347">
        <v>50</v>
      </c>
      <c r="AT266" s="347">
        <v>50</v>
      </c>
      <c r="AU266" s="347">
        <v>50</v>
      </c>
      <c r="AV266" s="347">
        <v>50</v>
      </c>
      <c r="AW266" s="347">
        <v>3000</v>
      </c>
      <c r="AX266" s="365">
        <f t="shared" si="609"/>
        <v>228.507</v>
      </c>
      <c r="AY266" s="365">
        <f t="shared" si="610"/>
        <v>322.5</v>
      </c>
      <c r="AZ266" s="366">
        <v>657.83</v>
      </c>
      <c r="BA266" s="368">
        <v>42.94</v>
      </c>
      <c r="BB266" s="368">
        <v>64.49</v>
      </c>
      <c r="BC266" s="368">
        <v>73.23</v>
      </c>
      <c r="BE266" s="330">
        <f t="shared" si="634"/>
        <v>1973490</v>
      </c>
      <c r="BF266" s="330">
        <f t="shared" si="635"/>
        <v>128820</v>
      </c>
      <c r="BG266" s="330">
        <f t="shared" si="636"/>
        <v>193470</v>
      </c>
      <c r="BH266" s="330">
        <f t="shared" si="637"/>
        <v>219690</v>
      </c>
      <c r="BJ266" s="370" cm="1">
        <f t="array" ref="BJ266:BM266">_xlfn.LET(_xlpm.data,$R266:$AV266,_xlpm.starts,{1,8,16,23},_xlpm.lengths,{7,7,8,9},_xlpm.arr,_xlfn.MAP(_xlpm.starts,_xlpm.lengths,_xlfn.LAMBDA(_xlpm.s,_xlpm.l,SUM(INDEX(_xlpm.data,,_xlfn.SEQUENCE(,_xlpm.l,_xlpm.s))))),ROUND(_xlpm.arr*$O266/1000,2))</f>
        <v>0</v>
      </c>
      <c r="BK266" s="330">
        <v>3.81</v>
      </c>
      <c r="BL266" s="330">
        <v>30.47</v>
      </c>
      <c r="BM266" s="330">
        <v>34.28</v>
      </c>
      <c r="BN266" s="258">
        <f t="shared" si="611"/>
        <v>68.56</v>
      </c>
      <c r="BO266" s="258">
        <v>0</v>
      </c>
      <c r="BP266" s="258">
        <v>0</v>
      </c>
      <c r="BQ266" s="258">
        <v>24.25</v>
      </c>
      <c r="BR266" s="258">
        <v>27.28</v>
      </c>
      <c r="BT266" s="258" cm="1">
        <f ca="1" t="array" ref="BT266:BW266">_xlfn.HSTACK(SUM(INDEX($R266:$AV266,1,1):INDEX($R266:$AV266,1,7)),SUM(INDEX($R266:$AV266,1,7):INDEX($R266:$AV266,1,13)),SUM(INDEX($R266:$AV266,1,16):INDEX($R266:$AV266,1,23)),SUM(INDEX($R266:$AV266,1,23):INDEX($R266:$AV266,1,31)))</f>
        <v>0</v>
      </c>
      <c r="BU266" s="258">
        <v>0</v>
      </c>
      <c r="BV266" s="258">
        <v>400</v>
      </c>
      <c r="BW266" s="258">
        <v>450</v>
      </c>
      <c r="BY266" s="258">
        <f>SUM(R266:X266)</f>
        <v>0</v>
      </c>
      <c r="BZ266" s="258">
        <f>SUM(Y266:AE266)</f>
        <v>50</v>
      </c>
      <c r="CA266" s="258">
        <f>SUM(AF266:AM266)</f>
        <v>400</v>
      </c>
      <c r="CB266" s="258">
        <f>SUM(AN266:AV266)</f>
        <v>450</v>
      </c>
      <c r="CE266" s="258">
        <f t="shared" si="612"/>
        <v>0</v>
      </c>
      <c r="CF266" s="258">
        <f t="shared" si="613"/>
        <v>3.81</v>
      </c>
      <c r="CG266" s="258">
        <f t="shared" si="614"/>
        <v>30.47</v>
      </c>
      <c r="CH266" s="258">
        <f t="shared" si="615"/>
        <v>34.28</v>
      </c>
      <c r="CI266" s="258">
        <f t="shared" si="616"/>
        <v>68.56</v>
      </c>
      <c r="CK266" s="258">
        <f t="shared" ref="CK266:CN266" si="667">IFERROR(ROUND(BY266*$P266,2),"")</f>
        <v>0</v>
      </c>
      <c r="CL266" s="258">
        <f t="shared" si="667"/>
        <v>53749.92</v>
      </c>
      <c r="CM266" s="258">
        <f t="shared" si="667"/>
        <v>429999.36</v>
      </c>
      <c r="CN266" s="258">
        <f t="shared" si="667"/>
        <v>483749.28</v>
      </c>
      <c r="CO266" s="258">
        <f>SUM(CK266:CN266)</f>
        <v>967498.56</v>
      </c>
      <c r="CP266" s="258" t="e">
        <f>VLOOKUP(G266,[2]Sheet1!$C$3:$G$310,5,0)</f>
        <v>#N/A</v>
      </c>
      <c r="CQ266" s="258">
        <f>VLOOKUP(G266,[3]KCBB0101!$C$3:$F$691,4,0)</f>
        <v>2000</v>
      </c>
    </row>
    <row r="267" s="258" customFormat="1" ht="17.6" spans="1:95">
      <c r="A267" s="330"/>
      <c r="B267" s="334" t="str">
        <f>_xlfn.XLOOKUP(G267,销售需求表!A:A,销售需求表!C:C)</f>
        <v>亚</v>
      </c>
      <c r="C267" s="335" t="str">
        <f t="shared" si="633"/>
        <v>20</v>
      </c>
      <c r="D267" s="362" t="str">
        <f t="shared" ref="D267:D272" si="668">B267&amp;C267&amp;"寸"</f>
        <v>亚20寸</v>
      </c>
      <c r="E267" s="339" t="str">
        <f t="shared" si="547"/>
        <v>11.00R20-18PR(152/149K)-AM4S.Q679</v>
      </c>
      <c r="F267" s="340" t="str">
        <f t="shared" si="666"/>
        <v>11.00R20-18PR-AM4S.Q679</v>
      </c>
      <c r="G267" s="342" t="s">
        <v>25</v>
      </c>
      <c r="H267" s="334">
        <v>280</v>
      </c>
      <c r="I267" s="345"/>
      <c r="J267" s="346" t="str">
        <f t="shared" ref="J267:J272" si="669">IFERROR(LEFT(F267,FIND("-",F267))&amp;MID(F267,FIND("PR",F267,FIND("-",F267))+3,LEN(F267)),F267)</f>
        <v>11.00R20-AM4S.Q679</v>
      </c>
      <c r="K267" s="347" t="str">
        <f>_xlfn.XLOOKUP(F267,投产规格!E:E,投产规格!D:D,"未投产")</f>
        <v>✔</v>
      </c>
      <c r="L267" s="347">
        <f>IFERROR(_xlfn.XLOOKUP(F267,硫化工艺!B:B,硫化工艺!C:C),"")</f>
        <v>50</v>
      </c>
      <c r="M267" s="349">
        <f t="shared" ref="M267:M272" si="670">IF(L267="","",L267/(L267+$L$1/60))</f>
        <v>0.895522388059701</v>
      </c>
      <c r="N267" s="347" t="str">
        <f t="shared" ref="N267:N272" si="671">C267&amp;"全钢"</f>
        <v>20全钢</v>
      </c>
      <c r="O267" s="347">
        <f>IFERROR(_xlfn.XLOOKUP(F267,轮胎重量!J:J,轮胎重量!G:G),"")</f>
        <v>78.235</v>
      </c>
      <c r="P267" s="350">
        <f>O267*13.9</f>
        <v>1087.4665</v>
      </c>
      <c r="Q267" s="347">
        <f t="shared" ref="Q267:Q272" si="672">IFERROR(ROUND(1440/L267*(I267)*M267,0),"")</f>
        <v>0</v>
      </c>
      <c r="R267" s="347"/>
      <c r="S267" s="347"/>
      <c r="T267" s="347"/>
      <c r="U267" s="347"/>
      <c r="V267" s="347"/>
      <c r="W267" s="347"/>
      <c r="X267" s="347"/>
      <c r="Y267" s="347"/>
      <c r="Z267" s="347"/>
      <c r="AA267" s="347"/>
      <c r="AB267" s="347"/>
      <c r="AC267" s="347"/>
      <c r="AD267" s="347"/>
      <c r="AE267" s="347"/>
      <c r="AF267" s="347"/>
      <c r="AG267" s="347"/>
      <c r="AH267" s="347"/>
      <c r="AI267" s="347"/>
      <c r="AJ267" s="347"/>
      <c r="AK267" s="347"/>
      <c r="AL267" s="347"/>
      <c r="AM267" s="347"/>
      <c r="AN267" s="347"/>
      <c r="AO267" s="347"/>
      <c r="AP267" s="347"/>
      <c r="AQ267" s="347"/>
      <c r="AR267" s="347"/>
      <c r="AS267" s="347">
        <v>60</v>
      </c>
      <c r="AT267" s="347">
        <v>60</v>
      </c>
      <c r="AU267" s="347">
        <v>60</v>
      </c>
      <c r="AV267" s="347">
        <v>60</v>
      </c>
      <c r="AW267" s="347">
        <v>3000</v>
      </c>
      <c r="AX267" s="365">
        <f t="shared" ref="AX267:AX272" si="673">IFERROR(AW267*O267/1000,"")</f>
        <v>234.705</v>
      </c>
      <c r="AY267" s="365">
        <f t="shared" ref="AY267:AY272" si="674">IFERROR(ROUND(AW267*P267/10000,3),"")</f>
        <v>326.24</v>
      </c>
      <c r="AZ267" s="366">
        <v>657.83</v>
      </c>
      <c r="BA267" s="368">
        <v>42.94</v>
      </c>
      <c r="BB267" s="368">
        <v>64.49</v>
      </c>
      <c r="BC267" s="368">
        <v>73.23</v>
      </c>
      <c r="BD267" s="330"/>
      <c r="BE267" s="330">
        <f t="shared" ref="BE267:BE272" si="675">AZ267*AW267</f>
        <v>1973490</v>
      </c>
      <c r="BF267" s="330">
        <f t="shared" ref="BF267:BF272" si="676">BA267*AW267</f>
        <v>128820</v>
      </c>
      <c r="BG267" s="330">
        <f t="shared" ref="BG267:BG272" si="677">BB267*AW267</f>
        <v>193470</v>
      </c>
      <c r="BH267" s="330">
        <f t="shared" ref="BH267:BH272" si="678">BC267*AW267</f>
        <v>219690</v>
      </c>
      <c r="BI267" s="330"/>
      <c r="BJ267" s="370" cm="1">
        <f t="array" ref="BJ267:BM267">_xlfn.LET(_xlpm.data,$R267:$AV267,_xlpm.starts,{1,8,16,23},_xlpm.lengths,{7,7,8,9},_xlpm.arr,_xlfn.MAP(_xlpm.starts,_xlpm.lengths,_xlfn.LAMBDA(_xlpm.s,_xlpm.l,SUM(INDEX(_xlpm.data,,_xlfn.SEQUENCE(,_xlpm.l,_xlpm.s))))),ROUND(_xlpm.arr*$O267/1000,2))</f>
        <v>0</v>
      </c>
      <c r="BK267" s="330">
        <v>0</v>
      </c>
      <c r="BL267" s="330">
        <v>0</v>
      </c>
      <c r="BM267" s="330">
        <v>18.78</v>
      </c>
      <c r="BN267" s="258">
        <f t="shared" ref="BN267:BN272" si="679">SUM(BJ267:BM267)</f>
        <v>18.78</v>
      </c>
      <c r="BO267" s="258">
        <v>0</v>
      </c>
      <c r="BP267" s="258">
        <v>0</v>
      </c>
      <c r="BQ267" s="258">
        <v>24.25</v>
      </c>
      <c r="BR267" s="258">
        <v>27.28</v>
      </c>
      <c r="BS267" s="115"/>
      <c r="BT267" s="258" cm="1">
        <f ca="1" t="array" ref="BT267:BW267">_xlfn.HSTACK(SUM(INDEX($R267:$AV267,1,1):INDEX($R267:$AV267,1,7)),SUM(INDEX($R267:$AV267,1,7):INDEX($R267:$AV267,1,13)),SUM(INDEX($R267:$AV267,1,16):INDEX($R267:$AV267,1,23)),SUM(INDEX($R267:$AV267,1,23):INDEX($R267:$AV267,1,31)))</f>
        <v>0</v>
      </c>
      <c r="BU267" s="258">
        <v>0</v>
      </c>
      <c r="BV267" s="258">
        <v>0</v>
      </c>
      <c r="BW267" s="258">
        <v>240</v>
      </c>
      <c r="BY267" s="258">
        <f t="shared" ref="BY267:BY272" si="680">SUM(R267:X267)</f>
        <v>0</v>
      </c>
      <c r="BZ267" s="258">
        <f t="shared" ref="BZ267:BZ272" si="681">SUM(Y267:AE267)</f>
        <v>0</v>
      </c>
      <c r="CA267" s="258">
        <f t="shared" ref="CA267:CA272" si="682">SUM(AF267:AM267)</f>
        <v>0</v>
      </c>
      <c r="CB267" s="258">
        <f t="shared" ref="CB267:CB272" si="683">SUM(AN267:AV267)</f>
        <v>240</v>
      </c>
      <c r="CD267" s="113"/>
      <c r="CE267" s="258">
        <f t="shared" ref="CE267:CE272" si="684">ROUND(BY267*$O267/1000,2)</f>
        <v>0</v>
      </c>
      <c r="CF267" s="258">
        <f t="shared" ref="CF267:CF272" si="685">ROUND(BZ267*$O267/1000,2)</f>
        <v>0</v>
      </c>
      <c r="CG267" s="258">
        <f t="shared" ref="CG267:CG272" si="686">ROUND(CA267*$O267/1000,2)</f>
        <v>0</v>
      </c>
      <c r="CH267" s="258">
        <f t="shared" ref="CH267:CH272" si="687">ROUND(CB267*$O267/1000,2)</f>
        <v>18.78</v>
      </c>
      <c r="CI267" s="258">
        <f t="shared" ref="CI267:CI272" si="688">SUM(CE267:CH267)</f>
        <v>18.78</v>
      </c>
      <c r="CJ267" s="113"/>
      <c r="CK267" s="258">
        <f t="shared" ref="CK267:CN267" si="689">IFERROR(ROUND(BY267*$P267,2),"")</f>
        <v>0</v>
      </c>
      <c r="CL267" s="258">
        <f t="shared" si="689"/>
        <v>0</v>
      </c>
      <c r="CM267" s="258">
        <f t="shared" si="689"/>
        <v>0</v>
      </c>
      <c r="CN267" s="258">
        <f t="shared" si="689"/>
        <v>260991.96</v>
      </c>
      <c r="CO267" s="258">
        <f t="shared" ref="CO267:CO272" si="690">SUM(CK267:CN267)</f>
        <v>260991.96</v>
      </c>
      <c r="CP267" s="258">
        <f>VLOOKUP(G267,[2]Sheet1!$C$3:$G$310,5,0)</f>
        <v>2000</v>
      </c>
      <c r="CQ267" s="258" t="e">
        <f>VLOOKUP(G267,[3]KCBB0101!$C$3:$F$691,4,0)</f>
        <v>#N/A</v>
      </c>
    </row>
    <row r="268" s="258" customFormat="1" ht="17.6" spans="1:95">
      <c r="A268" s="330"/>
      <c r="B268" s="334" t="str">
        <f>_xlfn.XLOOKUP(G268,销售需求表!A:A,销售需求表!C:C)</f>
        <v>亚</v>
      </c>
      <c r="C268" s="335" t="str">
        <f t="shared" si="633"/>
        <v>20</v>
      </c>
      <c r="D268" s="362" t="str">
        <f t="shared" si="668"/>
        <v>亚20寸</v>
      </c>
      <c r="E268" s="339" t="str">
        <f t="shared" ref="E268:E272" si="691">LEFT(REPLACE(G268,1,2,""),FIND("[",REPLACE(G268,1,2,""))-1)&amp;"-"&amp;MID(REPLACE(G268,1,2,""),FIND("[",REPLACE(G268,1,2,""))+1,FIND("]",REPLACE(G268,1,2,""))-FIND("[",REPLACE(G268,1,2,""))-1)</f>
        <v>11.00R20-18PR(152/149K)-AS578</v>
      </c>
      <c r="F268" s="340" t="str">
        <f t="shared" si="666"/>
        <v>11.00R20-18PR-AS578</v>
      </c>
      <c r="G268" s="341" t="s">
        <v>612</v>
      </c>
      <c r="H268" s="334">
        <v>500</v>
      </c>
      <c r="I268" s="345"/>
      <c r="J268" s="346" t="str">
        <f t="shared" si="669"/>
        <v>11.00R20-AS578</v>
      </c>
      <c r="K268" s="347" t="str">
        <f>_xlfn.XLOOKUP(F268,投产规格!E:E,投产规格!D:D,"未投产")</f>
        <v>✔</v>
      </c>
      <c r="L268" s="347">
        <f>IFERROR(_xlfn.XLOOKUP(F268,硫化工艺!B:B,硫化工艺!C:C),"")</f>
        <v>42</v>
      </c>
      <c r="M268" s="349">
        <f t="shared" si="670"/>
        <v>0.878048780487805</v>
      </c>
      <c r="N268" s="347" t="str">
        <f t="shared" si="671"/>
        <v>20全钢</v>
      </c>
      <c r="O268" s="347">
        <f>IFERROR(_xlfn.XLOOKUP(F268,轮胎重量!J:J,轮胎重量!G:G),"")</f>
        <v>67.387</v>
      </c>
      <c r="P268" s="347">
        <f>IFERROR(_xlfn.XLOOKUP(G268,硫化工艺!I:I,硫化工艺!J:J),"")</f>
        <v>944.3483</v>
      </c>
      <c r="Q268" s="347">
        <f t="shared" si="672"/>
        <v>0</v>
      </c>
      <c r="R268" s="347"/>
      <c r="S268" s="347"/>
      <c r="T268" s="347"/>
      <c r="U268" s="347"/>
      <c r="V268" s="347"/>
      <c r="W268" s="347"/>
      <c r="X268" s="347"/>
      <c r="Y268" s="347"/>
      <c r="Z268" s="347"/>
      <c r="AA268" s="347"/>
      <c r="AB268" s="347"/>
      <c r="AC268" s="347"/>
      <c r="AD268" s="347"/>
      <c r="AE268" s="347">
        <v>60</v>
      </c>
      <c r="AF268" s="347">
        <v>60</v>
      </c>
      <c r="AG268" s="347">
        <v>60</v>
      </c>
      <c r="AH268" s="347">
        <v>60</v>
      </c>
      <c r="AI268" s="347">
        <v>60</v>
      </c>
      <c r="AJ268" s="347">
        <v>60</v>
      </c>
      <c r="AK268" s="347">
        <v>60</v>
      </c>
      <c r="AL268" s="347">
        <v>60</v>
      </c>
      <c r="AM268" s="347">
        <v>60</v>
      </c>
      <c r="AN268" s="347"/>
      <c r="AO268" s="347"/>
      <c r="AP268" s="347"/>
      <c r="AQ268" s="347"/>
      <c r="AR268" s="347"/>
      <c r="AS268" s="347"/>
      <c r="AT268" s="347"/>
      <c r="AU268" s="347"/>
      <c r="AV268" s="347"/>
      <c r="AW268" s="347">
        <f t="shared" ref="AW267:AW272" si="692">IF(SUM(R268:AV268)=0,"",SUM(R268:AV268))</f>
        <v>540</v>
      </c>
      <c r="AX268" s="365">
        <f t="shared" si="673"/>
        <v>36.38898</v>
      </c>
      <c r="AY268" s="365">
        <f t="shared" si="674"/>
        <v>50.995</v>
      </c>
      <c r="AZ268" s="366">
        <v>657.83</v>
      </c>
      <c r="BA268" s="368">
        <v>42.94</v>
      </c>
      <c r="BB268" s="368">
        <v>64.49</v>
      </c>
      <c r="BC268" s="368">
        <v>73.23</v>
      </c>
      <c r="BD268" s="330"/>
      <c r="BE268" s="330">
        <f t="shared" si="675"/>
        <v>355228.2</v>
      </c>
      <c r="BF268" s="330">
        <f t="shared" si="676"/>
        <v>23187.6</v>
      </c>
      <c r="BG268" s="330">
        <f t="shared" si="677"/>
        <v>34824.6</v>
      </c>
      <c r="BH268" s="330">
        <f t="shared" si="678"/>
        <v>39544.2</v>
      </c>
      <c r="BI268" s="330"/>
      <c r="BJ268" s="370" cm="1">
        <f t="array" ref="BJ268:BM268">_xlfn.LET(_xlpm.data,$R268:$AV268,_xlpm.starts,{1,8,16,23},_xlpm.lengths,{7,7,8,9},_xlpm.arr,_xlfn.MAP(_xlpm.starts,_xlpm.lengths,_xlfn.LAMBDA(_xlpm.s,_xlpm.l,SUM(INDEX(_xlpm.data,,_xlfn.SEQUENCE(,_xlpm.l,_xlpm.s))))),ROUND(_xlpm.arr*$O268/1000,2))</f>
        <v>0</v>
      </c>
      <c r="BK268" s="330">
        <v>4.04</v>
      </c>
      <c r="BL268" s="330">
        <v>28.3</v>
      </c>
      <c r="BM268" s="330">
        <v>0</v>
      </c>
      <c r="BN268" s="258">
        <f t="shared" si="679"/>
        <v>32.34</v>
      </c>
      <c r="BO268" s="258">
        <v>0</v>
      </c>
      <c r="BP268" s="258">
        <v>0</v>
      </c>
      <c r="BQ268" s="258">
        <v>24.25</v>
      </c>
      <c r="BR268" s="258">
        <v>27.28</v>
      </c>
      <c r="BS268" s="115"/>
      <c r="BT268" s="258" cm="1">
        <f ca="1" t="array" ref="BT268:BW268">_xlfn.HSTACK(SUM(INDEX($R268:$AV268,1,1):INDEX($R268:$AV268,1,7)),SUM(INDEX($R268:$AV268,1,7):INDEX($R268:$AV268,1,13)),SUM(INDEX($R268:$AV268,1,16):INDEX($R268:$AV268,1,23)),SUM(INDEX($R268:$AV268,1,23):INDEX($R268:$AV268,1,31)))</f>
        <v>0</v>
      </c>
      <c r="BU268" s="258">
        <v>0</v>
      </c>
      <c r="BV268" s="258">
        <v>420</v>
      </c>
      <c r="BW268" s="258">
        <v>0</v>
      </c>
      <c r="BY268" s="258">
        <f t="shared" si="680"/>
        <v>0</v>
      </c>
      <c r="BZ268" s="258">
        <f t="shared" si="681"/>
        <v>60</v>
      </c>
      <c r="CA268" s="258">
        <f t="shared" si="682"/>
        <v>480</v>
      </c>
      <c r="CB268" s="258">
        <f t="shared" si="683"/>
        <v>0</v>
      </c>
      <c r="CD268" s="113"/>
      <c r="CE268" s="258">
        <f t="shared" si="684"/>
        <v>0</v>
      </c>
      <c r="CF268" s="258">
        <f t="shared" si="685"/>
        <v>4.04</v>
      </c>
      <c r="CG268" s="258">
        <f t="shared" si="686"/>
        <v>32.35</v>
      </c>
      <c r="CH268" s="258">
        <f t="shared" si="687"/>
        <v>0</v>
      </c>
      <c r="CI268" s="258">
        <f t="shared" si="688"/>
        <v>36.39</v>
      </c>
      <c r="CJ268" s="113"/>
      <c r="CK268" s="258">
        <f t="shared" ref="CK268:CN268" si="693">IFERROR(ROUND(BY268*$P268,2),"")</f>
        <v>0</v>
      </c>
      <c r="CL268" s="258">
        <f t="shared" si="693"/>
        <v>56660.9</v>
      </c>
      <c r="CM268" s="258">
        <f t="shared" si="693"/>
        <v>453287.18</v>
      </c>
      <c r="CN268" s="258">
        <f t="shared" si="693"/>
        <v>0</v>
      </c>
      <c r="CO268" s="258">
        <f t="shared" si="690"/>
        <v>509948.08</v>
      </c>
      <c r="CP268" s="258" t="e">
        <f>VLOOKUP(G268,[2]Sheet1!$C$3:$G$310,5,0)</f>
        <v>#N/A</v>
      </c>
      <c r="CQ268" s="258">
        <f>VLOOKUP(G268,[3]KCBB0101!$C$3:$F$691,4,0)</f>
        <v>6780</v>
      </c>
    </row>
    <row r="269" ht="17.6" spans="2:95">
      <c r="B269" s="334" t="str">
        <f>_xlfn.XLOOKUP(G269,销售需求表!A:A,销售需求表!C:C)</f>
        <v>亚</v>
      </c>
      <c r="C269" s="335" t="str">
        <f t="shared" si="633"/>
        <v>20</v>
      </c>
      <c r="D269" s="362" t="str">
        <f t="shared" si="668"/>
        <v>亚20寸</v>
      </c>
      <c r="E269" s="339" t="str">
        <f t="shared" si="691"/>
        <v>11.00R20-18PR(152/149K)-AZ676</v>
      </c>
      <c r="F269" s="340" t="str">
        <f t="shared" si="666"/>
        <v>11.00R20-18PR-AZ676</v>
      </c>
      <c r="G269" s="341" t="s">
        <v>613</v>
      </c>
      <c r="H269" s="334">
        <v>660</v>
      </c>
      <c r="I269" s="345">
        <v>2</v>
      </c>
      <c r="J269" s="346" t="str">
        <f t="shared" si="669"/>
        <v>11.00R20-AZ676</v>
      </c>
      <c r="K269" s="347" t="str">
        <f>_xlfn.XLOOKUP(F269,投产规格!E:E,投产规格!D:D,"未投产")</f>
        <v>✔</v>
      </c>
      <c r="L269" s="347">
        <f>IFERROR(_xlfn.XLOOKUP(F269,硫化工艺!B:B,硫化工艺!C:C),"")</f>
        <v>44</v>
      </c>
      <c r="M269" s="349">
        <f t="shared" si="670"/>
        <v>0.882943143812709</v>
      </c>
      <c r="N269" s="347" t="str">
        <f t="shared" si="671"/>
        <v>20全钢</v>
      </c>
      <c r="O269" s="347">
        <f>IFERROR(_xlfn.XLOOKUP(F269,轮胎重量!J:J,轮胎重量!G:G),"")</f>
        <v>66.1</v>
      </c>
      <c r="P269" s="347">
        <f>IFERROR(_xlfn.XLOOKUP(G269,硫化工艺!I:I,硫化工艺!J:J),"")</f>
        <v>946.2404</v>
      </c>
      <c r="Q269" s="347">
        <f t="shared" si="672"/>
        <v>58</v>
      </c>
      <c r="R269" s="347">
        <v>50</v>
      </c>
      <c r="S269" s="347">
        <v>50</v>
      </c>
      <c r="T269" s="347">
        <v>50</v>
      </c>
      <c r="U269" s="347">
        <v>50</v>
      </c>
      <c r="V269" s="347">
        <v>50</v>
      </c>
      <c r="W269" s="347">
        <v>50</v>
      </c>
      <c r="X269" s="347">
        <v>50</v>
      </c>
      <c r="Y269" s="347">
        <v>50</v>
      </c>
      <c r="Z269" s="347">
        <v>50</v>
      </c>
      <c r="AA269" s="347">
        <v>50</v>
      </c>
      <c r="AB269" s="347">
        <v>50</v>
      </c>
      <c r="AC269" s="347">
        <v>50</v>
      </c>
      <c r="AD269" s="347">
        <v>50</v>
      </c>
      <c r="AE269" s="347"/>
      <c r="AF269" s="347"/>
      <c r="AG269" s="347"/>
      <c r="AH269" s="347"/>
      <c r="AI269" s="347"/>
      <c r="AJ269" s="347"/>
      <c r="AK269" s="347"/>
      <c r="AL269" s="347"/>
      <c r="AM269" s="347"/>
      <c r="AN269" s="347"/>
      <c r="AO269" s="347"/>
      <c r="AP269" s="347"/>
      <c r="AQ269" s="347"/>
      <c r="AR269" s="347"/>
      <c r="AS269" s="347"/>
      <c r="AT269" s="347"/>
      <c r="AU269" s="347"/>
      <c r="AV269" s="347"/>
      <c r="AW269" s="347">
        <f t="shared" si="692"/>
        <v>650</v>
      </c>
      <c r="AX269" s="365">
        <f t="shared" si="673"/>
        <v>42.965</v>
      </c>
      <c r="AY269" s="365">
        <f t="shared" si="674"/>
        <v>61.506</v>
      </c>
      <c r="AZ269" s="366">
        <v>677.88</v>
      </c>
      <c r="BA269" s="368">
        <v>44.56</v>
      </c>
      <c r="BB269" s="368">
        <v>66.37</v>
      </c>
      <c r="BC269" s="368">
        <v>75.26</v>
      </c>
      <c r="BE269" s="330">
        <f t="shared" si="675"/>
        <v>440622</v>
      </c>
      <c r="BF269" s="330">
        <f t="shared" si="676"/>
        <v>28964</v>
      </c>
      <c r="BG269" s="330">
        <f t="shared" si="677"/>
        <v>43140.5</v>
      </c>
      <c r="BH269" s="330">
        <f t="shared" si="678"/>
        <v>48919</v>
      </c>
      <c r="BJ269" s="370" cm="1">
        <f t="array" ref="BJ269:BM269">_xlfn.LET(_xlpm.data,$R269:$AV269,_xlpm.starts,{1,8,16,23},_xlpm.lengths,{7,7,8,9},_xlpm.arr,_xlfn.MAP(_xlpm.starts,_xlpm.lengths,_xlfn.LAMBDA(_xlpm.s,_xlpm.l,SUM(INDEX(_xlpm.data,,_xlfn.SEQUENCE(,_xlpm.l,_xlpm.s))))),ROUND(_xlpm.arr*$O269/1000,2))</f>
        <v>23.14</v>
      </c>
      <c r="BK269" s="330">
        <v>19.83</v>
      </c>
      <c r="BL269" s="330">
        <v>0</v>
      </c>
      <c r="BM269" s="330">
        <v>0</v>
      </c>
      <c r="BN269" s="258">
        <f t="shared" si="679"/>
        <v>42.97</v>
      </c>
      <c r="BO269" s="258">
        <v>0</v>
      </c>
      <c r="BP269" s="258">
        <v>0</v>
      </c>
      <c r="BQ269" s="258">
        <v>0</v>
      </c>
      <c r="BR269" s="258">
        <v>0</v>
      </c>
      <c r="BT269" s="258" cm="1">
        <f ca="1" t="array" ref="BT269:BW269">_xlfn.HSTACK(SUM(INDEX($R269:$AV269,1,1):INDEX($R269:$AV269,1,7)),SUM(INDEX($R269:$AV269,1,7):INDEX($R269:$AV269,1,13)),SUM(INDEX($R269:$AV269,1,16):INDEX($R269:$AV269,1,23)),SUM(INDEX($R269:$AV269,1,23):INDEX($R269:$AV269,1,31)))</f>
        <v>350</v>
      </c>
      <c r="BU269" s="258">
        <v>350</v>
      </c>
      <c r="BV269" s="258">
        <v>0</v>
      </c>
      <c r="BW269" s="258">
        <v>0</v>
      </c>
      <c r="BY269" s="258">
        <f t="shared" si="680"/>
        <v>350</v>
      </c>
      <c r="BZ269" s="258">
        <f t="shared" si="681"/>
        <v>300</v>
      </c>
      <c r="CA269" s="258">
        <f t="shared" si="682"/>
        <v>0</v>
      </c>
      <c r="CB269" s="258">
        <f t="shared" si="683"/>
        <v>0</v>
      </c>
      <c r="CE269" s="258">
        <f t="shared" si="684"/>
        <v>23.14</v>
      </c>
      <c r="CF269" s="258">
        <f t="shared" si="685"/>
        <v>19.83</v>
      </c>
      <c r="CG269" s="258">
        <f t="shared" si="686"/>
        <v>0</v>
      </c>
      <c r="CH269" s="258">
        <f t="shared" si="687"/>
        <v>0</v>
      </c>
      <c r="CI269" s="258">
        <f t="shared" si="688"/>
        <v>42.97</v>
      </c>
      <c r="CK269" s="258">
        <f t="shared" ref="CK269:CN269" si="694">IFERROR(ROUND(BY269*$P269,2),"")</f>
        <v>331184.14</v>
      </c>
      <c r="CL269" s="258">
        <f t="shared" si="694"/>
        <v>283872.12</v>
      </c>
      <c r="CM269" s="258">
        <f t="shared" si="694"/>
        <v>0</v>
      </c>
      <c r="CN269" s="258">
        <f t="shared" si="694"/>
        <v>0</v>
      </c>
      <c r="CO269" s="258">
        <f t="shared" si="690"/>
        <v>615056.26</v>
      </c>
      <c r="CP269" s="258" t="e">
        <f>VLOOKUP(G269,[2]Sheet1!$C$3:$G$310,5,0)</f>
        <v>#N/A</v>
      </c>
      <c r="CQ269" s="258">
        <f>VLOOKUP(G269,[3]KCBB0101!$C$3:$F$691,4,0)</f>
        <v>2662</v>
      </c>
    </row>
    <row r="270" ht="17.6" spans="2:95">
      <c r="B270" s="334" t="str">
        <f>_xlfn.XLOOKUP(G270,销售需求表!A:A,销售需求表!C:C)</f>
        <v>亚</v>
      </c>
      <c r="C270" s="335" t="str">
        <f t="shared" si="633"/>
        <v>20</v>
      </c>
      <c r="D270" s="362" t="str">
        <f t="shared" si="668"/>
        <v>亚20寸</v>
      </c>
      <c r="E270" s="339" t="str">
        <f t="shared" si="691"/>
        <v>11.00R20-18PR(152/149K)-AZ850</v>
      </c>
      <c r="F270" s="340" t="str">
        <f t="shared" si="666"/>
        <v>11.00R20-18PR-AZ850</v>
      </c>
      <c r="G270" s="341" t="s">
        <v>614</v>
      </c>
      <c r="H270" s="334">
        <v>200</v>
      </c>
      <c r="I270" s="345"/>
      <c r="J270" s="346" t="str">
        <f t="shared" si="669"/>
        <v>11.00R20-AZ850</v>
      </c>
      <c r="K270" s="347" t="str">
        <f>_xlfn.XLOOKUP(F270,投产规格!E:E,投产规格!D:D,"未投产")</f>
        <v>✔</v>
      </c>
      <c r="L270" s="347">
        <f>IFERROR(_xlfn.XLOOKUP(F270,硫化工艺!B:B,硫化工艺!C:C),"")</f>
        <v>54</v>
      </c>
      <c r="M270" s="349">
        <f t="shared" si="670"/>
        <v>0.902506963788301</v>
      </c>
      <c r="N270" s="347" t="str">
        <f t="shared" si="671"/>
        <v>20全钢</v>
      </c>
      <c r="O270" s="347">
        <f>IFERROR(_xlfn.XLOOKUP(F270,轮胎重量!J:J,轮胎重量!G:G),"")</f>
        <v>68.197</v>
      </c>
      <c r="P270" s="347">
        <f>IFERROR(_xlfn.XLOOKUP(G270,硫化工艺!I:I,硫化工艺!J:J),"")</f>
        <v>997.8031</v>
      </c>
      <c r="Q270" s="347">
        <f t="shared" si="672"/>
        <v>0</v>
      </c>
      <c r="R270" s="347"/>
      <c r="S270" s="347"/>
      <c r="T270" s="347"/>
      <c r="U270" s="347"/>
      <c r="V270" s="347"/>
      <c r="W270" s="347"/>
      <c r="X270" s="347"/>
      <c r="Y270" s="347"/>
      <c r="Z270" s="347"/>
      <c r="AA270" s="347"/>
      <c r="AB270" s="347"/>
      <c r="AC270" s="347"/>
      <c r="AD270" s="347"/>
      <c r="AE270" s="347"/>
      <c r="AF270" s="354">
        <v>50</v>
      </c>
      <c r="AG270" s="354">
        <v>50</v>
      </c>
      <c r="AH270" s="354">
        <v>50</v>
      </c>
      <c r="AI270" s="354">
        <v>50</v>
      </c>
      <c r="AJ270" s="354">
        <v>50</v>
      </c>
      <c r="AK270" s="354">
        <v>50</v>
      </c>
      <c r="AL270" s="354">
        <v>50</v>
      </c>
      <c r="AM270" s="354">
        <v>50</v>
      </c>
      <c r="AN270" s="347"/>
      <c r="AO270" s="347"/>
      <c r="AP270" s="347"/>
      <c r="AQ270" s="347"/>
      <c r="AR270" s="347"/>
      <c r="AS270" s="347"/>
      <c r="AT270" s="347"/>
      <c r="AU270" s="347"/>
      <c r="AV270" s="347"/>
      <c r="AW270" s="347">
        <f t="shared" si="692"/>
        <v>400</v>
      </c>
      <c r="AX270" s="365">
        <f t="shared" si="673"/>
        <v>27.2788</v>
      </c>
      <c r="AY270" s="365">
        <f t="shared" si="674"/>
        <v>39.912</v>
      </c>
      <c r="AZ270" s="366">
        <v>677.88</v>
      </c>
      <c r="BA270" s="368">
        <v>44.56</v>
      </c>
      <c r="BB270" s="368">
        <v>66.37</v>
      </c>
      <c r="BC270" s="368">
        <v>75.26</v>
      </c>
      <c r="BE270" s="330">
        <f t="shared" si="675"/>
        <v>271152</v>
      </c>
      <c r="BF270" s="330">
        <f t="shared" si="676"/>
        <v>17824</v>
      </c>
      <c r="BG270" s="330">
        <f t="shared" si="677"/>
        <v>26548</v>
      </c>
      <c r="BH270" s="330">
        <f t="shared" si="678"/>
        <v>30104</v>
      </c>
      <c r="BJ270" s="370" cm="1">
        <f t="array" ref="BJ270:BM270">_xlfn.LET(_xlpm.data,$R270:$AV270,_xlpm.starts,{1,8,16,23},_xlpm.lengths,{7,7,8,9},_xlpm.arr,_xlfn.MAP(_xlpm.starts,_xlpm.lengths,_xlfn.LAMBDA(_xlpm.s,_xlpm.l,SUM(INDEX(_xlpm.data,,_xlfn.SEQUENCE(,_xlpm.l,_xlpm.s))))),ROUND(_xlpm.arr*$O270/1000,2))</f>
        <v>0</v>
      </c>
      <c r="BK270" s="330">
        <v>0</v>
      </c>
      <c r="BL270" s="330">
        <v>23.87</v>
      </c>
      <c r="BM270" s="330">
        <v>0</v>
      </c>
      <c r="BN270" s="258">
        <f t="shared" si="679"/>
        <v>23.87</v>
      </c>
      <c r="BO270" s="258">
        <v>0</v>
      </c>
      <c r="BP270" s="258">
        <v>0</v>
      </c>
      <c r="BQ270" s="258">
        <v>25.61</v>
      </c>
      <c r="BR270" s="258">
        <v>28.81</v>
      </c>
      <c r="BT270" s="258" cm="1">
        <f ca="1" t="array" ref="BT270:BW270">_xlfn.HSTACK(SUM(INDEX($R270:$AV270,1,1):INDEX($R270:$AV270,1,7)),SUM(INDEX($R270:$AV270,1,7):INDEX($R270:$AV270,1,13)),SUM(INDEX($R270:$AV270,1,16):INDEX($R270:$AV270,1,23)),SUM(INDEX($R270:$AV270,1,23):INDEX($R270:$AV270,1,31)))</f>
        <v>0</v>
      </c>
      <c r="BU270" s="258">
        <v>0</v>
      </c>
      <c r="BV270" s="258">
        <v>350</v>
      </c>
      <c r="BW270" s="258">
        <v>0</v>
      </c>
      <c r="BY270" s="258">
        <f t="shared" si="680"/>
        <v>0</v>
      </c>
      <c r="BZ270" s="258">
        <f t="shared" si="681"/>
        <v>0</v>
      </c>
      <c r="CA270" s="258">
        <f t="shared" si="682"/>
        <v>400</v>
      </c>
      <c r="CB270" s="258">
        <f t="shared" si="683"/>
        <v>0</v>
      </c>
      <c r="CE270" s="258">
        <f t="shared" si="684"/>
        <v>0</v>
      </c>
      <c r="CF270" s="258">
        <f t="shared" si="685"/>
        <v>0</v>
      </c>
      <c r="CG270" s="258">
        <f t="shared" si="686"/>
        <v>27.28</v>
      </c>
      <c r="CH270" s="258">
        <f t="shared" si="687"/>
        <v>0</v>
      </c>
      <c r="CI270" s="258">
        <f t="shared" si="688"/>
        <v>27.28</v>
      </c>
      <c r="CK270" s="258">
        <f t="shared" ref="CK270:CN270" si="695">IFERROR(ROUND(BY270*$P270,2),"")</f>
        <v>0</v>
      </c>
      <c r="CL270" s="258">
        <f t="shared" si="695"/>
        <v>0</v>
      </c>
      <c r="CM270" s="258">
        <f t="shared" si="695"/>
        <v>399121.24</v>
      </c>
      <c r="CN270" s="258">
        <f t="shared" si="695"/>
        <v>0</v>
      </c>
      <c r="CO270" s="258">
        <f t="shared" si="690"/>
        <v>399121.24</v>
      </c>
      <c r="CP270" s="258" t="e">
        <f>VLOOKUP(G270,[2]Sheet1!$C$3:$G$310,5,0)</f>
        <v>#N/A</v>
      </c>
      <c r="CQ270" s="258">
        <f>VLOOKUP(G270,[3]KCBB0101!$C$3:$F$691,4,0)</f>
        <v>15710</v>
      </c>
    </row>
    <row r="271" ht="17.6" spans="2:95">
      <c r="B271" s="334" t="str">
        <f>_xlfn.XLOOKUP(G271,销售需求表!A:A,销售需求表!C:C)</f>
        <v>亚</v>
      </c>
      <c r="C271" s="335" t="str">
        <f t="shared" si="633"/>
        <v>20</v>
      </c>
      <c r="D271" s="362" t="str">
        <f t="shared" si="668"/>
        <v>亚20寸</v>
      </c>
      <c r="E271" s="339" t="str">
        <f t="shared" si="691"/>
        <v>11.00R20-18PR(152/149K)-CM988</v>
      </c>
      <c r="F271" s="340" t="str">
        <f t="shared" si="666"/>
        <v>11.00R20-18PR-CM988</v>
      </c>
      <c r="G271" s="341" t="s">
        <v>615</v>
      </c>
      <c r="H271" s="334">
        <v>300</v>
      </c>
      <c r="I271" s="345"/>
      <c r="J271" s="346" t="str">
        <f t="shared" si="669"/>
        <v>11.00R20-CM988</v>
      </c>
      <c r="K271" s="347" t="str">
        <f>_xlfn.XLOOKUP(F271,投产规格!E:E,投产规格!D:D,"未投产")</f>
        <v>✔</v>
      </c>
      <c r="L271" s="347">
        <f>IFERROR(_xlfn.XLOOKUP(F271,硫化工艺!B:B,硫化工艺!C:C),"")</f>
        <v>42.5</v>
      </c>
      <c r="M271" s="349">
        <f t="shared" si="670"/>
        <v>0.879310344827586</v>
      </c>
      <c r="N271" s="347" t="str">
        <f t="shared" si="671"/>
        <v>20全钢</v>
      </c>
      <c r="O271" s="347">
        <f>IFERROR(_xlfn.XLOOKUP(F271,轮胎重量!J:J,轮胎重量!G:G),"")</f>
        <v>67.965</v>
      </c>
      <c r="P271" s="350">
        <f>O271*13.9</f>
        <v>944.7135</v>
      </c>
      <c r="Q271" s="347">
        <f t="shared" si="672"/>
        <v>0</v>
      </c>
      <c r="R271" s="347"/>
      <c r="S271" s="347"/>
      <c r="T271" s="347"/>
      <c r="U271" s="347"/>
      <c r="V271" s="347"/>
      <c r="W271" s="347"/>
      <c r="X271" s="347"/>
      <c r="Y271" s="354">
        <v>50</v>
      </c>
      <c r="Z271" s="354">
        <v>50</v>
      </c>
      <c r="AA271" s="354">
        <v>50</v>
      </c>
      <c r="AB271" s="354">
        <v>50</v>
      </c>
      <c r="AC271" s="354">
        <v>50</v>
      </c>
      <c r="AD271" s="354">
        <v>50</v>
      </c>
      <c r="AE271" s="354">
        <v>50</v>
      </c>
      <c r="AF271" s="347"/>
      <c r="AG271" s="347"/>
      <c r="AH271" s="347"/>
      <c r="AI271" s="347"/>
      <c r="AJ271" s="347"/>
      <c r="AK271" s="347"/>
      <c r="AL271" s="347"/>
      <c r="AM271" s="347"/>
      <c r="AN271" s="347"/>
      <c r="AO271" s="347"/>
      <c r="AP271" s="347"/>
      <c r="AQ271" s="347"/>
      <c r="AR271" s="347"/>
      <c r="AS271" s="347"/>
      <c r="AT271" s="347"/>
      <c r="AU271" s="347"/>
      <c r="AV271" s="347"/>
      <c r="AW271" s="347">
        <f t="shared" si="692"/>
        <v>350</v>
      </c>
      <c r="AX271" s="365">
        <f t="shared" si="673"/>
        <v>23.78775</v>
      </c>
      <c r="AY271" s="365">
        <f t="shared" si="674"/>
        <v>33.065</v>
      </c>
      <c r="AZ271" s="366">
        <v>677.88</v>
      </c>
      <c r="BA271" s="368">
        <v>44.56</v>
      </c>
      <c r="BB271" s="368">
        <v>66.37</v>
      </c>
      <c r="BC271" s="368">
        <v>75.26</v>
      </c>
      <c r="BE271" s="330">
        <f t="shared" si="675"/>
        <v>237258</v>
      </c>
      <c r="BF271" s="330">
        <f t="shared" si="676"/>
        <v>15596</v>
      </c>
      <c r="BG271" s="330">
        <f t="shared" si="677"/>
        <v>23229.5</v>
      </c>
      <c r="BH271" s="330">
        <f t="shared" si="678"/>
        <v>26341</v>
      </c>
      <c r="BJ271" s="370" cm="1">
        <f t="array" ref="BJ271:BM271">_xlfn.LET(_xlpm.data,$R271:$AV271,_xlpm.starts,{1,8,16,23},_xlpm.lengths,{7,7,8,9},_xlpm.arr,_xlfn.MAP(_xlpm.starts,_xlpm.lengths,_xlfn.LAMBDA(_xlpm.s,_xlpm.l,SUM(INDEX(_xlpm.data,,_xlfn.SEQUENCE(,_xlpm.l,_xlpm.s))))),ROUND(_xlpm.arr*$O271/1000,2))</f>
        <v>0</v>
      </c>
      <c r="BK271" s="330">
        <v>23.79</v>
      </c>
      <c r="BL271" s="330">
        <v>0</v>
      </c>
      <c r="BM271" s="330">
        <v>0</v>
      </c>
      <c r="BN271" s="258">
        <f t="shared" si="679"/>
        <v>23.79</v>
      </c>
      <c r="BO271" s="258">
        <v>0</v>
      </c>
      <c r="BP271" s="258">
        <v>0</v>
      </c>
      <c r="BQ271" s="258">
        <v>0</v>
      </c>
      <c r="BR271" s="258">
        <v>0</v>
      </c>
      <c r="BT271" s="258" cm="1">
        <f ca="1" t="array" ref="BT271:BW271">_xlfn.HSTACK(SUM(INDEX($R271:$AV271,1,1):INDEX($R271:$AV271,1,7)),SUM(INDEX($R271:$AV271,1,7):INDEX($R271:$AV271,1,13)),SUM(INDEX($R271:$AV271,1,16):INDEX($R271:$AV271,1,23)),SUM(INDEX($R271:$AV271,1,23):INDEX($R271:$AV271,1,31)))</f>
        <v>0</v>
      </c>
      <c r="BU271" s="258">
        <v>300</v>
      </c>
      <c r="BV271" s="258">
        <v>0</v>
      </c>
      <c r="BW271" s="258">
        <v>0</v>
      </c>
      <c r="BY271" s="258">
        <f t="shared" si="680"/>
        <v>0</v>
      </c>
      <c r="BZ271" s="258">
        <f t="shared" si="681"/>
        <v>350</v>
      </c>
      <c r="CA271" s="258">
        <f t="shared" si="682"/>
        <v>0</v>
      </c>
      <c r="CB271" s="258">
        <f t="shared" si="683"/>
        <v>0</v>
      </c>
      <c r="CE271" s="258">
        <f t="shared" si="684"/>
        <v>0</v>
      </c>
      <c r="CF271" s="258">
        <f t="shared" si="685"/>
        <v>23.79</v>
      </c>
      <c r="CG271" s="258">
        <f t="shared" si="686"/>
        <v>0</v>
      </c>
      <c r="CH271" s="258">
        <f t="shared" si="687"/>
        <v>0</v>
      </c>
      <c r="CI271" s="258">
        <f t="shared" si="688"/>
        <v>23.79</v>
      </c>
      <c r="CK271" s="258">
        <f t="shared" ref="CK271:CN271" si="696">IFERROR(ROUND(BY271*$P271,2),"")</f>
        <v>0</v>
      </c>
      <c r="CL271" s="258">
        <f t="shared" si="696"/>
        <v>330649.73</v>
      </c>
      <c r="CM271" s="258">
        <f t="shared" si="696"/>
        <v>0</v>
      </c>
      <c r="CN271" s="258">
        <f t="shared" si="696"/>
        <v>0</v>
      </c>
      <c r="CO271" s="258">
        <f t="shared" si="690"/>
        <v>330649.73</v>
      </c>
      <c r="CP271" s="258" t="e">
        <f>VLOOKUP(G271,[2]Sheet1!$C$3:$G$310,5,0)</f>
        <v>#N/A</v>
      </c>
      <c r="CQ271" s="258">
        <f>VLOOKUP(G271,[3]KCBB0101!$C$3:$F$691,4,0)</f>
        <v>8000</v>
      </c>
    </row>
    <row r="272" s="258" customFormat="1" ht="17.6" spans="1:95">
      <c r="A272" s="330"/>
      <c r="B272" s="334" t="str">
        <f>_xlfn.XLOOKUP(G272,销售需求表!A:A,销售需求表!C:C)</f>
        <v>亚</v>
      </c>
      <c r="C272" s="335" t="str">
        <f t="shared" si="633"/>
        <v>20</v>
      </c>
      <c r="D272" s="362" t="str">
        <f t="shared" si="668"/>
        <v>亚20寸</v>
      </c>
      <c r="E272" s="339" t="str">
        <f t="shared" si="691"/>
        <v>11.00R20-18PR(152/149K)-CR926+</v>
      </c>
      <c r="F272" s="340" t="str">
        <f t="shared" si="666"/>
        <v>11.00R20-18PR-CR926+</v>
      </c>
      <c r="G272" s="341" t="s">
        <v>616</v>
      </c>
      <c r="H272" s="334">
        <v>1700</v>
      </c>
      <c r="I272" s="345">
        <v>2</v>
      </c>
      <c r="J272" s="346" t="str">
        <f t="shared" si="669"/>
        <v>11.00R20-CR926+</v>
      </c>
      <c r="K272" s="347" t="str">
        <f>_xlfn.XLOOKUP(F272,投产规格!E:E,投产规格!D:D,"未投产")</f>
        <v>✔</v>
      </c>
      <c r="L272" s="347">
        <f>IFERROR(_xlfn.XLOOKUP(F272,硫化工艺!B:B,硫化工艺!C:C),"")</f>
        <v>44</v>
      </c>
      <c r="M272" s="349">
        <f t="shared" si="670"/>
        <v>0.882943143812709</v>
      </c>
      <c r="N272" s="347" t="str">
        <f t="shared" si="671"/>
        <v>20全钢</v>
      </c>
      <c r="O272" s="347">
        <f>IFERROR(_xlfn.XLOOKUP(F272,轮胎重量!J:J,轮胎重量!G:G),"")</f>
        <v>64.622</v>
      </c>
      <c r="P272" s="347">
        <f>IFERROR(_xlfn.XLOOKUP(G272,硫化工艺!I:I,硫化工艺!J:J),"")</f>
        <v>933.3884</v>
      </c>
      <c r="Q272" s="347">
        <f t="shared" si="672"/>
        <v>58</v>
      </c>
      <c r="R272" s="347">
        <v>60</v>
      </c>
      <c r="S272" s="347">
        <v>60</v>
      </c>
      <c r="T272" s="347">
        <v>60</v>
      </c>
      <c r="U272" s="347">
        <v>60</v>
      </c>
      <c r="V272" s="347">
        <v>60</v>
      </c>
      <c r="W272" s="347">
        <v>60</v>
      </c>
      <c r="X272" s="347">
        <v>60</v>
      </c>
      <c r="Y272" s="347">
        <v>60</v>
      </c>
      <c r="Z272" s="347">
        <v>60</v>
      </c>
      <c r="AA272" s="347">
        <v>60</v>
      </c>
      <c r="AB272" s="347">
        <v>60</v>
      </c>
      <c r="AC272" s="347">
        <v>60</v>
      </c>
      <c r="AD272" s="347">
        <v>60</v>
      </c>
      <c r="AE272" s="347">
        <v>60</v>
      </c>
      <c r="AF272" s="347">
        <v>60</v>
      </c>
      <c r="AG272" s="347">
        <v>60</v>
      </c>
      <c r="AH272" s="347">
        <v>60</v>
      </c>
      <c r="AI272" s="347">
        <v>60</v>
      </c>
      <c r="AJ272" s="347">
        <v>60</v>
      </c>
      <c r="AK272" s="347">
        <v>60</v>
      </c>
      <c r="AL272" s="347">
        <v>60</v>
      </c>
      <c r="AM272" s="347">
        <v>60</v>
      </c>
      <c r="AN272" s="347">
        <v>60</v>
      </c>
      <c r="AO272" s="347">
        <v>60</v>
      </c>
      <c r="AP272" s="347">
        <v>60</v>
      </c>
      <c r="AQ272" s="347">
        <v>60</v>
      </c>
      <c r="AR272" s="347">
        <v>60</v>
      </c>
      <c r="AS272" s="347"/>
      <c r="AT272" s="347"/>
      <c r="AU272" s="347"/>
      <c r="AV272" s="347"/>
      <c r="AW272" s="347">
        <f t="shared" si="692"/>
        <v>1620</v>
      </c>
      <c r="AX272" s="365">
        <f t="shared" si="673"/>
        <v>104.68764</v>
      </c>
      <c r="AY272" s="365">
        <f t="shared" si="674"/>
        <v>151.209</v>
      </c>
      <c r="AZ272" s="366">
        <v>677.88</v>
      </c>
      <c r="BA272" s="368">
        <v>44.56</v>
      </c>
      <c r="BB272" s="368">
        <v>66.37</v>
      </c>
      <c r="BC272" s="368">
        <v>75.26</v>
      </c>
      <c r="BD272" s="330"/>
      <c r="BE272" s="330">
        <f t="shared" si="675"/>
        <v>1098165.6</v>
      </c>
      <c r="BF272" s="330">
        <f t="shared" si="676"/>
        <v>72187.2</v>
      </c>
      <c r="BG272" s="330">
        <f t="shared" si="677"/>
        <v>107519.4</v>
      </c>
      <c r="BH272" s="330">
        <f t="shared" si="678"/>
        <v>121921.2</v>
      </c>
      <c r="BI272" s="330"/>
      <c r="BJ272" s="370" cm="1">
        <f t="array" ref="BJ272:BM272">_xlfn.LET(_xlpm.data,$R272:$AV272,_xlpm.starts,{1,8,16,23},_xlpm.lengths,{7,7,8,9},_xlpm.arr,_xlfn.MAP(_xlpm.starts,_xlpm.lengths,_xlfn.LAMBDA(_xlpm.s,_xlpm.l,SUM(INDEX(_xlpm.data,,_xlfn.SEQUENCE(,_xlpm.l,_xlpm.s))))),ROUND(_xlpm.arr*$O272/1000,2))</f>
        <v>27.14</v>
      </c>
      <c r="BK272" s="330">
        <v>27.14</v>
      </c>
      <c r="BL272" s="330">
        <v>31.02</v>
      </c>
      <c r="BM272" s="330">
        <v>19.39</v>
      </c>
      <c r="BN272" s="258">
        <f t="shared" si="679"/>
        <v>104.69</v>
      </c>
      <c r="BO272" s="258">
        <v>17.96</v>
      </c>
      <c r="BP272" s="258">
        <v>25.14</v>
      </c>
      <c r="BQ272" s="258">
        <v>28.73</v>
      </c>
      <c r="BR272" s="258">
        <v>32.32</v>
      </c>
      <c r="BS272" s="115"/>
      <c r="BT272" s="258" cm="1">
        <f ca="1" t="array" ref="BT272:BW272">_xlfn.HSTACK(SUM(INDEX($R272:$AV272,1,1):INDEX($R272:$AV272,1,7)),SUM(INDEX($R272:$AV272,1,7):INDEX($R272:$AV272,1,13)),SUM(INDEX($R272:$AV272,1,16):INDEX($R272:$AV272,1,23)),SUM(INDEX($R272:$AV272,1,23):INDEX($R272:$AV272,1,31)))</f>
        <v>420</v>
      </c>
      <c r="BU272" s="258">
        <v>420</v>
      </c>
      <c r="BV272" s="258">
        <v>480</v>
      </c>
      <c r="BW272" s="258">
        <v>300</v>
      </c>
      <c r="BY272" s="258">
        <f t="shared" si="680"/>
        <v>420</v>
      </c>
      <c r="BZ272" s="258">
        <f t="shared" si="681"/>
        <v>420</v>
      </c>
      <c r="CA272" s="258">
        <f t="shared" si="682"/>
        <v>480</v>
      </c>
      <c r="CB272" s="258">
        <f t="shared" si="683"/>
        <v>300</v>
      </c>
      <c r="CD272" s="113"/>
      <c r="CE272" s="258">
        <f t="shared" si="684"/>
        <v>27.14</v>
      </c>
      <c r="CF272" s="258">
        <f t="shared" si="685"/>
        <v>27.14</v>
      </c>
      <c r="CG272" s="258">
        <f t="shared" si="686"/>
        <v>31.02</v>
      </c>
      <c r="CH272" s="258">
        <f t="shared" si="687"/>
        <v>19.39</v>
      </c>
      <c r="CI272" s="258">
        <f t="shared" si="688"/>
        <v>104.69</v>
      </c>
      <c r="CJ272" s="113"/>
      <c r="CK272" s="258">
        <f t="shared" ref="CK272:CN272" si="697">IFERROR(ROUND(BY272*$P272,2),"")</f>
        <v>392023.13</v>
      </c>
      <c r="CL272" s="258">
        <f t="shared" si="697"/>
        <v>392023.13</v>
      </c>
      <c r="CM272" s="258">
        <f t="shared" si="697"/>
        <v>448026.43</v>
      </c>
      <c r="CN272" s="258">
        <f t="shared" si="697"/>
        <v>280016.52</v>
      </c>
      <c r="CO272" s="258">
        <f t="shared" si="690"/>
        <v>1512089.21</v>
      </c>
      <c r="CP272" s="258" t="e">
        <f>VLOOKUP(G272,[2]Sheet1!$C$3:$G$310,5,0)</f>
        <v>#N/A</v>
      </c>
      <c r="CQ272" s="258">
        <f>VLOOKUP(G272,[3]KCBB0101!$C$3:$F$691,4,0)</f>
        <v>11480</v>
      </c>
    </row>
    <row r="273" s="258" customFormat="1" ht="17.6" spans="1:95">
      <c r="A273" s="330"/>
      <c r="B273" s="334" t="str">
        <f>_xlfn.XLOOKUP(G273,销售需求表!A:A,销售需求表!C:C)</f>
        <v>亚</v>
      </c>
      <c r="C273" s="335" t="str">
        <f t="shared" si="633"/>
        <v>20</v>
      </c>
      <c r="D273" s="362" t="str">
        <f t="shared" ref="D273:D313" si="698">B273&amp;C273&amp;"寸"</f>
        <v>亚20寸</v>
      </c>
      <c r="E273" s="339" t="str">
        <f t="shared" ref="E273:E313" si="699">LEFT(REPLACE(G273,1,2,""),FIND("[",REPLACE(G273,1,2,""))-1)&amp;"-"&amp;MID(REPLACE(G273,1,2,""),FIND("[",REPLACE(G273,1,2,""))+1,FIND("]",REPLACE(G273,1,2,""))-FIND("[",REPLACE(G273,1,2,""))-1)</f>
        <v>11.00R20-18PR(152/149K)-CR926+</v>
      </c>
      <c r="F273" s="340" t="str">
        <f t="shared" si="666"/>
        <v>11.00R20-18PR-CR926+</v>
      </c>
      <c r="G273" s="341" t="s">
        <v>617</v>
      </c>
      <c r="H273" s="334">
        <v>2200</v>
      </c>
      <c r="I273" s="345">
        <v>2</v>
      </c>
      <c r="J273" s="346" t="str">
        <f t="shared" ref="J273:J313" si="700">IFERROR(LEFT(F273,FIND("-",F273))&amp;MID(F273,FIND("PR",F273,FIND("-",F273))+3,LEN(F273)),F273)</f>
        <v>11.00R20-CR926+</v>
      </c>
      <c r="K273" s="347" t="str">
        <f>_xlfn.XLOOKUP(F273,投产规格!E:E,投产规格!D:D,"未投产")</f>
        <v>✔</v>
      </c>
      <c r="L273" s="347">
        <f>IFERROR(_xlfn.XLOOKUP(F273,硫化工艺!B:B,硫化工艺!C:C),"")</f>
        <v>44</v>
      </c>
      <c r="M273" s="349">
        <f t="shared" ref="M273:M311" si="701">IF(L273="","",L273/(L273+$L$1/60))</f>
        <v>0.882943143812709</v>
      </c>
      <c r="N273" s="347" t="str">
        <f t="shared" ref="N273:N313" si="702">C273&amp;"全钢"</f>
        <v>20全钢</v>
      </c>
      <c r="O273" s="347">
        <f>IFERROR(_xlfn.XLOOKUP(F273,轮胎重量!J:J,轮胎重量!G:G),"")</f>
        <v>64.622</v>
      </c>
      <c r="P273" s="347">
        <f>IFERROR(_xlfn.XLOOKUP(G273,硫化工艺!I:I,硫化工艺!J:J),"")</f>
        <v>854.918372</v>
      </c>
      <c r="Q273" s="347">
        <f t="shared" ref="Q273:Q313" si="703">IFERROR(ROUND(1440/L273*(I273)*M273,0),"")</f>
        <v>58</v>
      </c>
      <c r="R273" s="347">
        <v>60</v>
      </c>
      <c r="S273" s="347">
        <v>60</v>
      </c>
      <c r="T273" s="347">
        <v>60</v>
      </c>
      <c r="U273" s="347">
        <v>60</v>
      </c>
      <c r="V273" s="347">
        <v>60</v>
      </c>
      <c r="W273" s="347">
        <v>60</v>
      </c>
      <c r="X273" s="347">
        <v>60</v>
      </c>
      <c r="Y273" s="347">
        <v>60</v>
      </c>
      <c r="Z273" s="347">
        <v>60</v>
      </c>
      <c r="AA273" s="347">
        <v>60</v>
      </c>
      <c r="AB273" s="347">
        <v>60</v>
      </c>
      <c r="AC273" s="347">
        <v>60</v>
      </c>
      <c r="AD273" s="347">
        <v>60</v>
      </c>
      <c r="AE273" s="347">
        <v>60</v>
      </c>
      <c r="AF273" s="347">
        <v>60</v>
      </c>
      <c r="AG273" s="347">
        <v>60</v>
      </c>
      <c r="AH273" s="347">
        <v>60</v>
      </c>
      <c r="AI273" s="347">
        <v>60</v>
      </c>
      <c r="AJ273" s="347">
        <v>60</v>
      </c>
      <c r="AK273" s="347">
        <v>60</v>
      </c>
      <c r="AL273" s="347">
        <v>60</v>
      </c>
      <c r="AM273" s="347">
        <v>60</v>
      </c>
      <c r="AN273" s="347">
        <v>60</v>
      </c>
      <c r="AO273" s="347">
        <v>60</v>
      </c>
      <c r="AP273" s="347">
        <v>60</v>
      </c>
      <c r="AQ273" s="347">
        <v>60</v>
      </c>
      <c r="AR273" s="347">
        <v>60</v>
      </c>
      <c r="AS273" s="347">
        <v>120</v>
      </c>
      <c r="AT273" s="347">
        <v>120</v>
      </c>
      <c r="AU273" s="347">
        <v>120</v>
      </c>
      <c r="AV273" s="347">
        <v>120</v>
      </c>
      <c r="AW273" s="347">
        <f t="shared" ref="AW273:AW313" si="704">IF(SUM(R273:AV273)=0,"",SUM(R273:AV273))</f>
        <v>2100</v>
      </c>
      <c r="AX273" s="365">
        <f t="shared" ref="AX273:AX313" si="705">IFERROR(AW273*O273/1000,"")</f>
        <v>135.7062</v>
      </c>
      <c r="AY273" s="365">
        <f t="shared" ref="AY273:AY313" si="706">IFERROR(ROUND(AW273*P273/10000,3),"")</f>
        <v>179.533</v>
      </c>
      <c r="AZ273" s="366">
        <v>677.88</v>
      </c>
      <c r="BA273" s="368">
        <v>44.56</v>
      </c>
      <c r="BB273" s="368">
        <v>66.37</v>
      </c>
      <c r="BC273" s="368">
        <v>75.26</v>
      </c>
      <c r="BD273" s="330"/>
      <c r="BE273" s="330">
        <f t="shared" ref="BE273:BE303" si="707">AZ273*AW273</f>
        <v>1423548</v>
      </c>
      <c r="BF273" s="330">
        <f t="shared" ref="BF273:BF303" si="708">BA273*AW273</f>
        <v>93576</v>
      </c>
      <c r="BG273" s="330">
        <f t="shared" ref="BG273:BG303" si="709">BB273*AW273</f>
        <v>139377</v>
      </c>
      <c r="BH273" s="330">
        <f t="shared" ref="BH273:BH303" si="710">BC273*AW273</f>
        <v>158046</v>
      </c>
      <c r="BI273" s="330"/>
      <c r="BJ273" s="370" cm="1">
        <f t="array" ref="BJ273:BM273">_xlfn.LET(_xlpm.data,$R273:$AV273,_xlpm.starts,{1,8,16,23},_xlpm.lengths,{7,7,8,9},_xlpm.arr,_xlfn.MAP(_xlpm.starts,_xlpm.lengths,_xlfn.LAMBDA(_xlpm.s,_xlpm.l,SUM(INDEX(_xlpm.data,,_xlfn.SEQUENCE(,_xlpm.l,_xlpm.s))))),ROUND(_xlpm.arr*$O273/1000,2))</f>
        <v>27.14</v>
      </c>
      <c r="BK273" s="330">
        <v>27.14</v>
      </c>
      <c r="BL273" s="330">
        <v>31.02</v>
      </c>
      <c r="BM273" s="330">
        <v>50.41</v>
      </c>
      <c r="BN273" s="258">
        <f t="shared" ref="BN273:BN311" si="711">SUM(BJ273:BM273)</f>
        <v>135.71</v>
      </c>
      <c r="BO273" s="258">
        <v>17.96</v>
      </c>
      <c r="BP273" s="258">
        <v>25.14</v>
      </c>
      <c r="BQ273" s="258">
        <v>28.73</v>
      </c>
      <c r="BR273" s="258">
        <v>32.32</v>
      </c>
      <c r="BS273" s="115"/>
      <c r="BT273" s="258" cm="1">
        <f ca="1" t="array" ref="BT273:BW273">_xlfn.HSTACK(SUM(INDEX($R273:$AV273,1,1):INDEX($R273:$AV273,1,7)),SUM(INDEX($R273:$AV273,1,7):INDEX($R273:$AV273,1,13)),SUM(INDEX($R273:$AV273,1,16):INDEX($R273:$AV273,1,23)),SUM(INDEX($R273:$AV273,1,23):INDEX($R273:$AV273,1,31)))</f>
        <v>420</v>
      </c>
      <c r="BU273" s="258">
        <v>420</v>
      </c>
      <c r="BV273" s="258">
        <v>480</v>
      </c>
      <c r="BW273" s="258">
        <v>780</v>
      </c>
      <c r="BY273" s="258">
        <f t="shared" ref="BY273:BY327" si="712">SUM(R273:X273)</f>
        <v>420</v>
      </c>
      <c r="BZ273" s="258">
        <f t="shared" ref="BZ273:BZ327" si="713">SUM(Y273:AE273)</f>
        <v>420</v>
      </c>
      <c r="CA273" s="258">
        <f t="shared" ref="CA273:CA327" si="714">SUM(AF273:AM273)</f>
        <v>480</v>
      </c>
      <c r="CB273" s="258">
        <f t="shared" ref="CB273:CB327" si="715">SUM(AN273:AV273)</f>
        <v>780</v>
      </c>
      <c r="CD273" s="113"/>
      <c r="CE273" s="258">
        <f t="shared" ref="CE273:CE311" si="716">ROUND(BY273*$O273/1000,2)</f>
        <v>27.14</v>
      </c>
      <c r="CF273" s="258">
        <f t="shared" ref="CF273:CF311" si="717">ROUND(BZ273*$O273/1000,2)</f>
        <v>27.14</v>
      </c>
      <c r="CG273" s="258">
        <f t="shared" ref="CG273:CG311" si="718">ROUND(CA273*$O273/1000,2)</f>
        <v>31.02</v>
      </c>
      <c r="CH273" s="258">
        <f t="shared" ref="CH273:CH311" si="719">ROUND(CB273*$O273/1000,2)</f>
        <v>50.41</v>
      </c>
      <c r="CI273" s="258">
        <f t="shared" ref="CI273:CI311" si="720">SUM(CE273:CH273)</f>
        <v>135.71</v>
      </c>
      <c r="CJ273" s="113"/>
      <c r="CK273" s="258">
        <f t="shared" ref="CK273:CN273" si="721">IFERROR(ROUND(BY273*$P273,2),"")</f>
        <v>359065.72</v>
      </c>
      <c r="CL273" s="258">
        <f t="shared" si="721"/>
        <v>359065.72</v>
      </c>
      <c r="CM273" s="258">
        <f t="shared" si="721"/>
        <v>410360.82</v>
      </c>
      <c r="CN273" s="258">
        <f t="shared" si="721"/>
        <v>666836.33</v>
      </c>
      <c r="CO273" s="258">
        <f t="shared" ref="CO273:CO303" si="722">SUM(CK273:CN273)</f>
        <v>1795328.59</v>
      </c>
      <c r="CP273" s="258" t="e">
        <f>VLOOKUP(G273,[2]Sheet1!$C$3:$G$310,5,0)</f>
        <v>#N/A</v>
      </c>
      <c r="CQ273" s="258">
        <f>VLOOKUP(G273,[3]KCBB0101!$C$3:$F$691,4,0)</f>
        <v>7500</v>
      </c>
    </row>
    <row r="274" s="258" customFormat="1" ht="17.6" spans="1:93">
      <c r="A274" s="330"/>
      <c r="B274" s="334" t="str">
        <f>_xlfn.XLOOKUP(G274,销售需求表!A:A,销售需求表!C:C)</f>
        <v>亚</v>
      </c>
      <c r="C274" s="335" t="str">
        <f t="shared" si="633"/>
        <v>20</v>
      </c>
      <c r="D274" s="362" t="str">
        <f t="shared" si="698"/>
        <v>亚20寸</v>
      </c>
      <c r="E274" s="339" t="str">
        <f t="shared" si="699"/>
        <v>11.00R20-18PR(152/149K)-CR926+</v>
      </c>
      <c r="F274" s="340" t="str">
        <f t="shared" si="666"/>
        <v>11.00R20-18PR-CR926+</v>
      </c>
      <c r="G274" s="377" t="s">
        <v>618</v>
      </c>
      <c r="H274" s="334">
        <v>950</v>
      </c>
      <c r="I274" s="345"/>
      <c r="J274" s="346" t="str">
        <f t="shared" si="700"/>
        <v>11.00R20-CR926+</v>
      </c>
      <c r="K274" s="347" t="str">
        <f>_xlfn.XLOOKUP(F274,投产规格!E:E,投产规格!D:D,"未投产")</f>
        <v>✔</v>
      </c>
      <c r="L274" s="347">
        <f>IFERROR(_xlfn.XLOOKUP(F274,硫化工艺!B:B,硫化工艺!C:C),"")</f>
        <v>44</v>
      </c>
      <c r="M274" s="349">
        <f t="shared" si="701"/>
        <v>0.882943143812709</v>
      </c>
      <c r="N274" s="347" t="str">
        <f t="shared" si="702"/>
        <v>20全钢</v>
      </c>
      <c r="O274" s="347">
        <f>IFERROR(_xlfn.XLOOKUP(F274,轮胎重量!J:J,轮胎重量!G:G),"")</f>
        <v>64.622</v>
      </c>
      <c r="P274" s="347">
        <f>IFERROR(_xlfn.XLOOKUP(G274,硫化工艺!I:I,硫化工艺!J:J),"")</f>
        <v>933.3884</v>
      </c>
      <c r="Q274" s="347">
        <f t="shared" si="703"/>
        <v>0</v>
      </c>
      <c r="R274" s="347"/>
      <c r="S274" s="347"/>
      <c r="T274" s="347"/>
      <c r="U274" s="347"/>
      <c r="V274" s="347"/>
      <c r="W274" s="347"/>
      <c r="X274" s="347"/>
      <c r="Y274" s="347"/>
      <c r="Z274" s="347"/>
      <c r="AA274" s="347"/>
      <c r="AB274" s="347"/>
      <c r="AC274" s="347"/>
      <c r="AD274" s="347"/>
      <c r="AE274" s="347"/>
      <c r="AF274" s="347"/>
      <c r="AG274" s="347"/>
      <c r="AH274" s="347"/>
      <c r="AI274" s="347"/>
      <c r="AJ274" s="347"/>
      <c r="AK274" s="347"/>
      <c r="AL274" s="347"/>
      <c r="AM274" s="347"/>
      <c r="AN274" s="347"/>
      <c r="AO274" s="347"/>
      <c r="AP274" s="347"/>
      <c r="AQ274" s="347"/>
      <c r="AR274" s="347"/>
      <c r="AS274" s="347"/>
      <c r="AT274" s="347"/>
      <c r="AU274" s="347"/>
      <c r="AV274" s="347"/>
      <c r="AW274" s="347" t="str">
        <f t="shared" si="704"/>
        <v/>
      </c>
      <c r="AX274" s="365" t="str">
        <f t="shared" si="705"/>
        <v/>
      </c>
      <c r="AY274" s="365" t="str">
        <f t="shared" si="706"/>
        <v/>
      </c>
      <c r="AZ274" s="366">
        <v>677.88</v>
      </c>
      <c r="BA274" s="368">
        <v>44.56</v>
      </c>
      <c r="BB274" s="368">
        <v>66.37</v>
      </c>
      <c r="BC274" s="368">
        <v>75.26</v>
      </c>
      <c r="BD274" s="330"/>
      <c r="BE274" s="330" t="e">
        <f t="shared" si="707"/>
        <v>#VALUE!</v>
      </c>
      <c r="BF274" s="330" t="e">
        <f t="shared" si="708"/>
        <v>#VALUE!</v>
      </c>
      <c r="BG274" s="330" t="e">
        <f t="shared" si="709"/>
        <v>#VALUE!</v>
      </c>
      <c r="BH274" s="330" t="e">
        <f t="shared" si="710"/>
        <v>#VALUE!</v>
      </c>
      <c r="BI274" s="330"/>
      <c r="BJ274" s="370" cm="1">
        <f t="array" ref="BJ274:BM274">_xlfn.LET(_xlpm.data,$R274:$AV274,_xlpm.starts,{1,8,16,23},_xlpm.lengths,{7,7,8,9},_xlpm.arr,_xlfn.MAP(_xlpm.starts,_xlpm.lengths,_xlfn.LAMBDA(_xlpm.s,_xlpm.l,SUM(INDEX(_xlpm.data,,_xlfn.SEQUENCE(,_xlpm.l,_xlpm.s))))),ROUND(_xlpm.arr*$O274/1000,2))</f>
        <v>0</v>
      </c>
      <c r="BK274" s="330">
        <v>0</v>
      </c>
      <c r="BL274" s="330">
        <v>0</v>
      </c>
      <c r="BM274" s="330">
        <v>0</v>
      </c>
      <c r="BN274" s="258">
        <f t="shared" si="711"/>
        <v>0</v>
      </c>
      <c r="BO274" s="258">
        <v>19.42</v>
      </c>
      <c r="BP274" s="258">
        <v>27.19</v>
      </c>
      <c r="BQ274" s="258">
        <v>31.07</v>
      </c>
      <c r="BR274" s="258">
        <v>34.96</v>
      </c>
      <c r="BS274" s="115"/>
      <c r="BT274" s="258" cm="1">
        <f ca="1" t="array" ref="BT274:BW274">_xlfn.HSTACK(SUM(INDEX($R274:$AV274,1,1):INDEX($R274:$AV274,1,7)),SUM(INDEX($R274:$AV274,1,7):INDEX($R274:$AV274,1,13)),SUM(INDEX($R274:$AV274,1,16):INDEX($R274:$AV274,1,23)),SUM(INDEX($R274:$AV274,1,23):INDEX($R274:$AV274,1,31)))</f>
        <v>0</v>
      </c>
      <c r="BU274" s="258">
        <v>0</v>
      </c>
      <c r="BV274" s="258">
        <v>0</v>
      </c>
      <c r="BW274" s="258">
        <v>0</v>
      </c>
      <c r="BY274" s="258">
        <f t="shared" si="712"/>
        <v>0</v>
      </c>
      <c r="BZ274" s="258">
        <f t="shared" si="713"/>
        <v>0</v>
      </c>
      <c r="CA274" s="258">
        <f t="shared" si="714"/>
        <v>0</v>
      </c>
      <c r="CB274" s="258">
        <f t="shared" si="715"/>
        <v>0</v>
      </c>
      <c r="CD274" s="113"/>
      <c r="CE274" s="258">
        <f t="shared" si="716"/>
        <v>0</v>
      </c>
      <c r="CF274" s="258">
        <f t="shared" si="717"/>
        <v>0</v>
      </c>
      <c r="CG274" s="258">
        <f t="shared" si="718"/>
        <v>0</v>
      </c>
      <c r="CH274" s="258">
        <f t="shared" si="719"/>
        <v>0</v>
      </c>
      <c r="CI274" s="258">
        <f t="shared" si="720"/>
        <v>0</v>
      </c>
      <c r="CJ274" s="113"/>
      <c r="CK274" s="258">
        <f t="shared" ref="CK274:CN274" si="723">IFERROR(ROUND(BY274*$P274,2),"")</f>
        <v>0</v>
      </c>
      <c r="CL274" s="258">
        <f t="shared" si="723"/>
        <v>0</v>
      </c>
      <c r="CM274" s="258">
        <f t="shared" si="723"/>
        <v>0</v>
      </c>
      <c r="CN274" s="258">
        <f t="shared" si="723"/>
        <v>0</v>
      </c>
      <c r="CO274" s="258">
        <f t="shared" si="722"/>
        <v>0</v>
      </c>
    </row>
    <row r="275" s="258" customFormat="1" ht="17.6" spans="1:93">
      <c r="A275" s="330"/>
      <c r="B275" s="334" t="str">
        <f>_xlfn.XLOOKUP(G275,销售需求表!A:A,销售需求表!C:C)</f>
        <v>亚</v>
      </c>
      <c r="C275" s="335" t="str">
        <f t="shared" si="633"/>
        <v>20</v>
      </c>
      <c r="D275" s="362" t="str">
        <f t="shared" si="698"/>
        <v>亚20寸</v>
      </c>
      <c r="E275" s="339" t="str">
        <f t="shared" si="699"/>
        <v>11.00R20-18PR(152/149K)-EZ369</v>
      </c>
      <c r="F275" s="340" t="str">
        <f t="shared" si="666"/>
        <v>11.00R20-18PR-EZ369</v>
      </c>
      <c r="G275" s="377" t="s">
        <v>619</v>
      </c>
      <c r="H275" s="334">
        <v>230</v>
      </c>
      <c r="I275" s="345"/>
      <c r="J275" s="346" t="str">
        <f t="shared" si="700"/>
        <v>11.00R20-EZ369</v>
      </c>
      <c r="K275" s="347" t="str">
        <f>_xlfn.XLOOKUP(F275,投产规格!E:E,投产规格!D:D,"未投产")</f>
        <v>✔</v>
      </c>
      <c r="L275" s="347">
        <f>IFERROR(_xlfn.XLOOKUP(F275,硫化工艺!B:B,硫化工艺!C:C),"")</f>
        <v>54.5</v>
      </c>
      <c r="M275" s="349">
        <f t="shared" si="701"/>
        <v>0.903314917127072</v>
      </c>
      <c r="N275" s="347" t="str">
        <f t="shared" si="702"/>
        <v>20全钢</v>
      </c>
      <c r="O275" s="347">
        <f>IFERROR(_xlfn.XLOOKUP(F275,轮胎重量!J:J,轮胎重量!G:G),"")</f>
        <v>74.29</v>
      </c>
      <c r="P275" s="347">
        <f>IFERROR(_xlfn.XLOOKUP(G275,硫化工艺!I:I,硫化工艺!J:J),"")</f>
        <v>1080.1273</v>
      </c>
      <c r="Q275" s="347">
        <f t="shared" si="703"/>
        <v>0</v>
      </c>
      <c r="R275" s="347"/>
      <c r="S275" s="347"/>
      <c r="T275" s="347"/>
      <c r="U275" s="347"/>
      <c r="V275" s="347"/>
      <c r="W275" s="347"/>
      <c r="X275" s="347"/>
      <c r="Y275" s="347"/>
      <c r="Z275" s="347"/>
      <c r="AA275" s="347"/>
      <c r="AB275" s="347"/>
      <c r="AC275" s="347"/>
      <c r="AD275" s="347"/>
      <c r="AE275" s="347"/>
      <c r="AF275" s="347"/>
      <c r="AG275" s="347"/>
      <c r="AH275" s="347"/>
      <c r="AI275" s="347"/>
      <c r="AJ275" s="347"/>
      <c r="AK275" s="347"/>
      <c r="AL275" s="347"/>
      <c r="AM275" s="347"/>
      <c r="AN275" s="347"/>
      <c r="AO275" s="347"/>
      <c r="AP275" s="347"/>
      <c r="AQ275" s="347"/>
      <c r="AR275" s="347"/>
      <c r="AS275" s="347"/>
      <c r="AT275" s="347"/>
      <c r="AU275" s="347"/>
      <c r="AV275" s="347"/>
      <c r="AW275" s="347" t="str">
        <f t="shared" si="704"/>
        <v/>
      </c>
      <c r="AX275" s="365" t="str">
        <f t="shared" si="705"/>
        <v/>
      </c>
      <c r="AY275" s="365" t="str">
        <f t="shared" si="706"/>
        <v/>
      </c>
      <c r="AZ275" s="366">
        <v>677.88</v>
      </c>
      <c r="BA275" s="368">
        <v>44.56</v>
      </c>
      <c r="BB275" s="368">
        <v>66.37</v>
      </c>
      <c r="BC275" s="368">
        <v>75.26</v>
      </c>
      <c r="BD275" s="330"/>
      <c r="BE275" s="330" t="e">
        <f t="shared" si="707"/>
        <v>#VALUE!</v>
      </c>
      <c r="BF275" s="330" t="e">
        <f t="shared" si="708"/>
        <v>#VALUE!</v>
      </c>
      <c r="BG275" s="330" t="e">
        <f t="shared" si="709"/>
        <v>#VALUE!</v>
      </c>
      <c r="BH275" s="330" t="e">
        <f t="shared" si="710"/>
        <v>#VALUE!</v>
      </c>
      <c r="BI275" s="330"/>
      <c r="BJ275" s="370" cm="1">
        <f t="array" ref="BJ275:BM275">_xlfn.LET(_xlpm.data,$R275:$AV275,_xlpm.starts,{1,8,16,23},_xlpm.lengths,{7,7,8,9},_xlpm.arr,_xlfn.MAP(_xlpm.starts,_xlpm.lengths,_xlfn.LAMBDA(_xlpm.s,_xlpm.l,SUM(INDEX(_xlpm.data,,_xlfn.SEQUENCE(,_xlpm.l,_xlpm.s))))),ROUND(_xlpm.arr*$O275/1000,2))</f>
        <v>0</v>
      </c>
      <c r="BK275" s="330">
        <v>0</v>
      </c>
      <c r="BL275" s="330">
        <v>0</v>
      </c>
      <c r="BM275" s="330">
        <v>0</v>
      </c>
      <c r="BN275" s="258">
        <f t="shared" si="711"/>
        <v>0</v>
      </c>
      <c r="BO275" s="258">
        <v>19.42</v>
      </c>
      <c r="BP275" s="258">
        <v>27.19</v>
      </c>
      <c r="BQ275" s="258">
        <v>31.07</v>
      </c>
      <c r="BR275" s="258">
        <v>34.96</v>
      </c>
      <c r="BS275" s="115"/>
      <c r="BT275" s="258" cm="1">
        <f ca="1" t="array" ref="BT275:BW275">_xlfn.HSTACK(SUM(INDEX($R275:$AV275,1,1):INDEX($R275:$AV275,1,7)),SUM(INDEX($R275:$AV275,1,7):INDEX($R275:$AV275,1,13)),SUM(INDEX($R275:$AV275,1,16):INDEX($R275:$AV275,1,23)),SUM(INDEX($R275:$AV275,1,23):INDEX($R275:$AV275,1,31)))</f>
        <v>0</v>
      </c>
      <c r="BU275" s="258">
        <v>0</v>
      </c>
      <c r="BV275" s="258">
        <v>0</v>
      </c>
      <c r="BW275" s="258">
        <v>0</v>
      </c>
      <c r="BY275" s="258">
        <f t="shared" si="712"/>
        <v>0</v>
      </c>
      <c r="BZ275" s="258">
        <f t="shared" si="713"/>
        <v>0</v>
      </c>
      <c r="CA275" s="258">
        <f t="shared" si="714"/>
        <v>0</v>
      </c>
      <c r="CB275" s="258">
        <f t="shared" si="715"/>
        <v>0</v>
      </c>
      <c r="CD275" s="113"/>
      <c r="CE275" s="258">
        <f t="shared" si="716"/>
        <v>0</v>
      </c>
      <c r="CF275" s="258">
        <f t="shared" si="717"/>
        <v>0</v>
      </c>
      <c r="CG275" s="258">
        <f t="shared" si="718"/>
        <v>0</v>
      </c>
      <c r="CH275" s="258">
        <f t="shared" si="719"/>
        <v>0</v>
      </c>
      <c r="CI275" s="258">
        <f t="shared" si="720"/>
        <v>0</v>
      </c>
      <c r="CJ275" s="113"/>
      <c r="CK275" s="258">
        <f t="shared" ref="CK275:CN275" si="724">IFERROR(ROUND(BY275*$P275,2),"")</f>
        <v>0</v>
      </c>
      <c r="CL275" s="258">
        <f t="shared" si="724"/>
        <v>0</v>
      </c>
      <c r="CM275" s="258">
        <f t="shared" si="724"/>
        <v>0</v>
      </c>
      <c r="CN275" s="258">
        <f t="shared" si="724"/>
        <v>0</v>
      </c>
      <c r="CO275" s="258">
        <f t="shared" si="722"/>
        <v>0</v>
      </c>
    </row>
    <row r="276" s="258" customFormat="1" ht="17.6" spans="1:93">
      <c r="A276" s="330"/>
      <c r="B276" s="334" t="str">
        <f>_xlfn.XLOOKUP(G276,销售需求表!A:A,销售需求表!C:C)</f>
        <v>亚</v>
      </c>
      <c r="C276" s="335" t="str">
        <f t="shared" si="633"/>
        <v>20</v>
      </c>
      <c r="D276" s="362" t="str">
        <f t="shared" si="698"/>
        <v>亚20寸</v>
      </c>
      <c r="E276" s="339" t="str">
        <f t="shared" si="699"/>
        <v>11.00R20-18PR(152/149K)-EZ867</v>
      </c>
      <c r="F276" s="340" t="str">
        <f t="shared" si="666"/>
        <v>11.00R20-18PR-EZ867</v>
      </c>
      <c r="G276" s="377" t="s">
        <v>620</v>
      </c>
      <c r="H276" s="334">
        <v>1000</v>
      </c>
      <c r="I276" s="345"/>
      <c r="J276" s="346" t="str">
        <f t="shared" si="700"/>
        <v>11.00R20-EZ867</v>
      </c>
      <c r="K276" s="347" t="str">
        <f>_xlfn.XLOOKUP(F276,投产规格!E:E,投产规格!D:D,"未投产")</f>
        <v>未投产</v>
      </c>
      <c r="L276" s="347">
        <f>IFERROR(_xlfn.XLOOKUP(F276,硫化工艺!B:B,硫化工艺!C:C),"")</f>
        <v>54</v>
      </c>
      <c r="M276" s="349">
        <f t="shared" si="701"/>
        <v>0.902506963788301</v>
      </c>
      <c r="N276" s="347" t="str">
        <f t="shared" si="702"/>
        <v>20全钢</v>
      </c>
      <c r="O276" s="347">
        <f>IFERROR(_xlfn.XLOOKUP(F276,轮胎重量!J:J,轮胎重量!G:G),"")</f>
        <v>76.54</v>
      </c>
      <c r="P276" s="350">
        <f>O276*13.9</f>
        <v>1063.906</v>
      </c>
      <c r="Q276" s="347">
        <f t="shared" si="703"/>
        <v>0</v>
      </c>
      <c r="R276" s="347"/>
      <c r="S276" s="347"/>
      <c r="T276" s="347"/>
      <c r="U276" s="347"/>
      <c r="V276" s="347"/>
      <c r="W276" s="347"/>
      <c r="X276" s="347"/>
      <c r="Y276" s="347"/>
      <c r="Z276" s="347"/>
      <c r="AA276" s="347"/>
      <c r="AB276" s="347"/>
      <c r="AC276" s="347"/>
      <c r="AD276" s="347"/>
      <c r="AE276" s="347"/>
      <c r="AF276" s="347"/>
      <c r="AG276" s="347"/>
      <c r="AH276" s="347"/>
      <c r="AI276" s="347"/>
      <c r="AJ276" s="347"/>
      <c r="AK276" s="347"/>
      <c r="AL276" s="347"/>
      <c r="AM276" s="347"/>
      <c r="AN276" s="347"/>
      <c r="AO276" s="347"/>
      <c r="AP276" s="347"/>
      <c r="AQ276" s="347"/>
      <c r="AR276" s="347"/>
      <c r="AS276" s="347"/>
      <c r="AT276" s="347"/>
      <c r="AU276" s="347"/>
      <c r="AV276" s="347"/>
      <c r="AW276" s="347" t="str">
        <f t="shared" si="704"/>
        <v/>
      </c>
      <c r="AX276" s="365" t="str">
        <f t="shared" si="705"/>
        <v/>
      </c>
      <c r="AY276" s="365" t="str">
        <f t="shared" si="706"/>
        <v/>
      </c>
      <c r="AZ276" s="366">
        <v>677.88</v>
      </c>
      <c r="BA276" s="368">
        <v>44.56</v>
      </c>
      <c r="BB276" s="368">
        <v>66.37</v>
      </c>
      <c r="BC276" s="368">
        <v>75.26</v>
      </c>
      <c r="BD276" s="330"/>
      <c r="BE276" s="330" t="e">
        <f t="shared" si="707"/>
        <v>#VALUE!</v>
      </c>
      <c r="BF276" s="330" t="e">
        <f t="shared" si="708"/>
        <v>#VALUE!</v>
      </c>
      <c r="BG276" s="330" t="e">
        <f t="shared" si="709"/>
        <v>#VALUE!</v>
      </c>
      <c r="BH276" s="330" t="e">
        <f t="shared" si="710"/>
        <v>#VALUE!</v>
      </c>
      <c r="BI276" s="330"/>
      <c r="BJ276" s="370" cm="1">
        <f t="array" ref="BJ276:BM276">_xlfn.LET(_xlpm.data,$R276:$AV276,_xlpm.starts,{1,8,16,23},_xlpm.lengths,{7,7,8,9},_xlpm.arr,_xlfn.MAP(_xlpm.starts,_xlpm.lengths,_xlfn.LAMBDA(_xlpm.s,_xlpm.l,SUM(INDEX(_xlpm.data,,_xlfn.SEQUENCE(,_xlpm.l,_xlpm.s))))),ROUND(_xlpm.arr*$O276/1000,2))</f>
        <v>0</v>
      </c>
      <c r="BK276" s="330">
        <v>0</v>
      </c>
      <c r="BL276" s="330">
        <v>0</v>
      </c>
      <c r="BM276" s="330">
        <v>0</v>
      </c>
      <c r="BN276" s="258">
        <f t="shared" si="711"/>
        <v>0</v>
      </c>
      <c r="BO276" s="258">
        <v>19.42</v>
      </c>
      <c r="BP276" s="258">
        <v>27.19</v>
      </c>
      <c r="BQ276" s="258">
        <v>31.07</v>
      </c>
      <c r="BR276" s="258">
        <v>34.96</v>
      </c>
      <c r="BS276" s="115"/>
      <c r="BT276" s="258" cm="1">
        <f ca="1" t="array" ref="BT276:BW276">_xlfn.HSTACK(SUM(INDEX($R276:$AV276,1,1):INDEX($R276:$AV276,1,7)),SUM(INDEX($R276:$AV276,1,7):INDEX($R276:$AV276,1,13)),SUM(INDEX($R276:$AV276,1,16):INDEX($R276:$AV276,1,23)),SUM(INDEX($R276:$AV276,1,23):INDEX($R276:$AV276,1,31)))</f>
        <v>0</v>
      </c>
      <c r="BU276" s="258">
        <v>0</v>
      </c>
      <c r="BV276" s="258">
        <v>0</v>
      </c>
      <c r="BW276" s="258">
        <v>0</v>
      </c>
      <c r="BY276" s="258">
        <f t="shared" si="712"/>
        <v>0</v>
      </c>
      <c r="BZ276" s="258">
        <f t="shared" si="713"/>
        <v>0</v>
      </c>
      <c r="CA276" s="258">
        <f t="shared" si="714"/>
        <v>0</v>
      </c>
      <c r="CB276" s="258">
        <f t="shared" si="715"/>
        <v>0</v>
      </c>
      <c r="CD276" s="113"/>
      <c r="CE276" s="258">
        <f t="shared" si="716"/>
        <v>0</v>
      </c>
      <c r="CF276" s="258">
        <f t="shared" si="717"/>
        <v>0</v>
      </c>
      <c r="CG276" s="258">
        <f t="shared" si="718"/>
        <v>0</v>
      </c>
      <c r="CH276" s="258">
        <f t="shared" si="719"/>
        <v>0</v>
      </c>
      <c r="CI276" s="258">
        <f t="shared" si="720"/>
        <v>0</v>
      </c>
      <c r="CJ276" s="113"/>
      <c r="CK276" s="258">
        <f t="shared" ref="CK276:CN276" si="725">IFERROR(ROUND(BY276*$P276,2),"")</f>
        <v>0</v>
      </c>
      <c r="CL276" s="258">
        <f t="shared" si="725"/>
        <v>0</v>
      </c>
      <c r="CM276" s="258">
        <f t="shared" si="725"/>
        <v>0</v>
      </c>
      <c r="CN276" s="258">
        <f t="shared" si="725"/>
        <v>0</v>
      </c>
      <c r="CO276" s="258">
        <f t="shared" si="722"/>
        <v>0</v>
      </c>
    </row>
    <row r="277" s="258" customFormat="1" ht="17.6" spans="1:95">
      <c r="A277" s="330"/>
      <c r="B277" s="334" t="str">
        <f>_xlfn.XLOOKUP(G277,销售需求表!A:A,销售需求表!C:C)</f>
        <v>亚</v>
      </c>
      <c r="C277" s="335" t="str">
        <f t="shared" si="633"/>
        <v>20</v>
      </c>
      <c r="D277" s="362" t="str">
        <f t="shared" si="698"/>
        <v>亚20寸</v>
      </c>
      <c r="E277" s="339" t="str">
        <f t="shared" si="699"/>
        <v>11.00R20-18PR(152/149K)-MT200</v>
      </c>
      <c r="F277" s="340" t="str">
        <f t="shared" si="666"/>
        <v>11.00R20-18PR-MT200</v>
      </c>
      <c r="G277" s="341" t="s">
        <v>621</v>
      </c>
      <c r="H277" s="334">
        <v>720</v>
      </c>
      <c r="I277" s="345">
        <v>2</v>
      </c>
      <c r="J277" s="346" t="str">
        <f t="shared" si="700"/>
        <v>11.00R20-MT200</v>
      </c>
      <c r="K277" s="347" t="str">
        <f>_xlfn.XLOOKUP(F277,投产规格!E:E,投产规格!D:D,"未投产")</f>
        <v>✔</v>
      </c>
      <c r="L277" s="347">
        <f>IFERROR(_xlfn.XLOOKUP(F277,硫化工艺!B:B,硫化工艺!C:C),"")</f>
        <v>42</v>
      </c>
      <c r="M277" s="349">
        <f t="shared" si="701"/>
        <v>0.878048780487805</v>
      </c>
      <c r="N277" s="347" t="str">
        <f t="shared" si="702"/>
        <v>20全钢</v>
      </c>
      <c r="O277" s="347">
        <f>IFERROR(_xlfn.XLOOKUP(F277,轮胎重量!J:J,轮胎重量!G:G),"")</f>
        <v>64.622</v>
      </c>
      <c r="P277" s="350">
        <f>O277*13.9</f>
        <v>898.2458</v>
      </c>
      <c r="Q277" s="347">
        <f t="shared" si="703"/>
        <v>60</v>
      </c>
      <c r="R277" s="347">
        <v>60</v>
      </c>
      <c r="S277" s="347">
        <v>60</v>
      </c>
      <c r="T277" s="347">
        <v>60</v>
      </c>
      <c r="U277" s="347">
        <v>60</v>
      </c>
      <c r="V277" s="347">
        <v>60</v>
      </c>
      <c r="W277" s="347">
        <v>60</v>
      </c>
      <c r="X277" s="347">
        <v>60</v>
      </c>
      <c r="Y277" s="347">
        <v>60</v>
      </c>
      <c r="Z277" s="347">
        <v>60</v>
      </c>
      <c r="AA277" s="347">
        <v>60</v>
      </c>
      <c r="AB277" s="347">
        <v>60</v>
      </c>
      <c r="AC277" s="347">
        <v>60</v>
      </c>
      <c r="AD277" s="347"/>
      <c r="AE277" s="347"/>
      <c r="AF277" s="347"/>
      <c r="AG277" s="347"/>
      <c r="AH277" s="347"/>
      <c r="AI277" s="347"/>
      <c r="AJ277" s="347"/>
      <c r="AK277" s="347"/>
      <c r="AL277" s="347"/>
      <c r="AM277" s="347"/>
      <c r="AN277" s="347"/>
      <c r="AO277" s="347"/>
      <c r="AP277" s="347"/>
      <c r="AQ277" s="347"/>
      <c r="AR277" s="347"/>
      <c r="AS277" s="347"/>
      <c r="AT277" s="347"/>
      <c r="AU277" s="347"/>
      <c r="AV277" s="347"/>
      <c r="AW277" s="347">
        <f t="shared" si="704"/>
        <v>720</v>
      </c>
      <c r="AX277" s="365">
        <f t="shared" si="705"/>
        <v>46.52784</v>
      </c>
      <c r="AY277" s="365">
        <f t="shared" si="706"/>
        <v>64.674</v>
      </c>
      <c r="AZ277" s="366">
        <v>677.88</v>
      </c>
      <c r="BA277" s="368">
        <v>44.56</v>
      </c>
      <c r="BB277" s="368">
        <v>66.37</v>
      </c>
      <c r="BC277" s="368">
        <v>75.26</v>
      </c>
      <c r="BD277" s="330"/>
      <c r="BE277" s="330">
        <f t="shared" si="707"/>
        <v>488073.6</v>
      </c>
      <c r="BF277" s="330">
        <f t="shared" si="708"/>
        <v>32083.2</v>
      </c>
      <c r="BG277" s="330">
        <f t="shared" si="709"/>
        <v>47786.4</v>
      </c>
      <c r="BH277" s="330">
        <f t="shared" si="710"/>
        <v>54187.2</v>
      </c>
      <c r="BI277" s="330"/>
      <c r="BJ277" s="370" cm="1">
        <f t="array" ref="BJ277:BM277">_xlfn.LET(_xlpm.data,$R277:$AV277,_xlpm.starts,{1,8,16,23},_xlpm.lengths,{7,7,8,9},_xlpm.arr,_xlfn.MAP(_xlpm.starts,_xlpm.lengths,_xlfn.LAMBDA(_xlpm.s,_xlpm.l,SUM(INDEX(_xlpm.data,,_xlfn.SEQUENCE(,_xlpm.l,_xlpm.s))))),ROUND(_xlpm.arr*$O277/1000,2))</f>
        <v>27.14</v>
      </c>
      <c r="BK277" s="330">
        <v>19.39</v>
      </c>
      <c r="BL277" s="330">
        <v>0</v>
      </c>
      <c r="BM277" s="330">
        <v>0</v>
      </c>
      <c r="BN277" s="258">
        <f t="shared" si="711"/>
        <v>46.53</v>
      </c>
      <c r="BO277" s="258">
        <v>19.42</v>
      </c>
      <c r="BP277" s="258">
        <v>27.19</v>
      </c>
      <c r="BQ277" s="258">
        <v>31.07</v>
      </c>
      <c r="BR277" s="258">
        <v>34.96</v>
      </c>
      <c r="BS277" s="115"/>
      <c r="BT277" s="258" cm="1">
        <f ca="1" t="array" ref="BT277:BW277">_xlfn.HSTACK(SUM(INDEX($R277:$AV277,1,1):INDEX($R277:$AV277,1,7)),SUM(INDEX($R277:$AV277,1,7):INDEX($R277:$AV277,1,13)),SUM(INDEX($R277:$AV277,1,16):INDEX($R277:$AV277,1,23)),SUM(INDEX($R277:$AV277,1,23):INDEX($R277:$AV277,1,31)))</f>
        <v>420</v>
      </c>
      <c r="BU277" s="258">
        <v>360</v>
      </c>
      <c r="BV277" s="258">
        <v>0</v>
      </c>
      <c r="BW277" s="258">
        <v>0</v>
      </c>
      <c r="BY277" s="258">
        <f t="shared" si="712"/>
        <v>420</v>
      </c>
      <c r="BZ277" s="258">
        <f t="shared" si="713"/>
        <v>300</v>
      </c>
      <c r="CA277" s="258">
        <f t="shared" si="714"/>
        <v>0</v>
      </c>
      <c r="CB277" s="258">
        <f t="shared" si="715"/>
        <v>0</v>
      </c>
      <c r="CD277" s="113"/>
      <c r="CE277" s="258">
        <f t="shared" si="716"/>
        <v>27.14</v>
      </c>
      <c r="CF277" s="258">
        <f t="shared" si="717"/>
        <v>19.39</v>
      </c>
      <c r="CG277" s="258">
        <f t="shared" si="718"/>
        <v>0</v>
      </c>
      <c r="CH277" s="258">
        <f t="shared" si="719"/>
        <v>0</v>
      </c>
      <c r="CI277" s="258">
        <f t="shared" si="720"/>
        <v>46.53</v>
      </c>
      <c r="CJ277" s="113"/>
      <c r="CK277" s="258">
        <f t="shared" ref="CK277:CN277" si="726">IFERROR(ROUND(BY277*$P277,2),"")</f>
        <v>377263.24</v>
      </c>
      <c r="CL277" s="258">
        <f t="shared" si="726"/>
        <v>269473.74</v>
      </c>
      <c r="CM277" s="258">
        <f t="shared" si="726"/>
        <v>0</v>
      </c>
      <c r="CN277" s="258">
        <f t="shared" si="726"/>
        <v>0</v>
      </c>
      <c r="CO277" s="258">
        <f t="shared" si="722"/>
        <v>646736.98</v>
      </c>
      <c r="CP277" s="258" t="e">
        <f>VLOOKUP(G277,[2]Sheet1!$C$3:$G$310,5,0)</f>
        <v>#N/A</v>
      </c>
      <c r="CQ277" s="258">
        <f>VLOOKUP(G277,[3]KCBB0101!$C$3:$F$691,4,0)</f>
        <v>3000</v>
      </c>
    </row>
    <row r="278" ht="17.6" spans="2:95">
      <c r="B278" s="334" t="str">
        <f>_xlfn.XLOOKUP(G278,销售需求表!A:A,销售需求表!C:C)</f>
        <v>亚</v>
      </c>
      <c r="C278" s="335" t="str">
        <f t="shared" si="633"/>
        <v>20</v>
      </c>
      <c r="D278" s="362" t="str">
        <f t="shared" si="698"/>
        <v>亚20寸</v>
      </c>
      <c r="E278" s="339" t="str">
        <f t="shared" si="699"/>
        <v>11.00R20-18PR(152/149K)-TZ202</v>
      </c>
      <c r="F278" s="340" t="str">
        <f t="shared" si="666"/>
        <v>11.00R20-18PR-TZ202</v>
      </c>
      <c r="G278" s="341" t="s">
        <v>622</v>
      </c>
      <c r="H278" s="334">
        <v>1200</v>
      </c>
      <c r="I278" s="345"/>
      <c r="J278" s="346" t="str">
        <f t="shared" si="700"/>
        <v>11.00R20-TZ202</v>
      </c>
      <c r="K278" s="347" t="str">
        <f>_xlfn.XLOOKUP(F278,投产规格!E:E,投产规格!D:D,"未投产")</f>
        <v>✔</v>
      </c>
      <c r="L278" s="347">
        <f>IFERROR(_xlfn.XLOOKUP(F278,硫化工艺!B:B,硫化工艺!C:C),"")</f>
        <v>44</v>
      </c>
      <c r="M278" s="349">
        <f t="shared" si="701"/>
        <v>0.882943143812709</v>
      </c>
      <c r="N278" s="347" t="str">
        <f t="shared" si="702"/>
        <v>20全钢</v>
      </c>
      <c r="O278" s="347">
        <f>IFERROR(_xlfn.XLOOKUP(F278,轮胎重量!J:J,轮胎重量!G:G),"")</f>
        <v>64.622</v>
      </c>
      <c r="P278" s="347">
        <f>IFERROR(_xlfn.XLOOKUP(G278,硫化工艺!I:I,硫化工艺!J:J),"")</f>
        <v>935.247061</v>
      </c>
      <c r="Q278" s="347">
        <f t="shared" si="703"/>
        <v>0</v>
      </c>
      <c r="R278" s="347"/>
      <c r="S278" s="347"/>
      <c r="T278" s="347"/>
      <c r="U278" s="347"/>
      <c r="V278" s="347"/>
      <c r="W278" s="347"/>
      <c r="X278" s="347"/>
      <c r="Y278" s="347"/>
      <c r="Z278" s="347"/>
      <c r="AA278" s="347"/>
      <c r="AB278" s="347"/>
      <c r="AC278" s="347"/>
      <c r="AD278" s="347">
        <v>60</v>
      </c>
      <c r="AE278" s="347">
        <v>60</v>
      </c>
      <c r="AF278" s="347">
        <v>60</v>
      </c>
      <c r="AG278" s="347">
        <v>60</v>
      </c>
      <c r="AH278" s="347">
        <v>60</v>
      </c>
      <c r="AI278" s="347">
        <v>60</v>
      </c>
      <c r="AJ278" s="347">
        <v>60</v>
      </c>
      <c r="AK278" s="347">
        <v>60</v>
      </c>
      <c r="AL278" s="347">
        <v>60</v>
      </c>
      <c r="AM278" s="347"/>
      <c r="AN278" s="347"/>
      <c r="AO278" s="347"/>
      <c r="AP278" s="347"/>
      <c r="AQ278" s="347"/>
      <c r="AR278" s="347"/>
      <c r="AS278" s="347"/>
      <c r="AT278" s="347"/>
      <c r="AU278" s="347"/>
      <c r="AV278" s="347"/>
      <c r="AW278" s="347">
        <f t="shared" si="704"/>
        <v>540</v>
      </c>
      <c r="AX278" s="365">
        <f t="shared" si="705"/>
        <v>34.89588</v>
      </c>
      <c r="AY278" s="365">
        <f t="shared" si="706"/>
        <v>50.503</v>
      </c>
      <c r="AZ278" s="366">
        <v>819.5</v>
      </c>
      <c r="BA278" s="368">
        <v>49.61</v>
      </c>
      <c r="BB278" s="368">
        <v>74.31</v>
      </c>
      <c r="BC278" s="368">
        <v>81.82</v>
      </c>
      <c r="BE278" s="330">
        <f t="shared" si="707"/>
        <v>442530</v>
      </c>
      <c r="BF278" s="330">
        <f t="shared" si="708"/>
        <v>26789.4</v>
      </c>
      <c r="BG278" s="330">
        <f t="shared" si="709"/>
        <v>40127.4</v>
      </c>
      <c r="BH278" s="330">
        <f t="shared" si="710"/>
        <v>44182.8</v>
      </c>
      <c r="BJ278" s="370" cm="1">
        <f t="array" ref="BJ278:BM278">_xlfn.LET(_xlpm.data,$R278:$AV278,_xlpm.starts,{1,8,16,23},_xlpm.lengths,{7,7,8,9},_xlpm.arr,_xlfn.MAP(_xlpm.starts,_xlpm.lengths,_xlfn.LAMBDA(_xlpm.s,_xlpm.l,SUM(INDEX(_xlpm.data,,_xlfn.SEQUENCE(,_xlpm.l,_xlpm.s))))),ROUND(_xlpm.arr*$O278/1000,2))</f>
        <v>0</v>
      </c>
      <c r="BK278" s="330">
        <v>7.75</v>
      </c>
      <c r="BL278" s="330">
        <v>23.26</v>
      </c>
      <c r="BM278" s="330">
        <v>0</v>
      </c>
      <c r="BN278" s="258">
        <f t="shared" si="711"/>
        <v>31.01</v>
      </c>
      <c r="BO278" s="258">
        <v>76.99</v>
      </c>
      <c r="BP278" s="258">
        <v>76.99</v>
      </c>
      <c r="BQ278" s="258">
        <v>87.99</v>
      </c>
      <c r="BR278" s="258">
        <v>98.99</v>
      </c>
      <c r="BT278" s="258" cm="1">
        <f ca="1" t="array" ref="BT278:BW278">_xlfn.HSTACK(SUM(INDEX($R278:$AV278,1,1):INDEX($R278:$AV278,1,7)),SUM(INDEX($R278:$AV278,1,7):INDEX($R278:$AV278,1,13)),SUM(INDEX($R278:$AV278,1,16):INDEX($R278:$AV278,1,23)),SUM(INDEX($R278:$AV278,1,23):INDEX($R278:$AV278,1,31)))</f>
        <v>0</v>
      </c>
      <c r="BU278" s="258">
        <v>60</v>
      </c>
      <c r="BV278" s="258">
        <v>360</v>
      </c>
      <c r="BW278" s="258">
        <v>0</v>
      </c>
      <c r="BY278" s="258">
        <f t="shared" si="712"/>
        <v>0</v>
      </c>
      <c r="BZ278" s="258">
        <f t="shared" si="713"/>
        <v>120</v>
      </c>
      <c r="CA278" s="258">
        <f t="shared" si="714"/>
        <v>420</v>
      </c>
      <c r="CB278" s="258">
        <f t="shared" si="715"/>
        <v>0</v>
      </c>
      <c r="CE278" s="258">
        <f t="shared" si="716"/>
        <v>0</v>
      </c>
      <c r="CF278" s="258">
        <f t="shared" si="717"/>
        <v>7.75</v>
      </c>
      <c r="CG278" s="258">
        <f t="shared" si="718"/>
        <v>27.14</v>
      </c>
      <c r="CH278" s="258">
        <f t="shared" si="719"/>
        <v>0</v>
      </c>
      <c r="CI278" s="258">
        <f t="shared" si="720"/>
        <v>34.89</v>
      </c>
      <c r="CK278" s="258">
        <f t="shared" ref="CK278:CN278" si="727">IFERROR(ROUND(BY278*$P278,2),"")</f>
        <v>0</v>
      </c>
      <c r="CL278" s="258">
        <f t="shared" si="727"/>
        <v>112229.65</v>
      </c>
      <c r="CM278" s="258">
        <f t="shared" si="727"/>
        <v>392803.77</v>
      </c>
      <c r="CN278" s="258">
        <f t="shared" si="727"/>
        <v>0</v>
      </c>
      <c r="CO278" s="258">
        <f t="shared" si="722"/>
        <v>505033.42</v>
      </c>
      <c r="CP278" s="258" t="e">
        <f>VLOOKUP(G278,[2]Sheet1!$C$3:$G$310,5,0)</f>
        <v>#N/A</v>
      </c>
      <c r="CQ278" s="258">
        <f>VLOOKUP(G278,[3]KCBB0101!$C$3:$F$691,4,0)</f>
        <v>2625</v>
      </c>
    </row>
    <row r="279" ht="17.6" spans="2:95">
      <c r="B279" s="334" t="str">
        <f>_xlfn.XLOOKUP(G279,销售需求表!A:A,销售需求表!C:C)</f>
        <v>亚</v>
      </c>
      <c r="C279" s="335" t="str">
        <f t="shared" si="633"/>
        <v>20</v>
      </c>
      <c r="D279" s="362" t="str">
        <f t="shared" si="698"/>
        <v>亚20寸</v>
      </c>
      <c r="E279" s="339" t="str">
        <f t="shared" si="699"/>
        <v>11.00R20-18PR(152/149L)-FOLO.R109</v>
      </c>
      <c r="F279" s="340" t="str">
        <f t="shared" si="666"/>
        <v>11.00R20-18PR-FOLO.R109</v>
      </c>
      <c r="G279" s="342" t="s">
        <v>29</v>
      </c>
      <c r="H279" s="334">
        <f>150+500</f>
        <v>650</v>
      </c>
      <c r="I279" s="345"/>
      <c r="J279" s="346" t="str">
        <f t="shared" si="700"/>
        <v>11.00R20-FOLO.R109</v>
      </c>
      <c r="K279" s="347" t="str">
        <f>_xlfn.XLOOKUP(F279,投产规格!E:E,投产规格!D:D,"未投产")</f>
        <v>✔</v>
      </c>
      <c r="L279" s="347">
        <f>IFERROR(_xlfn.XLOOKUP(F279,硫化工艺!B:B,硫化工艺!C:C),"")</f>
        <v>42</v>
      </c>
      <c r="M279" s="349">
        <f t="shared" si="701"/>
        <v>0.878048780487805</v>
      </c>
      <c r="N279" s="347" t="str">
        <f t="shared" si="702"/>
        <v>20全钢</v>
      </c>
      <c r="O279" s="347">
        <f>IFERROR(_xlfn.XLOOKUP(F279,轮胎重量!J:J,轮胎重量!G:G),"")</f>
        <v>67.387</v>
      </c>
      <c r="P279" s="347">
        <f>IFERROR(_xlfn.XLOOKUP(G279,硫化工艺!I:I,硫化工艺!J:J),"")</f>
        <v>1028.221999</v>
      </c>
      <c r="Q279" s="347">
        <f t="shared" si="703"/>
        <v>0</v>
      </c>
      <c r="R279" s="347"/>
      <c r="S279" s="347"/>
      <c r="T279" s="347"/>
      <c r="U279" s="347"/>
      <c r="V279" s="347"/>
      <c r="W279" s="347"/>
      <c r="X279" s="347"/>
      <c r="Y279" s="347"/>
      <c r="Z279" s="347"/>
      <c r="AA279" s="347"/>
      <c r="AB279" s="347"/>
      <c r="AC279" s="347"/>
      <c r="AD279" s="347"/>
      <c r="AE279" s="347"/>
      <c r="AF279" s="347"/>
      <c r="AG279" s="347"/>
      <c r="AH279" s="347"/>
      <c r="AI279" s="347"/>
      <c r="AJ279" s="347"/>
      <c r="AK279" s="347"/>
      <c r="AL279" s="347"/>
      <c r="AM279" s="347">
        <v>60</v>
      </c>
      <c r="AN279" s="347">
        <v>60</v>
      </c>
      <c r="AO279" s="347">
        <v>60</v>
      </c>
      <c r="AP279" s="347">
        <v>60</v>
      </c>
      <c r="AQ279" s="347">
        <v>60</v>
      </c>
      <c r="AR279" s="347">
        <v>60</v>
      </c>
      <c r="AS279" s="347">
        <v>60</v>
      </c>
      <c r="AT279" s="347">
        <v>60</v>
      </c>
      <c r="AU279" s="347">
        <v>60</v>
      </c>
      <c r="AV279" s="347">
        <v>60</v>
      </c>
      <c r="AW279" s="347">
        <v>3000</v>
      </c>
      <c r="AX279" s="365">
        <f t="shared" si="705"/>
        <v>202.161</v>
      </c>
      <c r="AY279" s="365">
        <f t="shared" si="706"/>
        <v>308.467</v>
      </c>
      <c r="AZ279" s="366">
        <v>768.71</v>
      </c>
      <c r="BA279" s="368">
        <v>46.75</v>
      </c>
      <c r="BB279" s="368">
        <v>71.52</v>
      </c>
      <c r="BC279" s="368">
        <v>76.57</v>
      </c>
      <c r="BE279" s="330">
        <f t="shared" si="707"/>
        <v>2306130</v>
      </c>
      <c r="BF279" s="330">
        <f t="shared" si="708"/>
        <v>140250</v>
      </c>
      <c r="BG279" s="330">
        <f t="shared" si="709"/>
        <v>214560</v>
      </c>
      <c r="BH279" s="330">
        <f t="shared" si="710"/>
        <v>229710</v>
      </c>
      <c r="BJ279" s="370" cm="1">
        <f t="array" ref="BJ279:BM279">_xlfn.LET(_xlpm.data,$R279:$AV279,_xlpm.starts,{1,8,16,23},_xlpm.lengths,{7,7,8,9},_xlpm.arr,_xlfn.MAP(_xlpm.starts,_xlpm.lengths,_xlfn.LAMBDA(_xlpm.s,_xlpm.l,SUM(INDEX(_xlpm.data,,_xlfn.SEQUENCE(,_xlpm.l,_xlpm.s))))),ROUND(_xlpm.arr*$O279/1000,2))</f>
        <v>0</v>
      </c>
      <c r="BK279" s="330">
        <v>0</v>
      </c>
      <c r="BL279" s="330">
        <v>8.09</v>
      </c>
      <c r="BM279" s="330">
        <v>36.39</v>
      </c>
      <c r="BN279" s="258">
        <f t="shared" si="711"/>
        <v>44.48</v>
      </c>
      <c r="BO279" s="258">
        <v>51.56</v>
      </c>
      <c r="BP279" s="258">
        <v>51.56</v>
      </c>
      <c r="BQ279" s="258">
        <v>58.92</v>
      </c>
      <c r="BR279" s="258">
        <v>66.29</v>
      </c>
      <c r="BT279" s="258" cm="1">
        <f ca="1" t="array" ref="BT279:BW279">_xlfn.HSTACK(SUM(INDEX($R279:$AV279,1,1):INDEX($R279:$AV279,1,7)),SUM(INDEX($R279:$AV279,1,7):INDEX($R279:$AV279,1,13)),SUM(INDEX($R279:$AV279,1,16):INDEX($R279:$AV279,1,23)),SUM(INDEX($R279:$AV279,1,23):INDEX($R279:$AV279,1,31)))</f>
        <v>0</v>
      </c>
      <c r="BU279" s="258">
        <v>0</v>
      </c>
      <c r="BV279" s="258">
        <v>120</v>
      </c>
      <c r="BW279" s="258">
        <v>540</v>
      </c>
      <c r="BY279" s="258">
        <f t="shared" si="712"/>
        <v>0</v>
      </c>
      <c r="BZ279" s="258">
        <f t="shared" si="713"/>
        <v>0</v>
      </c>
      <c r="CA279" s="258">
        <f t="shared" si="714"/>
        <v>60</v>
      </c>
      <c r="CB279" s="258">
        <f t="shared" si="715"/>
        <v>540</v>
      </c>
      <c r="CE279" s="258">
        <f t="shared" si="716"/>
        <v>0</v>
      </c>
      <c r="CF279" s="258">
        <f t="shared" si="717"/>
        <v>0</v>
      </c>
      <c r="CG279" s="258">
        <f t="shared" si="718"/>
        <v>4.04</v>
      </c>
      <c r="CH279" s="258">
        <f t="shared" si="719"/>
        <v>36.39</v>
      </c>
      <c r="CI279" s="258">
        <f t="shared" si="720"/>
        <v>40.43</v>
      </c>
      <c r="CK279" s="258">
        <f t="shared" ref="CK279:CN279" si="728">IFERROR(ROUND(BY279*$P279,2),"")</f>
        <v>0</v>
      </c>
      <c r="CL279" s="258">
        <f t="shared" si="728"/>
        <v>0</v>
      </c>
      <c r="CM279" s="258">
        <f t="shared" si="728"/>
        <v>61693.32</v>
      </c>
      <c r="CN279" s="258">
        <f t="shared" si="728"/>
        <v>555239.88</v>
      </c>
      <c r="CO279" s="258">
        <f t="shared" si="722"/>
        <v>616933.2</v>
      </c>
      <c r="CP279" s="258">
        <f>VLOOKUP(G279,[2]Sheet1!$C$3:$G$310,5,0)</f>
        <v>1800</v>
      </c>
      <c r="CQ279" s="258" t="e">
        <f>VLOOKUP(G279,[3]KCBB0101!$C$3:$F$691,4,0)</f>
        <v>#N/A</v>
      </c>
    </row>
    <row r="280" ht="17.6" spans="2:95">
      <c r="B280" s="334" t="str">
        <f>_xlfn.XLOOKUP(G280,销售需求表!A:A,销售需求表!C:C)</f>
        <v>亚</v>
      </c>
      <c r="C280" s="335" t="str">
        <f t="shared" si="633"/>
        <v>20</v>
      </c>
      <c r="D280" s="362" t="str">
        <f t="shared" si="698"/>
        <v>亚20寸</v>
      </c>
      <c r="E280" s="339" t="str">
        <f t="shared" si="699"/>
        <v>11.00R20-20PR(154/151D)-AZ850</v>
      </c>
      <c r="F280" s="340" t="str">
        <f t="shared" si="666"/>
        <v>11.00R20-20PR-AZ850</v>
      </c>
      <c r="G280" s="341" t="s">
        <v>623</v>
      </c>
      <c r="H280" s="334">
        <v>350</v>
      </c>
      <c r="I280" s="345"/>
      <c r="J280" s="346" t="str">
        <f t="shared" si="700"/>
        <v>11.00R20-AZ850</v>
      </c>
      <c r="K280" s="347" t="str">
        <f>_xlfn.XLOOKUP(F280,投产规格!E:E,投产规格!D:D,"未投产")</f>
        <v>✔</v>
      </c>
      <c r="L280" s="347">
        <f>IFERROR(_xlfn.XLOOKUP(F280,硫化工艺!B:B,硫化工艺!C:C),"")</f>
        <v>41</v>
      </c>
      <c r="M280" s="349">
        <f t="shared" si="701"/>
        <v>0.875444839857651</v>
      </c>
      <c r="N280" s="347" t="str">
        <f t="shared" si="702"/>
        <v>20全钢</v>
      </c>
      <c r="O280" s="347">
        <f>IFERROR(_xlfn.XLOOKUP(F280,轮胎重量!J:J,轮胎重量!G:G),"")</f>
        <v>68.197</v>
      </c>
      <c r="P280" s="347">
        <f>IFERROR(_xlfn.XLOOKUP(G280,硫化工艺!I:I,硫化工艺!J:J),"")</f>
        <v>984.491094</v>
      </c>
      <c r="Q280" s="347">
        <f t="shared" si="703"/>
        <v>0</v>
      </c>
      <c r="R280" s="347"/>
      <c r="S280" s="347"/>
      <c r="T280" s="347"/>
      <c r="U280" s="347"/>
      <c r="V280" s="347"/>
      <c r="W280" s="347"/>
      <c r="X280" s="347"/>
      <c r="Y280" s="354">
        <v>50</v>
      </c>
      <c r="Z280" s="354">
        <v>50</v>
      </c>
      <c r="AA280" s="354">
        <v>50</v>
      </c>
      <c r="AB280" s="354">
        <v>50</v>
      </c>
      <c r="AC280" s="354">
        <v>50</v>
      </c>
      <c r="AD280" s="354">
        <v>50</v>
      </c>
      <c r="AE280" s="354">
        <v>50</v>
      </c>
      <c r="AF280" s="354">
        <v>50</v>
      </c>
      <c r="AG280" s="354">
        <v>50</v>
      </c>
      <c r="AH280" s="354">
        <v>50</v>
      </c>
      <c r="AI280" s="354">
        <v>50</v>
      </c>
      <c r="AJ280" s="354">
        <v>50</v>
      </c>
      <c r="AK280" s="354">
        <v>50</v>
      </c>
      <c r="AL280" s="354">
        <v>50</v>
      </c>
      <c r="AM280" s="354">
        <v>50</v>
      </c>
      <c r="AN280" s="347"/>
      <c r="AO280" s="347"/>
      <c r="AP280" s="347"/>
      <c r="AQ280" s="347"/>
      <c r="AR280" s="347"/>
      <c r="AS280" s="347"/>
      <c r="AT280" s="347"/>
      <c r="AU280" s="347"/>
      <c r="AV280" s="347"/>
      <c r="AW280" s="347">
        <f t="shared" si="704"/>
        <v>750</v>
      </c>
      <c r="AX280" s="365">
        <f t="shared" si="705"/>
        <v>51.14775</v>
      </c>
      <c r="AY280" s="365">
        <f t="shared" si="706"/>
        <v>73.837</v>
      </c>
      <c r="AZ280" s="366">
        <v>660.8</v>
      </c>
      <c r="BA280" s="368">
        <v>42.02</v>
      </c>
      <c r="BB280" s="368">
        <v>65.11</v>
      </c>
      <c r="BC280" s="368">
        <v>70.93</v>
      </c>
      <c r="BE280" s="330">
        <f t="shared" si="707"/>
        <v>495600</v>
      </c>
      <c r="BF280" s="330">
        <f t="shared" si="708"/>
        <v>31515</v>
      </c>
      <c r="BG280" s="330">
        <f t="shared" si="709"/>
        <v>48832.5</v>
      </c>
      <c r="BH280" s="330">
        <f t="shared" si="710"/>
        <v>53197.5</v>
      </c>
      <c r="BJ280" s="370" cm="1">
        <f t="array" ref="BJ280:BM280">_xlfn.LET(_xlpm.data,$R280:$AV280,_xlpm.starts,{1,8,16,23},_xlpm.lengths,{7,7,8,9},_xlpm.arr,_xlfn.MAP(_xlpm.starts,_xlpm.lengths,_xlfn.LAMBDA(_xlpm.s,_xlpm.l,SUM(INDEX(_xlpm.data,,_xlfn.SEQUENCE(,_xlpm.l,_xlpm.s))))),ROUND(_xlpm.arr*$O280/1000,2))</f>
        <v>0</v>
      </c>
      <c r="BK280" s="330">
        <v>23.87</v>
      </c>
      <c r="BL280" s="330">
        <v>23.87</v>
      </c>
      <c r="BM280" s="330">
        <v>0</v>
      </c>
      <c r="BN280" s="258">
        <f t="shared" si="711"/>
        <v>47.74</v>
      </c>
      <c r="BO280" s="258">
        <v>53.95</v>
      </c>
      <c r="BP280" s="258">
        <v>0</v>
      </c>
      <c r="BQ280" s="258">
        <v>0</v>
      </c>
      <c r="BR280" s="258">
        <v>0</v>
      </c>
      <c r="BT280" s="258" cm="1">
        <f ca="1" t="array" ref="BT280:BW280">_xlfn.HSTACK(SUM(INDEX($R280:$AV280,1,1):INDEX($R280:$AV280,1,7)),SUM(INDEX($R280:$AV280,1,7):INDEX($R280:$AV280,1,13)),SUM(INDEX($R280:$AV280,1,16):INDEX($R280:$AV280,1,23)),SUM(INDEX($R280:$AV280,1,23):INDEX($R280:$AV280,1,31)))</f>
        <v>0</v>
      </c>
      <c r="BU280" s="258">
        <v>300</v>
      </c>
      <c r="BV280" s="258">
        <v>350</v>
      </c>
      <c r="BW280" s="258">
        <v>0</v>
      </c>
      <c r="BY280" s="258">
        <f t="shared" si="712"/>
        <v>0</v>
      </c>
      <c r="BZ280" s="258">
        <f t="shared" si="713"/>
        <v>350</v>
      </c>
      <c r="CA280" s="258">
        <f t="shared" si="714"/>
        <v>400</v>
      </c>
      <c r="CB280" s="258">
        <f t="shared" si="715"/>
        <v>0</v>
      </c>
      <c r="CE280" s="258">
        <f t="shared" si="716"/>
        <v>0</v>
      </c>
      <c r="CF280" s="258">
        <f t="shared" si="717"/>
        <v>23.87</v>
      </c>
      <c r="CG280" s="258">
        <f t="shared" si="718"/>
        <v>27.28</v>
      </c>
      <c r="CH280" s="258">
        <f t="shared" si="719"/>
        <v>0</v>
      </c>
      <c r="CI280" s="258">
        <f t="shared" si="720"/>
        <v>51.15</v>
      </c>
      <c r="CK280" s="258">
        <f t="shared" ref="CK280:CN280" si="729">IFERROR(ROUND(BY280*$P280,2),"")</f>
        <v>0</v>
      </c>
      <c r="CL280" s="258">
        <f t="shared" si="729"/>
        <v>344571.88</v>
      </c>
      <c r="CM280" s="258">
        <f t="shared" si="729"/>
        <v>393796.44</v>
      </c>
      <c r="CN280" s="258">
        <f t="shared" si="729"/>
        <v>0</v>
      </c>
      <c r="CO280" s="258">
        <f t="shared" si="722"/>
        <v>738368.32</v>
      </c>
      <c r="CP280" s="258" t="e">
        <f>VLOOKUP(G280,[2]Sheet1!$C$3:$G$310,5,0)</f>
        <v>#N/A</v>
      </c>
      <c r="CQ280" s="258">
        <f>VLOOKUP(G280,[3]KCBB0101!$C$3:$F$691,4,0)</f>
        <v>4532</v>
      </c>
    </row>
    <row r="281" ht="17.6" spans="2:93">
      <c r="B281" s="334" t="str">
        <f>_xlfn.XLOOKUP(G281,销售需求表!A:A,销售需求表!C:C)</f>
        <v>亚</v>
      </c>
      <c r="C281" s="335" t="str">
        <f t="shared" si="633"/>
        <v>20</v>
      </c>
      <c r="D281" s="362" t="str">
        <f t="shared" si="698"/>
        <v>亚20寸</v>
      </c>
      <c r="E281" s="339" t="str">
        <f t="shared" si="699"/>
        <v>11.00R20-20PR(154/151D)-CB905A</v>
      </c>
      <c r="F281" s="340" t="str">
        <f t="shared" si="666"/>
        <v>11.00R20-20PR-CB905A</v>
      </c>
      <c r="G281" s="377" t="s">
        <v>624</v>
      </c>
      <c r="H281" s="334">
        <v>150</v>
      </c>
      <c r="I281" s="345"/>
      <c r="J281" s="346" t="str">
        <f t="shared" si="700"/>
        <v>11.00R20-CB905A</v>
      </c>
      <c r="K281" s="347" t="str">
        <f>_xlfn.XLOOKUP(F281,投产规格!E:E,投产规格!D:D,"未投产")</f>
        <v>✔</v>
      </c>
      <c r="L281" s="347">
        <f>IFERROR(_xlfn.XLOOKUP(F281,硫化工艺!B:B,硫化工艺!C:C),"")</f>
        <v>52</v>
      </c>
      <c r="M281" s="349">
        <f t="shared" si="701"/>
        <v>0.899135446685879</v>
      </c>
      <c r="N281" s="347" t="str">
        <f t="shared" si="702"/>
        <v>20全钢</v>
      </c>
      <c r="O281" s="347">
        <f>IFERROR(_xlfn.XLOOKUP(F281,轮胎重量!J:J,轮胎重量!G:G),"")</f>
        <v>72.058</v>
      </c>
      <c r="P281" s="347">
        <f>IFERROR(_xlfn.XLOOKUP(G281,硫化工艺!I:I,硫化工艺!J:J),"")</f>
        <v>1033.103379</v>
      </c>
      <c r="Q281" s="347">
        <f t="shared" si="703"/>
        <v>0</v>
      </c>
      <c r="R281" s="347"/>
      <c r="S281" s="347"/>
      <c r="T281" s="347"/>
      <c r="U281" s="347"/>
      <c r="V281" s="347"/>
      <c r="W281" s="347"/>
      <c r="X281" s="347"/>
      <c r="Y281" s="347"/>
      <c r="Z281" s="347"/>
      <c r="AA281" s="347"/>
      <c r="AB281" s="347"/>
      <c r="AC281" s="347"/>
      <c r="AD281" s="347"/>
      <c r="AE281" s="347"/>
      <c r="AF281" s="347"/>
      <c r="AG281" s="347"/>
      <c r="AH281" s="347"/>
      <c r="AI281" s="347"/>
      <c r="AJ281" s="347"/>
      <c r="AK281" s="347"/>
      <c r="AL281" s="347"/>
      <c r="AM281" s="347"/>
      <c r="AN281" s="347"/>
      <c r="AO281" s="347"/>
      <c r="AP281" s="347"/>
      <c r="AQ281" s="347"/>
      <c r="AR281" s="347"/>
      <c r="AS281" s="347"/>
      <c r="AT281" s="347"/>
      <c r="AU281" s="347"/>
      <c r="AV281" s="347"/>
      <c r="AW281" s="347" t="str">
        <f t="shared" si="704"/>
        <v/>
      </c>
      <c r="AX281" s="365" t="str">
        <f t="shared" si="705"/>
        <v/>
      </c>
      <c r="AY281" s="365" t="str">
        <f t="shared" si="706"/>
        <v/>
      </c>
      <c r="AZ281" s="366">
        <v>660.8</v>
      </c>
      <c r="BA281" s="368">
        <v>42.02</v>
      </c>
      <c r="BB281" s="368">
        <v>65.11</v>
      </c>
      <c r="BC281" s="368">
        <v>70.93</v>
      </c>
      <c r="BE281" s="330" t="e">
        <f t="shared" si="707"/>
        <v>#VALUE!</v>
      </c>
      <c r="BF281" s="330" t="e">
        <f t="shared" si="708"/>
        <v>#VALUE!</v>
      </c>
      <c r="BG281" s="330" t="e">
        <f t="shared" si="709"/>
        <v>#VALUE!</v>
      </c>
      <c r="BH281" s="330" t="e">
        <f t="shared" si="710"/>
        <v>#VALUE!</v>
      </c>
      <c r="BJ281" s="370" cm="1">
        <f t="array" ref="BJ281:BM281">_xlfn.LET(_xlpm.data,$R281:$AV281,_xlpm.starts,{1,8,16,23},_xlpm.lengths,{7,7,8,9},_xlpm.arr,_xlfn.MAP(_xlpm.starts,_xlpm.lengths,_xlfn.LAMBDA(_xlpm.s,_xlpm.l,SUM(INDEX(_xlpm.data,,_xlfn.SEQUENCE(,_xlpm.l,_xlpm.s))))),ROUND(_xlpm.arr*$O281/1000,2))</f>
        <v>0</v>
      </c>
      <c r="BK281" s="330">
        <v>0</v>
      </c>
      <c r="BL281" s="330">
        <v>0</v>
      </c>
      <c r="BM281" s="330">
        <v>0</v>
      </c>
      <c r="BN281" s="258">
        <f t="shared" si="711"/>
        <v>0</v>
      </c>
      <c r="BO281" s="258">
        <v>53.95</v>
      </c>
      <c r="BP281" s="258">
        <v>0</v>
      </c>
      <c r="BQ281" s="258">
        <v>0</v>
      </c>
      <c r="BR281" s="258">
        <v>0</v>
      </c>
      <c r="BT281" s="258" cm="1">
        <f ca="1" t="array" ref="BT281:BW281">_xlfn.HSTACK(SUM(INDEX($R281:$AV281,1,1):INDEX($R281:$AV281,1,7)),SUM(INDEX($R281:$AV281,1,7):INDEX($R281:$AV281,1,13)),SUM(INDEX($R281:$AV281,1,16):INDEX($R281:$AV281,1,23)),SUM(INDEX($R281:$AV281,1,23):INDEX($R281:$AV281,1,31)))</f>
        <v>0</v>
      </c>
      <c r="BU281" s="258">
        <v>0</v>
      </c>
      <c r="BV281" s="258">
        <v>0</v>
      </c>
      <c r="BW281" s="258">
        <v>0</v>
      </c>
      <c r="BY281" s="258">
        <f t="shared" si="712"/>
        <v>0</v>
      </c>
      <c r="BZ281" s="258">
        <f t="shared" si="713"/>
        <v>0</v>
      </c>
      <c r="CA281" s="258">
        <f t="shared" si="714"/>
        <v>0</v>
      </c>
      <c r="CB281" s="258">
        <f t="shared" si="715"/>
        <v>0</v>
      </c>
      <c r="CE281" s="258">
        <f t="shared" si="716"/>
        <v>0</v>
      </c>
      <c r="CF281" s="258">
        <f t="shared" si="717"/>
        <v>0</v>
      </c>
      <c r="CG281" s="258">
        <f t="shared" si="718"/>
        <v>0</v>
      </c>
      <c r="CH281" s="258">
        <f t="shared" si="719"/>
        <v>0</v>
      </c>
      <c r="CI281" s="258">
        <f t="shared" si="720"/>
        <v>0</v>
      </c>
      <c r="CK281" s="258">
        <f t="shared" ref="CK281:CN281" si="730">IFERROR(ROUND(BY281*$P281,2),"")</f>
        <v>0</v>
      </c>
      <c r="CL281" s="258">
        <f t="shared" si="730"/>
        <v>0</v>
      </c>
      <c r="CM281" s="258">
        <f t="shared" si="730"/>
        <v>0</v>
      </c>
      <c r="CN281" s="258">
        <f t="shared" si="730"/>
        <v>0</v>
      </c>
      <c r="CO281" s="258">
        <f t="shared" si="722"/>
        <v>0</v>
      </c>
    </row>
    <row r="282" ht="17.6" spans="2:93">
      <c r="B282" s="334" t="str">
        <f>_xlfn.XLOOKUP(G282,销售需求表!A:A,销售需求表!C:C)</f>
        <v>亚</v>
      </c>
      <c r="C282" s="335" t="str">
        <f t="shared" si="633"/>
        <v>20</v>
      </c>
      <c r="D282" s="362" t="str">
        <f t="shared" si="698"/>
        <v>亚20寸</v>
      </c>
      <c r="E282" s="339" t="str">
        <f t="shared" si="699"/>
        <v>12.00R20-18PR(154/151F)-CB919</v>
      </c>
      <c r="F282" s="340" t="str">
        <f t="shared" si="666"/>
        <v>12.00R20-18PR-CB919</v>
      </c>
      <c r="G282" s="339" t="s">
        <v>625</v>
      </c>
      <c r="H282" s="334">
        <v>200</v>
      </c>
      <c r="I282" s="345"/>
      <c r="J282" s="346" t="str">
        <f t="shared" si="700"/>
        <v>12.00R20-CB919</v>
      </c>
      <c r="K282" s="347" t="str">
        <f>_xlfn.XLOOKUP(F282,投产规格!E:E,投产规格!D:D,"未投产")</f>
        <v>✔</v>
      </c>
      <c r="L282" s="347">
        <f>IFERROR(_xlfn.XLOOKUP(F282,硫化工艺!B:B,硫化工艺!C:C),"")</f>
        <v>54</v>
      </c>
      <c r="M282" s="349">
        <f t="shared" si="701"/>
        <v>0.902506963788301</v>
      </c>
      <c r="N282" s="347" t="str">
        <f t="shared" si="702"/>
        <v>20全钢</v>
      </c>
      <c r="O282" s="347">
        <f>IFERROR(_xlfn.XLOOKUP(F282,轮胎重量!J:J,轮胎重量!G:G),"")</f>
        <v>86.933</v>
      </c>
      <c r="P282" s="347">
        <f>IFERROR(_xlfn.XLOOKUP(G282,硫化工艺!I:I,硫化工艺!J:J),"")</f>
        <v>1228.782576</v>
      </c>
      <c r="Q282" s="347">
        <f t="shared" si="703"/>
        <v>0</v>
      </c>
      <c r="R282" s="347"/>
      <c r="S282" s="347"/>
      <c r="T282" s="347"/>
      <c r="U282" s="347"/>
      <c r="V282" s="347"/>
      <c r="W282" s="347"/>
      <c r="X282" s="347"/>
      <c r="Y282" s="347"/>
      <c r="Z282" s="347"/>
      <c r="AA282" s="347"/>
      <c r="AB282" s="347"/>
      <c r="AC282" s="347"/>
      <c r="AD282" s="347"/>
      <c r="AE282" s="347"/>
      <c r="AF282" s="347"/>
      <c r="AG282" s="347"/>
      <c r="AH282" s="347"/>
      <c r="AI282" s="347"/>
      <c r="AJ282" s="347"/>
      <c r="AK282" s="347"/>
      <c r="AL282" s="347"/>
      <c r="AM282" s="347"/>
      <c r="AN282" s="347"/>
      <c r="AO282" s="347"/>
      <c r="AP282" s="347"/>
      <c r="AQ282" s="347"/>
      <c r="AR282" s="347"/>
      <c r="AS282" s="347"/>
      <c r="AT282" s="347"/>
      <c r="AU282" s="347"/>
      <c r="AV282" s="347"/>
      <c r="AW282" s="347" t="str">
        <f t="shared" si="704"/>
        <v/>
      </c>
      <c r="AX282" s="365" t="str">
        <f t="shared" si="705"/>
        <v/>
      </c>
      <c r="AY282" s="365" t="str">
        <f t="shared" si="706"/>
        <v/>
      </c>
      <c r="AZ282" s="366">
        <v>660.8</v>
      </c>
      <c r="BA282" s="368">
        <v>42.02</v>
      </c>
      <c r="BB282" s="368">
        <v>65.11</v>
      </c>
      <c r="BC282" s="368">
        <v>70.93</v>
      </c>
      <c r="BE282" s="330" t="e">
        <f t="shared" si="707"/>
        <v>#VALUE!</v>
      </c>
      <c r="BF282" s="330" t="e">
        <f t="shared" si="708"/>
        <v>#VALUE!</v>
      </c>
      <c r="BG282" s="330" t="e">
        <f t="shared" si="709"/>
        <v>#VALUE!</v>
      </c>
      <c r="BH282" s="330" t="e">
        <f t="shared" si="710"/>
        <v>#VALUE!</v>
      </c>
      <c r="BJ282" s="370" cm="1">
        <f t="array" ref="BJ282:BM282">_xlfn.LET(_xlpm.data,$R282:$AV282,_xlpm.starts,{1,8,16,23},_xlpm.lengths,{7,7,8,9},_xlpm.arr,_xlfn.MAP(_xlpm.starts,_xlpm.lengths,_xlfn.LAMBDA(_xlpm.s,_xlpm.l,SUM(INDEX(_xlpm.data,,_xlfn.SEQUENCE(,_xlpm.l,_xlpm.s))))),ROUND(_xlpm.arr*$O282/1000,2))</f>
        <v>0</v>
      </c>
      <c r="BK282" s="330">
        <v>0</v>
      </c>
      <c r="BL282" s="330">
        <v>0</v>
      </c>
      <c r="BM282" s="330">
        <v>0</v>
      </c>
      <c r="BN282" s="258">
        <f t="shared" si="711"/>
        <v>0</v>
      </c>
      <c r="BO282" s="258">
        <v>53.95</v>
      </c>
      <c r="BP282" s="258">
        <v>0</v>
      </c>
      <c r="BQ282" s="258">
        <v>0</v>
      </c>
      <c r="BR282" s="258">
        <v>0</v>
      </c>
      <c r="BT282" s="258" cm="1">
        <f ca="1" t="array" ref="BT282:BW282">_xlfn.HSTACK(SUM(INDEX($R282:$AV282,1,1):INDEX($R282:$AV282,1,7)),SUM(INDEX($R282:$AV282,1,7):INDEX($R282:$AV282,1,13)),SUM(INDEX($R282:$AV282,1,16):INDEX($R282:$AV282,1,23)),SUM(INDEX($R282:$AV282,1,23):INDEX($R282:$AV282,1,31)))</f>
        <v>0</v>
      </c>
      <c r="BU282" s="258">
        <v>0</v>
      </c>
      <c r="BV282" s="258">
        <v>0</v>
      </c>
      <c r="BW282" s="258">
        <v>0</v>
      </c>
      <c r="BY282" s="258">
        <f t="shared" si="712"/>
        <v>0</v>
      </c>
      <c r="BZ282" s="258">
        <f t="shared" si="713"/>
        <v>0</v>
      </c>
      <c r="CA282" s="258">
        <f t="shared" si="714"/>
        <v>0</v>
      </c>
      <c r="CB282" s="258">
        <f t="shared" si="715"/>
        <v>0</v>
      </c>
      <c r="CE282" s="258">
        <f t="shared" si="716"/>
        <v>0</v>
      </c>
      <c r="CF282" s="258">
        <f t="shared" si="717"/>
        <v>0</v>
      </c>
      <c r="CG282" s="258">
        <f t="shared" si="718"/>
        <v>0</v>
      </c>
      <c r="CH282" s="258">
        <f t="shared" si="719"/>
        <v>0</v>
      </c>
      <c r="CI282" s="258">
        <f t="shared" si="720"/>
        <v>0</v>
      </c>
      <c r="CK282" s="258">
        <f t="shared" ref="CK282:CN282" si="731">IFERROR(ROUND(BY282*$P282,2),"")</f>
        <v>0</v>
      </c>
      <c r="CL282" s="258">
        <f t="shared" si="731"/>
        <v>0</v>
      </c>
      <c r="CM282" s="258">
        <f t="shared" si="731"/>
        <v>0</v>
      </c>
      <c r="CN282" s="258">
        <f t="shared" si="731"/>
        <v>0</v>
      </c>
      <c r="CO282" s="258">
        <f t="shared" si="722"/>
        <v>0</v>
      </c>
    </row>
    <row r="283" ht="17.6" spans="2:93">
      <c r="B283" s="334" t="str">
        <f>_xlfn.XLOOKUP(G283,销售需求表!A:A,销售需求表!C:C)</f>
        <v>亚</v>
      </c>
      <c r="C283" s="335" t="str">
        <f t="shared" si="633"/>
        <v>20</v>
      </c>
      <c r="D283" s="362" t="str">
        <f t="shared" si="698"/>
        <v>亚20寸</v>
      </c>
      <c r="E283" s="339" t="str">
        <f t="shared" si="699"/>
        <v>12.00R20-18PR(154/151F)-EZ336</v>
      </c>
      <c r="F283" s="340" t="str">
        <f t="shared" si="666"/>
        <v>12.00R20-18PR-EZ336</v>
      </c>
      <c r="G283" s="339" t="s">
        <v>626</v>
      </c>
      <c r="H283" s="334">
        <v>150</v>
      </c>
      <c r="I283" s="345"/>
      <c r="J283" s="346" t="str">
        <f t="shared" si="700"/>
        <v>12.00R20-EZ336</v>
      </c>
      <c r="K283" s="347" t="str">
        <f>_xlfn.XLOOKUP(F283,投产规格!E:E,投产规格!D:D,"未投产")</f>
        <v>✔</v>
      </c>
      <c r="L283" s="347">
        <f>IFERROR(_xlfn.XLOOKUP(F283,硫化工艺!B:B,硫化工艺!C:C),"")</f>
        <v>55.5</v>
      </c>
      <c r="M283" s="349">
        <f t="shared" si="701"/>
        <v>0.904891304347826</v>
      </c>
      <c r="N283" s="347" t="str">
        <f t="shared" si="702"/>
        <v>20全钢</v>
      </c>
      <c r="O283" s="347">
        <f>IFERROR(_xlfn.XLOOKUP(F283,轮胎重量!J:J,轮胎重量!G:G),"")</f>
        <v>83.924</v>
      </c>
      <c r="P283" s="347">
        <f>IFERROR(_xlfn.XLOOKUP(G283,硫化工艺!I:I,硫化工艺!J:J),"")</f>
        <v>1220.0356</v>
      </c>
      <c r="Q283" s="347">
        <f t="shared" si="703"/>
        <v>0</v>
      </c>
      <c r="R283" s="347"/>
      <c r="S283" s="347"/>
      <c r="T283" s="347"/>
      <c r="U283" s="347"/>
      <c r="V283" s="347"/>
      <c r="W283" s="347"/>
      <c r="X283" s="347"/>
      <c r="Y283" s="347"/>
      <c r="Z283" s="347"/>
      <c r="AA283" s="347"/>
      <c r="AB283" s="347"/>
      <c r="AC283" s="347"/>
      <c r="AD283" s="347"/>
      <c r="AE283" s="347"/>
      <c r="AF283" s="347"/>
      <c r="AG283" s="347"/>
      <c r="AH283" s="347"/>
      <c r="AI283" s="347"/>
      <c r="AJ283" s="347"/>
      <c r="AK283" s="347"/>
      <c r="AL283" s="347"/>
      <c r="AM283" s="347"/>
      <c r="AN283" s="347"/>
      <c r="AO283" s="347"/>
      <c r="AP283" s="347"/>
      <c r="AQ283" s="347"/>
      <c r="AR283" s="347"/>
      <c r="AS283" s="347"/>
      <c r="AT283" s="347"/>
      <c r="AU283" s="347"/>
      <c r="AV283" s="347"/>
      <c r="AW283" s="347" t="str">
        <f t="shared" si="704"/>
        <v/>
      </c>
      <c r="AX283" s="365" t="str">
        <f t="shared" si="705"/>
        <v/>
      </c>
      <c r="AY283" s="365" t="str">
        <f t="shared" si="706"/>
        <v/>
      </c>
      <c r="AZ283" s="366">
        <v>660.8</v>
      </c>
      <c r="BA283" s="368">
        <v>42.02</v>
      </c>
      <c r="BB283" s="368">
        <v>65.11</v>
      </c>
      <c r="BC283" s="368">
        <v>70.93</v>
      </c>
      <c r="BE283" s="330" t="e">
        <f t="shared" si="707"/>
        <v>#VALUE!</v>
      </c>
      <c r="BF283" s="330" t="e">
        <f t="shared" si="708"/>
        <v>#VALUE!</v>
      </c>
      <c r="BG283" s="330" t="e">
        <f t="shared" si="709"/>
        <v>#VALUE!</v>
      </c>
      <c r="BH283" s="330" t="e">
        <f t="shared" si="710"/>
        <v>#VALUE!</v>
      </c>
      <c r="BJ283" s="370" cm="1">
        <f t="array" ref="BJ283:BM283">_xlfn.LET(_xlpm.data,$R283:$AV283,_xlpm.starts,{1,8,16,23},_xlpm.lengths,{7,7,8,9},_xlpm.arr,_xlfn.MAP(_xlpm.starts,_xlpm.lengths,_xlfn.LAMBDA(_xlpm.s,_xlpm.l,SUM(INDEX(_xlpm.data,,_xlfn.SEQUENCE(,_xlpm.l,_xlpm.s))))),ROUND(_xlpm.arr*$O283/1000,2))</f>
        <v>0</v>
      </c>
      <c r="BK283" s="330">
        <v>0</v>
      </c>
      <c r="BL283" s="330">
        <v>0</v>
      </c>
      <c r="BM283" s="330">
        <v>0</v>
      </c>
      <c r="BN283" s="258">
        <f t="shared" si="711"/>
        <v>0</v>
      </c>
      <c r="BO283" s="258">
        <v>53.95</v>
      </c>
      <c r="BP283" s="258">
        <v>0</v>
      </c>
      <c r="BQ283" s="258">
        <v>0</v>
      </c>
      <c r="BR283" s="258">
        <v>0</v>
      </c>
      <c r="BT283" s="258" cm="1">
        <f ca="1" t="array" ref="BT283:BW283">_xlfn.HSTACK(SUM(INDEX($R283:$AV283,1,1):INDEX($R283:$AV283,1,7)),SUM(INDEX($R283:$AV283,1,7):INDEX($R283:$AV283,1,13)),SUM(INDEX($R283:$AV283,1,16):INDEX($R283:$AV283,1,23)),SUM(INDEX($R283:$AV283,1,23):INDEX($R283:$AV283,1,31)))</f>
        <v>0</v>
      </c>
      <c r="BU283" s="258">
        <v>0</v>
      </c>
      <c r="BV283" s="258">
        <v>0</v>
      </c>
      <c r="BW283" s="258">
        <v>0</v>
      </c>
      <c r="BY283" s="258">
        <f t="shared" si="712"/>
        <v>0</v>
      </c>
      <c r="BZ283" s="258">
        <f t="shared" si="713"/>
        <v>0</v>
      </c>
      <c r="CA283" s="258">
        <f t="shared" si="714"/>
        <v>0</v>
      </c>
      <c r="CB283" s="258">
        <f t="shared" si="715"/>
        <v>0</v>
      </c>
      <c r="CE283" s="258">
        <f t="shared" si="716"/>
        <v>0</v>
      </c>
      <c r="CF283" s="258">
        <f t="shared" si="717"/>
        <v>0</v>
      </c>
      <c r="CG283" s="258">
        <f t="shared" si="718"/>
        <v>0</v>
      </c>
      <c r="CH283" s="258">
        <f t="shared" si="719"/>
        <v>0</v>
      </c>
      <c r="CI283" s="258">
        <f t="shared" si="720"/>
        <v>0</v>
      </c>
      <c r="CK283" s="258">
        <f t="shared" ref="CK283:CN283" si="732">IFERROR(ROUND(BY283*$P283,2),"")</f>
        <v>0</v>
      </c>
      <c r="CL283" s="258">
        <f t="shared" si="732"/>
        <v>0</v>
      </c>
      <c r="CM283" s="258">
        <f t="shared" si="732"/>
        <v>0</v>
      </c>
      <c r="CN283" s="258">
        <f t="shared" si="732"/>
        <v>0</v>
      </c>
      <c r="CO283" s="258">
        <f t="shared" si="722"/>
        <v>0</v>
      </c>
    </row>
    <row r="284" ht="17.6" spans="2:93">
      <c r="B284" s="334" t="str">
        <f>_xlfn.XLOOKUP(G284,销售需求表!A:A,销售需求表!C:C)</f>
        <v>亚</v>
      </c>
      <c r="C284" s="335" t="str">
        <f t="shared" si="633"/>
        <v>20</v>
      </c>
      <c r="D284" s="362" t="str">
        <f t="shared" si="698"/>
        <v>亚20寸</v>
      </c>
      <c r="E284" s="339" t="str">
        <f t="shared" si="699"/>
        <v>12.00R20-18PR(154/151F)-MT100</v>
      </c>
      <c r="F284" s="340" t="str">
        <f t="shared" si="666"/>
        <v>12.00R20-18PR-MT100</v>
      </c>
      <c r="G284" s="339" t="s">
        <v>627</v>
      </c>
      <c r="H284" s="334">
        <v>200</v>
      </c>
      <c r="I284" s="345"/>
      <c r="J284" s="346" t="str">
        <f t="shared" si="700"/>
        <v>12.00R20-MT100</v>
      </c>
      <c r="K284" s="347" t="str">
        <f>_xlfn.XLOOKUP(F284,投产规格!E:E,投产规格!D:D,"未投产")</f>
        <v>✔</v>
      </c>
      <c r="L284" s="347">
        <f>IFERROR(_xlfn.XLOOKUP(F284,硫化工艺!B:B,硫化工艺!C:C),"")</f>
        <v>48.5</v>
      </c>
      <c r="M284" s="349">
        <f t="shared" si="701"/>
        <v>0.892638036809816</v>
      </c>
      <c r="N284" s="347" t="str">
        <f t="shared" si="702"/>
        <v>20全钢</v>
      </c>
      <c r="O284" s="347">
        <f>IFERROR(_xlfn.XLOOKUP(F284,轮胎重量!J:J,轮胎重量!G:G),"")</f>
        <v>81.155</v>
      </c>
      <c r="P284" s="347">
        <f>IFERROR(_xlfn.XLOOKUP(G284,硫化工艺!I:I,硫化工艺!J:J),"")</f>
        <v>1142.314915</v>
      </c>
      <c r="Q284" s="347">
        <f t="shared" si="703"/>
        <v>0</v>
      </c>
      <c r="R284" s="347"/>
      <c r="S284" s="347"/>
      <c r="T284" s="347"/>
      <c r="U284" s="347"/>
      <c r="V284" s="347"/>
      <c r="W284" s="347"/>
      <c r="X284" s="347"/>
      <c r="Y284" s="347"/>
      <c r="Z284" s="347"/>
      <c r="AA284" s="347"/>
      <c r="AB284" s="347"/>
      <c r="AC284" s="347"/>
      <c r="AD284" s="347"/>
      <c r="AE284" s="347"/>
      <c r="AF284" s="347"/>
      <c r="AG284" s="347"/>
      <c r="AH284" s="347"/>
      <c r="AI284" s="347"/>
      <c r="AJ284" s="347"/>
      <c r="AK284" s="347"/>
      <c r="AL284" s="347"/>
      <c r="AM284" s="347"/>
      <c r="AN284" s="347"/>
      <c r="AO284" s="347"/>
      <c r="AP284" s="347"/>
      <c r="AQ284" s="347"/>
      <c r="AR284" s="347"/>
      <c r="AS284" s="347"/>
      <c r="AT284" s="347"/>
      <c r="AU284" s="347"/>
      <c r="AV284" s="347"/>
      <c r="AW284" s="347" t="str">
        <f t="shared" si="704"/>
        <v/>
      </c>
      <c r="AX284" s="365" t="str">
        <f t="shared" si="705"/>
        <v/>
      </c>
      <c r="AY284" s="365" t="str">
        <f t="shared" si="706"/>
        <v/>
      </c>
      <c r="AZ284" s="366">
        <v>828.4</v>
      </c>
      <c r="BA284" s="368">
        <v>50.66</v>
      </c>
      <c r="BB284" s="368">
        <v>75.77</v>
      </c>
      <c r="BC284" s="368">
        <v>82.47</v>
      </c>
      <c r="BE284" s="330" t="e">
        <f t="shared" si="707"/>
        <v>#VALUE!</v>
      </c>
      <c r="BF284" s="330" t="e">
        <f t="shared" si="708"/>
        <v>#VALUE!</v>
      </c>
      <c r="BG284" s="330" t="e">
        <f t="shared" si="709"/>
        <v>#VALUE!</v>
      </c>
      <c r="BH284" s="330" t="e">
        <f t="shared" si="710"/>
        <v>#VALUE!</v>
      </c>
      <c r="BJ284" s="370" cm="1">
        <f t="array" ref="BJ284:BM284">_xlfn.LET(_xlpm.data,$R284:$AV284,_xlpm.starts,{1,8,16,23},_xlpm.lengths,{7,7,8,9},_xlpm.arr,_xlfn.MAP(_xlpm.starts,_xlpm.lengths,_xlfn.LAMBDA(_xlpm.s,_xlpm.l,SUM(INDEX(_xlpm.data,,_xlfn.SEQUENCE(,_xlpm.l,_xlpm.s))))),ROUND(_xlpm.arr*$O284/1000,2))</f>
        <v>0</v>
      </c>
      <c r="BK284" s="330">
        <v>0</v>
      </c>
      <c r="BL284" s="330">
        <v>0</v>
      </c>
      <c r="BM284" s="330">
        <v>0</v>
      </c>
      <c r="BN284" s="258">
        <f t="shared" si="711"/>
        <v>0</v>
      </c>
      <c r="BO284" s="258">
        <v>0</v>
      </c>
      <c r="BP284" s="258">
        <v>0</v>
      </c>
      <c r="BQ284" s="258">
        <v>0</v>
      </c>
      <c r="BR284" s="258">
        <v>16.09</v>
      </c>
      <c r="BT284" s="258" cm="1">
        <f ca="1" t="array" ref="BT284:BW284">_xlfn.HSTACK(SUM(INDEX($R284:$AV284,1,1):INDEX($R284:$AV284,1,7)),SUM(INDEX($R284:$AV284,1,7):INDEX($R284:$AV284,1,13)),SUM(INDEX($R284:$AV284,1,16):INDEX($R284:$AV284,1,23)),SUM(INDEX($R284:$AV284,1,23):INDEX($R284:$AV284,1,31)))</f>
        <v>0</v>
      </c>
      <c r="BU284" s="258">
        <v>0</v>
      </c>
      <c r="BV284" s="258">
        <v>0</v>
      </c>
      <c r="BW284" s="258">
        <v>0</v>
      </c>
      <c r="BY284" s="258">
        <f t="shared" si="712"/>
        <v>0</v>
      </c>
      <c r="BZ284" s="258">
        <f t="shared" si="713"/>
        <v>0</v>
      </c>
      <c r="CA284" s="258">
        <f t="shared" si="714"/>
        <v>0</v>
      </c>
      <c r="CB284" s="258">
        <f t="shared" si="715"/>
        <v>0</v>
      </c>
      <c r="CE284" s="258">
        <f t="shared" si="716"/>
        <v>0</v>
      </c>
      <c r="CF284" s="258">
        <f t="shared" si="717"/>
        <v>0</v>
      </c>
      <c r="CG284" s="258">
        <f t="shared" si="718"/>
        <v>0</v>
      </c>
      <c r="CH284" s="258">
        <f t="shared" si="719"/>
        <v>0</v>
      </c>
      <c r="CI284" s="258">
        <f t="shared" si="720"/>
        <v>0</v>
      </c>
      <c r="CK284" s="258">
        <f t="shared" ref="CK284:CN284" si="733">IFERROR(ROUND(BY284*$P284,2),"")</f>
        <v>0</v>
      </c>
      <c r="CL284" s="258">
        <f t="shared" si="733"/>
        <v>0</v>
      </c>
      <c r="CM284" s="258">
        <f t="shared" si="733"/>
        <v>0</v>
      </c>
      <c r="CN284" s="258">
        <f t="shared" si="733"/>
        <v>0</v>
      </c>
      <c r="CO284" s="258">
        <f t="shared" si="722"/>
        <v>0</v>
      </c>
    </row>
    <row r="285" s="258" customFormat="1" ht="17.6" spans="1:95">
      <c r="A285" s="330"/>
      <c r="B285" s="334" t="str">
        <f>_xlfn.XLOOKUP(G285,销售需求表!A:A,销售需求表!C:C)</f>
        <v>亚</v>
      </c>
      <c r="C285" s="335" t="str">
        <f t="shared" si="633"/>
        <v>20</v>
      </c>
      <c r="D285" s="362" t="str">
        <f t="shared" si="698"/>
        <v>亚20寸</v>
      </c>
      <c r="E285" s="339" t="str">
        <f t="shared" si="699"/>
        <v>12.00R20-20PR(156/153F)-CB332</v>
      </c>
      <c r="F285" s="340" t="str">
        <f t="shared" si="666"/>
        <v>12.00R20-20PR-CB332</v>
      </c>
      <c r="G285" s="341" t="s">
        <v>628</v>
      </c>
      <c r="H285" s="334">
        <v>2800</v>
      </c>
      <c r="I285" s="345">
        <v>4</v>
      </c>
      <c r="J285" s="346" t="str">
        <f t="shared" si="700"/>
        <v>12.00R20-CB332</v>
      </c>
      <c r="K285" s="347" t="str">
        <f>_xlfn.XLOOKUP(F285,投产规格!E:E,投产规格!D:D,"未投产")</f>
        <v>✔</v>
      </c>
      <c r="L285" s="347">
        <f>IFERROR(_xlfn.XLOOKUP(F285,硫化工艺!B:B,硫化工艺!C:C),"")</f>
        <v>54</v>
      </c>
      <c r="M285" s="349">
        <f t="shared" si="701"/>
        <v>0.902506963788301</v>
      </c>
      <c r="N285" s="347" t="str">
        <f t="shared" si="702"/>
        <v>20全钢</v>
      </c>
      <c r="O285" s="347">
        <f>IFERROR(_xlfn.XLOOKUP(F285,轮胎重量!J:J,轮胎重量!G:G),"")</f>
        <v>88.39</v>
      </c>
      <c r="P285" s="347">
        <f>IFERROR(_xlfn.XLOOKUP(G285,硫化工艺!I:I,硫化工艺!J:J),"")</f>
        <v>1275.963403</v>
      </c>
      <c r="Q285" s="347">
        <f t="shared" si="703"/>
        <v>96</v>
      </c>
      <c r="R285" s="347">
        <v>90</v>
      </c>
      <c r="S285" s="347">
        <v>90</v>
      </c>
      <c r="T285" s="347">
        <v>90</v>
      </c>
      <c r="U285" s="347">
        <v>90</v>
      </c>
      <c r="V285" s="347">
        <v>90</v>
      </c>
      <c r="W285" s="347">
        <v>90</v>
      </c>
      <c r="X285" s="347">
        <v>90</v>
      </c>
      <c r="Y285" s="347">
        <v>90</v>
      </c>
      <c r="Z285" s="347">
        <v>90</v>
      </c>
      <c r="AA285" s="347">
        <v>90</v>
      </c>
      <c r="AB285" s="347">
        <v>90</v>
      </c>
      <c r="AC285" s="347">
        <v>90</v>
      </c>
      <c r="AD285" s="347">
        <v>90</v>
      </c>
      <c r="AE285" s="347">
        <v>90</v>
      </c>
      <c r="AF285" s="347">
        <v>90</v>
      </c>
      <c r="AG285" s="347">
        <v>90</v>
      </c>
      <c r="AH285" s="347">
        <v>90</v>
      </c>
      <c r="AI285" s="347">
        <v>90</v>
      </c>
      <c r="AJ285" s="347">
        <v>90</v>
      </c>
      <c r="AK285" s="347">
        <v>90</v>
      </c>
      <c r="AL285" s="347">
        <v>90</v>
      </c>
      <c r="AM285" s="347">
        <v>90</v>
      </c>
      <c r="AN285" s="347">
        <v>90</v>
      </c>
      <c r="AO285" s="347">
        <v>90</v>
      </c>
      <c r="AP285" s="347">
        <v>90</v>
      </c>
      <c r="AQ285" s="347">
        <v>90</v>
      </c>
      <c r="AR285" s="347">
        <v>90</v>
      </c>
      <c r="AS285" s="347">
        <v>90</v>
      </c>
      <c r="AT285" s="347">
        <v>90</v>
      </c>
      <c r="AU285" s="347">
        <v>90</v>
      </c>
      <c r="AV285" s="347">
        <v>90</v>
      </c>
      <c r="AW285" s="347">
        <f t="shared" si="704"/>
        <v>2790</v>
      </c>
      <c r="AX285" s="365">
        <f t="shared" si="705"/>
        <v>246.6081</v>
      </c>
      <c r="AY285" s="365">
        <f t="shared" si="706"/>
        <v>355.994</v>
      </c>
      <c r="AZ285" s="366">
        <v>768.71</v>
      </c>
      <c r="BA285" s="368">
        <v>46.75</v>
      </c>
      <c r="BB285" s="368">
        <v>71.52</v>
      </c>
      <c r="BC285" s="368">
        <v>76.57</v>
      </c>
      <c r="BD285" s="330"/>
      <c r="BE285" s="330">
        <f t="shared" si="707"/>
        <v>2144700.9</v>
      </c>
      <c r="BF285" s="330">
        <f t="shared" si="708"/>
        <v>130432.5</v>
      </c>
      <c r="BG285" s="330">
        <f t="shared" si="709"/>
        <v>199540.8</v>
      </c>
      <c r="BH285" s="330">
        <f t="shared" si="710"/>
        <v>213630.3</v>
      </c>
      <c r="BI285" s="330"/>
      <c r="BJ285" s="370" cm="1">
        <f t="array" ref="BJ285:BM285">_xlfn.LET(_xlpm.data,$R285:$AV285,_xlpm.starts,{1,8,16,23},_xlpm.lengths,{7,7,8,9},_xlpm.arr,_xlfn.MAP(_xlpm.starts,_xlpm.lengths,_xlfn.LAMBDA(_xlpm.s,_xlpm.l,SUM(INDEX(_xlpm.data,,_xlfn.SEQUENCE(,_xlpm.l,_xlpm.s))))),ROUND(_xlpm.arr*$O285/1000,2))</f>
        <v>55.69</v>
      </c>
      <c r="BK285" s="330">
        <v>55.69</v>
      </c>
      <c r="BL285" s="330">
        <v>63.64</v>
      </c>
      <c r="BM285" s="330">
        <v>71.6</v>
      </c>
      <c r="BN285" s="258">
        <f t="shared" si="711"/>
        <v>246.62</v>
      </c>
      <c r="BO285" s="258">
        <v>51.56</v>
      </c>
      <c r="BP285" s="258">
        <v>51.56</v>
      </c>
      <c r="BQ285" s="258">
        <v>58.92</v>
      </c>
      <c r="BR285" s="258">
        <v>66.29</v>
      </c>
      <c r="BS285" s="115">
        <f>Q285*O285</f>
        <v>8485.44</v>
      </c>
      <c r="BT285" s="258" cm="1">
        <f ca="1" t="array" ref="BT285:BW285">_xlfn.HSTACK(SUM(INDEX($R285:$AV285,1,1):INDEX($R285:$AV285,1,7)),SUM(INDEX($R285:$AV285,1,7):INDEX($R285:$AV285,1,13)),SUM(INDEX($R285:$AV285,1,16):INDEX($R285:$AV285,1,23)),SUM(INDEX($R285:$AV285,1,23):INDEX($R285:$AV285,1,31)))</f>
        <v>630</v>
      </c>
      <c r="BU285" s="258">
        <v>630</v>
      </c>
      <c r="BV285" s="258">
        <v>720</v>
      </c>
      <c r="BW285" s="258">
        <v>810</v>
      </c>
      <c r="BY285" s="258">
        <f t="shared" si="712"/>
        <v>630</v>
      </c>
      <c r="BZ285" s="258">
        <f t="shared" si="713"/>
        <v>630</v>
      </c>
      <c r="CA285" s="258">
        <f t="shared" si="714"/>
        <v>720</v>
      </c>
      <c r="CB285" s="258">
        <f t="shared" si="715"/>
        <v>810</v>
      </c>
      <c r="CD285" s="113"/>
      <c r="CE285" s="258">
        <f t="shared" si="716"/>
        <v>55.69</v>
      </c>
      <c r="CF285" s="258">
        <f t="shared" si="717"/>
        <v>55.69</v>
      </c>
      <c r="CG285" s="258">
        <f t="shared" si="718"/>
        <v>63.64</v>
      </c>
      <c r="CH285" s="258">
        <f t="shared" si="719"/>
        <v>71.6</v>
      </c>
      <c r="CI285" s="258">
        <f t="shared" si="720"/>
        <v>246.62</v>
      </c>
      <c r="CJ285" s="113"/>
      <c r="CK285" s="258">
        <f t="shared" ref="CK285:CN285" si="734">IFERROR(ROUND(BY285*$P285,2),"")</f>
        <v>803856.94</v>
      </c>
      <c r="CL285" s="258">
        <f t="shared" si="734"/>
        <v>803856.94</v>
      </c>
      <c r="CM285" s="258">
        <f t="shared" si="734"/>
        <v>918693.65</v>
      </c>
      <c r="CN285" s="258">
        <f t="shared" si="734"/>
        <v>1033530.36</v>
      </c>
      <c r="CO285" s="258">
        <f t="shared" si="722"/>
        <v>3559937.89</v>
      </c>
      <c r="CP285" s="258">
        <f>VLOOKUP(G285,[2]Sheet1!$C$3:$G$310,5,0)</f>
        <v>4700</v>
      </c>
      <c r="CQ285" s="258" t="e">
        <f>VLOOKUP(G285,[3]KCBB0101!$C$3:$F$691,4,0)</f>
        <v>#N/A</v>
      </c>
    </row>
    <row r="286" ht="17.6" spans="2:93">
      <c r="B286" s="334" t="str">
        <f>_xlfn.XLOOKUP(G286,销售需求表!A:A,销售需求表!C:C)</f>
        <v>亚</v>
      </c>
      <c r="C286" s="335" t="str">
        <f t="shared" si="633"/>
        <v>20</v>
      </c>
      <c r="D286" s="362" t="str">
        <f t="shared" si="698"/>
        <v>亚20寸</v>
      </c>
      <c r="E286" s="339" t="str">
        <f t="shared" si="699"/>
        <v>12.00R20-20PR(156/153F)-CB972</v>
      </c>
      <c r="F286" s="340" t="str">
        <f t="shared" si="666"/>
        <v>12.00R20-20PR-CB972</v>
      </c>
      <c r="G286" s="339" t="s">
        <v>629</v>
      </c>
      <c r="H286" s="334">
        <v>500</v>
      </c>
      <c r="I286" s="345"/>
      <c r="J286" s="346" t="str">
        <f t="shared" si="700"/>
        <v>12.00R20-CB972</v>
      </c>
      <c r="K286" s="347" t="str">
        <f>_xlfn.XLOOKUP(F286,投产规格!E:E,投产规格!D:D,"未投产")</f>
        <v>✔</v>
      </c>
      <c r="L286" s="347">
        <f>IFERROR(_xlfn.XLOOKUP(F286,硫化工艺!B:B,硫化工艺!C:C),"")</f>
        <v>48.5</v>
      </c>
      <c r="M286" s="349">
        <f t="shared" si="701"/>
        <v>0.892638036809816</v>
      </c>
      <c r="N286" s="347" t="str">
        <f t="shared" si="702"/>
        <v>20全钢</v>
      </c>
      <c r="O286" s="347">
        <f>IFERROR(_xlfn.XLOOKUP(F286,轮胎重量!J:J,轮胎重量!G:G),"")</f>
        <v>82.225</v>
      </c>
      <c r="P286" s="347">
        <f>IFERROR(_xlfn.XLOOKUP(G286,硫化工艺!I:I,硫化工艺!J:J),"")</f>
        <v>1169.91</v>
      </c>
      <c r="Q286" s="347">
        <f t="shared" si="703"/>
        <v>0</v>
      </c>
      <c r="R286" s="347"/>
      <c r="S286" s="347"/>
      <c r="T286" s="347"/>
      <c r="U286" s="347"/>
      <c r="V286" s="347"/>
      <c r="W286" s="347"/>
      <c r="X286" s="347"/>
      <c r="Y286" s="347"/>
      <c r="Z286" s="347"/>
      <c r="AA286" s="347"/>
      <c r="AB286" s="347"/>
      <c r="AC286" s="347"/>
      <c r="AD286" s="347"/>
      <c r="AE286" s="347"/>
      <c r="AF286" s="347"/>
      <c r="AG286" s="347"/>
      <c r="AH286" s="347"/>
      <c r="AI286" s="347"/>
      <c r="AJ286" s="347"/>
      <c r="AK286" s="347"/>
      <c r="AL286" s="347"/>
      <c r="AM286" s="347"/>
      <c r="AN286" s="347"/>
      <c r="AO286" s="347"/>
      <c r="AP286" s="347"/>
      <c r="AQ286" s="347"/>
      <c r="AR286" s="347"/>
      <c r="AS286" s="347"/>
      <c r="AT286" s="347"/>
      <c r="AU286" s="347"/>
      <c r="AV286" s="347"/>
      <c r="AW286" s="347" t="str">
        <f t="shared" si="704"/>
        <v/>
      </c>
      <c r="AX286" s="365" t="str">
        <f t="shared" si="705"/>
        <v/>
      </c>
      <c r="AY286" s="365" t="str">
        <f t="shared" si="706"/>
        <v/>
      </c>
      <c r="AZ286" s="366">
        <v>828.4</v>
      </c>
      <c r="BA286" s="368">
        <v>50.66</v>
      </c>
      <c r="BB286" s="368">
        <v>75.77</v>
      </c>
      <c r="BC286" s="368">
        <v>82.47</v>
      </c>
      <c r="BE286" s="330" t="e">
        <f t="shared" si="707"/>
        <v>#VALUE!</v>
      </c>
      <c r="BF286" s="330" t="e">
        <f t="shared" si="708"/>
        <v>#VALUE!</v>
      </c>
      <c r="BG286" s="330" t="e">
        <f t="shared" si="709"/>
        <v>#VALUE!</v>
      </c>
      <c r="BH286" s="330" t="e">
        <f t="shared" si="710"/>
        <v>#VALUE!</v>
      </c>
      <c r="BJ286" s="370" cm="1">
        <f t="array" ref="BJ286:BM286">_xlfn.LET(_xlpm.data,$R286:$AV286,_xlpm.starts,{1,8,16,23},_xlpm.lengths,{7,7,8,9},_xlpm.arr,_xlfn.MAP(_xlpm.starts,_xlpm.lengths,_xlfn.LAMBDA(_xlpm.s,_xlpm.l,SUM(INDEX(_xlpm.data,,_xlfn.SEQUENCE(,_xlpm.l,_xlpm.s))))),ROUND(_xlpm.arr*$O286/1000,2))</f>
        <v>0</v>
      </c>
      <c r="BK286" s="330">
        <v>0</v>
      </c>
      <c r="BL286" s="330">
        <v>0</v>
      </c>
      <c r="BM286" s="330">
        <v>0</v>
      </c>
      <c r="BN286" s="258">
        <f t="shared" si="711"/>
        <v>0</v>
      </c>
      <c r="BO286" s="258">
        <v>0</v>
      </c>
      <c r="BP286" s="258">
        <v>0</v>
      </c>
      <c r="BQ286" s="258">
        <v>0</v>
      </c>
      <c r="BR286" s="258">
        <v>16.09</v>
      </c>
      <c r="BT286" s="258" cm="1">
        <f ca="1" t="array" ref="BT286:BW286">_xlfn.HSTACK(SUM(INDEX($R286:$AV286,1,1):INDEX($R286:$AV286,1,7)),SUM(INDEX($R286:$AV286,1,7):INDEX($R286:$AV286,1,13)),SUM(INDEX($R286:$AV286,1,16):INDEX($R286:$AV286,1,23)),SUM(INDEX($R286:$AV286,1,23):INDEX($R286:$AV286,1,31)))</f>
        <v>0</v>
      </c>
      <c r="BU286" s="258">
        <v>0</v>
      </c>
      <c r="BV286" s="258">
        <v>0</v>
      </c>
      <c r="BW286" s="258">
        <v>0</v>
      </c>
      <c r="BY286" s="258">
        <f t="shared" si="712"/>
        <v>0</v>
      </c>
      <c r="BZ286" s="258">
        <f t="shared" si="713"/>
        <v>0</v>
      </c>
      <c r="CA286" s="258">
        <f t="shared" si="714"/>
        <v>0</v>
      </c>
      <c r="CB286" s="258">
        <f t="shared" si="715"/>
        <v>0</v>
      </c>
      <c r="CE286" s="258">
        <f t="shared" si="716"/>
        <v>0</v>
      </c>
      <c r="CF286" s="258">
        <f t="shared" si="717"/>
        <v>0</v>
      </c>
      <c r="CG286" s="258">
        <f t="shared" si="718"/>
        <v>0</v>
      </c>
      <c r="CH286" s="258">
        <f t="shared" si="719"/>
        <v>0</v>
      </c>
      <c r="CI286" s="258">
        <f t="shared" si="720"/>
        <v>0</v>
      </c>
      <c r="CK286" s="258">
        <f t="shared" ref="CK286:CN286" si="735">IFERROR(ROUND(BY286*$P286,2),"")</f>
        <v>0</v>
      </c>
      <c r="CL286" s="258">
        <f t="shared" si="735"/>
        <v>0</v>
      </c>
      <c r="CM286" s="258">
        <f t="shared" si="735"/>
        <v>0</v>
      </c>
      <c r="CN286" s="258">
        <f t="shared" si="735"/>
        <v>0</v>
      </c>
      <c r="CO286" s="258">
        <f t="shared" si="722"/>
        <v>0</v>
      </c>
    </row>
    <row r="287" s="258" customFormat="1" ht="17.6" spans="1:93">
      <c r="A287" s="330"/>
      <c r="B287" s="334" t="str">
        <f>_xlfn.XLOOKUP(G287,销售需求表!A:A,销售需求表!C:C)</f>
        <v>亚</v>
      </c>
      <c r="C287" s="335" t="str">
        <f t="shared" si="633"/>
        <v>20</v>
      </c>
      <c r="D287" s="362" t="str">
        <f t="shared" si="698"/>
        <v>亚20寸</v>
      </c>
      <c r="E287" s="339" t="str">
        <f t="shared" si="699"/>
        <v>12.00R20-20PR(156/153F)-CB972</v>
      </c>
      <c r="F287" s="340" t="str">
        <f t="shared" si="666"/>
        <v>12.00R20-20PR-CB972</v>
      </c>
      <c r="G287" s="339" t="s">
        <v>630</v>
      </c>
      <c r="H287" s="334">
        <v>2000</v>
      </c>
      <c r="I287" s="345"/>
      <c r="J287" s="346" t="str">
        <f t="shared" si="700"/>
        <v>12.00R20-CB972</v>
      </c>
      <c r="K287" s="347" t="str">
        <f>_xlfn.XLOOKUP(F287,投产规格!E:E,投产规格!D:D,"未投产")</f>
        <v>✔</v>
      </c>
      <c r="L287" s="347">
        <f>IFERROR(_xlfn.XLOOKUP(F287,硫化工艺!B:B,硫化工艺!C:C),"")</f>
        <v>48.5</v>
      </c>
      <c r="M287" s="349">
        <f t="shared" si="701"/>
        <v>0.892638036809816</v>
      </c>
      <c r="N287" s="347" t="str">
        <f t="shared" si="702"/>
        <v>20全钢</v>
      </c>
      <c r="O287" s="347">
        <f>IFERROR(_xlfn.XLOOKUP(F287,轮胎重量!J:J,轮胎重量!G:G),"")</f>
        <v>82.225</v>
      </c>
      <c r="P287" s="347">
        <f>IFERROR(_xlfn.XLOOKUP(G287,硫化工艺!I:I,硫化工艺!J:J),"")</f>
        <v>1169.9128</v>
      </c>
      <c r="Q287" s="347">
        <f t="shared" si="703"/>
        <v>0</v>
      </c>
      <c r="R287" s="347"/>
      <c r="S287" s="347"/>
      <c r="T287" s="347"/>
      <c r="U287" s="347"/>
      <c r="V287" s="347"/>
      <c r="W287" s="347"/>
      <c r="X287" s="347"/>
      <c r="Y287" s="347"/>
      <c r="Z287" s="347"/>
      <c r="AA287" s="347"/>
      <c r="AB287" s="347"/>
      <c r="AC287" s="347"/>
      <c r="AD287" s="347"/>
      <c r="AE287" s="347"/>
      <c r="AF287" s="347"/>
      <c r="AG287" s="347"/>
      <c r="AH287" s="347"/>
      <c r="AI287" s="347"/>
      <c r="AJ287" s="347"/>
      <c r="AK287" s="347"/>
      <c r="AL287" s="347"/>
      <c r="AM287" s="347"/>
      <c r="AN287" s="347"/>
      <c r="AO287" s="347"/>
      <c r="AP287" s="347"/>
      <c r="AQ287" s="347"/>
      <c r="AR287" s="347"/>
      <c r="AS287" s="347"/>
      <c r="AT287" s="347"/>
      <c r="AU287" s="347"/>
      <c r="AV287" s="347"/>
      <c r="AW287" s="347" t="str">
        <f t="shared" si="704"/>
        <v/>
      </c>
      <c r="AX287" s="365" t="str">
        <f t="shared" si="705"/>
        <v/>
      </c>
      <c r="AY287" s="365" t="str">
        <f t="shared" si="706"/>
        <v/>
      </c>
      <c r="AZ287" s="366">
        <v>828.4</v>
      </c>
      <c r="BA287" s="368">
        <v>50.66</v>
      </c>
      <c r="BB287" s="368">
        <v>75.77</v>
      </c>
      <c r="BC287" s="368">
        <v>82.47</v>
      </c>
      <c r="BD287" s="330"/>
      <c r="BE287" s="330" t="e">
        <f t="shared" si="707"/>
        <v>#VALUE!</v>
      </c>
      <c r="BF287" s="330" t="e">
        <f t="shared" si="708"/>
        <v>#VALUE!</v>
      </c>
      <c r="BG287" s="330" t="e">
        <f t="shared" si="709"/>
        <v>#VALUE!</v>
      </c>
      <c r="BH287" s="330" t="e">
        <f t="shared" si="710"/>
        <v>#VALUE!</v>
      </c>
      <c r="BI287" s="330"/>
      <c r="BJ287" s="370" cm="1">
        <f t="array" ref="BJ287:BM287">_xlfn.LET(_xlpm.data,$R287:$AV287,_xlpm.starts,{1,8,16,23},_xlpm.lengths,{7,7,8,9},_xlpm.arr,_xlfn.MAP(_xlpm.starts,_xlpm.lengths,_xlfn.LAMBDA(_xlpm.s,_xlpm.l,SUM(INDEX(_xlpm.data,,_xlfn.SEQUENCE(,_xlpm.l,_xlpm.s))))),ROUND(_xlpm.arr*$O287/1000,2))</f>
        <v>0</v>
      </c>
      <c r="BK287" s="330">
        <v>0</v>
      </c>
      <c r="BL287" s="330">
        <v>0</v>
      </c>
      <c r="BM287" s="330">
        <v>0</v>
      </c>
      <c r="BN287" s="258">
        <f t="shared" si="711"/>
        <v>0</v>
      </c>
      <c r="BO287" s="258">
        <v>0</v>
      </c>
      <c r="BP287" s="258">
        <v>0</v>
      </c>
      <c r="BQ287" s="258">
        <v>0</v>
      </c>
      <c r="BR287" s="258">
        <v>16.09</v>
      </c>
      <c r="BS287" s="115">
        <f>Q287*O287</f>
        <v>0</v>
      </c>
      <c r="BT287" s="258" cm="1">
        <f ca="1" t="array" ref="BT287:BW287">_xlfn.HSTACK(SUM(INDEX($R287:$AV287,1,1):INDEX($R287:$AV287,1,7)),SUM(INDEX($R287:$AV287,1,7):INDEX($R287:$AV287,1,13)),SUM(INDEX($R287:$AV287,1,16):INDEX($R287:$AV287,1,23)),SUM(INDEX($R287:$AV287,1,23):INDEX($R287:$AV287,1,31)))</f>
        <v>0</v>
      </c>
      <c r="BU287" s="258">
        <v>0</v>
      </c>
      <c r="BV287" s="258">
        <v>0</v>
      </c>
      <c r="BW287" s="258">
        <v>0</v>
      </c>
      <c r="BY287" s="258">
        <f t="shared" si="712"/>
        <v>0</v>
      </c>
      <c r="BZ287" s="258">
        <f t="shared" si="713"/>
        <v>0</v>
      </c>
      <c r="CA287" s="258">
        <f t="shared" si="714"/>
        <v>0</v>
      </c>
      <c r="CB287" s="258">
        <f t="shared" si="715"/>
        <v>0</v>
      </c>
      <c r="CD287" s="113"/>
      <c r="CE287" s="258">
        <f t="shared" si="716"/>
        <v>0</v>
      </c>
      <c r="CF287" s="258">
        <f t="shared" si="717"/>
        <v>0</v>
      </c>
      <c r="CG287" s="258">
        <f t="shared" si="718"/>
        <v>0</v>
      </c>
      <c r="CH287" s="258">
        <f t="shared" si="719"/>
        <v>0</v>
      </c>
      <c r="CI287" s="258">
        <f t="shared" si="720"/>
        <v>0</v>
      </c>
      <c r="CJ287" s="113"/>
      <c r="CK287" s="258">
        <f t="shared" ref="CK287:CN287" si="736">IFERROR(ROUND(BY287*$P287,2),"")</f>
        <v>0</v>
      </c>
      <c r="CL287" s="258">
        <f t="shared" si="736"/>
        <v>0</v>
      </c>
      <c r="CM287" s="258">
        <f t="shared" si="736"/>
        <v>0</v>
      </c>
      <c r="CN287" s="258">
        <f t="shared" si="736"/>
        <v>0</v>
      </c>
      <c r="CO287" s="258">
        <f t="shared" si="722"/>
        <v>0</v>
      </c>
    </row>
    <row r="288" ht="17.6" spans="2:95">
      <c r="B288" s="334" t="str">
        <f>_xlfn.XLOOKUP(G288,销售需求表!A:A,销售需求表!C:C)</f>
        <v>亚</v>
      </c>
      <c r="C288" s="335" t="str">
        <f t="shared" si="633"/>
        <v>20</v>
      </c>
      <c r="D288" s="362" t="str">
        <f t="shared" si="698"/>
        <v>亚20寸</v>
      </c>
      <c r="E288" s="339" t="str">
        <f t="shared" si="699"/>
        <v>12.00R20-20PR(156/153F)-EZ336</v>
      </c>
      <c r="F288" s="340" t="str">
        <f t="shared" si="666"/>
        <v>12.00R20-20PR-EZ336</v>
      </c>
      <c r="G288" s="341" t="s">
        <v>631</v>
      </c>
      <c r="H288" s="334">
        <v>4000</v>
      </c>
      <c r="I288" s="345">
        <v>12</v>
      </c>
      <c r="J288" s="346" t="str">
        <f t="shared" si="700"/>
        <v>12.00R20-EZ336</v>
      </c>
      <c r="K288" s="347" t="str">
        <f>_xlfn.XLOOKUP(F288,投产规格!E:E,投产规格!D:D,"未投产")</f>
        <v>✔</v>
      </c>
      <c r="L288" s="347">
        <f>IFERROR(_xlfn.XLOOKUP(F288,硫化工艺!B:B,硫化工艺!C:C),"")</f>
        <v>55.5</v>
      </c>
      <c r="M288" s="349">
        <f t="shared" si="701"/>
        <v>0.904891304347826</v>
      </c>
      <c r="N288" s="347" t="str">
        <f t="shared" si="702"/>
        <v>20全钢</v>
      </c>
      <c r="O288" s="347">
        <f>IFERROR(_xlfn.XLOOKUP(F288,轮胎重量!J:J,轮胎重量!G:G),"")</f>
        <v>83.924</v>
      </c>
      <c r="P288" s="347">
        <f>IFERROR(_xlfn.XLOOKUP(G288,硫化工艺!I:I,硫化工艺!J:J),"")</f>
        <v>1222.2252</v>
      </c>
      <c r="Q288" s="347">
        <f t="shared" si="703"/>
        <v>282</v>
      </c>
      <c r="R288" s="347">
        <v>280</v>
      </c>
      <c r="S288" s="347">
        <v>280</v>
      </c>
      <c r="T288" s="347">
        <v>280</v>
      </c>
      <c r="U288" s="347">
        <v>280</v>
      </c>
      <c r="V288" s="347">
        <v>280</v>
      </c>
      <c r="W288" s="347">
        <v>280</v>
      </c>
      <c r="X288" s="347">
        <v>280</v>
      </c>
      <c r="Y288" s="347">
        <v>280</v>
      </c>
      <c r="Z288" s="347">
        <v>280</v>
      </c>
      <c r="AA288" s="347">
        <v>280</v>
      </c>
      <c r="AB288" s="347">
        <v>280</v>
      </c>
      <c r="AC288" s="347">
        <v>280</v>
      </c>
      <c r="AD288" s="347">
        <v>280</v>
      </c>
      <c r="AE288" s="347">
        <v>280</v>
      </c>
      <c r="AF288" s="347">
        <v>280</v>
      </c>
      <c r="AG288" s="347">
        <v>280</v>
      </c>
      <c r="AH288" s="347"/>
      <c r="AI288" s="347"/>
      <c r="AJ288" s="347"/>
      <c r="AK288" s="347"/>
      <c r="AL288" s="347"/>
      <c r="AM288" s="347"/>
      <c r="AN288" s="347"/>
      <c r="AO288" s="347"/>
      <c r="AP288" s="347"/>
      <c r="AQ288" s="347"/>
      <c r="AR288" s="347"/>
      <c r="AS288" s="347"/>
      <c r="AT288" s="347"/>
      <c r="AU288" s="347"/>
      <c r="AV288" s="347"/>
      <c r="AW288" s="347">
        <f t="shared" si="704"/>
        <v>4480</v>
      </c>
      <c r="AX288" s="365">
        <f t="shared" si="705"/>
        <v>375.97952</v>
      </c>
      <c r="AY288" s="365">
        <f t="shared" si="706"/>
        <v>547.557</v>
      </c>
      <c r="AZ288" s="367"/>
      <c r="BE288" s="330">
        <f t="shared" si="707"/>
        <v>0</v>
      </c>
      <c r="BF288" s="330">
        <f t="shared" si="708"/>
        <v>0</v>
      </c>
      <c r="BG288" s="330">
        <f t="shared" si="709"/>
        <v>0</v>
      </c>
      <c r="BH288" s="330">
        <f t="shared" si="710"/>
        <v>0</v>
      </c>
      <c r="BJ288" s="370" cm="1">
        <f t="array" ref="BJ288:BM288">_xlfn.LET(_xlpm.data,$R288:$AV288,_xlpm.starts,{1,8,16,23},_xlpm.lengths,{7,7,8,9},_xlpm.arr,_xlfn.MAP(_xlpm.starts,_xlpm.lengths,_xlfn.LAMBDA(_xlpm.s,_xlpm.l,SUM(INDEX(_xlpm.data,,_xlfn.SEQUENCE(,_xlpm.l,_xlpm.s))))),ROUND(_xlpm.arr*$O288/1000,2))</f>
        <v>164.49</v>
      </c>
      <c r="BK288" s="330">
        <v>164.49</v>
      </c>
      <c r="BL288" s="330">
        <v>23.5</v>
      </c>
      <c r="BM288" s="330">
        <v>0</v>
      </c>
      <c r="BN288" s="258">
        <f t="shared" si="711"/>
        <v>352.48</v>
      </c>
      <c r="BO288" s="258">
        <v>0</v>
      </c>
      <c r="BP288" s="258">
        <v>0</v>
      </c>
      <c r="BQ288" s="258">
        <v>0</v>
      </c>
      <c r="BR288" s="258">
        <v>0</v>
      </c>
      <c r="BS288" s="115">
        <f>SUM(BS285:BS287)/1000</f>
        <v>8.48544</v>
      </c>
      <c r="BT288" s="258" cm="1">
        <f ca="1" t="array" ref="BT288:BW288">_xlfn.HSTACK(SUM(INDEX($R288:$AV288,1,1):INDEX($R288:$AV288,1,7)),SUM(INDEX($R288:$AV288,1,7):INDEX($R288:$AV288,1,13)),SUM(INDEX($R288:$AV288,1,16):INDEX($R288:$AV288,1,23)),SUM(INDEX($R288:$AV288,1,23):INDEX($R288:$AV288,1,31)))</f>
        <v>1960</v>
      </c>
      <c r="BU288" s="258">
        <v>1960</v>
      </c>
      <c r="BV288" s="258">
        <v>280</v>
      </c>
      <c r="BW288" s="258">
        <v>0</v>
      </c>
      <c r="BY288" s="258">
        <f t="shared" si="712"/>
        <v>1960</v>
      </c>
      <c r="BZ288" s="258">
        <f t="shared" si="713"/>
        <v>1960</v>
      </c>
      <c r="CA288" s="258">
        <f t="shared" si="714"/>
        <v>560</v>
      </c>
      <c r="CB288" s="258">
        <f t="shared" si="715"/>
        <v>0</v>
      </c>
      <c r="CE288" s="258">
        <f t="shared" si="716"/>
        <v>164.49</v>
      </c>
      <c r="CF288" s="258">
        <f t="shared" si="717"/>
        <v>164.49</v>
      </c>
      <c r="CG288" s="258">
        <f t="shared" si="718"/>
        <v>47</v>
      </c>
      <c r="CH288" s="258">
        <f t="shared" si="719"/>
        <v>0</v>
      </c>
      <c r="CI288" s="258">
        <f t="shared" si="720"/>
        <v>375.98</v>
      </c>
      <c r="CK288" s="258">
        <f t="shared" ref="CK288:CN288" si="737">IFERROR(ROUND(BY288*$P288,2),"")</f>
        <v>2395561.39</v>
      </c>
      <c r="CL288" s="258">
        <f t="shared" si="737"/>
        <v>2395561.39</v>
      </c>
      <c r="CM288" s="258">
        <f t="shared" si="737"/>
        <v>684446.11</v>
      </c>
      <c r="CN288" s="258">
        <f t="shared" si="737"/>
        <v>0</v>
      </c>
      <c r="CO288" s="258">
        <f t="shared" si="722"/>
        <v>5475568.89</v>
      </c>
      <c r="CP288" s="258">
        <f>VLOOKUP(G288,[2]Sheet1!$C$3:$G$310,5,0)</f>
        <v>6400</v>
      </c>
      <c r="CQ288" s="258" t="e">
        <f>VLOOKUP(G288,[3]KCBB0101!$C$3:$F$691,4,0)</f>
        <v>#N/A</v>
      </c>
    </row>
    <row r="289" ht="17.6" spans="2:95">
      <c r="B289" s="334" t="str">
        <f>_xlfn.XLOOKUP(G289,销售需求表!A:A,销售需求表!C:C)</f>
        <v>亚</v>
      </c>
      <c r="C289" s="335" t="str">
        <f t="shared" si="633"/>
        <v>20</v>
      </c>
      <c r="D289" s="362" t="str">
        <f t="shared" si="698"/>
        <v>亚20寸</v>
      </c>
      <c r="E289" s="339" t="str">
        <f t="shared" si="699"/>
        <v>12.00R20-20PR(156/153F)-EZ345</v>
      </c>
      <c r="F289" s="340" t="str">
        <f t="shared" si="666"/>
        <v>12.00R20-20PR-EZ345</v>
      </c>
      <c r="G289" s="342" t="s">
        <v>33</v>
      </c>
      <c r="H289" s="334">
        <v>2400</v>
      </c>
      <c r="I289" s="345">
        <v>4</v>
      </c>
      <c r="J289" s="346" t="str">
        <f t="shared" si="700"/>
        <v>12.00R20-EZ345</v>
      </c>
      <c r="K289" s="347" t="str">
        <f>_xlfn.XLOOKUP(F289,投产规格!E:E,投产规格!D:D,"未投产")</f>
        <v>✔</v>
      </c>
      <c r="L289" s="347">
        <f>IFERROR(_xlfn.XLOOKUP(F289,硫化工艺!B:B,硫化工艺!C:C),"")</f>
        <v>47.7</v>
      </c>
      <c r="M289" s="349">
        <f t="shared" si="701"/>
        <v>0.891033623910336</v>
      </c>
      <c r="N289" s="347" t="str">
        <f t="shared" si="702"/>
        <v>20全钢</v>
      </c>
      <c r="O289" s="347">
        <f>IFERROR(_xlfn.XLOOKUP(F289,轮胎重量!J:J,轮胎重量!G:G),"")</f>
        <v>69.32</v>
      </c>
      <c r="P289" s="347">
        <f>IFERROR(_xlfn.XLOOKUP(G289,硫化工艺!I:I,硫化工艺!J:J),"")</f>
        <v>999.4334</v>
      </c>
      <c r="Q289" s="347">
        <f t="shared" si="703"/>
        <v>108</v>
      </c>
      <c r="R289" s="347">
        <v>100</v>
      </c>
      <c r="S289" s="347">
        <v>100</v>
      </c>
      <c r="T289" s="347">
        <v>100</v>
      </c>
      <c r="U289" s="347">
        <v>100</v>
      </c>
      <c r="V289" s="347">
        <v>100</v>
      </c>
      <c r="W289" s="347">
        <v>100</v>
      </c>
      <c r="X289" s="347">
        <v>100</v>
      </c>
      <c r="Y289" s="347">
        <v>100</v>
      </c>
      <c r="Z289" s="347">
        <v>100</v>
      </c>
      <c r="AA289" s="347">
        <v>100</v>
      </c>
      <c r="AB289" s="347">
        <v>100</v>
      </c>
      <c r="AC289" s="347">
        <v>100</v>
      </c>
      <c r="AD289" s="347">
        <v>100</v>
      </c>
      <c r="AE289" s="347">
        <v>100</v>
      </c>
      <c r="AF289" s="347">
        <v>100</v>
      </c>
      <c r="AG289" s="347">
        <v>100</v>
      </c>
      <c r="AH289" s="347">
        <v>100</v>
      </c>
      <c r="AI289" s="347">
        <v>100</v>
      </c>
      <c r="AJ289" s="347">
        <v>100</v>
      </c>
      <c r="AK289" s="347">
        <v>100</v>
      </c>
      <c r="AL289" s="347">
        <v>100</v>
      </c>
      <c r="AM289" s="347">
        <v>100</v>
      </c>
      <c r="AN289" s="347">
        <v>100</v>
      </c>
      <c r="AO289" s="347">
        <v>100</v>
      </c>
      <c r="AP289" s="347"/>
      <c r="AQ289" s="347"/>
      <c r="AR289" s="347"/>
      <c r="AS289" s="347"/>
      <c r="AT289" s="347"/>
      <c r="AU289" s="347"/>
      <c r="AV289" s="347"/>
      <c r="AW289" s="347">
        <v>5000</v>
      </c>
      <c r="AX289" s="365">
        <f t="shared" si="705"/>
        <v>346.6</v>
      </c>
      <c r="AY289" s="365">
        <f t="shared" si="706"/>
        <v>499.717</v>
      </c>
      <c r="AZ289" s="366">
        <v>871.58</v>
      </c>
      <c r="BA289" s="368">
        <v>54.12</v>
      </c>
      <c r="BB289" s="368">
        <v>79.6</v>
      </c>
      <c r="BC289" s="368">
        <v>87.22</v>
      </c>
      <c r="BE289" s="330">
        <f t="shared" si="707"/>
        <v>4357900</v>
      </c>
      <c r="BF289" s="330">
        <f t="shared" si="708"/>
        <v>270600</v>
      </c>
      <c r="BG289" s="330">
        <f t="shared" si="709"/>
        <v>398000</v>
      </c>
      <c r="BH289" s="330">
        <f t="shared" si="710"/>
        <v>436100</v>
      </c>
      <c r="BJ289" s="370" cm="1">
        <f t="array" ref="BJ289:BM289">_xlfn.LET(_xlpm.data,$R289:$AV289,_xlpm.starts,{1,8,16,23},_xlpm.lengths,{7,7,8,9},_xlpm.arr,_xlfn.MAP(_xlpm.starts,_xlpm.lengths,_xlfn.LAMBDA(_xlpm.s,_xlpm.l,SUM(INDEX(_xlpm.data,,_xlfn.SEQUENCE(,_xlpm.l,_xlpm.s))))),ROUND(_xlpm.arr*$O289/1000,2))</f>
        <v>48.52</v>
      </c>
      <c r="BK289" s="330">
        <v>48.52</v>
      </c>
      <c r="BL289" s="330">
        <v>55.46</v>
      </c>
      <c r="BM289" s="330">
        <v>13.86</v>
      </c>
      <c r="BN289" s="258">
        <f t="shared" si="711"/>
        <v>166.36</v>
      </c>
      <c r="BO289" s="258">
        <v>145.92</v>
      </c>
      <c r="BP289" s="258">
        <v>145.92</v>
      </c>
      <c r="BQ289" s="258">
        <v>166.76</v>
      </c>
      <c r="BR289" s="258">
        <v>187.61</v>
      </c>
      <c r="BT289" s="258" cm="1">
        <f ca="1" t="array" ref="BT289:BW289">_xlfn.HSTACK(SUM(INDEX($R289:$AV289,1,1):INDEX($R289:$AV289,1,7)),SUM(INDEX($R289:$AV289,1,7):INDEX($R289:$AV289,1,13)),SUM(INDEX($R289:$AV289,1,16):INDEX($R289:$AV289,1,23)),SUM(INDEX($R289:$AV289,1,23):INDEX($R289:$AV289,1,31)))</f>
        <v>700</v>
      </c>
      <c r="BU289" s="258">
        <v>700</v>
      </c>
      <c r="BV289" s="258">
        <v>800</v>
      </c>
      <c r="BW289" s="258">
        <v>200</v>
      </c>
      <c r="BY289" s="258">
        <f t="shared" si="712"/>
        <v>700</v>
      </c>
      <c r="BZ289" s="258">
        <f t="shared" si="713"/>
        <v>700</v>
      </c>
      <c r="CA289" s="258">
        <f t="shared" si="714"/>
        <v>800</v>
      </c>
      <c r="CB289" s="258">
        <f t="shared" si="715"/>
        <v>200</v>
      </c>
      <c r="CE289" s="258">
        <f t="shared" si="716"/>
        <v>48.52</v>
      </c>
      <c r="CF289" s="258">
        <f t="shared" si="717"/>
        <v>48.52</v>
      </c>
      <c r="CG289" s="258">
        <f t="shared" si="718"/>
        <v>55.46</v>
      </c>
      <c r="CH289" s="258">
        <f t="shared" si="719"/>
        <v>13.86</v>
      </c>
      <c r="CI289" s="258">
        <f t="shared" si="720"/>
        <v>166.36</v>
      </c>
      <c r="CK289" s="258">
        <f t="shared" ref="CK289:CN289" si="738">IFERROR(ROUND(BY289*$P289,2),"")</f>
        <v>699603.38</v>
      </c>
      <c r="CL289" s="258">
        <f t="shared" si="738"/>
        <v>699603.38</v>
      </c>
      <c r="CM289" s="258">
        <f t="shared" si="738"/>
        <v>799546.72</v>
      </c>
      <c r="CN289" s="258">
        <f t="shared" si="738"/>
        <v>199886.68</v>
      </c>
      <c r="CO289" s="258">
        <f t="shared" si="722"/>
        <v>2398640.16</v>
      </c>
      <c r="CP289" s="258">
        <f>VLOOKUP(G289,[2]Sheet1!$C$3:$G$310,5,0)</f>
        <v>1100</v>
      </c>
      <c r="CQ289" s="258" t="e">
        <f>VLOOKUP(G289,[3]KCBB0101!$C$3:$F$691,4,0)</f>
        <v>#N/A</v>
      </c>
    </row>
    <row r="290" ht="17.6" spans="2:95">
      <c r="B290" s="334" t="str">
        <f>_xlfn.XLOOKUP(G290,销售需求表!A:A,销售需求表!C:C)</f>
        <v>亚</v>
      </c>
      <c r="C290" s="335" t="str">
        <f t="shared" si="633"/>
        <v>20</v>
      </c>
      <c r="D290" s="362" t="str">
        <f t="shared" si="698"/>
        <v>亚20寸</v>
      </c>
      <c r="E290" s="339" t="str">
        <f t="shared" si="699"/>
        <v>12.00R20-20PR(156/153F)-TZ101</v>
      </c>
      <c r="F290" s="340" t="str">
        <f t="shared" si="666"/>
        <v>12.00R20-20PR-TZ101</v>
      </c>
      <c r="G290" s="341" t="s">
        <v>632</v>
      </c>
      <c r="H290" s="334">
        <v>400</v>
      </c>
      <c r="I290" s="345"/>
      <c r="J290" s="346" t="str">
        <f t="shared" si="700"/>
        <v>12.00R20-TZ101</v>
      </c>
      <c r="K290" s="347" t="str">
        <f>_xlfn.XLOOKUP(F290,投产规格!E:E,投产规格!D:D,"未投产")</f>
        <v>✔</v>
      </c>
      <c r="L290" s="347">
        <f>IFERROR(_xlfn.XLOOKUP(F290,硫化工艺!B:B,硫化工艺!C:C),"")</f>
        <v>48.5</v>
      </c>
      <c r="M290" s="349">
        <f t="shared" si="701"/>
        <v>0.892638036809816</v>
      </c>
      <c r="N290" s="347" t="str">
        <f t="shared" si="702"/>
        <v>20全钢</v>
      </c>
      <c r="O290" s="347">
        <f>IFERROR(_xlfn.XLOOKUP(F290,轮胎重量!J:J,轮胎重量!G:G),"")</f>
        <v>82.225</v>
      </c>
      <c r="P290" s="347">
        <f>IFERROR(_xlfn.XLOOKUP(G290,硫化工艺!I:I,硫化工艺!J:J),"")</f>
        <v>1163.392909</v>
      </c>
      <c r="Q290" s="347">
        <f t="shared" si="703"/>
        <v>0</v>
      </c>
      <c r="R290" s="347"/>
      <c r="S290" s="347"/>
      <c r="T290" s="347"/>
      <c r="U290" s="347"/>
      <c r="V290" s="347"/>
      <c r="W290" s="347"/>
      <c r="X290" s="347"/>
      <c r="Y290" s="347"/>
      <c r="Z290" s="347"/>
      <c r="AA290" s="347"/>
      <c r="AB290" s="347"/>
      <c r="AC290" s="347"/>
      <c r="AD290" s="347"/>
      <c r="AE290" s="347"/>
      <c r="AF290" s="347"/>
      <c r="AG290" s="347"/>
      <c r="AH290" s="347">
        <v>50</v>
      </c>
      <c r="AI290" s="347">
        <v>50</v>
      </c>
      <c r="AJ290" s="347">
        <v>50</v>
      </c>
      <c r="AK290" s="347">
        <v>50</v>
      </c>
      <c r="AL290" s="347">
        <v>50</v>
      </c>
      <c r="AM290" s="347">
        <v>50</v>
      </c>
      <c r="AN290" s="347">
        <v>50</v>
      </c>
      <c r="AO290" s="347">
        <v>50</v>
      </c>
      <c r="AP290" s="347">
        <v>50</v>
      </c>
      <c r="AQ290" s="347">
        <v>50</v>
      </c>
      <c r="AR290" s="347">
        <v>50</v>
      </c>
      <c r="AS290" s="347">
        <v>50</v>
      </c>
      <c r="AT290" s="347">
        <v>50</v>
      </c>
      <c r="AU290" s="347">
        <v>50</v>
      </c>
      <c r="AV290" s="347">
        <v>50</v>
      </c>
      <c r="AW290" s="347">
        <f t="shared" si="704"/>
        <v>750</v>
      </c>
      <c r="AX290" s="365">
        <f t="shared" si="705"/>
        <v>61.66875</v>
      </c>
      <c r="AY290" s="365">
        <f t="shared" si="706"/>
        <v>87.254</v>
      </c>
      <c r="AZ290" s="366">
        <v>871.58</v>
      </c>
      <c r="BA290" s="368">
        <v>54.12</v>
      </c>
      <c r="BB290" s="368">
        <v>79.6</v>
      </c>
      <c r="BC290" s="368">
        <v>87.22</v>
      </c>
      <c r="BE290" s="330">
        <f t="shared" si="707"/>
        <v>653685</v>
      </c>
      <c r="BF290" s="330">
        <f t="shared" si="708"/>
        <v>40590</v>
      </c>
      <c r="BG290" s="330">
        <f t="shared" si="709"/>
        <v>59700</v>
      </c>
      <c r="BH290" s="330">
        <f t="shared" si="710"/>
        <v>65415</v>
      </c>
      <c r="BJ290" s="370" cm="1">
        <f t="array" ref="BJ290:BM290">_xlfn.LET(_xlpm.data,$R290:$AV290,_xlpm.starts,{1,8,16,23},_xlpm.lengths,{7,7,8,9},_xlpm.arr,_xlfn.MAP(_xlpm.starts,_xlpm.lengths,_xlfn.LAMBDA(_xlpm.s,_xlpm.l,SUM(INDEX(_xlpm.data,,_xlfn.SEQUENCE(,_xlpm.l,_xlpm.s))))),ROUND(_xlpm.arr*$O290/1000,2))</f>
        <v>0</v>
      </c>
      <c r="BK290" s="330">
        <v>0</v>
      </c>
      <c r="BL290" s="330">
        <v>28.78</v>
      </c>
      <c r="BM290" s="330">
        <v>37</v>
      </c>
      <c r="BN290" s="258">
        <f t="shared" si="711"/>
        <v>65.78</v>
      </c>
      <c r="BO290" s="258">
        <v>84.68</v>
      </c>
      <c r="BP290" s="258">
        <v>84.68</v>
      </c>
      <c r="BQ290" s="258">
        <v>92.69</v>
      </c>
      <c r="BR290" s="258">
        <v>72.03</v>
      </c>
      <c r="BT290" s="258" cm="1">
        <f ca="1" t="array" ref="BT290:BW290">_xlfn.HSTACK(SUM(INDEX($R290:$AV290,1,1):INDEX($R290:$AV290,1,7)),SUM(INDEX($R290:$AV290,1,7):INDEX($R290:$AV290,1,13)),SUM(INDEX($R290:$AV290,1,16):INDEX($R290:$AV290,1,23)),SUM(INDEX($R290:$AV290,1,23):INDEX($R290:$AV290,1,31)))</f>
        <v>0</v>
      </c>
      <c r="BU290" s="258">
        <v>0</v>
      </c>
      <c r="BV290" s="258">
        <v>350</v>
      </c>
      <c r="BW290" s="258">
        <v>450</v>
      </c>
      <c r="BY290" s="258">
        <f t="shared" si="712"/>
        <v>0</v>
      </c>
      <c r="BZ290" s="258">
        <f t="shared" si="713"/>
        <v>0</v>
      </c>
      <c r="CA290" s="258">
        <f t="shared" si="714"/>
        <v>300</v>
      </c>
      <c r="CB290" s="258">
        <f t="shared" si="715"/>
        <v>450</v>
      </c>
      <c r="CE290" s="258">
        <f t="shared" si="716"/>
        <v>0</v>
      </c>
      <c r="CF290" s="258">
        <f t="shared" si="717"/>
        <v>0</v>
      </c>
      <c r="CG290" s="258">
        <f t="shared" si="718"/>
        <v>24.67</v>
      </c>
      <c r="CH290" s="258">
        <f t="shared" si="719"/>
        <v>37</v>
      </c>
      <c r="CI290" s="258">
        <f t="shared" si="720"/>
        <v>61.67</v>
      </c>
      <c r="CK290" s="258">
        <f t="shared" ref="CK290:CN290" si="739">IFERROR(ROUND(BY290*$P290,2),"")</f>
        <v>0</v>
      </c>
      <c r="CL290" s="258">
        <f t="shared" si="739"/>
        <v>0</v>
      </c>
      <c r="CM290" s="258">
        <f t="shared" si="739"/>
        <v>349017.87</v>
      </c>
      <c r="CN290" s="258">
        <f t="shared" si="739"/>
        <v>523526.81</v>
      </c>
      <c r="CO290" s="258">
        <f t="shared" si="722"/>
        <v>872544.68</v>
      </c>
      <c r="CP290" s="258" t="e">
        <f>VLOOKUP(G290,[2]Sheet1!$C$3:$G$310,5,0)</f>
        <v>#N/A</v>
      </c>
      <c r="CQ290" s="258">
        <f>VLOOKUP(G290,[3]KCBB0101!$C$3:$F$691,4,0)</f>
        <v>4500</v>
      </c>
    </row>
    <row r="291" ht="17.6" spans="2:93">
      <c r="B291" s="334" t="str">
        <f>_xlfn.XLOOKUP(G291,销售需求表!A:A,销售需求表!C:C)</f>
        <v>亚</v>
      </c>
      <c r="C291" s="335" t="str">
        <f t="shared" si="633"/>
        <v>20</v>
      </c>
      <c r="D291" s="362" t="str">
        <f t="shared" si="698"/>
        <v>亚20寸</v>
      </c>
      <c r="E291" s="339" t="str">
        <f t="shared" si="699"/>
        <v>12.00R20-22PR(158/155F)-CB919</v>
      </c>
      <c r="F291" s="340" t="str">
        <f t="shared" si="666"/>
        <v>12.00R20-22PR-CB919</v>
      </c>
      <c r="G291" s="339" t="s">
        <v>633</v>
      </c>
      <c r="H291" s="334">
        <v>420</v>
      </c>
      <c r="I291" s="345"/>
      <c r="J291" s="346" t="str">
        <f t="shared" si="700"/>
        <v>12.00R20-CB919</v>
      </c>
      <c r="K291" s="347" t="str">
        <f>_xlfn.XLOOKUP(F291,投产规格!E:E,投产规格!D:D,"未投产")</f>
        <v>✔</v>
      </c>
      <c r="L291" s="347">
        <f>IFERROR(_xlfn.XLOOKUP(F291,硫化工艺!B:B,硫化工艺!C:C),"")</f>
        <v>53.5</v>
      </c>
      <c r="M291" s="349">
        <f t="shared" si="701"/>
        <v>0.901685393258427</v>
      </c>
      <c r="N291" s="347" t="str">
        <f t="shared" si="702"/>
        <v>20全钢</v>
      </c>
      <c r="O291" s="347">
        <f>IFERROR(_xlfn.XLOOKUP(F291,轮胎重量!J:J,轮胎重量!G:G),"")</f>
        <v>86.754</v>
      </c>
      <c r="P291" s="347">
        <f>IFERROR(_xlfn.XLOOKUP(G291,硫化工艺!I:I,硫化工艺!J:J),"")</f>
        <v>1236.5647</v>
      </c>
      <c r="Q291" s="347">
        <f t="shared" si="703"/>
        <v>0</v>
      </c>
      <c r="R291" s="347"/>
      <c r="S291" s="347"/>
      <c r="T291" s="347"/>
      <c r="U291" s="347"/>
      <c r="V291" s="347"/>
      <c r="W291" s="347"/>
      <c r="X291" s="347"/>
      <c r="Y291" s="347"/>
      <c r="Z291" s="347"/>
      <c r="AA291" s="347"/>
      <c r="AB291" s="347"/>
      <c r="AC291" s="347"/>
      <c r="AD291" s="347"/>
      <c r="AE291" s="347"/>
      <c r="AF291" s="347"/>
      <c r="AG291" s="347"/>
      <c r="AH291" s="347"/>
      <c r="AI291" s="347"/>
      <c r="AJ291" s="347"/>
      <c r="AK291" s="347"/>
      <c r="AL291" s="347"/>
      <c r="AM291" s="347"/>
      <c r="AN291" s="347"/>
      <c r="AO291" s="347"/>
      <c r="AP291" s="347"/>
      <c r="AQ291" s="347"/>
      <c r="AR291" s="347"/>
      <c r="AS291" s="347"/>
      <c r="AT291" s="347"/>
      <c r="AU291" s="347"/>
      <c r="AV291" s="347"/>
      <c r="AW291" s="347" t="str">
        <f t="shared" si="704"/>
        <v/>
      </c>
      <c r="AX291" s="365" t="str">
        <f t="shared" si="705"/>
        <v/>
      </c>
      <c r="AY291" s="365" t="str">
        <f t="shared" si="706"/>
        <v/>
      </c>
      <c r="AZ291" s="366">
        <v>871.58</v>
      </c>
      <c r="BA291" s="368">
        <v>54.12</v>
      </c>
      <c r="BB291" s="368">
        <v>79.6</v>
      </c>
      <c r="BC291" s="368">
        <v>87.22</v>
      </c>
      <c r="BE291" s="330" t="e">
        <f t="shared" si="707"/>
        <v>#VALUE!</v>
      </c>
      <c r="BF291" s="330" t="e">
        <f t="shared" si="708"/>
        <v>#VALUE!</v>
      </c>
      <c r="BG291" s="330" t="e">
        <f t="shared" si="709"/>
        <v>#VALUE!</v>
      </c>
      <c r="BH291" s="330" t="e">
        <f t="shared" si="710"/>
        <v>#VALUE!</v>
      </c>
      <c r="BJ291" s="370" cm="1">
        <f t="array" ref="BJ291:BM291">_xlfn.LET(_xlpm.data,$R291:$AV291,_xlpm.starts,{1,8,16,23},_xlpm.lengths,{7,7,8,9},_xlpm.arr,_xlfn.MAP(_xlpm.starts,_xlpm.lengths,_xlfn.LAMBDA(_xlpm.s,_xlpm.l,SUM(INDEX(_xlpm.data,,_xlfn.SEQUENCE(,_xlpm.l,_xlpm.s))))),ROUND(_xlpm.arr*$O291/1000,2))</f>
        <v>0</v>
      </c>
      <c r="BK291" s="330">
        <v>0</v>
      </c>
      <c r="BL291" s="330">
        <v>0</v>
      </c>
      <c r="BM291" s="330">
        <v>0</v>
      </c>
      <c r="BN291" s="258">
        <f t="shared" si="711"/>
        <v>0</v>
      </c>
      <c r="BO291" s="258">
        <v>26.69</v>
      </c>
      <c r="BP291" s="258">
        <v>26.69</v>
      </c>
      <c r="BQ291" s="258">
        <v>30.5</v>
      </c>
      <c r="BR291" s="258">
        <v>34.31</v>
      </c>
      <c r="BT291" s="258" cm="1">
        <f ca="1" t="array" ref="BT291:BW291">_xlfn.HSTACK(SUM(INDEX($R291:$AV291,1,1):INDEX($R291:$AV291,1,7)),SUM(INDEX($R291:$AV291,1,7):INDEX($R291:$AV291,1,13)),SUM(INDEX($R291:$AV291,1,16):INDEX($R291:$AV291,1,23)),SUM(INDEX($R291:$AV291,1,23):INDEX($R291:$AV291,1,31)))</f>
        <v>0</v>
      </c>
      <c r="BU291" s="258">
        <v>0</v>
      </c>
      <c r="BV291" s="258">
        <v>0</v>
      </c>
      <c r="BW291" s="258">
        <v>0</v>
      </c>
      <c r="BY291" s="258">
        <f t="shared" si="712"/>
        <v>0</v>
      </c>
      <c r="BZ291" s="258">
        <f t="shared" si="713"/>
        <v>0</v>
      </c>
      <c r="CA291" s="258">
        <f t="shared" si="714"/>
        <v>0</v>
      </c>
      <c r="CB291" s="258">
        <f t="shared" si="715"/>
        <v>0</v>
      </c>
      <c r="CE291" s="258">
        <f t="shared" si="716"/>
        <v>0</v>
      </c>
      <c r="CF291" s="258">
        <f t="shared" si="717"/>
        <v>0</v>
      </c>
      <c r="CG291" s="258">
        <f t="shared" si="718"/>
        <v>0</v>
      </c>
      <c r="CH291" s="258">
        <f t="shared" si="719"/>
        <v>0</v>
      </c>
      <c r="CI291" s="258">
        <f t="shared" si="720"/>
        <v>0</v>
      </c>
      <c r="CK291" s="258">
        <f t="shared" ref="CK291:CN291" si="740">IFERROR(ROUND(BY291*$P291,2),"")</f>
        <v>0</v>
      </c>
      <c r="CL291" s="258">
        <f t="shared" si="740"/>
        <v>0</v>
      </c>
      <c r="CM291" s="258">
        <f t="shared" si="740"/>
        <v>0</v>
      </c>
      <c r="CN291" s="258">
        <f t="shared" si="740"/>
        <v>0</v>
      </c>
      <c r="CO291" s="258">
        <f t="shared" si="722"/>
        <v>0</v>
      </c>
    </row>
    <row r="292" ht="17.6" spans="2:95">
      <c r="B292" s="334" t="str">
        <f>_xlfn.XLOOKUP(G292,销售需求表!A:A,销售需求表!C:C)</f>
        <v>亚</v>
      </c>
      <c r="C292" s="335" t="str">
        <f t="shared" si="633"/>
        <v>20</v>
      </c>
      <c r="D292" s="362" t="str">
        <f t="shared" si="698"/>
        <v>亚20寸</v>
      </c>
      <c r="E292" s="339" t="str">
        <f t="shared" si="699"/>
        <v>12.00R20-22PR(158/155F)-TRD-79</v>
      </c>
      <c r="F292" s="340" t="str">
        <f t="shared" si="666"/>
        <v>12.00R20-22PR-TRD-79</v>
      </c>
      <c r="G292" s="342" t="s">
        <v>39</v>
      </c>
      <c r="H292" s="334">
        <v>1900</v>
      </c>
      <c r="I292" s="345">
        <v>2</v>
      </c>
      <c r="J292" s="346" t="str">
        <f t="shared" si="700"/>
        <v>12.00R20-TRD-79</v>
      </c>
      <c r="K292" s="347" t="str">
        <f>_xlfn.XLOOKUP(F292,投产规格!E:E,投产规格!D:D,"未投产")</f>
        <v>✔</v>
      </c>
      <c r="L292" s="347">
        <f>IFERROR(_xlfn.XLOOKUP(F292,硫化工艺!B:B,硫化工艺!C:C),"")</f>
        <v>52</v>
      </c>
      <c r="M292" s="349">
        <f t="shared" si="701"/>
        <v>0.899135446685879</v>
      </c>
      <c r="N292" s="347" t="str">
        <f t="shared" si="702"/>
        <v>20全钢</v>
      </c>
      <c r="O292" s="347">
        <f>IFERROR(_xlfn.XLOOKUP(F292,轮胎重量!J:J,轮胎重量!G:G),"")</f>
        <v>88.39</v>
      </c>
      <c r="P292" s="350">
        <f>O292*13.9</f>
        <v>1228.621</v>
      </c>
      <c r="Q292" s="347">
        <f t="shared" si="703"/>
        <v>50</v>
      </c>
      <c r="R292" s="347">
        <v>50</v>
      </c>
      <c r="S292" s="347">
        <v>50</v>
      </c>
      <c r="T292" s="347">
        <v>50</v>
      </c>
      <c r="U292" s="347">
        <v>50</v>
      </c>
      <c r="V292" s="347">
        <v>50</v>
      </c>
      <c r="W292" s="347">
        <v>50</v>
      </c>
      <c r="X292" s="347">
        <v>50</v>
      </c>
      <c r="Y292" s="347">
        <v>50</v>
      </c>
      <c r="Z292" s="347">
        <v>50</v>
      </c>
      <c r="AA292" s="347">
        <v>50</v>
      </c>
      <c r="AB292" s="347">
        <v>50</v>
      </c>
      <c r="AC292" s="347">
        <v>50</v>
      </c>
      <c r="AD292" s="347">
        <v>50</v>
      </c>
      <c r="AE292" s="347">
        <v>50</v>
      </c>
      <c r="AF292" s="347">
        <v>50</v>
      </c>
      <c r="AG292" s="347">
        <v>50</v>
      </c>
      <c r="AH292" s="347">
        <v>50</v>
      </c>
      <c r="AI292" s="347">
        <v>50</v>
      </c>
      <c r="AJ292" s="347">
        <v>50</v>
      </c>
      <c r="AK292" s="347">
        <v>50</v>
      </c>
      <c r="AL292" s="347">
        <v>50</v>
      </c>
      <c r="AM292" s="347">
        <v>50</v>
      </c>
      <c r="AN292" s="347">
        <v>50</v>
      </c>
      <c r="AO292" s="347">
        <v>50</v>
      </c>
      <c r="AP292" s="347">
        <v>50</v>
      </c>
      <c r="AQ292" s="347">
        <v>50</v>
      </c>
      <c r="AR292" s="347">
        <v>50</v>
      </c>
      <c r="AS292" s="347">
        <v>50</v>
      </c>
      <c r="AT292" s="347">
        <v>50</v>
      </c>
      <c r="AU292" s="347">
        <v>50</v>
      </c>
      <c r="AV292" s="347">
        <v>50</v>
      </c>
      <c r="AW292" s="347">
        <v>3000</v>
      </c>
      <c r="AX292" s="365">
        <f t="shared" si="705"/>
        <v>265.17</v>
      </c>
      <c r="AY292" s="365">
        <f t="shared" si="706"/>
        <v>368.586</v>
      </c>
      <c r="AZ292" s="366">
        <v>861.64</v>
      </c>
      <c r="BA292" s="368">
        <v>52.93</v>
      </c>
      <c r="BB292" s="368">
        <v>78.33</v>
      </c>
      <c r="BC292" s="368">
        <v>85.7</v>
      </c>
      <c r="BE292" s="330">
        <f t="shared" si="707"/>
        <v>2584920</v>
      </c>
      <c r="BF292" s="330">
        <f t="shared" si="708"/>
        <v>158790</v>
      </c>
      <c r="BG292" s="330">
        <f t="shared" si="709"/>
        <v>234990</v>
      </c>
      <c r="BH292" s="330">
        <f t="shared" si="710"/>
        <v>257100</v>
      </c>
      <c r="BJ292" s="370" cm="1">
        <f t="array" ref="BJ292:BM292">_xlfn.LET(_xlpm.data,$R292:$AV292,_xlpm.starts,{1,8,16,23},_xlpm.lengths,{7,7,8,9},_xlpm.arr,_xlfn.MAP(_xlpm.starts,_xlpm.lengths,_xlfn.LAMBDA(_xlpm.s,_xlpm.l,SUM(INDEX(_xlpm.data,,_xlfn.SEQUENCE(,_xlpm.l,_xlpm.s))))),ROUND(_xlpm.arr*$O292/1000,2))</f>
        <v>30.94</v>
      </c>
      <c r="BK292" s="330">
        <v>30.94</v>
      </c>
      <c r="BL292" s="330">
        <v>35.36</v>
      </c>
      <c r="BM292" s="330">
        <v>39.78</v>
      </c>
      <c r="BN292" s="258">
        <f t="shared" si="711"/>
        <v>137.02</v>
      </c>
      <c r="BO292" s="258">
        <v>0</v>
      </c>
      <c r="BP292" s="258">
        <v>0</v>
      </c>
      <c r="BQ292" s="258">
        <v>0</v>
      </c>
      <c r="BR292" s="258">
        <v>0</v>
      </c>
      <c r="BT292" s="258" cm="1">
        <f ca="1" t="array" ref="BT292:BW292">_xlfn.HSTACK(SUM(INDEX($R292:$AV292,1,1):INDEX($R292:$AV292,1,7)),SUM(INDEX($R292:$AV292,1,7):INDEX($R292:$AV292,1,13)),SUM(INDEX($R292:$AV292,1,16):INDEX($R292:$AV292,1,23)),SUM(INDEX($R292:$AV292,1,23):INDEX($R292:$AV292,1,31)))</f>
        <v>350</v>
      </c>
      <c r="BU292" s="258">
        <v>350</v>
      </c>
      <c r="BV292" s="258">
        <v>400</v>
      </c>
      <c r="BW292" s="258">
        <v>450</v>
      </c>
      <c r="BY292" s="258">
        <f t="shared" si="712"/>
        <v>350</v>
      </c>
      <c r="BZ292" s="258">
        <f t="shared" si="713"/>
        <v>350</v>
      </c>
      <c r="CA292" s="258">
        <f t="shared" si="714"/>
        <v>400</v>
      </c>
      <c r="CB292" s="258">
        <f t="shared" si="715"/>
        <v>450</v>
      </c>
      <c r="CE292" s="258">
        <f t="shared" si="716"/>
        <v>30.94</v>
      </c>
      <c r="CF292" s="258">
        <f t="shared" si="717"/>
        <v>30.94</v>
      </c>
      <c r="CG292" s="258">
        <f t="shared" si="718"/>
        <v>35.36</v>
      </c>
      <c r="CH292" s="258">
        <f t="shared" si="719"/>
        <v>39.78</v>
      </c>
      <c r="CI292" s="258">
        <f t="shared" si="720"/>
        <v>137.02</v>
      </c>
      <c r="CK292" s="258">
        <f t="shared" ref="CK292:CN292" si="741">IFERROR(ROUND(BY292*$P292,2),"")</f>
        <v>430017.35</v>
      </c>
      <c r="CL292" s="258">
        <f t="shared" si="741"/>
        <v>430017.35</v>
      </c>
      <c r="CM292" s="258">
        <f t="shared" si="741"/>
        <v>491448.4</v>
      </c>
      <c r="CN292" s="258">
        <f t="shared" si="741"/>
        <v>552879.45</v>
      </c>
      <c r="CO292" s="258">
        <f t="shared" si="722"/>
        <v>1904362.55</v>
      </c>
      <c r="CP292" s="258" t="e">
        <f>VLOOKUP(G292,[2]Sheet1!$C$3:$G$310,5,0)</f>
        <v>#N/A</v>
      </c>
      <c r="CQ292" s="258" t="e">
        <f>VLOOKUP(G292,[3]KCBB0101!$C$3:$F$691,4,0)</f>
        <v>#N/A</v>
      </c>
    </row>
    <row r="293" s="258" customFormat="1" ht="17.6" spans="1:95">
      <c r="A293" s="330"/>
      <c r="B293" s="334" t="str">
        <f>_xlfn.XLOOKUP(G293,销售需求表!A:A,销售需求表!C:C)</f>
        <v>亚</v>
      </c>
      <c r="C293" s="335" t="str">
        <f t="shared" si="633"/>
        <v>20</v>
      </c>
      <c r="D293" s="362" t="str">
        <f t="shared" si="698"/>
        <v>亚20寸</v>
      </c>
      <c r="E293" s="339" t="str">
        <f t="shared" si="699"/>
        <v>12.00R20-22PR(158/155F)-CB972</v>
      </c>
      <c r="F293" s="340" t="str">
        <f t="shared" si="666"/>
        <v>12.00R20-22PR-CB972</v>
      </c>
      <c r="G293" s="341" t="s">
        <v>634</v>
      </c>
      <c r="H293" s="334">
        <v>3500</v>
      </c>
      <c r="I293" s="345"/>
      <c r="J293" s="346" t="str">
        <f t="shared" si="700"/>
        <v>12.00R20-CB972</v>
      </c>
      <c r="K293" s="347" t="str">
        <f>_xlfn.XLOOKUP(F293,投产规格!E:E,投产规格!D:D,"未投产")</f>
        <v>✔</v>
      </c>
      <c r="L293" s="347">
        <f>IFERROR(_xlfn.XLOOKUP(F293,硫化工艺!B:B,硫化工艺!C:C),"")</f>
        <v>48.5</v>
      </c>
      <c r="M293" s="349">
        <f t="shared" si="701"/>
        <v>0.892638036809816</v>
      </c>
      <c r="N293" s="347" t="str">
        <f t="shared" si="702"/>
        <v>20全钢</v>
      </c>
      <c r="O293" s="347">
        <f>IFERROR(_xlfn.XLOOKUP(F293,轮胎重量!J:J,轮胎重量!G:G),"")</f>
        <v>82.225</v>
      </c>
      <c r="P293" s="347">
        <f>IFERROR(_xlfn.XLOOKUP(G293,硫化工艺!I:I,硫化工艺!J:J),"")</f>
        <v>1163.392909</v>
      </c>
      <c r="Q293" s="347">
        <f t="shared" si="703"/>
        <v>0</v>
      </c>
      <c r="R293" s="347"/>
      <c r="S293" s="347"/>
      <c r="T293" s="347"/>
      <c r="U293" s="347"/>
      <c r="V293" s="347"/>
      <c r="W293" s="347"/>
      <c r="X293" s="347"/>
      <c r="Y293" s="347"/>
      <c r="Z293" s="347"/>
      <c r="AA293" s="347"/>
      <c r="AB293" s="347"/>
      <c r="AC293" s="347"/>
      <c r="AD293" s="347"/>
      <c r="AE293" s="347"/>
      <c r="AF293" s="347"/>
      <c r="AG293" s="347"/>
      <c r="AH293" s="347">
        <v>260</v>
      </c>
      <c r="AI293" s="347">
        <v>260</v>
      </c>
      <c r="AJ293" s="347">
        <v>260</v>
      </c>
      <c r="AK293" s="347">
        <v>260</v>
      </c>
      <c r="AL293" s="347">
        <v>260</v>
      </c>
      <c r="AM293" s="347">
        <v>260</v>
      </c>
      <c r="AN293" s="347">
        <v>260</v>
      </c>
      <c r="AO293" s="347">
        <v>260</v>
      </c>
      <c r="AP293" s="347">
        <v>260</v>
      </c>
      <c r="AQ293" s="347">
        <v>260</v>
      </c>
      <c r="AR293" s="347">
        <v>260</v>
      </c>
      <c r="AS293" s="347">
        <v>260</v>
      </c>
      <c r="AT293" s="347">
        <v>260</v>
      </c>
      <c r="AU293" s="347">
        <v>260</v>
      </c>
      <c r="AV293" s="347">
        <v>260</v>
      </c>
      <c r="AW293" s="347">
        <f t="shared" si="704"/>
        <v>3900</v>
      </c>
      <c r="AX293" s="365">
        <f t="shared" si="705"/>
        <v>320.6775</v>
      </c>
      <c r="AY293" s="365">
        <f t="shared" si="706"/>
        <v>453.723</v>
      </c>
      <c r="AZ293" s="366">
        <v>828.4</v>
      </c>
      <c r="BA293" s="368">
        <v>50.66</v>
      </c>
      <c r="BB293" s="368">
        <v>75.77</v>
      </c>
      <c r="BC293" s="368">
        <v>82.47</v>
      </c>
      <c r="BD293" s="330"/>
      <c r="BE293" s="330">
        <f t="shared" si="707"/>
        <v>3230760</v>
      </c>
      <c r="BF293" s="330">
        <f t="shared" si="708"/>
        <v>197574</v>
      </c>
      <c r="BG293" s="330">
        <f t="shared" si="709"/>
        <v>295503</v>
      </c>
      <c r="BH293" s="330">
        <f t="shared" si="710"/>
        <v>321633</v>
      </c>
      <c r="BI293" s="330"/>
      <c r="BJ293" s="370" cm="1">
        <f t="array" ref="BJ293:BM293">_xlfn.LET(_xlpm.data,$R293:$AV293,_xlpm.starts,{1,8,16,23},_xlpm.lengths,{7,7,8,9},_xlpm.arr,_xlfn.MAP(_xlpm.starts,_xlpm.lengths,_xlfn.LAMBDA(_xlpm.s,_xlpm.l,SUM(INDEX(_xlpm.data,,_xlfn.SEQUENCE(,_xlpm.l,_xlpm.s))))),ROUND(_xlpm.arr*$O293/1000,2))</f>
        <v>0</v>
      </c>
      <c r="BK293" s="330">
        <v>0</v>
      </c>
      <c r="BL293" s="330">
        <v>149.65</v>
      </c>
      <c r="BM293" s="330">
        <v>192.41</v>
      </c>
      <c r="BN293" s="258">
        <f t="shared" si="711"/>
        <v>342.06</v>
      </c>
      <c r="BO293" s="258">
        <v>0</v>
      </c>
      <c r="BP293" s="258">
        <v>0</v>
      </c>
      <c r="BQ293" s="258">
        <v>0</v>
      </c>
      <c r="BR293" s="258">
        <v>16.09</v>
      </c>
      <c r="BS293" s="115">
        <f>Q293*O293</f>
        <v>0</v>
      </c>
      <c r="BT293" s="258" cm="1">
        <f ca="1" t="array" ref="BT293:BW293">_xlfn.HSTACK(SUM(INDEX($R293:$AV293,1,1):INDEX($R293:$AV293,1,7)),SUM(INDEX($R293:$AV293,1,7):INDEX($R293:$AV293,1,13)),SUM(INDEX($R293:$AV293,1,16):INDEX($R293:$AV293,1,23)),SUM(INDEX($R293:$AV293,1,23):INDEX($R293:$AV293,1,31)))</f>
        <v>0</v>
      </c>
      <c r="BU293" s="258">
        <v>0</v>
      </c>
      <c r="BV293" s="258">
        <v>1820</v>
      </c>
      <c r="BW293" s="258">
        <v>2340</v>
      </c>
      <c r="BY293" s="258">
        <f t="shared" si="712"/>
        <v>0</v>
      </c>
      <c r="BZ293" s="258">
        <f t="shared" si="713"/>
        <v>0</v>
      </c>
      <c r="CA293" s="258">
        <f t="shared" si="714"/>
        <v>1560</v>
      </c>
      <c r="CB293" s="258">
        <f t="shared" si="715"/>
        <v>2340</v>
      </c>
      <c r="CD293" s="113"/>
      <c r="CE293" s="258">
        <f t="shared" si="716"/>
        <v>0</v>
      </c>
      <c r="CF293" s="258">
        <f t="shared" si="717"/>
        <v>0</v>
      </c>
      <c r="CG293" s="258">
        <f t="shared" si="718"/>
        <v>128.27</v>
      </c>
      <c r="CH293" s="258">
        <f t="shared" si="719"/>
        <v>192.41</v>
      </c>
      <c r="CI293" s="258">
        <f t="shared" si="720"/>
        <v>320.68</v>
      </c>
      <c r="CJ293" s="113"/>
      <c r="CK293" s="258">
        <f t="shared" ref="CK293:CN293" si="742">IFERROR(ROUND(BY293*$P293,2),"")</f>
        <v>0</v>
      </c>
      <c r="CL293" s="258">
        <f t="shared" si="742"/>
        <v>0</v>
      </c>
      <c r="CM293" s="258">
        <f t="shared" si="742"/>
        <v>1814892.94</v>
      </c>
      <c r="CN293" s="258">
        <f t="shared" si="742"/>
        <v>2722339.41</v>
      </c>
      <c r="CO293" s="258">
        <f t="shared" si="722"/>
        <v>4537232.35</v>
      </c>
      <c r="CP293" s="258">
        <f>VLOOKUP(G293,[2]Sheet1!$C$3:$G$310,5,0)</f>
        <v>19800</v>
      </c>
      <c r="CQ293" s="258">
        <f>VLOOKUP(G293,[3]KCBB0101!$C$3:$F$691,4,0)</f>
        <v>6000</v>
      </c>
    </row>
    <row r="294" ht="17.6" spans="2:95">
      <c r="B294" s="334" t="str">
        <f>_xlfn.XLOOKUP(G294,销售需求表!A:A,销售需求表!C:C)</f>
        <v>亚</v>
      </c>
      <c r="C294" s="335" t="str">
        <f t="shared" si="633"/>
        <v>20</v>
      </c>
      <c r="D294" s="362" t="str">
        <f t="shared" si="698"/>
        <v>亚20寸</v>
      </c>
      <c r="E294" s="339" t="str">
        <f t="shared" si="699"/>
        <v>12.00R20-22PR(158/155F)-EZ310 pro</v>
      </c>
      <c r="F294" s="340" t="str">
        <f t="shared" si="666"/>
        <v>12.00R20-22PR-EZ310 pro</v>
      </c>
      <c r="G294" s="341" t="s">
        <v>635</v>
      </c>
      <c r="H294" s="334">
        <v>8000</v>
      </c>
      <c r="I294" s="345">
        <v>8</v>
      </c>
      <c r="J294" s="346" t="str">
        <f t="shared" si="700"/>
        <v>12.00R20-EZ310 pro</v>
      </c>
      <c r="K294" s="347" t="str">
        <f>_xlfn.XLOOKUP(F294,投产规格!E:E,投产规格!D:D,"未投产")</f>
        <v>✔</v>
      </c>
      <c r="L294" s="347">
        <f>IFERROR(_xlfn.XLOOKUP(F294,硫化工艺!B:B,硫化工艺!C:C),"")</f>
        <v>76</v>
      </c>
      <c r="M294" s="349">
        <f t="shared" si="701"/>
        <v>0.928716904276986</v>
      </c>
      <c r="N294" s="347" t="str">
        <f t="shared" si="702"/>
        <v>20全钢</v>
      </c>
      <c r="O294" s="347">
        <f>IFERROR(_xlfn.XLOOKUP(F294,轮胎重量!J:J,轮胎重量!G:G),"")</f>
        <v>95.387</v>
      </c>
      <c r="P294" s="347">
        <f>IFERROR(_xlfn.XLOOKUP(G294,硫化工艺!I:I,硫化工艺!J:J),"")</f>
        <v>1378.3175</v>
      </c>
      <c r="Q294" s="347">
        <f t="shared" si="703"/>
        <v>141</v>
      </c>
      <c r="R294" s="347">
        <v>140</v>
      </c>
      <c r="S294" s="347">
        <v>140</v>
      </c>
      <c r="T294" s="347">
        <v>140</v>
      </c>
      <c r="U294" s="347">
        <v>140</v>
      </c>
      <c r="V294" s="347">
        <v>140</v>
      </c>
      <c r="W294" s="347">
        <v>140</v>
      </c>
      <c r="X294" s="347">
        <v>140</v>
      </c>
      <c r="Y294" s="347">
        <v>140</v>
      </c>
      <c r="Z294" s="347">
        <v>140</v>
      </c>
      <c r="AA294" s="347">
        <v>140</v>
      </c>
      <c r="AB294" s="347">
        <v>140</v>
      </c>
      <c r="AC294" s="347">
        <v>140</v>
      </c>
      <c r="AD294" s="347">
        <v>140</v>
      </c>
      <c r="AE294" s="347">
        <v>140</v>
      </c>
      <c r="AF294" s="347">
        <v>140</v>
      </c>
      <c r="AG294" s="347">
        <v>140</v>
      </c>
      <c r="AH294" s="347">
        <v>140</v>
      </c>
      <c r="AI294" s="347">
        <v>140</v>
      </c>
      <c r="AJ294" s="347">
        <v>140</v>
      </c>
      <c r="AK294" s="347">
        <v>140</v>
      </c>
      <c r="AL294" s="347">
        <v>140</v>
      </c>
      <c r="AM294" s="347">
        <v>140</v>
      </c>
      <c r="AN294" s="347">
        <v>140</v>
      </c>
      <c r="AO294" s="347">
        <v>140</v>
      </c>
      <c r="AP294" s="347">
        <v>140</v>
      </c>
      <c r="AQ294" s="347">
        <v>140</v>
      </c>
      <c r="AR294" s="347">
        <v>140</v>
      </c>
      <c r="AS294" s="347">
        <v>140</v>
      </c>
      <c r="AT294" s="347">
        <v>140</v>
      </c>
      <c r="AU294" s="347">
        <v>140</v>
      </c>
      <c r="AV294" s="347">
        <v>140</v>
      </c>
      <c r="AW294" s="347">
        <f t="shared" si="704"/>
        <v>4340</v>
      </c>
      <c r="AX294" s="365">
        <f t="shared" si="705"/>
        <v>413.97958</v>
      </c>
      <c r="AY294" s="365">
        <f t="shared" si="706"/>
        <v>598.19</v>
      </c>
      <c r="AZ294" s="366">
        <v>864.55</v>
      </c>
      <c r="BA294" s="368">
        <v>53.34</v>
      </c>
      <c r="BB294" s="368">
        <v>78.72</v>
      </c>
      <c r="BC294" s="368">
        <v>86.44</v>
      </c>
      <c r="BE294" s="330">
        <f t="shared" si="707"/>
        <v>3752147</v>
      </c>
      <c r="BF294" s="330">
        <f t="shared" si="708"/>
        <v>231495.6</v>
      </c>
      <c r="BG294" s="330">
        <f t="shared" si="709"/>
        <v>341644.8</v>
      </c>
      <c r="BH294" s="330">
        <f t="shared" si="710"/>
        <v>375149.6</v>
      </c>
      <c r="BJ294" s="370" cm="1">
        <f t="array" ref="BJ294:BM294">_xlfn.LET(_xlpm.data,$R294:$AV294,_xlpm.starts,{1,8,16,23},_xlpm.lengths,{7,7,8,9},_xlpm.arr,_xlfn.MAP(_xlpm.starts,_xlpm.lengths,_xlfn.LAMBDA(_xlpm.s,_xlpm.l,SUM(INDEX(_xlpm.data,,_xlfn.SEQUENCE(,_xlpm.l,_xlpm.s))))),ROUND(_xlpm.arr*$O294/1000,2))</f>
        <v>93.48</v>
      </c>
      <c r="BK294" s="330">
        <v>93.48</v>
      </c>
      <c r="BL294" s="330">
        <v>106.83</v>
      </c>
      <c r="BM294" s="330">
        <v>120.19</v>
      </c>
      <c r="BN294" s="258">
        <f t="shared" si="711"/>
        <v>413.98</v>
      </c>
      <c r="BO294" s="258">
        <v>0</v>
      </c>
      <c r="BP294" s="258">
        <v>0</v>
      </c>
      <c r="BQ294" s="258">
        <v>4.04</v>
      </c>
      <c r="BR294" s="258">
        <v>20.2</v>
      </c>
      <c r="BT294" s="258" cm="1">
        <f ca="1" t="array" ref="BT294:BW294">_xlfn.HSTACK(SUM(INDEX($R294:$AV294,1,1):INDEX($R294:$AV294,1,7)),SUM(INDEX($R294:$AV294,1,7):INDEX($R294:$AV294,1,13)),SUM(INDEX($R294:$AV294,1,16):INDEX($R294:$AV294,1,23)),SUM(INDEX($R294:$AV294,1,23):INDEX($R294:$AV294,1,31)))</f>
        <v>980</v>
      </c>
      <c r="BU294" s="258">
        <v>980</v>
      </c>
      <c r="BV294" s="258">
        <v>1120</v>
      </c>
      <c r="BW294" s="258">
        <v>1260</v>
      </c>
      <c r="BY294" s="258">
        <f t="shared" si="712"/>
        <v>980</v>
      </c>
      <c r="BZ294" s="258">
        <f t="shared" si="713"/>
        <v>980</v>
      </c>
      <c r="CA294" s="258">
        <f t="shared" si="714"/>
        <v>1120</v>
      </c>
      <c r="CB294" s="258">
        <f t="shared" si="715"/>
        <v>1260</v>
      </c>
      <c r="CE294" s="258">
        <f t="shared" si="716"/>
        <v>93.48</v>
      </c>
      <c r="CF294" s="258">
        <f t="shared" si="717"/>
        <v>93.48</v>
      </c>
      <c r="CG294" s="258">
        <f t="shared" si="718"/>
        <v>106.83</v>
      </c>
      <c r="CH294" s="258">
        <f t="shared" si="719"/>
        <v>120.19</v>
      </c>
      <c r="CI294" s="258">
        <f t="shared" si="720"/>
        <v>413.98</v>
      </c>
      <c r="CK294" s="258">
        <f t="shared" ref="CK294:CN294" si="743">IFERROR(ROUND(BY294*$P294,2),"")</f>
        <v>1350751.15</v>
      </c>
      <c r="CL294" s="258">
        <f t="shared" si="743"/>
        <v>1350751.15</v>
      </c>
      <c r="CM294" s="258">
        <f t="shared" si="743"/>
        <v>1543715.6</v>
      </c>
      <c r="CN294" s="258">
        <f t="shared" si="743"/>
        <v>1736680.05</v>
      </c>
      <c r="CO294" s="258">
        <f t="shared" si="722"/>
        <v>5981897.95</v>
      </c>
      <c r="CP294" s="258">
        <f>VLOOKUP(G294,[2]Sheet1!$C$3:$G$310,5,0)</f>
        <v>1900</v>
      </c>
      <c r="CQ294" s="258">
        <f>VLOOKUP(G294,[3]KCBB0101!$C$3:$F$691,4,0)</f>
        <v>10584</v>
      </c>
    </row>
    <row r="295" s="258" customFormat="1" ht="17.6" spans="1:95">
      <c r="A295" s="330"/>
      <c r="B295" s="334" t="str">
        <f>_xlfn.XLOOKUP(G295,销售需求表!A:A,销售需求表!C:C)</f>
        <v>亚</v>
      </c>
      <c r="C295" s="335" t="str">
        <f t="shared" si="633"/>
        <v>20</v>
      </c>
      <c r="D295" s="362" t="str">
        <f t="shared" si="698"/>
        <v>亚20寸</v>
      </c>
      <c r="E295" s="339" t="str">
        <f t="shared" si="699"/>
        <v>12.00R20-22PR(158/155J)-AZ850</v>
      </c>
      <c r="F295" s="340" t="str">
        <f t="shared" si="666"/>
        <v>12.00R20-22PR-AZ850</v>
      </c>
      <c r="G295" s="341" t="s">
        <v>636</v>
      </c>
      <c r="H295" s="334">
        <v>400</v>
      </c>
      <c r="I295" s="345"/>
      <c r="J295" s="346" t="str">
        <f t="shared" si="700"/>
        <v>12.00R20-AZ850</v>
      </c>
      <c r="K295" s="347" t="str">
        <f>_xlfn.XLOOKUP(F295,投产规格!E:E,投产规格!D:D,"未投产")</f>
        <v>✔</v>
      </c>
      <c r="L295" s="347">
        <f>IFERROR(_xlfn.XLOOKUP(F295,硫化工艺!B:B,硫化工艺!C:C),"")</f>
        <v>53.5</v>
      </c>
      <c r="M295" s="349">
        <f t="shared" si="701"/>
        <v>0.901685393258427</v>
      </c>
      <c r="N295" s="347" t="str">
        <f t="shared" si="702"/>
        <v>20全钢</v>
      </c>
      <c r="O295" s="347">
        <f>IFERROR(_xlfn.XLOOKUP(F295,轮胎重量!J:J,轮胎重量!G:G),"")</f>
        <v>82.93</v>
      </c>
      <c r="P295" s="347">
        <f>IFERROR(_xlfn.XLOOKUP(G295,硫化工艺!I:I,硫化工艺!J:J),"")</f>
        <v>1191.767864</v>
      </c>
      <c r="Q295" s="347">
        <f t="shared" si="703"/>
        <v>0</v>
      </c>
      <c r="R295" s="347"/>
      <c r="S295" s="347"/>
      <c r="T295" s="347"/>
      <c r="U295" s="347"/>
      <c r="V295" s="347"/>
      <c r="W295" s="347"/>
      <c r="X295" s="347"/>
      <c r="Y295" s="347"/>
      <c r="Z295" s="347"/>
      <c r="AA295" s="347"/>
      <c r="AB295" s="347"/>
      <c r="AC295" s="347"/>
      <c r="AD295" s="347"/>
      <c r="AE295" s="347"/>
      <c r="AF295" s="347"/>
      <c r="AG295" s="347"/>
      <c r="AH295" s="347"/>
      <c r="AI295" s="347"/>
      <c r="AJ295" s="347"/>
      <c r="AK295" s="347"/>
      <c r="AL295" s="347"/>
      <c r="AM295" s="347"/>
      <c r="AN295" s="347"/>
      <c r="AO295" s="347"/>
      <c r="AP295" s="347">
        <v>50</v>
      </c>
      <c r="AQ295" s="347">
        <v>50</v>
      </c>
      <c r="AR295" s="347">
        <v>50</v>
      </c>
      <c r="AS295" s="347">
        <v>50</v>
      </c>
      <c r="AT295" s="347">
        <v>50</v>
      </c>
      <c r="AU295" s="347">
        <v>50</v>
      </c>
      <c r="AV295" s="347">
        <v>50</v>
      </c>
      <c r="AW295" s="347">
        <f t="shared" si="704"/>
        <v>350</v>
      </c>
      <c r="AX295" s="365">
        <f t="shared" si="705"/>
        <v>29.0255</v>
      </c>
      <c r="AY295" s="365">
        <f t="shared" si="706"/>
        <v>41.712</v>
      </c>
      <c r="AZ295" s="366">
        <v>864.55</v>
      </c>
      <c r="BA295" s="368">
        <v>53.34</v>
      </c>
      <c r="BB295" s="368">
        <v>78.72</v>
      </c>
      <c r="BC295" s="368">
        <v>86.44</v>
      </c>
      <c r="BD295" s="330"/>
      <c r="BE295" s="330">
        <f t="shared" si="707"/>
        <v>302592.5</v>
      </c>
      <c r="BF295" s="330">
        <f t="shared" si="708"/>
        <v>18669</v>
      </c>
      <c r="BG295" s="330">
        <f t="shared" si="709"/>
        <v>27552</v>
      </c>
      <c r="BH295" s="330">
        <f t="shared" si="710"/>
        <v>30254</v>
      </c>
      <c r="BI295" s="330"/>
      <c r="BJ295" s="370" cm="1">
        <f t="array" ref="BJ295:BM295">_xlfn.LET(_xlpm.data,$R295:$AV295,_xlpm.starts,{1,8,16,23},_xlpm.lengths,{7,7,8,9},_xlpm.arr,_xlfn.MAP(_xlpm.starts,_xlpm.lengths,_xlfn.LAMBDA(_xlpm.s,_xlpm.l,SUM(INDEX(_xlpm.data,,_xlfn.SEQUENCE(,_xlpm.l,_xlpm.s))))),ROUND(_xlpm.arr*$O295/1000,2))</f>
        <v>0</v>
      </c>
      <c r="BK295" s="330">
        <v>0</v>
      </c>
      <c r="BL295" s="330">
        <v>0</v>
      </c>
      <c r="BM295" s="330">
        <v>29.03</v>
      </c>
      <c r="BN295" s="258">
        <f t="shared" si="711"/>
        <v>29.03</v>
      </c>
      <c r="BO295" s="258">
        <v>0</v>
      </c>
      <c r="BP295" s="258">
        <v>0</v>
      </c>
      <c r="BQ295" s="258">
        <v>0</v>
      </c>
      <c r="BR295" s="258">
        <v>15.99</v>
      </c>
      <c r="BS295" s="115"/>
      <c r="BT295" s="258" cm="1">
        <f ca="1" t="array" ref="BT295:BW295">_xlfn.HSTACK(SUM(INDEX($R295:$AV295,1,1):INDEX($R295:$AV295,1,7)),SUM(INDEX($R295:$AV295,1,7):INDEX($R295:$AV295,1,13)),SUM(INDEX($R295:$AV295,1,16):INDEX($R295:$AV295,1,23)),SUM(INDEX($R295:$AV295,1,23):INDEX($R295:$AV295,1,31)))</f>
        <v>0</v>
      </c>
      <c r="BU295" s="258">
        <v>0</v>
      </c>
      <c r="BV295" s="258">
        <v>0</v>
      </c>
      <c r="BW295" s="258">
        <v>350</v>
      </c>
      <c r="BY295" s="258">
        <f t="shared" si="712"/>
        <v>0</v>
      </c>
      <c r="BZ295" s="258">
        <f t="shared" si="713"/>
        <v>0</v>
      </c>
      <c r="CA295" s="258">
        <f t="shared" si="714"/>
        <v>0</v>
      </c>
      <c r="CB295" s="258">
        <f t="shared" si="715"/>
        <v>350</v>
      </c>
      <c r="CD295" s="113"/>
      <c r="CE295" s="258">
        <f t="shared" si="716"/>
        <v>0</v>
      </c>
      <c r="CF295" s="258">
        <f t="shared" si="717"/>
        <v>0</v>
      </c>
      <c r="CG295" s="258">
        <f t="shared" si="718"/>
        <v>0</v>
      </c>
      <c r="CH295" s="258">
        <f t="shared" si="719"/>
        <v>29.03</v>
      </c>
      <c r="CI295" s="258">
        <f t="shared" si="720"/>
        <v>29.03</v>
      </c>
      <c r="CJ295" s="113"/>
      <c r="CK295" s="258">
        <f t="shared" ref="CK295:CN295" si="744">IFERROR(ROUND(BY295*$P295,2),"")</f>
        <v>0</v>
      </c>
      <c r="CL295" s="258">
        <f t="shared" si="744"/>
        <v>0</v>
      </c>
      <c r="CM295" s="258">
        <f t="shared" si="744"/>
        <v>0</v>
      </c>
      <c r="CN295" s="258">
        <f t="shared" si="744"/>
        <v>417118.75</v>
      </c>
      <c r="CO295" s="258">
        <f t="shared" si="722"/>
        <v>417118.75</v>
      </c>
      <c r="CP295" s="258" t="e">
        <f>VLOOKUP(G295,[2]Sheet1!$C$3:$G$310,5,0)</f>
        <v>#N/A</v>
      </c>
      <c r="CQ295" s="258">
        <f>VLOOKUP(G295,[3]KCBB0101!$C$3:$F$691,4,0)</f>
        <v>2188</v>
      </c>
    </row>
    <row r="296" s="258" customFormat="1" ht="17.6" spans="1:95">
      <c r="A296" s="330"/>
      <c r="B296" s="334" t="str">
        <f>_xlfn.XLOOKUP(G296,销售需求表!A:A,销售需求表!C:C)</f>
        <v>亚</v>
      </c>
      <c r="C296" s="335" t="str">
        <f t="shared" si="633"/>
        <v>20</v>
      </c>
      <c r="D296" s="362" t="str">
        <f t="shared" si="698"/>
        <v>亚20寸</v>
      </c>
      <c r="E296" s="339" t="str">
        <f t="shared" si="699"/>
        <v>12.00R20-22PR(158/155J)-EZ867</v>
      </c>
      <c r="F296" s="340" t="str">
        <f t="shared" si="666"/>
        <v>12.00R20-22PR-EZ867</v>
      </c>
      <c r="G296" s="341" t="s">
        <v>637</v>
      </c>
      <c r="H296" s="334">
        <v>200</v>
      </c>
      <c r="I296" s="345"/>
      <c r="J296" s="346" t="str">
        <f t="shared" si="700"/>
        <v>12.00R20-EZ867</v>
      </c>
      <c r="K296" s="347" t="str">
        <f>_xlfn.XLOOKUP(F296,投产规格!E:E,投产规格!D:D,"未投产")</f>
        <v>✔</v>
      </c>
      <c r="L296" s="347">
        <f>IFERROR(_xlfn.XLOOKUP(F296,硫化工艺!B:B,硫化工艺!C:C),"")</f>
        <v>53.5</v>
      </c>
      <c r="M296" s="349">
        <f t="shared" si="701"/>
        <v>0.901685393258427</v>
      </c>
      <c r="N296" s="347" t="str">
        <f t="shared" si="702"/>
        <v>20全钢</v>
      </c>
      <c r="O296" s="347">
        <f>IFERROR(_xlfn.XLOOKUP(F296,轮胎重量!J:J,轮胎重量!G:G),"")</f>
        <v>86.02</v>
      </c>
      <c r="P296" s="347">
        <f>IFERROR(_xlfn.XLOOKUP(G296,硫化工艺!I:I,硫化工艺!J:J),"")</f>
        <v>1208.447023</v>
      </c>
      <c r="Q296" s="347">
        <f t="shared" si="703"/>
        <v>0</v>
      </c>
      <c r="R296" s="347"/>
      <c r="S296" s="347"/>
      <c r="T296" s="347"/>
      <c r="U296" s="347"/>
      <c r="V296" s="347"/>
      <c r="W296" s="347"/>
      <c r="X296" s="347"/>
      <c r="Y296" s="347"/>
      <c r="Z296" s="347"/>
      <c r="AA296" s="347"/>
      <c r="AB296" s="347"/>
      <c r="AC296" s="347"/>
      <c r="AD296" s="347"/>
      <c r="AE296" s="347"/>
      <c r="AF296" s="347"/>
      <c r="AG296" s="347"/>
      <c r="AH296" s="347"/>
      <c r="AI296" s="347"/>
      <c r="AJ296" s="347"/>
      <c r="AK296" s="347"/>
      <c r="AL296" s="347"/>
      <c r="AM296" s="347"/>
      <c r="AN296" s="347"/>
      <c r="AO296" s="347"/>
      <c r="AP296" s="347">
        <v>50</v>
      </c>
      <c r="AQ296" s="347">
        <v>50</v>
      </c>
      <c r="AR296" s="347">
        <v>50</v>
      </c>
      <c r="AS296" s="347">
        <v>50</v>
      </c>
      <c r="AT296" s="347">
        <v>50</v>
      </c>
      <c r="AU296" s="347">
        <v>50</v>
      </c>
      <c r="AV296" s="347">
        <v>50</v>
      </c>
      <c r="AW296" s="347">
        <f t="shared" si="704"/>
        <v>350</v>
      </c>
      <c r="AX296" s="365">
        <f t="shared" si="705"/>
        <v>30.107</v>
      </c>
      <c r="AY296" s="365">
        <f t="shared" si="706"/>
        <v>42.296</v>
      </c>
      <c r="AZ296" s="366">
        <v>864.55</v>
      </c>
      <c r="BA296" s="368">
        <v>53.34</v>
      </c>
      <c r="BB296" s="368">
        <v>78.72</v>
      </c>
      <c r="BC296" s="368">
        <v>86.44</v>
      </c>
      <c r="BD296" s="330"/>
      <c r="BE296" s="330">
        <f t="shared" si="707"/>
        <v>302592.5</v>
      </c>
      <c r="BF296" s="330">
        <f t="shared" si="708"/>
        <v>18669</v>
      </c>
      <c r="BG296" s="330">
        <f t="shared" si="709"/>
        <v>27552</v>
      </c>
      <c r="BH296" s="330">
        <f t="shared" si="710"/>
        <v>30254</v>
      </c>
      <c r="BI296" s="330"/>
      <c r="BJ296" s="370" cm="1">
        <f t="array" ref="BJ296:BM296">_xlfn.LET(_xlpm.data,$R296:$AV296,_xlpm.starts,{1,8,16,23},_xlpm.lengths,{7,7,8,9},_xlpm.arr,_xlfn.MAP(_xlpm.starts,_xlpm.lengths,_xlfn.LAMBDA(_xlpm.s,_xlpm.l,SUM(INDEX(_xlpm.data,,_xlfn.SEQUENCE(,_xlpm.l,_xlpm.s))))),ROUND(_xlpm.arr*$O296/1000,2))</f>
        <v>0</v>
      </c>
      <c r="BK296" s="330">
        <v>0</v>
      </c>
      <c r="BL296" s="330">
        <v>0</v>
      </c>
      <c r="BM296" s="330">
        <v>30.11</v>
      </c>
      <c r="BN296" s="258">
        <f t="shared" si="711"/>
        <v>30.11</v>
      </c>
      <c r="BO296" s="258">
        <v>0</v>
      </c>
      <c r="BP296" s="258">
        <v>0</v>
      </c>
      <c r="BQ296" s="258">
        <v>0</v>
      </c>
      <c r="BR296" s="258">
        <v>0</v>
      </c>
      <c r="BS296" s="115"/>
      <c r="BT296" s="258" cm="1">
        <f ca="1" t="array" ref="BT296:BW296">_xlfn.HSTACK(SUM(INDEX($R296:$AV296,1,1):INDEX($R296:$AV296,1,7)),SUM(INDEX($R296:$AV296,1,7):INDEX($R296:$AV296,1,13)),SUM(INDEX($R296:$AV296,1,16):INDEX($R296:$AV296,1,23)),SUM(INDEX($R296:$AV296,1,23):INDEX($R296:$AV296,1,31)))</f>
        <v>0</v>
      </c>
      <c r="BU296" s="258">
        <v>0</v>
      </c>
      <c r="BV296" s="258">
        <v>0</v>
      </c>
      <c r="BW296" s="258">
        <v>350</v>
      </c>
      <c r="BY296" s="258">
        <f t="shared" si="712"/>
        <v>0</v>
      </c>
      <c r="BZ296" s="258">
        <f t="shared" si="713"/>
        <v>0</v>
      </c>
      <c r="CA296" s="258">
        <f t="shared" si="714"/>
        <v>0</v>
      </c>
      <c r="CB296" s="258">
        <f t="shared" si="715"/>
        <v>350</v>
      </c>
      <c r="CD296" s="113"/>
      <c r="CE296" s="258">
        <f t="shared" si="716"/>
        <v>0</v>
      </c>
      <c r="CF296" s="258">
        <f t="shared" si="717"/>
        <v>0</v>
      </c>
      <c r="CG296" s="258">
        <f t="shared" si="718"/>
        <v>0</v>
      </c>
      <c r="CH296" s="258">
        <f t="shared" si="719"/>
        <v>30.11</v>
      </c>
      <c r="CI296" s="258">
        <f t="shared" si="720"/>
        <v>30.11</v>
      </c>
      <c r="CJ296" s="113"/>
      <c r="CK296" s="258">
        <f t="shared" ref="CK296:CN296" si="745">IFERROR(ROUND(BY296*$P296,2),"")</f>
        <v>0</v>
      </c>
      <c r="CL296" s="258">
        <f t="shared" si="745"/>
        <v>0</v>
      </c>
      <c r="CM296" s="258">
        <f t="shared" si="745"/>
        <v>0</v>
      </c>
      <c r="CN296" s="258">
        <f t="shared" si="745"/>
        <v>422956.46</v>
      </c>
      <c r="CO296" s="258">
        <f t="shared" si="722"/>
        <v>422956.46</v>
      </c>
      <c r="CP296" s="258" t="e">
        <f>VLOOKUP(G296,[2]Sheet1!$C$3:$G$310,5,0)</f>
        <v>#N/A</v>
      </c>
      <c r="CQ296" s="258">
        <f>VLOOKUP(G296,[3]KCBB0101!$C$3:$F$691,4,0)</f>
        <v>2296</v>
      </c>
    </row>
    <row r="297" s="258" customFormat="1" ht="17.6" spans="1:95">
      <c r="A297" s="330"/>
      <c r="B297" s="334" t="str">
        <f>_xlfn.XLOOKUP(G297,销售需求表!A:A,销售需求表!C:C)</f>
        <v>亚</v>
      </c>
      <c r="C297" s="335" t="str">
        <f t="shared" si="633"/>
        <v>20</v>
      </c>
      <c r="D297" s="362" t="str">
        <f t="shared" si="698"/>
        <v>亚20寸</v>
      </c>
      <c r="E297" s="339" t="str">
        <f t="shared" si="699"/>
        <v>12.00R20-☆☆(158/155C)PR-XC809</v>
      </c>
      <c r="F297" s="340" t="str">
        <f t="shared" si="666"/>
        <v>12.00R20-☆☆-XC809</v>
      </c>
      <c r="G297" s="341" t="s">
        <v>638</v>
      </c>
      <c r="H297" s="334">
        <v>5000</v>
      </c>
      <c r="I297" s="345">
        <v>8</v>
      </c>
      <c r="J297" s="346" t="str">
        <f t="shared" si="700"/>
        <v>12.00R20-☆☆-XC809</v>
      </c>
      <c r="K297" s="347" t="str">
        <f>_xlfn.XLOOKUP(F297,投产规格!E:E,投产规格!D:D,"未投产")</f>
        <v>✔</v>
      </c>
      <c r="L297" s="347">
        <f>IFERROR(_xlfn.XLOOKUP(F297,硫化工艺!B:B,硫化工艺!C:C),"")</f>
        <v>47.7</v>
      </c>
      <c r="M297" s="349">
        <f t="shared" si="701"/>
        <v>0.891033623910336</v>
      </c>
      <c r="N297" s="347" t="str">
        <f t="shared" si="702"/>
        <v>20全钢</v>
      </c>
      <c r="O297" s="347">
        <f>IFERROR(_xlfn.XLOOKUP(F297,轮胎重量!J:J,轮胎重量!G:G),"")</f>
        <v>70.118</v>
      </c>
      <c r="P297" s="347">
        <f>IFERROR(_xlfn.XLOOKUP(G297,硫化工艺!I:I,硫化工艺!J:J),"")</f>
        <v>1008.5131</v>
      </c>
      <c r="Q297" s="347">
        <f t="shared" si="703"/>
        <v>215</v>
      </c>
      <c r="R297" s="347">
        <v>210</v>
      </c>
      <c r="S297" s="347">
        <v>210</v>
      </c>
      <c r="T297" s="347">
        <v>210</v>
      </c>
      <c r="U297" s="347">
        <v>210</v>
      </c>
      <c r="V297" s="347">
        <v>210</v>
      </c>
      <c r="W297" s="347">
        <v>210</v>
      </c>
      <c r="X297" s="347">
        <v>210</v>
      </c>
      <c r="Y297" s="347">
        <v>210</v>
      </c>
      <c r="Z297" s="347">
        <v>210</v>
      </c>
      <c r="AA297" s="347">
        <v>210</v>
      </c>
      <c r="AB297" s="347">
        <v>210</v>
      </c>
      <c r="AC297" s="347">
        <v>210</v>
      </c>
      <c r="AD297" s="347">
        <v>210</v>
      </c>
      <c r="AE297" s="347">
        <v>210</v>
      </c>
      <c r="AF297" s="347">
        <v>210</v>
      </c>
      <c r="AG297" s="347">
        <v>210</v>
      </c>
      <c r="AH297" s="347">
        <v>210</v>
      </c>
      <c r="AI297" s="347">
        <v>210</v>
      </c>
      <c r="AJ297" s="347">
        <v>210</v>
      </c>
      <c r="AK297" s="347">
        <v>210</v>
      </c>
      <c r="AL297" s="347">
        <v>210</v>
      </c>
      <c r="AM297" s="347">
        <v>210</v>
      </c>
      <c r="AN297" s="347">
        <v>210</v>
      </c>
      <c r="AO297" s="347">
        <v>210</v>
      </c>
      <c r="AP297" s="347">
        <v>210</v>
      </c>
      <c r="AQ297" s="347">
        <v>210</v>
      </c>
      <c r="AR297" s="347">
        <v>210</v>
      </c>
      <c r="AS297" s="347">
        <v>210</v>
      </c>
      <c r="AT297" s="347">
        <v>210</v>
      </c>
      <c r="AU297" s="347">
        <v>210</v>
      </c>
      <c r="AV297" s="347">
        <v>210</v>
      </c>
      <c r="AW297" s="347">
        <f t="shared" si="704"/>
        <v>6510</v>
      </c>
      <c r="AX297" s="365">
        <f t="shared" si="705"/>
        <v>456.46818</v>
      </c>
      <c r="AY297" s="365">
        <f t="shared" si="706"/>
        <v>656.542</v>
      </c>
      <c r="AZ297" s="366">
        <v>864.55</v>
      </c>
      <c r="BA297" s="368">
        <v>53.34</v>
      </c>
      <c r="BB297" s="368">
        <v>78.72</v>
      </c>
      <c r="BC297" s="368">
        <v>86.44</v>
      </c>
      <c r="BD297" s="330"/>
      <c r="BE297" s="330">
        <f t="shared" si="707"/>
        <v>5628220.5</v>
      </c>
      <c r="BF297" s="330">
        <f t="shared" si="708"/>
        <v>347243.4</v>
      </c>
      <c r="BG297" s="330">
        <f t="shared" si="709"/>
        <v>512467.2</v>
      </c>
      <c r="BH297" s="330">
        <f t="shared" si="710"/>
        <v>562724.4</v>
      </c>
      <c r="BI297" s="330"/>
      <c r="BJ297" s="370" cm="1">
        <f t="array" ref="BJ297:BM297">_xlfn.LET(_xlpm.data,$R297:$AV297,_xlpm.starts,{1,8,16,23},_xlpm.lengths,{7,7,8,9},_xlpm.arr,_xlfn.MAP(_xlpm.starts,_xlpm.lengths,_xlfn.LAMBDA(_xlpm.s,_xlpm.l,SUM(INDEX(_xlpm.data,,_xlfn.SEQUENCE(,_xlpm.l,_xlpm.s))))),ROUND(_xlpm.arr*$O297/1000,2))</f>
        <v>103.07</v>
      </c>
      <c r="BK297" s="330">
        <v>103.07</v>
      </c>
      <c r="BL297" s="330">
        <v>117.8</v>
      </c>
      <c r="BM297" s="330">
        <v>132.52</v>
      </c>
      <c r="BN297" s="258">
        <f t="shared" si="711"/>
        <v>456.46</v>
      </c>
      <c r="BO297" s="258">
        <v>28.66</v>
      </c>
      <c r="BP297" s="258">
        <v>28.66</v>
      </c>
      <c r="BQ297" s="258">
        <v>32.76</v>
      </c>
      <c r="BR297" s="258">
        <v>36.85</v>
      </c>
      <c r="BS297" s="115"/>
      <c r="BT297" s="258" cm="1">
        <f ca="1" t="array" ref="BT297:BW297">_xlfn.HSTACK(SUM(INDEX($R297:$AV297,1,1):INDEX($R297:$AV297,1,7)),SUM(INDEX($R297:$AV297,1,7):INDEX($R297:$AV297,1,13)),SUM(INDEX($R297:$AV297,1,16):INDEX($R297:$AV297,1,23)),SUM(INDEX($R297:$AV297,1,23):INDEX($R297:$AV297,1,31)))</f>
        <v>1470</v>
      </c>
      <c r="BU297" s="258">
        <v>1470</v>
      </c>
      <c r="BV297" s="258">
        <v>1680</v>
      </c>
      <c r="BW297" s="258">
        <v>1890</v>
      </c>
      <c r="BY297" s="258">
        <f t="shared" si="712"/>
        <v>1470</v>
      </c>
      <c r="BZ297" s="258">
        <f t="shared" si="713"/>
        <v>1470</v>
      </c>
      <c r="CA297" s="258">
        <f t="shared" si="714"/>
        <v>1680</v>
      </c>
      <c r="CB297" s="258">
        <f t="shared" si="715"/>
        <v>1890</v>
      </c>
      <c r="CD297" s="113"/>
      <c r="CE297" s="258">
        <f t="shared" si="716"/>
        <v>103.07</v>
      </c>
      <c r="CF297" s="258">
        <f t="shared" si="717"/>
        <v>103.07</v>
      </c>
      <c r="CG297" s="258">
        <f t="shared" si="718"/>
        <v>117.8</v>
      </c>
      <c r="CH297" s="258">
        <f t="shared" si="719"/>
        <v>132.52</v>
      </c>
      <c r="CI297" s="258">
        <f t="shared" si="720"/>
        <v>456.46</v>
      </c>
      <c r="CJ297" s="113"/>
      <c r="CK297" s="258">
        <f t="shared" ref="CK297:CN297" si="746">IFERROR(ROUND(BY297*$P297,2),"")</f>
        <v>1482514.26</v>
      </c>
      <c r="CL297" s="258">
        <f t="shared" si="746"/>
        <v>1482514.26</v>
      </c>
      <c r="CM297" s="258">
        <f t="shared" si="746"/>
        <v>1694302.01</v>
      </c>
      <c r="CN297" s="258">
        <f t="shared" si="746"/>
        <v>1906089.76</v>
      </c>
      <c r="CO297" s="258">
        <f t="shared" si="722"/>
        <v>6565420.29</v>
      </c>
      <c r="CP297" s="258">
        <f>VLOOKUP(G297,[2]Sheet1!$C$3:$G$310,5,0)</f>
        <v>70400</v>
      </c>
      <c r="CQ297" s="258" t="e">
        <f>VLOOKUP(G297,[3]KCBB0101!$C$3:$F$691,4,0)</f>
        <v>#N/A</v>
      </c>
    </row>
    <row r="298" ht="17.6" spans="2:95">
      <c r="B298" s="334" t="str">
        <f>_xlfn.XLOOKUP(G298,销售需求表!A:A,销售需求表!C:C)</f>
        <v>亚</v>
      </c>
      <c r="C298" s="335" t="str">
        <f t="shared" si="633"/>
        <v>24</v>
      </c>
      <c r="D298" s="383" t="str">
        <f t="shared" si="698"/>
        <v>亚24寸</v>
      </c>
      <c r="E298" s="339" t="str">
        <f t="shared" si="699"/>
        <v>12.00R24-20PR(160/156F)-ETOT</v>
      </c>
      <c r="F298" s="340" t="str">
        <f t="shared" ref="F298:F328" si="747">IFERROR(MID(G298,3,FIND("(",G298)-3)&amp;"-"&amp;SUBSTITUTE(MID(G298,FIND("[",G298)+1,FIND("]",G298)-FIND("[",G298)-1),"Strong Guard ",""),"")</f>
        <v>12.00R24-20PR-ETOT</v>
      </c>
      <c r="G298" s="341" t="s">
        <v>639</v>
      </c>
      <c r="H298" s="334">
        <v>1400</v>
      </c>
      <c r="I298" s="345">
        <v>2</v>
      </c>
      <c r="J298" s="346" t="str">
        <f t="shared" si="700"/>
        <v>12.00R24-ETOT</v>
      </c>
      <c r="K298" s="347" t="str">
        <f>_xlfn.XLOOKUP(F298,投产规格!E:E,投产规格!D:D,"未投产")</f>
        <v>✔</v>
      </c>
      <c r="L298" s="347">
        <f>IFERROR(_xlfn.XLOOKUP(F298,硫化工艺!B:B,硫化工艺!C:C),"")</f>
        <v>63</v>
      </c>
      <c r="M298" s="349">
        <f t="shared" si="701"/>
        <v>0.915254237288136</v>
      </c>
      <c r="N298" s="347" t="str">
        <f t="shared" si="702"/>
        <v>24全钢</v>
      </c>
      <c r="O298" s="347">
        <f>IFERROR(_xlfn.XLOOKUP(F298,轮胎重量!J:J,轮胎重量!G:G),"")</f>
        <v>99.892</v>
      </c>
      <c r="P298" s="347">
        <f>IFERROR(_xlfn.XLOOKUP(G298,硫化工艺!I:I,硫化工艺!J:J),"")</f>
        <v>1373.26</v>
      </c>
      <c r="Q298" s="347">
        <f t="shared" si="703"/>
        <v>42</v>
      </c>
      <c r="R298" s="347">
        <v>42</v>
      </c>
      <c r="S298" s="347">
        <v>42</v>
      </c>
      <c r="T298" s="347">
        <v>42</v>
      </c>
      <c r="U298" s="347">
        <v>42</v>
      </c>
      <c r="V298" s="347">
        <v>42</v>
      </c>
      <c r="W298" s="347">
        <v>42</v>
      </c>
      <c r="X298" s="347">
        <v>42</v>
      </c>
      <c r="Y298" s="347">
        <v>42</v>
      </c>
      <c r="Z298" s="347">
        <v>42</v>
      </c>
      <c r="AA298" s="347">
        <v>42</v>
      </c>
      <c r="AB298" s="347">
        <v>42</v>
      </c>
      <c r="AC298" s="347">
        <f t="shared" ref="AC298:AV298" si="748">42*3</f>
        <v>126</v>
      </c>
      <c r="AD298" s="347">
        <f t="shared" si="748"/>
        <v>126</v>
      </c>
      <c r="AE298" s="347">
        <f t="shared" si="748"/>
        <v>126</v>
      </c>
      <c r="AF298" s="347">
        <f t="shared" si="748"/>
        <v>126</v>
      </c>
      <c r="AG298" s="347">
        <f t="shared" si="748"/>
        <v>126</v>
      </c>
      <c r="AH298" s="347">
        <f t="shared" si="748"/>
        <v>126</v>
      </c>
      <c r="AI298" s="347">
        <f t="shared" si="748"/>
        <v>126</v>
      </c>
      <c r="AJ298" s="347">
        <f t="shared" si="748"/>
        <v>126</v>
      </c>
      <c r="AK298" s="347">
        <f t="shared" si="748"/>
        <v>126</v>
      </c>
      <c r="AL298" s="347">
        <f t="shared" si="748"/>
        <v>126</v>
      </c>
      <c r="AM298" s="347">
        <f t="shared" si="748"/>
        <v>126</v>
      </c>
      <c r="AN298" s="347">
        <f t="shared" si="748"/>
        <v>126</v>
      </c>
      <c r="AO298" s="347">
        <f t="shared" si="748"/>
        <v>126</v>
      </c>
      <c r="AP298" s="347">
        <f t="shared" si="748"/>
        <v>126</v>
      </c>
      <c r="AQ298" s="347">
        <f t="shared" si="748"/>
        <v>126</v>
      </c>
      <c r="AR298" s="347">
        <f t="shared" si="748"/>
        <v>126</v>
      </c>
      <c r="AS298" s="347">
        <f t="shared" si="748"/>
        <v>126</v>
      </c>
      <c r="AT298" s="347">
        <f t="shared" si="748"/>
        <v>126</v>
      </c>
      <c r="AU298" s="347">
        <f t="shared" si="748"/>
        <v>126</v>
      </c>
      <c r="AV298" s="347">
        <f t="shared" si="748"/>
        <v>126</v>
      </c>
      <c r="AW298" s="347">
        <f t="shared" si="704"/>
        <v>2982</v>
      </c>
      <c r="AX298" s="365">
        <f t="shared" si="705"/>
        <v>297.877944</v>
      </c>
      <c r="AY298" s="365">
        <f t="shared" si="706"/>
        <v>409.506</v>
      </c>
      <c r="AZ298" s="366">
        <v>842.39</v>
      </c>
      <c r="BA298" s="368">
        <v>47.68</v>
      </c>
      <c r="BB298" s="368">
        <v>74.78</v>
      </c>
      <c r="BC298" s="368">
        <v>76.28</v>
      </c>
      <c r="BE298" s="330">
        <f t="shared" si="707"/>
        <v>2512006.98</v>
      </c>
      <c r="BF298" s="330">
        <f t="shared" si="708"/>
        <v>142181.76</v>
      </c>
      <c r="BG298" s="330">
        <f t="shared" si="709"/>
        <v>222993.96</v>
      </c>
      <c r="BH298" s="330">
        <f t="shared" si="710"/>
        <v>227466.96</v>
      </c>
      <c r="BJ298" s="370" cm="1">
        <f t="array" ref="BJ298:BM298">_xlfn.LET(_xlpm.data,$R298:$AV298,_xlpm.starts,{1,8,16,23},_xlpm.lengths,{7,7,8,9},_xlpm.arr,_xlfn.MAP(_xlpm.starts,_xlpm.lengths,_xlfn.LAMBDA(_xlpm.s,_xlpm.l,SUM(INDEX(_xlpm.data,,_xlfn.SEQUENCE(,_xlpm.l,_xlpm.s))))),ROUND(_xlpm.arr*$O298/1000,2))</f>
        <v>29.37</v>
      </c>
      <c r="BK298" s="330">
        <v>54.54</v>
      </c>
      <c r="BL298" s="330">
        <v>100.69</v>
      </c>
      <c r="BM298" s="330">
        <v>113.28</v>
      </c>
      <c r="BN298" s="258">
        <f t="shared" si="711"/>
        <v>297.88</v>
      </c>
      <c r="BO298" s="258">
        <v>67.98</v>
      </c>
      <c r="BP298" s="258">
        <v>57.82</v>
      </c>
      <c r="BQ298" s="258">
        <v>0</v>
      </c>
      <c r="BR298" s="258">
        <v>0</v>
      </c>
      <c r="BT298" s="258" cm="1">
        <f ca="1" t="array" ref="BT298:BW298">_xlfn.HSTACK(SUM(INDEX($R298:$AV298,1,1):INDEX($R298:$AV298,1,7)),SUM(INDEX($R298:$AV298,1,7):INDEX($R298:$AV298,1,13)),SUM(INDEX($R298:$AV298,1,16):INDEX($R298:$AV298,1,23)),SUM(INDEX($R298:$AV298,1,23):INDEX($R298:$AV298,1,31)))</f>
        <v>294</v>
      </c>
      <c r="BU298" s="258">
        <v>462</v>
      </c>
      <c r="BV298" s="258">
        <v>1008</v>
      </c>
      <c r="BW298" s="258">
        <v>1134</v>
      </c>
      <c r="BY298" s="258">
        <f t="shared" si="712"/>
        <v>294</v>
      </c>
      <c r="BZ298" s="258">
        <f t="shared" si="713"/>
        <v>546</v>
      </c>
      <c r="CA298" s="258">
        <f t="shared" si="714"/>
        <v>1008</v>
      </c>
      <c r="CB298" s="258">
        <f t="shared" si="715"/>
        <v>1134</v>
      </c>
      <c r="CE298" s="258">
        <f t="shared" si="716"/>
        <v>29.37</v>
      </c>
      <c r="CF298" s="258">
        <f t="shared" si="717"/>
        <v>54.54</v>
      </c>
      <c r="CG298" s="258">
        <f t="shared" si="718"/>
        <v>100.69</v>
      </c>
      <c r="CH298" s="258">
        <f t="shared" si="719"/>
        <v>113.28</v>
      </c>
      <c r="CI298" s="258">
        <f t="shared" si="720"/>
        <v>297.88</v>
      </c>
      <c r="CK298" s="258">
        <f t="shared" ref="CK298:CN298" si="749">IFERROR(ROUND(BY298*$P298,2),"")</f>
        <v>403738.44</v>
      </c>
      <c r="CL298" s="258">
        <f t="shared" si="749"/>
        <v>749799.96</v>
      </c>
      <c r="CM298" s="258">
        <f t="shared" si="749"/>
        <v>1384246.08</v>
      </c>
      <c r="CN298" s="258">
        <f t="shared" si="749"/>
        <v>1557276.84</v>
      </c>
      <c r="CO298" s="258">
        <f t="shared" si="722"/>
        <v>4095061.32</v>
      </c>
      <c r="CP298" s="258">
        <f>VLOOKUP(G298,[2]Sheet1!$C$3:$G$310,5,0)</f>
        <v>8300</v>
      </c>
      <c r="CQ298" s="258" t="e">
        <f>VLOOKUP(G298,[3]KCBB0101!$C$3:$F$691,4,0)</f>
        <v>#N/A</v>
      </c>
    </row>
    <row r="299" ht="17.6" spans="2:95">
      <c r="B299" s="334" t="str">
        <f>_xlfn.XLOOKUP(G299,销售需求表!A:A,销售需求表!C:C)</f>
        <v>亚</v>
      </c>
      <c r="C299" s="335" t="str">
        <f t="shared" ref="C299:C305" si="750">IFERROR(MID(F299,FIND("R",F299)+1,2),"")</f>
        <v>24</v>
      </c>
      <c r="D299" s="383" t="str">
        <f t="shared" si="698"/>
        <v>亚24寸</v>
      </c>
      <c r="E299" s="339" t="str">
        <f t="shared" si="699"/>
        <v>12.00R24-20PR(160/157F)-CB332</v>
      </c>
      <c r="F299" s="340" t="str">
        <f t="shared" si="747"/>
        <v>12.00R24-20PR-CB332</v>
      </c>
      <c r="G299" s="341" t="s">
        <v>640</v>
      </c>
      <c r="H299" s="334">
        <v>450</v>
      </c>
      <c r="I299" s="345"/>
      <c r="J299" s="346" t="str">
        <f t="shared" si="700"/>
        <v>12.00R24-CB332</v>
      </c>
      <c r="K299" s="347" t="str">
        <f>_xlfn.XLOOKUP(F299,投产规格!E:E,投产规格!D:D,"未投产")</f>
        <v>✔</v>
      </c>
      <c r="L299" s="347">
        <f>IFERROR(_xlfn.XLOOKUP(F299,硫化工艺!B:B,硫化工艺!C:C),"")</f>
        <v>56.5</v>
      </c>
      <c r="M299" s="349">
        <f t="shared" si="701"/>
        <v>0.906417112299465</v>
      </c>
      <c r="N299" s="347" t="str">
        <f t="shared" si="702"/>
        <v>24全钢</v>
      </c>
      <c r="O299" s="347">
        <f>IFERROR(_xlfn.XLOOKUP(F299,轮胎重量!J:J,轮胎重量!G:G),"")</f>
        <v>91.663</v>
      </c>
      <c r="P299" s="347">
        <f>IFERROR(_xlfn.XLOOKUP(G299,硫化工艺!I:I,硫化工艺!J:J),"")</f>
        <v>1288.8295</v>
      </c>
      <c r="Q299" s="347">
        <f t="shared" si="703"/>
        <v>0</v>
      </c>
      <c r="R299" s="347"/>
      <c r="S299" s="347"/>
      <c r="T299" s="347"/>
      <c r="U299" s="347"/>
      <c r="V299" s="347"/>
      <c r="W299" s="347"/>
      <c r="X299" s="347"/>
      <c r="Y299" s="347"/>
      <c r="Z299" s="347"/>
      <c r="AA299" s="347"/>
      <c r="AB299" s="347"/>
      <c r="AC299" s="347"/>
      <c r="AD299" s="347"/>
      <c r="AE299" s="347"/>
      <c r="AF299" s="347"/>
      <c r="AG299" s="347"/>
      <c r="AH299" s="347"/>
      <c r="AI299" s="347"/>
      <c r="AJ299" s="347"/>
      <c r="AK299" s="347"/>
      <c r="AL299" s="347"/>
      <c r="AM299" s="347"/>
      <c r="AN299" s="347"/>
      <c r="AO299" s="347"/>
      <c r="AP299" s="347"/>
      <c r="AQ299" s="347"/>
      <c r="AR299" s="347">
        <v>130</v>
      </c>
      <c r="AS299" s="347">
        <v>130</v>
      </c>
      <c r="AT299" s="347">
        <v>130</v>
      </c>
      <c r="AU299" s="347">
        <v>130</v>
      </c>
      <c r="AV299" s="347">
        <v>130</v>
      </c>
      <c r="AW299" s="347">
        <f t="shared" si="704"/>
        <v>650</v>
      </c>
      <c r="AX299" s="365">
        <f t="shared" si="705"/>
        <v>59.58095</v>
      </c>
      <c r="AY299" s="365">
        <f t="shared" si="706"/>
        <v>83.774</v>
      </c>
      <c r="AZ299" s="366">
        <v>842.39</v>
      </c>
      <c r="BA299" s="368">
        <v>47.68</v>
      </c>
      <c r="BB299" s="368">
        <v>74.78</v>
      </c>
      <c r="BC299" s="368">
        <v>76.28</v>
      </c>
      <c r="BE299" s="330">
        <f t="shared" si="707"/>
        <v>547553.5</v>
      </c>
      <c r="BF299" s="330">
        <f t="shared" si="708"/>
        <v>30992</v>
      </c>
      <c r="BG299" s="330">
        <f t="shared" si="709"/>
        <v>48607</v>
      </c>
      <c r="BH299" s="330">
        <f t="shared" si="710"/>
        <v>49582</v>
      </c>
      <c r="BJ299" s="370" cm="1">
        <f t="array" ref="BJ299:BM299">_xlfn.LET(_xlpm.data,$R299:$AV299,_xlpm.starts,{1,8,16,23},_xlpm.lengths,{7,7,8,9},_xlpm.arr,_xlfn.MAP(_xlpm.starts,_xlpm.lengths,_xlfn.LAMBDA(_xlpm.s,_xlpm.l,SUM(INDEX(_xlpm.data,,_xlfn.SEQUENCE(,_xlpm.l,_xlpm.s))))),ROUND(_xlpm.arr*$O299/1000,2))</f>
        <v>0</v>
      </c>
      <c r="BK299" s="330">
        <v>0</v>
      </c>
      <c r="BL299" s="330">
        <v>0</v>
      </c>
      <c r="BM299" s="330">
        <v>59.58</v>
      </c>
      <c r="BN299" s="258">
        <f t="shared" si="711"/>
        <v>59.58</v>
      </c>
      <c r="BO299" s="258">
        <v>67.98</v>
      </c>
      <c r="BP299" s="258">
        <v>57.82</v>
      </c>
      <c r="BQ299" s="258">
        <v>0</v>
      </c>
      <c r="BR299" s="258">
        <v>0</v>
      </c>
      <c r="BT299" s="258" cm="1">
        <f ca="1" t="array" ref="BT299:BW299">_xlfn.HSTACK(SUM(INDEX($R299:$AV299,1,1):INDEX($R299:$AV299,1,7)),SUM(INDEX($R299:$AV299,1,7):INDEX($R299:$AV299,1,13)),SUM(INDEX($R299:$AV299,1,16):INDEX($R299:$AV299,1,23)),SUM(INDEX($R299:$AV299,1,23):INDEX($R299:$AV299,1,31)))</f>
        <v>0</v>
      </c>
      <c r="BU299" s="258">
        <v>0</v>
      </c>
      <c r="BV299" s="258">
        <v>0</v>
      </c>
      <c r="BW299" s="258">
        <v>650</v>
      </c>
      <c r="BY299" s="258">
        <f t="shared" si="712"/>
        <v>0</v>
      </c>
      <c r="BZ299" s="258">
        <f t="shared" si="713"/>
        <v>0</v>
      </c>
      <c r="CA299" s="258">
        <f t="shared" si="714"/>
        <v>0</v>
      </c>
      <c r="CB299" s="258">
        <f t="shared" si="715"/>
        <v>650</v>
      </c>
      <c r="CE299" s="258">
        <f t="shared" si="716"/>
        <v>0</v>
      </c>
      <c r="CF299" s="258">
        <f t="shared" si="717"/>
        <v>0</v>
      </c>
      <c r="CG299" s="258">
        <f t="shared" si="718"/>
        <v>0</v>
      </c>
      <c r="CH299" s="258">
        <f t="shared" si="719"/>
        <v>59.58</v>
      </c>
      <c r="CI299" s="258">
        <f t="shared" si="720"/>
        <v>59.58</v>
      </c>
      <c r="CK299" s="258">
        <f t="shared" ref="CK299:CN299" si="751">IFERROR(ROUND(BY299*$P299,2),"")</f>
        <v>0</v>
      </c>
      <c r="CL299" s="258">
        <f t="shared" si="751"/>
        <v>0</v>
      </c>
      <c r="CM299" s="258">
        <f t="shared" si="751"/>
        <v>0</v>
      </c>
      <c r="CN299" s="258">
        <f t="shared" si="751"/>
        <v>837739.18</v>
      </c>
      <c r="CO299" s="258">
        <f t="shared" si="722"/>
        <v>837739.18</v>
      </c>
      <c r="CP299" s="258">
        <f>VLOOKUP(G299,[2]Sheet1!$C$3:$G$310,5,0)</f>
        <v>2300</v>
      </c>
      <c r="CQ299" s="258" t="e">
        <f>VLOOKUP(G299,[3]KCBB0101!$C$3:$F$691,4,0)</f>
        <v>#N/A</v>
      </c>
    </row>
    <row r="300" ht="17.6" spans="2:95">
      <c r="B300" s="334" t="str">
        <f>_xlfn.XLOOKUP(G300,销售需求表!A:A,销售需求表!C:C)</f>
        <v>亚</v>
      </c>
      <c r="C300" s="335" t="str">
        <f t="shared" si="750"/>
        <v>24</v>
      </c>
      <c r="D300" s="383" t="str">
        <f t="shared" si="698"/>
        <v>亚24寸</v>
      </c>
      <c r="E300" s="339" t="str">
        <f t="shared" si="699"/>
        <v>12.00R24-20PR(160/157F)-CB972</v>
      </c>
      <c r="F300" s="340" t="str">
        <f t="shared" si="747"/>
        <v>12.00R24-20PR-CB972</v>
      </c>
      <c r="G300" s="342" t="s">
        <v>45</v>
      </c>
      <c r="H300" s="334">
        <v>3400</v>
      </c>
      <c r="I300" s="345">
        <v>4</v>
      </c>
      <c r="J300" s="346" t="str">
        <f t="shared" si="700"/>
        <v>12.00R24-CB972</v>
      </c>
      <c r="K300" s="347" t="str">
        <f>_xlfn.XLOOKUP(F300,投产规格!E:E,投产规格!D:D,"未投产")</f>
        <v>✔</v>
      </c>
      <c r="L300" s="347">
        <f>IFERROR(_xlfn.XLOOKUP(F300,硫化工艺!B:B,硫化工艺!C:C),"")</f>
        <v>51.5</v>
      </c>
      <c r="M300" s="349">
        <f t="shared" si="701"/>
        <v>0.898255813953488</v>
      </c>
      <c r="N300" s="347" t="str">
        <f t="shared" si="702"/>
        <v>24全钢</v>
      </c>
      <c r="O300" s="347">
        <f>IFERROR(_xlfn.XLOOKUP(F300,轮胎重量!J:J,轮胎重量!G:G),"")</f>
        <v>82.688</v>
      </c>
      <c r="P300" s="347">
        <f>IFERROR(_xlfn.XLOOKUP(G300,硫化工艺!I:I,硫化工艺!J:J),"")</f>
        <v>1179.9207</v>
      </c>
      <c r="Q300" s="347">
        <f t="shared" si="703"/>
        <v>100</v>
      </c>
      <c r="R300" s="347">
        <v>100</v>
      </c>
      <c r="S300" s="347">
        <v>100</v>
      </c>
      <c r="T300" s="347">
        <v>100</v>
      </c>
      <c r="U300" s="347">
        <v>100</v>
      </c>
      <c r="V300" s="347">
        <v>100</v>
      </c>
      <c r="W300" s="347">
        <v>100</v>
      </c>
      <c r="X300" s="347">
        <v>100</v>
      </c>
      <c r="Y300" s="347">
        <v>100</v>
      </c>
      <c r="Z300" s="347">
        <v>100</v>
      </c>
      <c r="AA300" s="347">
        <v>100</v>
      </c>
      <c r="AB300" s="347">
        <v>100</v>
      </c>
      <c r="AC300" s="347">
        <v>100</v>
      </c>
      <c r="AD300" s="347">
        <v>100</v>
      </c>
      <c r="AE300" s="347">
        <v>100</v>
      </c>
      <c r="AF300" s="347">
        <v>100</v>
      </c>
      <c r="AG300" s="347">
        <v>100</v>
      </c>
      <c r="AH300" s="347">
        <v>100</v>
      </c>
      <c r="AI300" s="347">
        <v>100</v>
      </c>
      <c r="AJ300" s="347">
        <v>100</v>
      </c>
      <c r="AK300" s="347">
        <v>100</v>
      </c>
      <c r="AL300" s="347">
        <v>100</v>
      </c>
      <c r="AM300" s="347">
        <v>100</v>
      </c>
      <c r="AN300" s="347">
        <v>100</v>
      </c>
      <c r="AO300" s="347">
        <v>100</v>
      </c>
      <c r="AP300" s="347">
        <v>100</v>
      </c>
      <c r="AQ300" s="347">
        <v>100</v>
      </c>
      <c r="AR300" s="347">
        <v>100</v>
      </c>
      <c r="AS300" s="347">
        <v>100</v>
      </c>
      <c r="AT300" s="347">
        <v>100</v>
      </c>
      <c r="AU300" s="347">
        <v>100</v>
      </c>
      <c r="AV300" s="347">
        <v>100</v>
      </c>
      <c r="AW300" s="347">
        <v>5000</v>
      </c>
      <c r="AX300" s="365">
        <f t="shared" si="705"/>
        <v>413.44</v>
      </c>
      <c r="AY300" s="365">
        <f t="shared" si="706"/>
        <v>589.96</v>
      </c>
      <c r="AZ300" s="366">
        <v>842.39</v>
      </c>
      <c r="BA300" s="368">
        <v>47.68</v>
      </c>
      <c r="BB300" s="368">
        <v>74.78</v>
      </c>
      <c r="BC300" s="368">
        <v>76.28</v>
      </c>
      <c r="BE300" s="330">
        <f t="shared" si="707"/>
        <v>4211950</v>
      </c>
      <c r="BF300" s="330">
        <f t="shared" si="708"/>
        <v>238400</v>
      </c>
      <c r="BG300" s="330">
        <f t="shared" si="709"/>
        <v>373900</v>
      </c>
      <c r="BH300" s="330">
        <f t="shared" si="710"/>
        <v>381400</v>
      </c>
      <c r="BJ300" s="370" cm="1">
        <f t="array" ref="BJ300:BM300">_xlfn.LET(_xlpm.data,$R300:$AV300,_xlpm.starts,{1,8,16,23},_xlpm.lengths,{7,7,8,9},_xlpm.arr,_xlfn.MAP(_xlpm.starts,_xlpm.lengths,_xlfn.LAMBDA(_xlpm.s,_xlpm.l,SUM(INDEX(_xlpm.data,,_xlfn.SEQUENCE(,_xlpm.l,_xlpm.s))))),ROUND(_xlpm.arr*$O300/1000,2))</f>
        <v>57.88</v>
      </c>
      <c r="BK300" s="330">
        <v>57.88</v>
      </c>
      <c r="BL300" s="330">
        <v>66.15</v>
      </c>
      <c r="BM300" s="330">
        <v>74.42</v>
      </c>
      <c r="BN300" s="258">
        <f t="shared" si="711"/>
        <v>256.33</v>
      </c>
      <c r="BO300" s="258">
        <v>67.98</v>
      </c>
      <c r="BP300" s="258">
        <v>57.82</v>
      </c>
      <c r="BQ300" s="258">
        <v>0</v>
      </c>
      <c r="BR300" s="258">
        <v>0</v>
      </c>
      <c r="BT300" s="258" cm="1">
        <f ca="1" t="array" ref="BT300:BW300">_xlfn.HSTACK(SUM(INDEX($R300:$AV300,1,1):INDEX($R300:$AV300,1,7)),SUM(INDEX($R300:$AV300,1,7):INDEX($R300:$AV300,1,13)),SUM(INDEX($R300:$AV300,1,16):INDEX($R300:$AV300,1,23)),SUM(INDEX($R300:$AV300,1,23):INDEX($R300:$AV300,1,31)))</f>
        <v>700</v>
      </c>
      <c r="BU300" s="258">
        <v>700</v>
      </c>
      <c r="BV300" s="258">
        <v>800</v>
      </c>
      <c r="BW300" s="258">
        <v>900</v>
      </c>
      <c r="BY300" s="258">
        <f t="shared" si="712"/>
        <v>700</v>
      </c>
      <c r="BZ300" s="258">
        <f t="shared" si="713"/>
        <v>700</v>
      </c>
      <c r="CA300" s="258">
        <f t="shared" si="714"/>
        <v>800</v>
      </c>
      <c r="CB300" s="258">
        <f t="shared" si="715"/>
        <v>900</v>
      </c>
      <c r="CE300" s="258">
        <f t="shared" si="716"/>
        <v>57.88</v>
      </c>
      <c r="CF300" s="258">
        <f t="shared" si="717"/>
        <v>57.88</v>
      </c>
      <c r="CG300" s="258">
        <f t="shared" si="718"/>
        <v>66.15</v>
      </c>
      <c r="CH300" s="258">
        <f t="shared" si="719"/>
        <v>74.42</v>
      </c>
      <c r="CI300" s="258">
        <f t="shared" si="720"/>
        <v>256.33</v>
      </c>
      <c r="CK300" s="258">
        <f t="shared" ref="CK300:CN300" si="752">IFERROR(ROUND(BY300*$P300,2),"")</f>
        <v>825944.49</v>
      </c>
      <c r="CL300" s="258">
        <f t="shared" si="752"/>
        <v>825944.49</v>
      </c>
      <c r="CM300" s="258">
        <f t="shared" si="752"/>
        <v>943936.56</v>
      </c>
      <c r="CN300" s="258">
        <f t="shared" si="752"/>
        <v>1061928.63</v>
      </c>
      <c r="CO300" s="258">
        <f t="shared" si="722"/>
        <v>3657754.17</v>
      </c>
      <c r="CP300" s="258">
        <f>VLOOKUP(G300,[2]Sheet1!$C$3:$G$310,5,0)</f>
        <v>200</v>
      </c>
      <c r="CQ300" s="258" t="e">
        <f>VLOOKUP(G300,[3]KCBB0101!$C$3:$F$691,4,0)</f>
        <v>#N/A</v>
      </c>
    </row>
    <row r="301" ht="17.6" spans="2:95">
      <c r="B301" s="334" t="str">
        <f>_xlfn.XLOOKUP(G301,销售需求表!A:A,销售需求表!C:C)</f>
        <v>亚</v>
      </c>
      <c r="C301" s="335" t="str">
        <f t="shared" si="750"/>
        <v>24</v>
      </c>
      <c r="D301" s="383" t="str">
        <f t="shared" si="698"/>
        <v>亚24寸</v>
      </c>
      <c r="E301" s="339" t="str">
        <f t="shared" si="699"/>
        <v>12.00R24-20PR(160/157F)-CB972E</v>
      </c>
      <c r="F301" s="340" t="str">
        <f t="shared" si="747"/>
        <v>12.00R24-20PR-CB972E</v>
      </c>
      <c r="G301" s="341" t="s">
        <v>641</v>
      </c>
      <c r="H301" s="334">
        <v>380</v>
      </c>
      <c r="I301" s="345"/>
      <c r="J301" s="346" t="str">
        <f t="shared" si="700"/>
        <v>12.00R24-CB972E</v>
      </c>
      <c r="K301" s="347" t="str">
        <f>_xlfn.XLOOKUP(F301,投产规格!E:E,投产规格!D:D,"未投产")</f>
        <v>✔</v>
      </c>
      <c r="L301" s="347">
        <f>IFERROR(_xlfn.XLOOKUP(F301,硫化工艺!B:B,硫化工艺!C:C),"")</f>
        <v>56.5</v>
      </c>
      <c r="M301" s="349">
        <f t="shared" si="701"/>
        <v>0.906417112299465</v>
      </c>
      <c r="N301" s="347" t="str">
        <f t="shared" si="702"/>
        <v>24全钢</v>
      </c>
      <c r="O301" s="347">
        <v>62.812</v>
      </c>
      <c r="P301" s="347">
        <f>IFERROR(_xlfn.XLOOKUP(G301,硫化工艺!I:I,硫化工艺!J:J),"")</f>
        <v>1293.292</v>
      </c>
      <c r="Q301" s="347">
        <f t="shared" si="703"/>
        <v>0</v>
      </c>
      <c r="R301" s="347"/>
      <c r="S301" s="347"/>
      <c r="T301" s="347"/>
      <c r="U301" s="347"/>
      <c r="V301" s="347"/>
      <c r="W301" s="347"/>
      <c r="X301" s="347"/>
      <c r="Y301" s="347"/>
      <c r="Z301" s="347"/>
      <c r="AA301" s="347"/>
      <c r="AB301" s="347"/>
      <c r="AC301" s="347"/>
      <c r="AD301" s="347"/>
      <c r="AE301" s="347"/>
      <c r="AF301" s="347"/>
      <c r="AG301" s="347"/>
      <c r="AH301" s="347"/>
      <c r="AI301" s="347"/>
      <c r="AJ301" s="347"/>
      <c r="AK301" s="347"/>
      <c r="AL301" s="347"/>
      <c r="AM301" s="347"/>
      <c r="AN301" s="347">
        <v>174</v>
      </c>
      <c r="AO301" s="347">
        <v>174</v>
      </c>
      <c r="AP301" s="347">
        <v>174</v>
      </c>
      <c r="AQ301" s="347">
        <v>174</v>
      </c>
      <c r="AR301" s="347"/>
      <c r="AS301" s="347"/>
      <c r="AT301" s="347"/>
      <c r="AU301" s="347"/>
      <c r="AV301" s="347"/>
      <c r="AW301" s="347">
        <f t="shared" si="704"/>
        <v>696</v>
      </c>
      <c r="AX301" s="365">
        <f t="shared" si="705"/>
        <v>43.717152</v>
      </c>
      <c r="AY301" s="365">
        <f t="shared" si="706"/>
        <v>90.013</v>
      </c>
      <c r="AZ301" s="366">
        <v>834.98</v>
      </c>
      <c r="BA301" s="368">
        <v>49.6</v>
      </c>
      <c r="BB301" s="368">
        <v>76.03</v>
      </c>
      <c r="BC301" s="368">
        <v>81.43</v>
      </c>
      <c r="BE301" s="330">
        <f t="shared" si="707"/>
        <v>581146.08</v>
      </c>
      <c r="BF301" s="330">
        <f t="shared" si="708"/>
        <v>34521.6</v>
      </c>
      <c r="BG301" s="330">
        <f t="shared" si="709"/>
        <v>52916.88</v>
      </c>
      <c r="BH301" s="330">
        <f t="shared" si="710"/>
        <v>56675.28</v>
      </c>
      <c r="BJ301" s="370" cm="1">
        <f t="array" ref="BJ301:BM301">_xlfn.LET(_xlpm.data,$R301:$AV301,_xlpm.starts,{1,8,16,23},_xlpm.lengths,{7,7,8,9},_xlpm.arr,_xlfn.MAP(_xlpm.starts,_xlpm.lengths,_xlfn.LAMBDA(_xlpm.s,_xlpm.l,SUM(INDEX(_xlpm.data,,_xlfn.SEQUENCE(,_xlpm.l,_xlpm.s))))),ROUND(_xlpm.arr*$O301/1000,2))</f>
        <v>0</v>
      </c>
      <c r="BK301" s="330">
        <v>0</v>
      </c>
      <c r="BL301" s="330">
        <v>10.93</v>
      </c>
      <c r="BM301" s="330">
        <v>43.72</v>
      </c>
      <c r="BN301" s="258">
        <f t="shared" si="711"/>
        <v>54.65</v>
      </c>
      <c r="BO301" s="258">
        <v>0</v>
      </c>
      <c r="BP301" s="258">
        <v>8.34</v>
      </c>
      <c r="BQ301" s="258">
        <v>66.74</v>
      </c>
      <c r="BR301" s="258">
        <v>75.08</v>
      </c>
      <c r="BT301" s="258" cm="1">
        <f ca="1" t="array" ref="BT301:BW301">_xlfn.HSTACK(SUM(INDEX($R301:$AV301,1,1):INDEX($R301:$AV301,1,7)),SUM(INDEX($R301:$AV301,1,7):INDEX($R301:$AV301,1,13)),SUM(INDEX($R301:$AV301,1,16):INDEX($R301:$AV301,1,23)),SUM(INDEX($R301:$AV301,1,23):INDEX($R301:$AV301,1,31)))</f>
        <v>0</v>
      </c>
      <c r="BU301" s="258">
        <v>0</v>
      </c>
      <c r="BV301" s="258">
        <v>174</v>
      </c>
      <c r="BW301" s="258">
        <v>696</v>
      </c>
      <c r="BY301" s="258">
        <f t="shared" si="712"/>
        <v>0</v>
      </c>
      <c r="BZ301" s="258">
        <f t="shared" si="713"/>
        <v>0</v>
      </c>
      <c r="CA301" s="258">
        <f t="shared" si="714"/>
        <v>0</v>
      </c>
      <c r="CB301" s="258">
        <f t="shared" si="715"/>
        <v>696</v>
      </c>
      <c r="CE301" s="258">
        <f t="shared" si="716"/>
        <v>0</v>
      </c>
      <c r="CF301" s="258">
        <f t="shared" si="717"/>
        <v>0</v>
      </c>
      <c r="CG301" s="258">
        <f t="shared" si="718"/>
        <v>0</v>
      </c>
      <c r="CH301" s="258">
        <f t="shared" si="719"/>
        <v>43.72</v>
      </c>
      <c r="CI301" s="258">
        <f t="shared" si="720"/>
        <v>43.72</v>
      </c>
      <c r="CK301" s="258">
        <f t="shared" ref="CK301:CN301" si="753">IFERROR(ROUND(BY301*$P301,2),"")</f>
        <v>0</v>
      </c>
      <c r="CL301" s="258">
        <f t="shared" si="753"/>
        <v>0</v>
      </c>
      <c r="CM301" s="258">
        <f t="shared" si="753"/>
        <v>0</v>
      </c>
      <c r="CN301" s="258">
        <f t="shared" si="753"/>
        <v>900131.23</v>
      </c>
      <c r="CO301" s="258">
        <f t="shared" si="722"/>
        <v>900131.23</v>
      </c>
      <c r="CP301" s="258" t="e">
        <f>VLOOKUP(G301,[2]Sheet1!$C$3:$G$310,5,0)</f>
        <v>#N/A</v>
      </c>
      <c r="CQ301" s="258">
        <f>VLOOKUP(G301,[3]KCBB0101!$C$3:$F$691,4,0)</f>
        <v>3690</v>
      </c>
    </row>
    <row r="302" ht="17.6" spans="2:95">
      <c r="B302" s="334" t="str">
        <f>_xlfn.XLOOKUP(G302,销售需求表!A:A,销售需求表!C:C)</f>
        <v>亚</v>
      </c>
      <c r="C302" s="335" t="str">
        <f t="shared" si="750"/>
        <v>24</v>
      </c>
      <c r="D302" s="383" t="str">
        <f t="shared" si="698"/>
        <v>亚24寸</v>
      </c>
      <c r="E302" s="339" t="str">
        <f t="shared" si="699"/>
        <v>12.00R24-20PR(160/157F)-CB972E</v>
      </c>
      <c r="F302" s="340" t="str">
        <f t="shared" si="747"/>
        <v>12.00R24-20PR-CB972E</v>
      </c>
      <c r="G302" s="341" t="s">
        <v>642</v>
      </c>
      <c r="H302" s="334">
        <v>1000</v>
      </c>
      <c r="I302" s="345">
        <v>6</v>
      </c>
      <c r="J302" s="346" t="str">
        <f t="shared" si="700"/>
        <v>12.00R24-CB972E</v>
      </c>
      <c r="K302" s="347" t="str">
        <f>_xlfn.XLOOKUP(F302,投产规格!E:E,投产规格!D:D,"未投产")</f>
        <v>✔</v>
      </c>
      <c r="L302" s="347">
        <f>IFERROR(_xlfn.XLOOKUP(F302,硫化工艺!B:B,硫化工艺!C:C),"")</f>
        <v>56.5</v>
      </c>
      <c r="M302" s="349">
        <f t="shared" si="701"/>
        <v>0.906417112299465</v>
      </c>
      <c r="N302" s="347" t="str">
        <f t="shared" si="702"/>
        <v>24全钢</v>
      </c>
      <c r="O302" s="347">
        <f>IFERROR(_xlfn.XLOOKUP(F302,轮胎重量!J:J,轮胎重量!G:G),"")</f>
        <v>92.56</v>
      </c>
      <c r="P302" s="347">
        <f>IFERROR(_xlfn.XLOOKUP(G302,硫化工艺!I:I,硫化工艺!J:J),"")</f>
        <v>1286.120703</v>
      </c>
      <c r="Q302" s="347">
        <f t="shared" si="703"/>
        <v>139</v>
      </c>
      <c r="R302" s="347">
        <v>130</v>
      </c>
      <c r="S302" s="347">
        <v>130</v>
      </c>
      <c r="T302" s="347">
        <v>130</v>
      </c>
      <c r="U302" s="347">
        <v>130</v>
      </c>
      <c r="V302" s="347">
        <v>130</v>
      </c>
      <c r="W302" s="347">
        <v>130</v>
      </c>
      <c r="X302" s="347">
        <v>130</v>
      </c>
      <c r="Y302" s="347">
        <v>130</v>
      </c>
      <c r="Z302" s="347"/>
      <c r="AA302" s="347"/>
      <c r="AB302" s="347"/>
      <c r="AC302" s="347"/>
      <c r="AD302" s="347"/>
      <c r="AE302" s="347"/>
      <c r="AF302" s="347"/>
      <c r="AG302" s="347"/>
      <c r="AH302" s="347"/>
      <c r="AI302" s="347"/>
      <c r="AJ302" s="347"/>
      <c r="AK302" s="347"/>
      <c r="AL302" s="347"/>
      <c r="AM302" s="347"/>
      <c r="AN302" s="347"/>
      <c r="AO302" s="347"/>
      <c r="AP302" s="347"/>
      <c r="AQ302" s="347"/>
      <c r="AR302" s="347"/>
      <c r="AS302" s="347"/>
      <c r="AT302" s="347"/>
      <c r="AU302" s="347"/>
      <c r="AV302" s="347"/>
      <c r="AW302" s="347">
        <f t="shared" si="704"/>
        <v>1040</v>
      </c>
      <c r="AX302" s="365">
        <f t="shared" si="705"/>
        <v>96.2624</v>
      </c>
      <c r="AY302" s="365">
        <f t="shared" si="706"/>
        <v>133.757</v>
      </c>
      <c r="AZ302" s="366">
        <v>834.98</v>
      </c>
      <c r="BA302" s="368">
        <v>49.6</v>
      </c>
      <c r="BB302" s="368">
        <v>76.03</v>
      </c>
      <c r="BC302" s="368">
        <v>81.43</v>
      </c>
      <c r="BE302" s="330">
        <f t="shared" si="707"/>
        <v>868379.2</v>
      </c>
      <c r="BF302" s="330">
        <f t="shared" si="708"/>
        <v>51584</v>
      </c>
      <c r="BG302" s="330">
        <f t="shared" si="709"/>
        <v>79071.2</v>
      </c>
      <c r="BH302" s="330">
        <f t="shared" si="710"/>
        <v>84687.2</v>
      </c>
      <c r="BJ302" s="370" cm="1">
        <f t="array" ref="BJ302:BM302">_xlfn.LET(_xlpm.data,$R302:$AV302,_xlpm.starts,{1,8,16,23},_xlpm.lengths,{7,7,8,9},_xlpm.arr,_xlfn.MAP(_xlpm.starts,_xlpm.lengths,_xlfn.LAMBDA(_xlpm.s,_xlpm.l,SUM(INDEX(_xlpm.data,,_xlfn.SEQUENCE(,_xlpm.l,_xlpm.s))))),ROUND(_xlpm.arr*$O302/1000,2))</f>
        <v>84.23</v>
      </c>
      <c r="BK302" s="330">
        <v>12.03</v>
      </c>
      <c r="BL302" s="330">
        <v>0</v>
      </c>
      <c r="BM302" s="330">
        <v>0</v>
      </c>
      <c r="BN302" s="258">
        <f t="shared" si="711"/>
        <v>96.26</v>
      </c>
      <c r="BO302" s="258">
        <v>0</v>
      </c>
      <c r="BP302" s="258">
        <v>8.34</v>
      </c>
      <c r="BQ302" s="258">
        <v>66.74</v>
      </c>
      <c r="BR302" s="258">
        <v>75.08</v>
      </c>
      <c r="BT302" s="258" cm="1">
        <f ca="1" t="array" ref="BT302:BW302">_xlfn.HSTACK(SUM(INDEX($R302:$AV302,1,1):INDEX($R302:$AV302,1,7)),SUM(INDEX($R302:$AV302,1,7):INDEX($R302:$AV302,1,13)),SUM(INDEX($R302:$AV302,1,16):INDEX($R302:$AV302,1,23)),SUM(INDEX($R302:$AV302,1,23):INDEX($R302:$AV302,1,31)))</f>
        <v>910</v>
      </c>
      <c r="BU302" s="258">
        <v>260</v>
      </c>
      <c r="BV302" s="258">
        <v>0</v>
      </c>
      <c r="BW302" s="258">
        <v>0</v>
      </c>
      <c r="BY302" s="258">
        <f t="shared" si="712"/>
        <v>910</v>
      </c>
      <c r="BZ302" s="258">
        <f t="shared" si="713"/>
        <v>130</v>
      </c>
      <c r="CA302" s="258">
        <f t="shared" si="714"/>
        <v>0</v>
      </c>
      <c r="CB302" s="258">
        <f t="shared" si="715"/>
        <v>0</v>
      </c>
      <c r="CE302" s="258">
        <f t="shared" si="716"/>
        <v>84.23</v>
      </c>
      <c r="CF302" s="258">
        <f t="shared" si="717"/>
        <v>12.03</v>
      </c>
      <c r="CG302" s="258">
        <f t="shared" si="718"/>
        <v>0</v>
      </c>
      <c r="CH302" s="258">
        <f t="shared" si="719"/>
        <v>0</v>
      </c>
      <c r="CI302" s="258">
        <f t="shared" si="720"/>
        <v>96.26</v>
      </c>
      <c r="CK302" s="258">
        <f t="shared" ref="CK302:CN302" si="754">IFERROR(ROUND(BY302*$P302,2),"")</f>
        <v>1170369.84</v>
      </c>
      <c r="CL302" s="258">
        <f t="shared" si="754"/>
        <v>167195.69</v>
      </c>
      <c r="CM302" s="258">
        <f t="shared" si="754"/>
        <v>0</v>
      </c>
      <c r="CN302" s="258">
        <f t="shared" si="754"/>
        <v>0</v>
      </c>
      <c r="CO302" s="258">
        <f t="shared" si="722"/>
        <v>1337565.53</v>
      </c>
      <c r="CP302" s="258">
        <f>VLOOKUP(G302,[2]Sheet1!$C$3:$G$310,5,0)</f>
        <v>5000</v>
      </c>
      <c r="CQ302" s="258" t="str">
        <f>VLOOKUP(G302,[3]KCBB0101!$C$3:$F$691,4,0)</f>
        <v>_</v>
      </c>
    </row>
    <row r="303" ht="17.6" spans="2:95">
      <c r="B303" s="334" t="str">
        <f>_xlfn.XLOOKUP(G303,销售需求表!A:A,销售需求表!C:C)</f>
        <v>亚</v>
      </c>
      <c r="C303" s="335" t="str">
        <f t="shared" si="750"/>
        <v>24</v>
      </c>
      <c r="D303" s="383" t="str">
        <f t="shared" si="698"/>
        <v>亚24寸</v>
      </c>
      <c r="E303" s="339" t="str">
        <f t="shared" si="699"/>
        <v>12.00R24-20PR(160/157F)-CB972E</v>
      </c>
      <c r="F303" s="340" t="str">
        <f t="shared" si="747"/>
        <v>12.00R24-20PR-CB972E</v>
      </c>
      <c r="G303" s="341" t="s">
        <v>643</v>
      </c>
      <c r="H303" s="334">
        <v>1700</v>
      </c>
      <c r="I303" s="345"/>
      <c r="J303" s="346" t="str">
        <f t="shared" si="700"/>
        <v>12.00R24-CB972E</v>
      </c>
      <c r="K303" s="347" t="str">
        <f>_xlfn.XLOOKUP(F303,投产规格!E:E,投产规格!D:D,"未投产")</f>
        <v>✔</v>
      </c>
      <c r="L303" s="347">
        <f>IFERROR(_xlfn.XLOOKUP(F303,硫化工艺!B:B,硫化工艺!C:C),"")</f>
        <v>56.5</v>
      </c>
      <c r="M303" s="349">
        <f t="shared" si="701"/>
        <v>0.906417112299465</v>
      </c>
      <c r="N303" s="347" t="str">
        <f t="shared" si="702"/>
        <v>24全钢</v>
      </c>
      <c r="O303" s="347">
        <f>IFERROR(_xlfn.XLOOKUP(F303,轮胎重量!J:J,轮胎重量!G:G),"")</f>
        <v>92.56</v>
      </c>
      <c r="P303" s="347">
        <f>IFERROR(_xlfn.XLOOKUP(G303,硫化工艺!I:I,硫化工艺!J:J),"")</f>
        <v>1286.120703</v>
      </c>
      <c r="Q303" s="347">
        <f t="shared" si="703"/>
        <v>0</v>
      </c>
      <c r="R303" s="347"/>
      <c r="S303" s="347"/>
      <c r="T303" s="347"/>
      <c r="U303" s="347"/>
      <c r="V303" s="347"/>
      <c r="W303" s="347"/>
      <c r="X303" s="347"/>
      <c r="Y303" s="347"/>
      <c r="Z303" s="347">
        <v>130</v>
      </c>
      <c r="AA303" s="347">
        <v>130</v>
      </c>
      <c r="AB303" s="347">
        <v>130</v>
      </c>
      <c r="AC303" s="347">
        <v>174</v>
      </c>
      <c r="AD303" s="347">
        <v>174</v>
      </c>
      <c r="AE303" s="347">
        <v>174</v>
      </c>
      <c r="AF303" s="347">
        <v>174</v>
      </c>
      <c r="AG303" s="347">
        <v>174</v>
      </c>
      <c r="AH303" s="347">
        <v>174</v>
      </c>
      <c r="AI303" s="347">
        <v>174</v>
      </c>
      <c r="AJ303" s="347">
        <v>174</v>
      </c>
      <c r="AK303" s="347">
        <v>174</v>
      </c>
      <c r="AL303" s="347">
        <v>174</v>
      </c>
      <c r="AM303" s="347">
        <v>174</v>
      </c>
      <c r="AN303" s="347"/>
      <c r="AO303" s="347"/>
      <c r="AP303" s="347"/>
      <c r="AQ303" s="347"/>
      <c r="AR303" s="347"/>
      <c r="AS303" s="347"/>
      <c r="AT303" s="347"/>
      <c r="AU303" s="347"/>
      <c r="AV303" s="347"/>
      <c r="AW303" s="347">
        <f t="shared" si="704"/>
        <v>2304</v>
      </c>
      <c r="AX303" s="365">
        <f t="shared" si="705"/>
        <v>213.25824</v>
      </c>
      <c r="AY303" s="365">
        <f t="shared" si="706"/>
        <v>296.322</v>
      </c>
      <c r="AZ303" s="366">
        <v>811.96</v>
      </c>
      <c r="BA303" s="368">
        <v>46.38</v>
      </c>
      <c r="BB303" s="368">
        <v>73.08</v>
      </c>
      <c r="BC303" s="368">
        <v>75.21</v>
      </c>
      <c r="BE303" s="330">
        <f t="shared" si="707"/>
        <v>1870755.84</v>
      </c>
      <c r="BF303" s="330">
        <f t="shared" si="708"/>
        <v>106859.52</v>
      </c>
      <c r="BG303" s="330">
        <f t="shared" si="709"/>
        <v>168376.32</v>
      </c>
      <c r="BH303" s="330">
        <f t="shared" si="710"/>
        <v>173283.84</v>
      </c>
      <c r="BJ303" s="370" cm="1">
        <f t="array" ref="BJ303:BM303">_xlfn.LET(_xlpm.data,$R303:$AV303,_xlpm.starts,{1,8,16,23},_xlpm.lengths,{7,7,8,9},_xlpm.arr,_xlfn.MAP(_xlpm.starts,_xlpm.lengths,_xlfn.LAMBDA(_xlpm.s,_xlpm.l,SUM(INDEX(_xlpm.data,,_xlfn.SEQUENCE(,_xlpm.l,_xlpm.s))))),ROUND(_xlpm.arr*$O303/1000,2))</f>
        <v>0</v>
      </c>
      <c r="BK303" s="330">
        <v>84.41</v>
      </c>
      <c r="BL303" s="330">
        <v>112.74</v>
      </c>
      <c r="BM303" s="330">
        <v>0</v>
      </c>
      <c r="BN303" s="258">
        <f t="shared" si="711"/>
        <v>197.15</v>
      </c>
      <c r="BO303" s="258">
        <v>29.92</v>
      </c>
      <c r="BP303" s="258">
        <v>29.92</v>
      </c>
      <c r="BQ303" s="258">
        <v>34.2</v>
      </c>
      <c r="BR303" s="258">
        <v>38.47</v>
      </c>
      <c r="BT303" s="258" cm="1">
        <f ca="1" t="array" ref="BT303:BW303">_xlfn.HSTACK(SUM(INDEX($R303:$AV303,1,1):INDEX($R303:$AV303,1,7)),SUM(INDEX($R303:$AV303,1,7):INDEX($R303:$AV303,1,13)),SUM(INDEX($R303:$AV303,1,16):INDEX($R303:$AV303,1,23)),SUM(INDEX($R303:$AV303,1,23):INDEX($R303:$AV303,1,31)))</f>
        <v>0</v>
      </c>
      <c r="BU303" s="258">
        <v>738</v>
      </c>
      <c r="BV303" s="258">
        <v>1218</v>
      </c>
      <c r="BW303" s="258">
        <v>0</v>
      </c>
      <c r="BY303" s="258">
        <f t="shared" si="712"/>
        <v>0</v>
      </c>
      <c r="BZ303" s="258">
        <f t="shared" si="713"/>
        <v>912</v>
      </c>
      <c r="CA303" s="258">
        <f t="shared" si="714"/>
        <v>1392</v>
      </c>
      <c r="CB303" s="258">
        <f t="shared" si="715"/>
        <v>0</v>
      </c>
      <c r="CE303" s="258">
        <f t="shared" si="716"/>
        <v>0</v>
      </c>
      <c r="CF303" s="258">
        <f t="shared" si="717"/>
        <v>84.41</v>
      </c>
      <c r="CG303" s="258">
        <f t="shared" si="718"/>
        <v>128.84</v>
      </c>
      <c r="CH303" s="258">
        <f t="shared" si="719"/>
        <v>0</v>
      </c>
      <c r="CI303" s="258">
        <f t="shared" si="720"/>
        <v>213.25</v>
      </c>
      <c r="CK303" s="258">
        <f t="shared" ref="CK303:CN303" si="755">IFERROR(ROUND(BY303*$P303,2),"")</f>
        <v>0</v>
      </c>
      <c r="CL303" s="258">
        <f t="shared" si="755"/>
        <v>1172942.08</v>
      </c>
      <c r="CM303" s="258">
        <f t="shared" si="755"/>
        <v>1790280.02</v>
      </c>
      <c r="CN303" s="258">
        <f t="shared" si="755"/>
        <v>0</v>
      </c>
      <c r="CO303" s="258">
        <f t="shared" si="722"/>
        <v>2963222.1</v>
      </c>
      <c r="CP303" s="258" t="e">
        <f>VLOOKUP(G303,[2]Sheet1!$C$3:$G$310,5,0)</f>
        <v>#N/A</v>
      </c>
      <c r="CQ303" s="258">
        <f>VLOOKUP(G303,[3]KCBB0101!$C$3:$F$691,4,0)</f>
        <v>7100</v>
      </c>
    </row>
    <row r="304" ht="17.6" spans="2:95">
      <c r="B304" s="334" t="str">
        <f>_xlfn.XLOOKUP(G304,销售需求表!A:A,销售需求表!C:C)</f>
        <v>亚</v>
      </c>
      <c r="C304" s="335" t="str">
        <f t="shared" si="750"/>
        <v>24</v>
      </c>
      <c r="D304" s="362" t="str">
        <f t="shared" si="698"/>
        <v>亚24寸</v>
      </c>
      <c r="E304" s="339" t="str">
        <f t="shared" si="699"/>
        <v>12.00R24-20PR(160/157F)-TZ101 PRO</v>
      </c>
      <c r="F304" s="340" t="str">
        <f t="shared" si="747"/>
        <v>12.00R24-20PR-TZ101 PRO</v>
      </c>
      <c r="G304" s="341" t="s">
        <v>644</v>
      </c>
      <c r="H304" s="334">
        <v>2000</v>
      </c>
      <c r="I304" s="345">
        <v>2</v>
      </c>
      <c r="J304" s="346" t="str">
        <f t="shared" si="700"/>
        <v>12.00R24-TZ101 PRO</v>
      </c>
      <c r="K304" s="347" t="str">
        <f>_xlfn.XLOOKUP(F304,投产规格!E:E,投产规格!D:D,"未投产")</f>
        <v>✔</v>
      </c>
      <c r="L304" s="347">
        <f>IFERROR(_xlfn.XLOOKUP(F304,硫化工艺!B:B,硫化工艺!C:C),"")</f>
        <v>56.5</v>
      </c>
      <c r="M304" s="349">
        <f t="shared" si="701"/>
        <v>0.906417112299465</v>
      </c>
      <c r="N304" s="347" t="str">
        <f t="shared" si="702"/>
        <v>24全钢</v>
      </c>
      <c r="O304" s="347">
        <f>IFERROR(_xlfn.XLOOKUP(F304,轮胎重量!J:J,轮胎重量!G:G),"")</f>
        <v>92.56</v>
      </c>
      <c r="P304" s="347">
        <f>IFERROR(_xlfn.XLOOKUP(G304,硫化工艺!I:I,硫化工艺!J:J),"")</f>
        <v>1300.0988</v>
      </c>
      <c r="Q304" s="347">
        <f t="shared" si="703"/>
        <v>46</v>
      </c>
      <c r="R304" s="347">
        <v>44</v>
      </c>
      <c r="S304" s="347">
        <v>44</v>
      </c>
      <c r="T304" s="347">
        <v>44</v>
      </c>
      <c r="U304" s="347">
        <v>44</v>
      </c>
      <c r="V304" s="347">
        <v>44</v>
      </c>
      <c r="W304" s="347">
        <v>44</v>
      </c>
      <c r="X304" s="347">
        <v>44</v>
      </c>
      <c r="Y304" s="347">
        <v>44</v>
      </c>
      <c r="Z304" s="347">
        <v>44</v>
      </c>
      <c r="AA304" s="347">
        <v>44</v>
      </c>
      <c r="AB304" s="347">
        <v>44</v>
      </c>
      <c r="AC304" s="347">
        <v>44</v>
      </c>
      <c r="AD304" s="347">
        <v>44</v>
      </c>
      <c r="AE304" s="347">
        <v>44</v>
      </c>
      <c r="AF304" s="347">
        <v>44</v>
      </c>
      <c r="AG304" s="347">
        <v>44</v>
      </c>
      <c r="AH304" s="347">
        <v>44</v>
      </c>
      <c r="AI304" s="347">
        <v>44</v>
      </c>
      <c r="AJ304" s="347">
        <v>44</v>
      </c>
      <c r="AK304" s="347">
        <v>44</v>
      </c>
      <c r="AL304" s="347">
        <v>44</v>
      </c>
      <c r="AM304" s="347">
        <v>44</v>
      </c>
      <c r="AN304" s="347">
        <v>44</v>
      </c>
      <c r="AO304" s="347">
        <v>44</v>
      </c>
      <c r="AP304" s="347">
        <v>44</v>
      </c>
      <c r="AQ304" s="347">
        <v>44</v>
      </c>
      <c r="AR304" s="347">
        <v>44</v>
      </c>
      <c r="AS304" s="347">
        <v>44</v>
      </c>
      <c r="AT304" s="347">
        <v>44</v>
      </c>
      <c r="AU304" s="347">
        <v>44</v>
      </c>
      <c r="AV304" s="347">
        <v>44</v>
      </c>
      <c r="AW304" s="347">
        <f t="shared" si="704"/>
        <v>1364</v>
      </c>
      <c r="AX304" s="365">
        <f t="shared" si="705"/>
        <v>126.25184</v>
      </c>
      <c r="AY304" s="365">
        <f t="shared" si="706"/>
        <v>177.333</v>
      </c>
      <c r="AZ304" s="366">
        <v>618.6</v>
      </c>
      <c r="BA304" s="368">
        <v>39.01</v>
      </c>
      <c r="BB304" s="368">
        <v>60.79</v>
      </c>
      <c r="BC304" s="368">
        <v>65.96</v>
      </c>
      <c r="BE304" s="330">
        <f t="shared" ref="BE304:BE308" si="756">AZ304*AW304</f>
        <v>843770.4</v>
      </c>
      <c r="BF304" s="330">
        <f t="shared" ref="BF304:BF308" si="757">BA304*AW304</f>
        <v>53209.64</v>
      </c>
      <c r="BG304" s="330">
        <f t="shared" ref="BG304:BG308" si="758">BB304*AW304</f>
        <v>82917.56</v>
      </c>
      <c r="BH304" s="330">
        <f t="shared" ref="BH304:BH308" si="759">BC304*AW304</f>
        <v>89969.44</v>
      </c>
      <c r="BJ304" s="370" cm="1">
        <f t="array" ref="BJ304:BM304">_xlfn.LET(_xlpm.data,$R304:$AV304,_xlpm.starts,{1,8,16,23},_xlpm.lengths,{7,7,8,9},_xlpm.arr,_xlfn.MAP(_xlpm.starts,_xlpm.lengths,_xlfn.LAMBDA(_xlpm.s,_xlpm.l,SUM(INDEX(_xlpm.data,,_xlfn.SEQUENCE(,_xlpm.l,_xlpm.s))))),ROUND(_xlpm.arr*$O304/1000,2))</f>
        <v>28.51</v>
      </c>
      <c r="BK304" s="330">
        <v>28.51</v>
      </c>
      <c r="BL304" s="330">
        <v>32.58</v>
      </c>
      <c r="BM304" s="330">
        <v>36.65</v>
      </c>
      <c r="BN304" s="258">
        <f t="shared" si="711"/>
        <v>126.25</v>
      </c>
      <c r="BO304" s="258">
        <v>21.64</v>
      </c>
      <c r="BP304" s="258">
        <v>50.5</v>
      </c>
      <c r="BQ304" s="258">
        <v>0</v>
      </c>
      <c r="BR304" s="258">
        <v>0</v>
      </c>
      <c r="BT304" s="258" cm="1">
        <f ca="1" t="array" ref="BT304:BW304">_xlfn.HSTACK(SUM(INDEX($R304:$AV304,1,1):INDEX($R304:$AV304,1,7)),SUM(INDEX($R304:$AV304,1,7):INDEX($R304:$AV304,1,13)),SUM(INDEX($R304:$AV304,1,16):INDEX($R304:$AV304,1,23)),SUM(INDEX($R304:$AV304,1,23):INDEX($R304:$AV304,1,31)))</f>
        <v>308</v>
      </c>
      <c r="BU304" s="258">
        <v>308</v>
      </c>
      <c r="BV304" s="258">
        <v>352</v>
      </c>
      <c r="BW304" s="258">
        <v>396</v>
      </c>
      <c r="BY304" s="258">
        <f t="shared" si="712"/>
        <v>308</v>
      </c>
      <c r="BZ304" s="258">
        <f t="shared" si="713"/>
        <v>308</v>
      </c>
      <c r="CA304" s="258">
        <f t="shared" si="714"/>
        <v>352</v>
      </c>
      <c r="CB304" s="258">
        <f t="shared" si="715"/>
        <v>396</v>
      </c>
      <c r="CE304" s="258">
        <f t="shared" si="716"/>
        <v>28.51</v>
      </c>
      <c r="CF304" s="258">
        <f t="shared" si="717"/>
        <v>28.51</v>
      </c>
      <c r="CG304" s="258">
        <f t="shared" si="718"/>
        <v>32.58</v>
      </c>
      <c r="CH304" s="258">
        <f t="shared" si="719"/>
        <v>36.65</v>
      </c>
      <c r="CI304" s="258">
        <f t="shared" si="720"/>
        <v>126.25</v>
      </c>
      <c r="CK304" s="258">
        <f t="shared" ref="CK304:CN304" si="760">IFERROR(ROUND(BY304*$P304,2),"")</f>
        <v>400430.43</v>
      </c>
      <c r="CL304" s="258">
        <f t="shared" si="760"/>
        <v>400430.43</v>
      </c>
      <c r="CM304" s="258">
        <f t="shared" si="760"/>
        <v>457634.78</v>
      </c>
      <c r="CN304" s="258">
        <f t="shared" si="760"/>
        <v>514839.12</v>
      </c>
      <c r="CO304" s="258">
        <f t="shared" ref="CO304:CO313" si="761">SUM(CK304:CN304)</f>
        <v>1773334.76</v>
      </c>
      <c r="CP304" s="258" t="e">
        <f>VLOOKUP(G304,[2]Sheet1!$C$3:$G$310,5,0)</f>
        <v>#N/A</v>
      </c>
      <c r="CQ304" s="258">
        <f>VLOOKUP(G304,[3]KCBB0101!$C$3:$F$691,4,0)</f>
        <v>3908</v>
      </c>
    </row>
    <row r="305" ht="17.6" spans="2:95">
      <c r="B305" s="334" t="str">
        <f>_xlfn.XLOOKUP(G305,销售需求表!A:A,销售需求表!C:C)</f>
        <v>亚</v>
      </c>
      <c r="C305" s="335" t="str">
        <f t="shared" si="750"/>
        <v>24</v>
      </c>
      <c r="D305" s="362" t="str">
        <f t="shared" si="698"/>
        <v>亚24寸</v>
      </c>
      <c r="E305" s="339" t="str">
        <f t="shared" si="699"/>
        <v>12.00R24-20PR(160/157F)-TZ101</v>
      </c>
      <c r="F305" s="340" t="str">
        <f t="shared" si="747"/>
        <v>12.00R24-20PR-TZ101</v>
      </c>
      <c r="G305" s="341" t="s">
        <v>645</v>
      </c>
      <c r="H305" s="334">
        <v>1400</v>
      </c>
      <c r="I305" s="345"/>
      <c r="J305" s="346" t="str">
        <f t="shared" si="700"/>
        <v>12.00R24-TZ101</v>
      </c>
      <c r="K305" s="347" t="str">
        <f>_xlfn.XLOOKUP(F305,投产规格!E:E,投产规格!D:D,"未投产")</f>
        <v>✔</v>
      </c>
      <c r="L305" s="347">
        <f>IFERROR(_xlfn.XLOOKUP(F305,硫化工艺!B:B,硫化工艺!C:C),"")</f>
        <v>51.5</v>
      </c>
      <c r="M305" s="349">
        <f t="shared" si="701"/>
        <v>0.898255813953488</v>
      </c>
      <c r="N305" s="347" t="str">
        <f t="shared" si="702"/>
        <v>24全钢</v>
      </c>
      <c r="O305" s="347">
        <f>IFERROR(_xlfn.XLOOKUP(F305,轮胎重量!J:J,轮胎重量!G:G),"")</f>
        <v>82.688</v>
      </c>
      <c r="P305" s="347">
        <f>IFERROR(_xlfn.XLOOKUP(G305,硫化工艺!I:I,硫化工艺!J:J),"")</f>
        <v>1302.93338</v>
      </c>
      <c r="Q305" s="347">
        <f t="shared" si="703"/>
        <v>0</v>
      </c>
      <c r="R305" s="347"/>
      <c r="S305" s="347"/>
      <c r="T305" s="347"/>
      <c r="U305" s="347"/>
      <c r="V305" s="347"/>
      <c r="W305" s="347"/>
      <c r="X305" s="347"/>
      <c r="Y305" s="347"/>
      <c r="Z305" s="347"/>
      <c r="AA305" s="347"/>
      <c r="AB305" s="347"/>
      <c r="AC305" s="347"/>
      <c r="AD305" s="347">
        <v>50</v>
      </c>
      <c r="AE305" s="347">
        <v>50</v>
      </c>
      <c r="AF305" s="347">
        <v>50</v>
      </c>
      <c r="AG305" s="347">
        <v>50</v>
      </c>
      <c r="AH305" s="347">
        <v>50</v>
      </c>
      <c r="AI305" s="347">
        <v>50</v>
      </c>
      <c r="AJ305" s="347">
        <v>50</v>
      </c>
      <c r="AK305" s="347">
        <v>50</v>
      </c>
      <c r="AL305" s="347">
        <v>50</v>
      </c>
      <c r="AM305" s="347">
        <v>50</v>
      </c>
      <c r="AN305" s="347">
        <v>50</v>
      </c>
      <c r="AO305" s="347">
        <v>50</v>
      </c>
      <c r="AP305" s="347">
        <v>50</v>
      </c>
      <c r="AQ305" s="347">
        <v>50</v>
      </c>
      <c r="AR305" s="347">
        <v>50</v>
      </c>
      <c r="AS305" s="347">
        <v>50</v>
      </c>
      <c r="AT305" s="347">
        <v>50</v>
      </c>
      <c r="AU305" s="347">
        <v>50</v>
      </c>
      <c r="AV305" s="347">
        <v>50</v>
      </c>
      <c r="AW305" s="347">
        <f t="shared" si="704"/>
        <v>950</v>
      </c>
      <c r="AX305" s="365">
        <f t="shared" si="705"/>
        <v>78.5536</v>
      </c>
      <c r="AY305" s="365">
        <f t="shared" si="706"/>
        <v>123.779</v>
      </c>
      <c r="AZ305" s="366">
        <v>618.6</v>
      </c>
      <c r="BA305" s="368">
        <v>39.01</v>
      </c>
      <c r="BB305" s="368">
        <v>60.79</v>
      </c>
      <c r="BC305" s="368">
        <v>65.96</v>
      </c>
      <c r="BE305" s="330">
        <f t="shared" si="756"/>
        <v>587670</v>
      </c>
      <c r="BF305" s="330">
        <f t="shared" si="757"/>
        <v>37059.5</v>
      </c>
      <c r="BG305" s="330">
        <f t="shared" si="758"/>
        <v>57750.5</v>
      </c>
      <c r="BH305" s="330">
        <f t="shared" si="759"/>
        <v>62662</v>
      </c>
      <c r="BJ305" s="370" cm="1">
        <f t="array" ref="BJ305:BM305">_xlfn.LET(_xlpm.data,$R305:$AV305,_xlpm.starts,{1,8,16,23},_xlpm.lengths,{7,7,8,9},_xlpm.arr,_xlfn.MAP(_xlpm.starts,_xlpm.lengths,_xlfn.LAMBDA(_xlpm.s,_xlpm.l,SUM(INDEX(_xlpm.data,,_xlfn.SEQUENCE(,_xlpm.l,_xlpm.s))))),ROUND(_xlpm.arr*$O305/1000,2))</f>
        <v>0</v>
      </c>
      <c r="BK305" s="330">
        <v>8.27</v>
      </c>
      <c r="BL305" s="330">
        <v>33.08</v>
      </c>
      <c r="BM305" s="330">
        <v>37.21</v>
      </c>
      <c r="BN305" s="258">
        <f t="shared" si="711"/>
        <v>78.56</v>
      </c>
      <c r="BO305" s="258">
        <v>21.64</v>
      </c>
      <c r="BP305" s="258">
        <v>50.5</v>
      </c>
      <c r="BQ305" s="258">
        <v>0</v>
      </c>
      <c r="BR305" s="258">
        <v>0</v>
      </c>
      <c r="BT305" s="258" cm="1">
        <f ca="1" t="array" ref="BT305:BW305">_xlfn.HSTACK(SUM(INDEX($R305:$AV305,1,1):INDEX($R305:$AV305,1,7)),SUM(INDEX($R305:$AV305,1,7):INDEX($R305:$AV305,1,13)),SUM(INDEX($R305:$AV305,1,16):INDEX($R305:$AV305,1,23)),SUM(INDEX($R305:$AV305,1,23):INDEX($R305:$AV305,1,31)))</f>
        <v>0</v>
      </c>
      <c r="BU305" s="258">
        <v>50</v>
      </c>
      <c r="BV305" s="258">
        <v>400</v>
      </c>
      <c r="BW305" s="258">
        <v>450</v>
      </c>
      <c r="BY305" s="258">
        <f t="shared" si="712"/>
        <v>0</v>
      </c>
      <c r="BZ305" s="258">
        <f t="shared" si="713"/>
        <v>100</v>
      </c>
      <c r="CA305" s="258">
        <f t="shared" si="714"/>
        <v>400</v>
      </c>
      <c r="CB305" s="258">
        <f t="shared" si="715"/>
        <v>450</v>
      </c>
      <c r="CE305" s="258">
        <f t="shared" si="716"/>
        <v>0</v>
      </c>
      <c r="CF305" s="258">
        <f t="shared" si="717"/>
        <v>8.27</v>
      </c>
      <c r="CG305" s="258">
        <f t="shared" si="718"/>
        <v>33.08</v>
      </c>
      <c r="CH305" s="258">
        <f t="shared" si="719"/>
        <v>37.21</v>
      </c>
      <c r="CI305" s="258">
        <f t="shared" si="720"/>
        <v>78.56</v>
      </c>
      <c r="CK305" s="258">
        <f t="shared" ref="CK305:CN305" si="762">IFERROR(ROUND(BY305*$P305,2),"")</f>
        <v>0</v>
      </c>
      <c r="CL305" s="258">
        <f t="shared" si="762"/>
        <v>130293.34</v>
      </c>
      <c r="CM305" s="258">
        <f t="shared" si="762"/>
        <v>521173.35</v>
      </c>
      <c r="CN305" s="258">
        <f t="shared" si="762"/>
        <v>586320.02</v>
      </c>
      <c r="CO305" s="258">
        <f t="shared" si="761"/>
        <v>1237786.71</v>
      </c>
      <c r="CP305" s="258" t="e">
        <f>VLOOKUP(G305,[2]Sheet1!$C$3:$G$310,5,0)</f>
        <v>#N/A</v>
      </c>
      <c r="CQ305" s="258">
        <f>VLOOKUP(G305,[3]KCBB0101!$C$3:$F$691,4,0)</f>
        <v>7169</v>
      </c>
    </row>
    <row r="306" ht="17.6" spans="2:95">
      <c r="B306" s="334" t="str">
        <f>_xlfn.XLOOKUP(G306,销售需求表!A:A,销售需求表!C:C)</f>
        <v>亚</v>
      </c>
      <c r="C306" s="335" t="str">
        <f t="shared" ref="C304:C308" si="763">IFERROR(MID(F306,FIND("R",F306)+1,2),"")</f>
        <v>24</v>
      </c>
      <c r="D306" s="362" t="str">
        <f t="shared" si="698"/>
        <v>亚24寸</v>
      </c>
      <c r="E306" s="339" t="str">
        <f t="shared" si="699"/>
        <v>12.00R24-20PR(160/157F)-TZ304</v>
      </c>
      <c r="F306" s="340" t="str">
        <f t="shared" si="747"/>
        <v>12.00R24-20PR-TZ304</v>
      </c>
      <c r="G306" s="341" t="s">
        <v>646</v>
      </c>
      <c r="H306" s="334">
        <v>150</v>
      </c>
      <c r="I306" s="345"/>
      <c r="J306" s="346" t="str">
        <f t="shared" si="700"/>
        <v>12.00R24-TZ304</v>
      </c>
      <c r="K306" s="347" t="str">
        <f>_xlfn.XLOOKUP(F306,投产规格!E:E,投产规格!D:D,"未投产")</f>
        <v>✔</v>
      </c>
      <c r="L306" s="347">
        <f>IFERROR(_xlfn.XLOOKUP(F306,硫化工艺!B:B,硫化工艺!C:C),"")</f>
        <v>56.5</v>
      </c>
      <c r="M306" s="349">
        <f t="shared" si="701"/>
        <v>0.906417112299465</v>
      </c>
      <c r="N306" s="347" t="str">
        <f t="shared" si="702"/>
        <v>24全钢</v>
      </c>
      <c r="O306" s="347">
        <f>IFERROR(_xlfn.XLOOKUP(F306,轮胎重量!J:J,轮胎重量!G:G),"")</f>
        <v>91.295</v>
      </c>
      <c r="P306" s="347">
        <f>IFERROR(_xlfn.XLOOKUP(G306,硫化工艺!I:I,硫化工艺!J:J),"")</f>
        <v>1281.689024</v>
      </c>
      <c r="Q306" s="347">
        <f t="shared" si="703"/>
        <v>0</v>
      </c>
      <c r="R306" s="347"/>
      <c r="S306" s="347"/>
      <c r="T306" s="347"/>
      <c r="U306" s="347"/>
      <c r="V306" s="347"/>
      <c r="W306" s="347"/>
      <c r="X306" s="347"/>
      <c r="Y306" s="347"/>
      <c r="Z306" s="347"/>
      <c r="AA306" s="347"/>
      <c r="AB306" s="347"/>
      <c r="AC306" s="347"/>
      <c r="AD306" s="347"/>
      <c r="AE306" s="347"/>
      <c r="AF306" s="347"/>
      <c r="AG306" s="347"/>
      <c r="AH306" s="347"/>
      <c r="AI306" s="347"/>
      <c r="AJ306" s="347"/>
      <c r="AK306" s="347"/>
      <c r="AL306" s="347"/>
      <c r="AM306" s="347"/>
      <c r="AN306" s="347"/>
      <c r="AO306" s="347"/>
      <c r="AP306" s="347"/>
      <c r="AQ306" s="347"/>
      <c r="AR306" s="347">
        <v>44</v>
      </c>
      <c r="AS306" s="347">
        <v>44</v>
      </c>
      <c r="AT306" s="347">
        <v>44</v>
      </c>
      <c r="AU306" s="347">
        <v>44</v>
      </c>
      <c r="AV306" s="347">
        <v>44</v>
      </c>
      <c r="AW306" s="347">
        <f t="shared" si="704"/>
        <v>220</v>
      </c>
      <c r="AX306" s="365">
        <f t="shared" si="705"/>
        <v>20.0849</v>
      </c>
      <c r="AY306" s="365">
        <f t="shared" si="706"/>
        <v>28.197</v>
      </c>
      <c r="AZ306" s="366">
        <v>657.83</v>
      </c>
      <c r="BA306" s="368">
        <v>42.94</v>
      </c>
      <c r="BB306" s="368">
        <v>64.49</v>
      </c>
      <c r="BC306" s="368">
        <v>73.23</v>
      </c>
      <c r="BE306" s="330">
        <f t="shared" si="756"/>
        <v>144722.6</v>
      </c>
      <c r="BF306" s="330">
        <f t="shared" si="757"/>
        <v>9446.8</v>
      </c>
      <c r="BG306" s="330">
        <f t="shared" si="758"/>
        <v>14187.8</v>
      </c>
      <c r="BH306" s="330">
        <f t="shared" si="759"/>
        <v>16110.6</v>
      </c>
      <c r="BJ306" s="370" cm="1">
        <f t="array" ref="BJ306:BM306">_xlfn.LET(_xlpm.data,$R306:$AV306,_xlpm.starts,{1,8,16,23},_xlpm.lengths,{7,7,8,9},_xlpm.arr,_xlfn.MAP(_xlpm.starts,_xlpm.lengths,_xlfn.LAMBDA(_xlpm.s,_xlpm.l,SUM(INDEX(_xlpm.data,,_xlfn.SEQUENCE(,_xlpm.l,_xlpm.s))))),ROUND(_xlpm.arr*$O306/1000,2))</f>
        <v>0</v>
      </c>
      <c r="BK306" s="330">
        <v>0</v>
      </c>
      <c r="BL306" s="330">
        <v>0</v>
      </c>
      <c r="BM306" s="330">
        <v>20.08</v>
      </c>
      <c r="BN306" s="258">
        <f t="shared" si="711"/>
        <v>20.08</v>
      </c>
      <c r="BO306" s="258">
        <v>0</v>
      </c>
      <c r="BP306" s="258">
        <v>0</v>
      </c>
      <c r="BQ306" s="258">
        <v>24.25</v>
      </c>
      <c r="BR306" s="258">
        <v>27.28</v>
      </c>
      <c r="BT306" s="258" cm="1">
        <f ca="1" t="array" ref="BT306:BW306">_xlfn.HSTACK(SUM(INDEX($R306:$AV306,1,1):INDEX($R306:$AV306,1,7)),SUM(INDEX($R306:$AV306,1,7):INDEX($R306:$AV306,1,13)),SUM(INDEX($R306:$AV306,1,16):INDEX($R306:$AV306,1,23)),SUM(INDEX($R306:$AV306,1,23):INDEX($R306:$AV306,1,31)))</f>
        <v>0</v>
      </c>
      <c r="BU306" s="258">
        <v>0</v>
      </c>
      <c r="BV306" s="258">
        <v>0</v>
      </c>
      <c r="BW306" s="258">
        <v>220</v>
      </c>
      <c r="BY306" s="258">
        <f t="shared" si="712"/>
        <v>0</v>
      </c>
      <c r="BZ306" s="258">
        <f t="shared" si="713"/>
        <v>0</v>
      </c>
      <c r="CA306" s="258">
        <f t="shared" si="714"/>
        <v>0</v>
      </c>
      <c r="CB306" s="258">
        <f t="shared" si="715"/>
        <v>220</v>
      </c>
      <c r="CE306" s="258">
        <f t="shared" si="716"/>
        <v>0</v>
      </c>
      <c r="CF306" s="258">
        <f t="shared" si="717"/>
        <v>0</v>
      </c>
      <c r="CG306" s="258">
        <f t="shared" si="718"/>
        <v>0</v>
      </c>
      <c r="CH306" s="258">
        <f t="shared" si="719"/>
        <v>20.08</v>
      </c>
      <c r="CI306" s="258">
        <f t="shared" si="720"/>
        <v>20.08</v>
      </c>
      <c r="CK306" s="258">
        <f t="shared" ref="CK306:CN306" si="764">IFERROR(ROUND(BY306*$P306,2),"")</f>
        <v>0</v>
      </c>
      <c r="CL306" s="258">
        <f t="shared" si="764"/>
        <v>0</v>
      </c>
      <c r="CM306" s="258">
        <f t="shared" si="764"/>
        <v>0</v>
      </c>
      <c r="CN306" s="258">
        <f t="shared" si="764"/>
        <v>281971.59</v>
      </c>
      <c r="CO306" s="258">
        <f t="shared" si="761"/>
        <v>281971.59</v>
      </c>
      <c r="CP306" s="258" t="e">
        <f>VLOOKUP(G306,[2]Sheet1!$C$3:$G$310,5,0)</f>
        <v>#N/A</v>
      </c>
      <c r="CQ306" s="258">
        <f>VLOOKUP(G306,[3]KCBB0101!$C$3:$F$691,4,0)</f>
        <v>3000</v>
      </c>
    </row>
    <row r="307" s="258" customFormat="1" ht="17.6" spans="1:95">
      <c r="A307" s="330"/>
      <c r="B307" s="334" t="str">
        <f>_xlfn.XLOOKUP(G307,销售需求表!A:A,销售需求表!C:C)</f>
        <v>北美</v>
      </c>
      <c r="C307" s="335" t="str">
        <f t="shared" si="763"/>
        <v>24</v>
      </c>
      <c r="D307" s="362" t="str">
        <f t="shared" si="698"/>
        <v>北美24寸</v>
      </c>
      <c r="E307" s="339" t="str">
        <f t="shared" si="699"/>
        <v>12.00R24-20PR(160/157K)-I-301</v>
      </c>
      <c r="F307" s="340" t="str">
        <f t="shared" si="747"/>
        <v>12.00R24-20PR-I-301</v>
      </c>
      <c r="G307" s="341" t="s">
        <v>647</v>
      </c>
      <c r="H307" s="334">
        <v>600</v>
      </c>
      <c r="I307" s="345">
        <v>2</v>
      </c>
      <c r="J307" s="346" t="str">
        <f t="shared" si="700"/>
        <v>12.00R24-I-301</v>
      </c>
      <c r="K307" s="347" t="str">
        <f>_xlfn.XLOOKUP(F307,投产规格!E:E,投产规格!D:D,"未投产")</f>
        <v>✔</v>
      </c>
      <c r="L307" s="347">
        <f>IFERROR(_xlfn.XLOOKUP(F307,硫化工艺!B:B,硫化工艺!C:C),"")</f>
        <v>42</v>
      </c>
      <c r="M307" s="349">
        <f t="shared" si="701"/>
        <v>0.878048780487805</v>
      </c>
      <c r="N307" s="347" t="str">
        <f t="shared" si="702"/>
        <v>24全钢</v>
      </c>
      <c r="O307" s="347">
        <f>IFERROR(_xlfn.XLOOKUP(F307,轮胎重量!J:J,轮胎重量!G:G),"")</f>
        <v>77.854</v>
      </c>
      <c r="P307" s="347">
        <f>IFERROR(_xlfn.XLOOKUP(G307,硫化工艺!I:I,硫化工艺!J:J),"")</f>
        <v>1092.5152</v>
      </c>
      <c r="Q307" s="347">
        <f t="shared" si="703"/>
        <v>60</v>
      </c>
      <c r="R307" s="347">
        <v>50</v>
      </c>
      <c r="S307" s="347">
        <v>50</v>
      </c>
      <c r="T307" s="347">
        <v>50</v>
      </c>
      <c r="U307" s="347">
        <v>50</v>
      </c>
      <c r="V307" s="347">
        <v>50</v>
      </c>
      <c r="W307" s="347">
        <v>50</v>
      </c>
      <c r="X307" s="347">
        <v>50</v>
      </c>
      <c r="Y307" s="347">
        <v>50</v>
      </c>
      <c r="Z307" s="347">
        <v>50</v>
      </c>
      <c r="AA307" s="347">
        <v>50</v>
      </c>
      <c r="AB307" s="347">
        <v>50</v>
      </c>
      <c r="AC307" s="347">
        <v>50</v>
      </c>
      <c r="AD307" s="347"/>
      <c r="AE307" s="347"/>
      <c r="AF307" s="347"/>
      <c r="AG307" s="347"/>
      <c r="AH307" s="347"/>
      <c r="AI307" s="347"/>
      <c r="AJ307" s="347"/>
      <c r="AK307" s="347"/>
      <c r="AL307" s="347"/>
      <c r="AM307" s="347"/>
      <c r="AN307" s="347"/>
      <c r="AO307" s="347"/>
      <c r="AP307" s="347"/>
      <c r="AQ307" s="347"/>
      <c r="AR307" s="347"/>
      <c r="AS307" s="347"/>
      <c r="AT307" s="347"/>
      <c r="AU307" s="347"/>
      <c r="AV307" s="347"/>
      <c r="AW307" s="347">
        <f t="shared" si="704"/>
        <v>600</v>
      </c>
      <c r="AX307" s="365">
        <f t="shared" si="705"/>
        <v>46.7124</v>
      </c>
      <c r="AY307" s="365">
        <f t="shared" si="706"/>
        <v>65.551</v>
      </c>
      <c r="AZ307" s="366">
        <v>657.83</v>
      </c>
      <c r="BA307" s="368">
        <v>42.94</v>
      </c>
      <c r="BB307" s="368">
        <v>64.49</v>
      </c>
      <c r="BC307" s="368">
        <v>73.23</v>
      </c>
      <c r="BD307" s="330"/>
      <c r="BE307" s="330">
        <f t="shared" si="756"/>
        <v>394698</v>
      </c>
      <c r="BF307" s="330">
        <f t="shared" si="757"/>
        <v>25764</v>
      </c>
      <c r="BG307" s="330">
        <f t="shared" si="758"/>
        <v>38694</v>
      </c>
      <c r="BH307" s="330">
        <f t="shared" si="759"/>
        <v>43938</v>
      </c>
      <c r="BI307" s="330"/>
      <c r="BJ307" s="370" cm="1">
        <f t="array" ref="BJ307:BM307">_xlfn.LET(_xlpm.data,$R307:$AV307,_xlpm.starts,{1,8,16,23},_xlpm.lengths,{7,7,8,9},_xlpm.arr,_xlfn.MAP(_xlpm.starts,_xlpm.lengths,_xlfn.LAMBDA(_xlpm.s,_xlpm.l,SUM(INDEX(_xlpm.data,,_xlfn.SEQUENCE(,_xlpm.l,_xlpm.s))))),ROUND(_xlpm.arr*$O307/1000,2))</f>
        <v>27.25</v>
      </c>
      <c r="BK307" s="330">
        <v>19.46</v>
      </c>
      <c r="BL307" s="330">
        <v>0</v>
      </c>
      <c r="BM307" s="330">
        <v>0</v>
      </c>
      <c r="BN307" s="258">
        <f t="shared" si="711"/>
        <v>46.71</v>
      </c>
      <c r="BO307" s="258">
        <v>0</v>
      </c>
      <c r="BP307" s="258">
        <v>0</v>
      </c>
      <c r="BQ307" s="258">
        <v>24.25</v>
      </c>
      <c r="BR307" s="258">
        <v>27.28</v>
      </c>
      <c r="BS307" s="115"/>
      <c r="BT307" s="258" cm="1">
        <f ca="1" t="array" ref="BT307:BW307">_xlfn.HSTACK(SUM(INDEX($R307:$AV307,1,1):INDEX($R307:$AV307,1,7)),SUM(INDEX($R307:$AV307,1,7):INDEX($R307:$AV307,1,13)),SUM(INDEX($R307:$AV307,1,16):INDEX($R307:$AV307,1,23)),SUM(INDEX($R307:$AV307,1,23):INDEX($R307:$AV307,1,31)))</f>
        <v>350</v>
      </c>
      <c r="BU307" s="258">
        <v>300</v>
      </c>
      <c r="BV307" s="258">
        <v>0</v>
      </c>
      <c r="BW307" s="258">
        <v>0</v>
      </c>
      <c r="BY307" s="258">
        <f t="shared" si="712"/>
        <v>350</v>
      </c>
      <c r="BZ307" s="258">
        <f t="shared" si="713"/>
        <v>250</v>
      </c>
      <c r="CA307" s="258">
        <f t="shared" si="714"/>
        <v>0</v>
      </c>
      <c r="CB307" s="258">
        <f t="shared" si="715"/>
        <v>0</v>
      </c>
      <c r="CD307" s="113"/>
      <c r="CE307" s="258">
        <f t="shared" si="716"/>
        <v>27.25</v>
      </c>
      <c r="CF307" s="258">
        <f t="shared" si="717"/>
        <v>19.46</v>
      </c>
      <c r="CG307" s="258">
        <f t="shared" si="718"/>
        <v>0</v>
      </c>
      <c r="CH307" s="258">
        <f t="shared" si="719"/>
        <v>0</v>
      </c>
      <c r="CI307" s="258">
        <f t="shared" si="720"/>
        <v>46.71</v>
      </c>
      <c r="CJ307" s="113"/>
      <c r="CK307" s="258">
        <f t="shared" ref="CK307:CN307" si="765">IFERROR(ROUND(BY307*$P307,2),"")</f>
        <v>382380.32</v>
      </c>
      <c r="CL307" s="258">
        <f t="shared" si="765"/>
        <v>273128.8</v>
      </c>
      <c r="CM307" s="258">
        <f t="shared" si="765"/>
        <v>0</v>
      </c>
      <c r="CN307" s="258">
        <f t="shared" si="765"/>
        <v>0</v>
      </c>
      <c r="CO307" s="258">
        <f t="shared" si="761"/>
        <v>655509.12</v>
      </c>
      <c r="CP307" s="258">
        <f>VLOOKUP(G307,[2]Sheet1!$C$3:$G$310,5,0)</f>
        <v>11600</v>
      </c>
      <c r="CQ307" s="258" t="e">
        <f>VLOOKUP(G307,[3]KCBB0101!$C$3:$F$691,4,0)</f>
        <v>#N/A</v>
      </c>
    </row>
    <row r="308" s="258" customFormat="1" ht="17.6" spans="1:95">
      <c r="A308" s="330"/>
      <c r="B308" s="334" t="str">
        <f>_xlfn.XLOOKUP(G308,销售需求表!A:A,销售需求表!C:C)</f>
        <v>亚</v>
      </c>
      <c r="C308" s="335" t="str">
        <f t="shared" si="763"/>
        <v>24</v>
      </c>
      <c r="D308" s="362" t="str">
        <f t="shared" si="698"/>
        <v>亚24寸</v>
      </c>
      <c r="E308" s="339" t="str">
        <f t="shared" si="699"/>
        <v>12.00R24-20PR(160/157F)-TRD-79</v>
      </c>
      <c r="F308" s="340" t="str">
        <f t="shared" si="747"/>
        <v>12.00R24-20PR-TRD-79</v>
      </c>
      <c r="G308" s="342" t="s">
        <v>49</v>
      </c>
      <c r="H308" s="334">
        <v>1400</v>
      </c>
      <c r="I308" s="345">
        <v>6</v>
      </c>
      <c r="J308" s="346" t="str">
        <f t="shared" si="700"/>
        <v>12.00R24-TRD-79</v>
      </c>
      <c r="K308" s="347" t="str">
        <f>_xlfn.XLOOKUP(F308,投产规格!E:E,投产规格!D:D,"未投产")</f>
        <v>✔</v>
      </c>
      <c r="L308" s="347">
        <f>IFERROR(_xlfn.XLOOKUP(F308,硫化工艺!B:B,硫化工艺!C:C),"")</f>
        <v>56.5</v>
      </c>
      <c r="M308" s="349">
        <f t="shared" si="701"/>
        <v>0.906417112299465</v>
      </c>
      <c r="N308" s="347" t="str">
        <f t="shared" si="702"/>
        <v>24全钢</v>
      </c>
      <c r="O308" s="347">
        <f>IFERROR(_xlfn.XLOOKUP(F308,轮胎重量!J:J,轮胎重量!G:G),"")</f>
        <v>92.56</v>
      </c>
      <c r="P308" s="350">
        <f>O308*13.9</f>
        <v>1286.584</v>
      </c>
      <c r="Q308" s="347">
        <f t="shared" si="703"/>
        <v>139</v>
      </c>
      <c r="R308" s="347">
        <f t="shared" ref="R308:AG308" si="766">44*3</f>
        <v>132</v>
      </c>
      <c r="S308" s="347">
        <f t="shared" si="766"/>
        <v>132</v>
      </c>
      <c r="T308" s="347">
        <f t="shared" si="766"/>
        <v>132</v>
      </c>
      <c r="U308" s="347">
        <f t="shared" si="766"/>
        <v>132</v>
      </c>
      <c r="V308" s="347">
        <f t="shared" si="766"/>
        <v>132</v>
      </c>
      <c r="W308" s="347">
        <f t="shared" si="766"/>
        <v>132</v>
      </c>
      <c r="X308" s="347">
        <f t="shared" si="766"/>
        <v>132</v>
      </c>
      <c r="Y308" s="347">
        <f t="shared" si="766"/>
        <v>132</v>
      </c>
      <c r="Z308" s="347">
        <f t="shared" si="766"/>
        <v>132</v>
      </c>
      <c r="AA308" s="347">
        <f t="shared" si="766"/>
        <v>132</v>
      </c>
      <c r="AB308" s="347">
        <f t="shared" si="766"/>
        <v>132</v>
      </c>
      <c r="AC308" s="347"/>
      <c r="AD308" s="347"/>
      <c r="AE308" s="347"/>
      <c r="AF308" s="347"/>
      <c r="AG308" s="347"/>
      <c r="AH308" s="347"/>
      <c r="AI308" s="347"/>
      <c r="AJ308" s="347"/>
      <c r="AK308" s="347"/>
      <c r="AL308" s="347"/>
      <c r="AM308" s="347"/>
      <c r="AN308" s="347"/>
      <c r="AO308" s="347"/>
      <c r="AP308" s="347"/>
      <c r="AQ308" s="347"/>
      <c r="AR308" s="347"/>
      <c r="AS308" s="347"/>
      <c r="AT308" s="347"/>
      <c r="AU308" s="347"/>
      <c r="AV308" s="347"/>
      <c r="AW308" s="347">
        <v>3000</v>
      </c>
      <c r="AX308" s="365">
        <f t="shared" si="705"/>
        <v>277.68</v>
      </c>
      <c r="AY308" s="365">
        <f t="shared" si="706"/>
        <v>385.975</v>
      </c>
      <c r="AZ308" s="366">
        <v>657.83</v>
      </c>
      <c r="BA308" s="368">
        <v>42.94</v>
      </c>
      <c r="BB308" s="368">
        <v>64.49</v>
      </c>
      <c r="BC308" s="368">
        <v>73.23</v>
      </c>
      <c r="BD308" s="330"/>
      <c r="BE308" s="330">
        <f t="shared" si="756"/>
        <v>1973490</v>
      </c>
      <c r="BF308" s="330">
        <f t="shared" si="757"/>
        <v>128820</v>
      </c>
      <c r="BG308" s="330">
        <f t="shared" si="758"/>
        <v>193470</v>
      </c>
      <c r="BH308" s="330">
        <f t="shared" si="759"/>
        <v>219690</v>
      </c>
      <c r="BI308" s="330"/>
      <c r="BJ308" s="370" cm="1">
        <f t="array" ref="BJ308:BM308">_xlfn.LET(_xlpm.data,$R308:$AV308,_xlpm.starts,{1,8,16,23},_xlpm.lengths,{7,7,8,9},_xlpm.arr,_xlfn.MAP(_xlpm.starts,_xlpm.lengths,_xlfn.LAMBDA(_xlpm.s,_xlpm.l,SUM(INDEX(_xlpm.data,,_xlfn.SEQUENCE(,_xlpm.l,_xlpm.s))))),ROUND(_xlpm.arr*$O308/1000,2))</f>
        <v>85.53</v>
      </c>
      <c r="BK308" s="330">
        <v>48.87</v>
      </c>
      <c r="BL308" s="330">
        <v>0</v>
      </c>
      <c r="BM308" s="330">
        <v>0</v>
      </c>
      <c r="BN308" s="258">
        <f t="shared" si="711"/>
        <v>134.4</v>
      </c>
      <c r="BO308" s="258">
        <v>0</v>
      </c>
      <c r="BP308" s="258">
        <v>0</v>
      </c>
      <c r="BQ308" s="258">
        <v>24.25</v>
      </c>
      <c r="BR308" s="258">
        <v>27.28</v>
      </c>
      <c r="BS308" s="115"/>
      <c r="BT308" s="258" cm="1">
        <f ca="1" t="array" ref="BT308:BW308">_xlfn.HSTACK(SUM(INDEX($R308:$AV308,1,1):INDEX($R308:$AV308,1,7)),SUM(INDEX($R308:$AV308,1,7):INDEX($R308:$AV308,1,13)),SUM(INDEX($R308:$AV308,1,16):INDEX($R308:$AV308,1,23)),SUM(INDEX($R308:$AV308,1,23):INDEX($R308:$AV308,1,31)))</f>
        <v>924</v>
      </c>
      <c r="BU308" s="258">
        <v>660</v>
      </c>
      <c r="BV308" s="258">
        <v>0</v>
      </c>
      <c r="BW308" s="258">
        <v>0</v>
      </c>
      <c r="BY308" s="258">
        <f t="shared" si="712"/>
        <v>924</v>
      </c>
      <c r="BZ308" s="258">
        <f t="shared" si="713"/>
        <v>528</v>
      </c>
      <c r="CA308" s="258">
        <f t="shared" si="714"/>
        <v>0</v>
      </c>
      <c r="CB308" s="258">
        <f t="shared" si="715"/>
        <v>0</v>
      </c>
      <c r="CD308" s="113"/>
      <c r="CE308" s="258">
        <f t="shared" si="716"/>
        <v>85.53</v>
      </c>
      <c r="CF308" s="258">
        <f t="shared" si="717"/>
        <v>48.87</v>
      </c>
      <c r="CG308" s="258">
        <f t="shared" si="718"/>
        <v>0</v>
      </c>
      <c r="CH308" s="258">
        <f t="shared" si="719"/>
        <v>0</v>
      </c>
      <c r="CI308" s="258">
        <f t="shared" si="720"/>
        <v>134.4</v>
      </c>
      <c r="CJ308" s="113"/>
      <c r="CK308" s="258">
        <f t="shared" ref="CK308:CN308" si="767">IFERROR(ROUND(BY308*$P308,2),"")</f>
        <v>1188803.62</v>
      </c>
      <c r="CL308" s="258">
        <f t="shared" si="767"/>
        <v>679316.35</v>
      </c>
      <c r="CM308" s="258">
        <f t="shared" si="767"/>
        <v>0</v>
      </c>
      <c r="CN308" s="258">
        <f t="shared" si="767"/>
        <v>0</v>
      </c>
      <c r="CO308" s="258">
        <f t="shared" si="761"/>
        <v>1868119.97</v>
      </c>
      <c r="CP308" s="258" t="e">
        <f>VLOOKUP(G308,[2]Sheet1!$C$3:$G$310,5,0)</f>
        <v>#N/A</v>
      </c>
      <c r="CQ308" s="258" t="e">
        <f>VLOOKUP(G308,[3]KCBB0101!$C$3:$F$691,4,0)</f>
        <v>#N/A</v>
      </c>
    </row>
    <row r="309" s="258" customFormat="1" ht="17.6" spans="1:93">
      <c r="A309" s="330"/>
      <c r="B309" s="334" t="str">
        <f>_xlfn.XLOOKUP(G309,销售需求表!A:A,销售需求表!C:C)</f>
        <v>亚</v>
      </c>
      <c r="C309" s="335" t="str">
        <f t="shared" ref="C309:C325" si="768">IFERROR(MID(F309,FIND("R",F309)+1,2),"")</f>
        <v>24</v>
      </c>
      <c r="D309" s="362" t="str">
        <f t="shared" si="698"/>
        <v>亚24寸</v>
      </c>
      <c r="E309" s="339" t="str">
        <f t="shared" si="699"/>
        <v>12.00R24-☆☆(162/160C)PR-XC819</v>
      </c>
      <c r="F309" s="340" t="str">
        <f t="shared" si="747"/>
        <v>12.00R24-☆☆-XC819</v>
      </c>
      <c r="G309" s="377" t="s">
        <v>648</v>
      </c>
      <c r="H309" s="334">
        <v>120</v>
      </c>
      <c r="I309" s="345"/>
      <c r="J309" s="346" t="str">
        <f t="shared" si="700"/>
        <v>12.00R24-☆☆-XC819</v>
      </c>
      <c r="K309" s="347" t="str">
        <f>_xlfn.XLOOKUP(F309,投产规格!E:E,投产规格!D:D,"未投产")</f>
        <v>✔</v>
      </c>
      <c r="L309" s="347">
        <f>IFERROR(_xlfn.XLOOKUP(F309,硫化工艺!B:B,硫化工艺!C:C),"")</f>
        <v>56.5</v>
      </c>
      <c r="M309" s="349">
        <f t="shared" si="701"/>
        <v>0.906417112299465</v>
      </c>
      <c r="N309" s="347" t="str">
        <f t="shared" si="702"/>
        <v>24全钢</v>
      </c>
      <c r="O309" s="347">
        <f>IFERROR(_xlfn.XLOOKUP(F309,轮胎重量!J:J,轮胎重量!G:G),"")</f>
        <v>91.295</v>
      </c>
      <c r="P309" s="347">
        <f>IFERROR(_xlfn.XLOOKUP(G309,硫化工艺!I:I,硫化工艺!J:J),"")</f>
        <v>1281.689024</v>
      </c>
      <c r="Q309" s="347">
        <f t="shared" si="703"/>
        <v>0</v>
      </c>
      <c r="R309" s="347"/>
      <c r="S309" s="347"/>
      <c r="T309" s="347"/>
      <c r="U309" s="347"/>
      <c r="V309" s="347"/>
      <c r="W309" s="347"/>
      <c r="X309" s="347"/>
      <c r="Y309" s="347"/>
      <c r="Z309" s="347"/>
      <c r="AA309" s="347"/>
      <c r="AB309" s="347"/>
      <c r="AC309" s="347"/>
      <c r="AD309" s="347"/>
      <c r="AE309" s="347"/>
      <c r="AF309" s="347"/>
      <c r="AG309" s="347"/>
      <c r="AH309" s="347"/>
      <c r="AI309" s="347"/>
      <c r="AJ309" s="347"/>
      <c r="AK309" s="347"/>
      <c r="AL309" s="347"/>
      <c r="AM309" s="347"/>
      <c r="AN309" s="347"/>
      <c r="AO309" s="347"/>
      <c r="AP309" s="347"/>
      <c r="AQ309" s="347"/>
      <c r="AR309" s="347"/>
      <c r="AS309" s="347"/>
      <c r="AT309" s="347"/>
      <c r="AU309" s="347"/>
      <c r="AV309" s="347"/>
      <c r="AW309" s="347" t="str">
        <f t="shared" si="704"/>
        <v/>
      </c>
      <c r="AX309" s="365" t="str">
        <f t="shared" si="705"/>
        <v/>
      </c>
      <c r="AY309" s="365" t="str">
        <f t="shared" si="706"/>
        <v/>
      </c>
      <c r="AZ309" s="366">
        <v>657.83</v>
      </c>
      <c r="BA309" s="368">
        <v>42.94</v>
      </c>
      <c r="BB309" s="368">
        <v>64.49</v>
      </c>
      <c r="BC309" s="368">
        <v>73.23</v>
      </c>
      <c r="BD309" s="330"/>
      <c r="BE309" s="330" t="e">
        <f t="shared" ref="BE309:BE314" si="769">AZ309*AW309</f>
        <v>#VALUE!</v>
      </c>
      <c r="BF309" s="330" t="e">
        <f t="shared" ref="BF309:BF314" si="770">BA309*AW309</f>
        <v>#VALUE!</v>
      </c>
      <c r="BG309" s="330" t="e">
        <f t="shared" ref="BG309:BG314" si="771">BB309*AW309</f>
        <v>#VALUE!</v>
      </c>
      <c r="BH309" s="330" t="e">
        <f t="shared" ref="BH309:BH314" si="772">BC309*AW309</f>
        <v>#VALUE!</v>
      </c>
      <c r="BI309" s="330"/>
      <c r="BJ309" s="370" cm="1">
        <f t="array" ref="BJ309:BM309">_xlfn.LET(_xlpm.data,$R309:$AV309,_xlpm.starts,{1,8,16,23},_xlpm.lengths,{7,7,8,9},_xlpm.arr,_xlfn.MAP(_xlpm.starts,_xlpm.lengths,_xlfn.LAMBDA(_xlpm.s,_xlpm.l,SUM(INDEX(_xlpm.data,,_xlfn.SEQUENCE(,_xlpm.l,_xlpm.s))))),ROUND(_xlpm.arr*$O309/1000,2))</f>
        <v>0</v>
      </c>
      <c r="BK309" s="330">
        <v>0</v>
      </c>
      <c r="BL309" s="330">
        <v>0</v>
      </c>
      <c r="BM309" s="330">
        <v>0</v>
      </c>
      <c r="BN309" s="258">
        <f t="shared" si="711"/>
        <v>0</v>
      </c>
      <c r="BO309" s="258">
        <v>0</v>
      </c>
      <c r="BP309" s="258">
        <v>0</v>
      </c>
      <c r="BQ309" s="258">
        <v>24.25</v>
      </c>
      <c r="BR309" s="258">
        <v>27.28</v>
      </c>
      <c r="BS309" s="115"/>
      <c r="BT309" s="258" cm="1">
        <f ca="1" t="array" ref="BT309:BW309">_xlfn.HSTACK(SUM(INDEX($R309:$AV309,1,1):INDEX($R309:$AV309,1,7)),SUM(INDEX($R309:$AV309,1,7):INDEX($R309:$AV309,1,13)),SUM(INDEX($R309:$AV309,1,16):INDEX($R309:$AV309,1,23)),SUM(INDEX($R309:$AV309,1,23):INDEX($R309:$AV309,1,31)))</f>
        <v>0</v>
      </c>
      <c r="BU309" s="258">
        <v>0</v>
      </c>
      <c r="BV309" s="258">
        <v>0</v>
      </c>
      <c r="BW309" s="258">
        <v>0</v>
      </c>
      <c r="BY309" s="258">
        <f t="shared" si="712"/>
        <v>0</v>
      </c>
      <c r="BZ309" s="258">
        <f t="shared" si="713"/>
        <v>0</v>
      </c>
      <c r="CA309" s="258">
        <f t="shared" si="714"/>
        <v>0</v>
      </c>
      <c r="CB309" s="258">
        <f t="shared" si="715"/>
        <v>0</v>
      </c>
      <c r="CD309" s="113"/>
      <c r="CE309" s="258">
        <f t="shared" si="716"/>
        <v>0</v>
      </c>
      <c r="CF309" s="258">
        <f t="shared" si="717"/>
        <v>0</v>
      </c>
      <c r="CG309" s="258">
        <f t="shared" si="718"/>
        <v>0</v>
      </c>
      <c r="CH309" s="258">
        <f t="shared" si="719"/>
        <v>0</v>
      </c>
      <c r="CI309" s="258">
        <f t="shared" si="720"/>
        <v>0</v>
      </c>
      <c r="CJ309" s="113"/>
      <c r="CK309" s="258">
        <f t="shared" ref="CK309:CN309" si="773">IFERROR(ROUND(BY309*$P309,2),"")</f>
        <v>0</v>
      </c>
      <c r="CL309" s="258">
        <f t="shared" si="773"/>
        <v>0</v>
      </c>
      <c r="CM309" s="258">
        <f t="shared" si="773"/>
        <v>0</v>
      </c>
      <c r="CN309" s="258">
        <f t="shared" si="773"/>
        <v>0</v>
      </c>
      <c r="CO309" s="258">
        <f t="shared" si="761"/>
        <v>0</v>
      </c>
    </row>
    <row r="310" ht="17.6" spans="2:93">
      <c r="B310" s="334" t="str">
        <f>_xlfn.XLOOKUP(G310,销售需求表!A:A,销售需求表!C:C)</f>
        <v>亚</v>
      </c>
      <c r="C310" s="335" t="str">
        <f t="shared" si="768"/>
        <v>24</v>
      </c>
      <c r="D310" s="362" t="str">
        <f t="shared" si="698"/>
        <v>亚24寸</v>
      </c>
      <c r="E310" s="339" t="str">
        <f t="shared" si="699"/>
        <v>325/95R24-22PR(162/160F)-CB972</v>
      </c>
      <c r="F310" s="340" t="str">
        <f t="shared" si="747"/>
        <v>325/95R24-22PR-CB972</v>
      </c>
      <c r="G310" s="339" t="s">
        <v>566</v>
      </c>
      <c r="H310" s="334">
        <v>600</v>
      </c>
      <c r="I310" s="345"/>
      <c r="J310" s="346" t="str">
        <f t="shared" si="700"/>
        <v>325/95R24-CB972</v>
      </c>
      <c r="K310" s="347" t="str">
        <f>_xlfn.XLOOKUP(F310,投产规格!E:E,投产规格!D:D,"未投产")</f>
        <v>✔</v>
      </c>
      <c r="L310" s="347">
        <f>IFERROR(_xlfn.XLOOKUP(F310,硫化工艺!B:B,硫化工艺!C:C),"")</f>
        <v>51.5</v>
      </c>
      <c r="M310" s="349">
        <f t="shared" si="701"/>
        <v>0.898255813953488</v>
      </c>
      <c r="N310" s="347" t="str">
        <f t="shared" si="702"/>
        <v>24全钢</v>
      </c>
      <c r="O310" s="347">
        <f>IFERROR(_xlfn.XLOOKUP(F310,轮胎重量!J:J,轮胎重量!G:G),"")</f>
        <v>88.425</v>
      </c>
      <c r="P310" s="347">
        <f>IFERROR(_xlfn.XLOOKUP(G310,硫化工艺!I:I,硫化工艺!J:J),"")</f>
        <v>1195.273366</v>
      </c>
      <c r="Q310" s="347">
        <f t="shared" si="703"/>
        <v>0</v>
      </c>
      <c r="R310" s="347"/>
      <c r="S310" s="347"/>
      <c r="T310" s="347"/>
      <c r="U310" s="347"/>
      <c r="V310" s="347"/>
      <c r="W310" s="347"/>
      <c r="X310" s="347"/>
      <c r="Y310" s="347"/>
      <c r="Z310" s="347"/>
      <c r="AA310" s="347"/>
      <c r="AB310" s="347"/>
      <c r="AC310" s="347"/>
      <c r="AD310" s="347"/>
      <c r="AE310" s="347"/>
      <c r="AF310" s="347"/>
      <c r="AG310" s="347"/>
      <c r="AH310" s="347"/>
      <c r="AI310" s="347"/>
      <c r="AJ310" s="347"/>
      <c r="AK310" s="347"/>
      <c r="AL310" s="347"/>
      <c r="AM310" s="347"/>
      <c r="AN310" s="347"/>
      <c r="AO310" s="347"/>
      <c r="AP310" s="347"/>
      <c r="AQ310" s="347"/>
      <c r="AR310" s="347"/>
      <c r="AS310" s="347"/>
      <c r="AT310" s="347"/>
      <c r="AU310" s="347"/>
      <c r="AV310" s="347"/>
      <c r="AW310" s="347" t="str">
        <f t="shared" si="704"/>
        <v/>
      </c>
      <c r="AX310" s="365" t="str">
        <f t="shared" si="705"/>
        <v/>
      </c>
      <c r="AY310" s="365" t="str">
        <f t="shared" si="706"/>
        <v/>
      </c>
      <c r="AZ310" s="366">
        <v>677.88</v>
      </c>
      <c r="BA310" s="368">
        <v>44.56</v>
      </c>
      <c r="BB310" s="368">
        <v>66.37</v>
      </c>
      <c r="BC310" s="368">
        <v>75.26</v>
      </c>
      <c r="BE310" s="330" t="e">
        <f t="shared" si="769"/>
        <v>#VALUE!</v>
      </c>
      <c r="BF310" s="330" t="e">
        <f t="shared" si="770"/>
        <v>#VALUE!</v>
      </c>
      <c r="BG310" s="330" t="e">
        <f t="shared" si="771"/>
        <v>#VALUE!</v>
      </c>
      <c r="BH310" s="330" t="e">
        <f t="shared" si="772"/>
        <v>#VALUE!</v>
      </c>
      <c r="BJ310" s="370" cm="1">
        <f t="array" ref="BJ310:BM310">_xlfn.LET(_xlpm.data,$R310:$AV310,_xlpm.starts,{1,8,16,23},_xlpm.lengths,{7,7,8,9},_xlpm.arr,_xlfn.MAP(_xlpm.starts,_xlpm.lengths,_xlfn.LAMBDA(_xlpm.s,_xlpm.l,SUM(INDEX(_xlpm.data,,_xlfn.SEQUENCE(,_xlpm.l,_xlpm.s))))),ROUND(_xlpm.arr*$O310/1000,2))</f>
        <v>0</v>
      </c>
      <c r="BK310" s="330">
        <v>0</v>
      </c>
      <c r="BL310" s="330">
        <v>0</v>
      </c>
      <c r="BM310" s="330">
        <v>0</v>
      </c>
      <c r="BN310" s="258">
        <f t="shared" si="711"/>
        <v>0</v>
      </c>
      <c r="BO310" s="258">
        <v>0</v>
      </c>
      <c r="BP310" s="258">
        <v>0</v>
      </c>
      <c r="BQ310" s="258">
        <v>0</v>
      </c>
      <c r="BR310" s="258">
        <v>0</v>
      </c>
      <c r="BT310" s="258" cm="1">
        <f ca="1" t="array" ref="BT310:BW310">_xlfn.HSTACK(SUM(INDEX($R310:$AV310,1,1):INDEX($R310:$AV310,1,7)),SUM(INDEX($R310:$AV310,1,7):INDEX($R310:$AV310,1,13)),SUM(INDEX($R310:$AV310,1,16):INDEX($R310:$AV310,1,23)),SUM(INDEX($R310:$AV310,1,23):INDEX($R310:$AV310,1,31)))</f>
        <v>0</v>
      </c>
      <c r="BU310" s="258">
        <v>0</v>
      </c>
      <c r="BV310" s="258">
        <v>0</v>
      </c>
      <c r="BW310" s="258">
        <v>0</v>
      </c>
      <c r="BY310" s="258">
        <f t="shared" si="712"/>
        <v>0</v>
      </c>
      <c r="BZ310" s="258">
        <f t="shared" si="713"/>
        <v>0</v>
      </c>
      <c r="CA310" s="258">
        <f t="shared" si="714"/>
        <v>0</v>
      </c>
      <c r="CB310" s="258">
        <f t="shared" si="715"/>
        <v>0</v>
      </c>
      <c r="CE310" s="258">
        <f t="shared" si="716"/>
        <v>0</v>
      </c>
      <c r="CF310" s="258">
        <f t="shared" si="717"/>
        <v>0</v>
      </c>
      <c r="CG310" s="258">
        <f t="shared" si="718"/>
        <v>0</v>
      </c>
      <c r="CH310" s="258">
        <f t="shared" si="719"/>
        <v>0</v>
      </c>
      <c r="CI310" s="258">
        <f t="shared" si="720"/>
        <v>0</v>
      </c>
      <c r="CK310" s="258">
        <f t="shared" ref="CK310:CN310" si="774">IFERROR(ROUND(BY310*$P310,2),"")</f>
        <v>0</v>
      </c>
      <c r="CL310" s="258">
        <f t="shared" si="774"/>
        <v>0</v>
      </c>
      <c r="CM310" s="258">
        <f t="shared" si="774"/>
        <v>0</v>
      </c>
      <c r="CN310" s="258">
        <f t="shared" si="774"/>
        <v>0</v>
      </c>
      <c r="CO310" s="258">
        <f t="shared" si="761"/>
        <v>0</v>
      </c>
    </row>
    <row r="311" ht="17.6" spans="2:93">
      <c r="B311" s="334" t="str">
        <f>_xlfn.XLOOKUP(G311,销售需求表!A:A,销售需求表!C:C)</f>
        <v>非</v>
      </c>
      <c r="C311" s="335" t="str">
        <f t="shared" si="768"/>
        <v>24</v>
      </c>
      <c r="D311" s="362" t="str">
        <f t="shared" si="698"/>
        <v>非24寸</v>
      </c>
      <c r="E311" s="339" t="str">
        <f t="shared" si="699"/>
        <v>325/95R24-22PR(162/160K)-AZ828</v>
      </c>
      <c r="F311" s="340" t="str">
        <f t="shared" si="747"/>
        <v>325/95R24-22PR-AZ828</v>
      </c>
      <c r="G311" s="339" t="s">
        <v>567</v>
      </c>
      <c r="H311" s="334">
        <v>250</v>
      </c>
      <c r="I311" s="345"/>
      <c r="J311" s="346" t="str">
        <f t="shared" si="700"/>
        <v>325/95R24-AZ828</v>
      </c>
      <c r="K311" s="347" t="str">
        <f>_xlfn.XLOOKUP(F311,投产规格!E:E,投产规格!D:D,"未投产")</f>
        <v>✔</v>
      </c>
      <c r="L311" s="347">
        <f>IFERROR(_xlfn.XLOOKUP(F311,硫化工艺!B:B,硫化工艺!C:C),"")</f>
        <v>52</v>
      </c>
      <c r="M311" s="349">
        <f t="shared" si="701"/>
        <v>0.899135446685879</v>
      </c>
      <c r="N311" s="347" t="str">
        <f t="shared" si="702"/>
        <v>24全钢</v>
      </c>
      <c r="O311" s="347">
        <f>IFERROR(_xlfn.XLOOKUP(F311,轮胎重量!J:J,轮胎重量!G:G),"")</f>
        <v>86.43</v>
      </c>
      <c r="P311" s="347">
        <f>IFERROR(_xlfn.XLOOKUP(G311,硫化工艺!I:I,硫化工艺!J:J),"")</f>
        <v>1223.1177</v>
      </c>
      <c r="Q311" s="347">
        <f t="shared" si="703"/>
        <v>0</v>
      </c>
      <c r="R311" s="347"/>
      <c r="S311" s="347"/>
      <c r="T311" s="347"/>
      <c r="U311" s="347"/>
      <c r="V311" s="347"/>
      <c r="W311" s="347"/>
      <c r="X311" s="347"/>
      <c r="Y311" s="347"/>
      <c r="Z311" s="347"/>
      <c r="AA311" s="347"/>
      <c r="AB311" s="347"/>
      <c r="AC311" s="347"/>
      <c r="AD311" s="347"/>
      <c r="AE311" s="347"/>
      <c r="AF311" s="347"/>
      <c r="AG311" s="347"/>
      <c r="AH311" s="347"/>
      <c r="AI311" s="347"/>
      <c r="AJ311" s="347"/>
      <c r="AK311" s="347"/>
      <c r="AL311" s="347"/>
      <c r="AM311" s="347"/>
      <c r="AN311" s="347"/>
      <c r="AO311" s="347"/>
      <c r="AP311" s="347"/>
      <c r="AQ311" s="347"/>
      <c r="AR311" s="347"/>
      <c r="AS311" s="347"/>
      <c r="AT311" s="347"/>
      <c r="AU311" s="347"/>
      <c r="AV311" s="347"/>
      <c r="AW311" s="347" t="str">
        <f t="shared" si="704"/>
        <v/>
      </c>
      <c r="AX311" s="365" t="str">
        <f t="shared" si="705"/>
        <v/>
      </c>
      <c r="AY311" s="365" t="str">
        <f t="shared" si="706"/>
        <v/>
      </c>
      <c r="AZ311" s="366">
        <v>677.88</v>
      </c>
      <c r="BA311" s="368">
        <v>44.56</v>
      </c>
      <c r="BB311" s="368">
        <v>66.37</v>
      </c>
      <c r="BC311" s="368">
        <v>75.26</v>
      </c>
      <c r="BE311" s="330" t="e">
        <f t="shared" si="769"/>
        <v>#VALUE!</v>
      </c>
      <c r="BF311" s="330" t="e">
        <f t="shared" si="770"/>
        <v>#VALUE!</v>
      </c>
      <c r="BG311" s="330" t="e">
        <f t="shared" si="771"/>
        <v>#VALUE!</v>
      </c>
      <c r="BH311" s="330" t="e">
        <f t="shared" si="772"/>
        <v>#VALUE!</v>
      </c>
      <c r="BJ311" s="370" cm="1">
        <f t="array" ref="BJ311:BM311">_xlfn.LET(_xlpm.data,$R311:$AV311,_xlpm.starts,{1,8,16,23},_xlpm.lengths,{7,7,8,9},_xlpm.arr,_xlfn.MAP(_xlpm.starts,_xlpm.lengths,_xlfn.LAMBDA(_xlpm.s,_xlpm.l,SUM(INDEX(_xlpm.data,,_xlfn.SEQUENCE(,_xlpm.l,_xlpm.s))))),ROUND(_xlpm.arr*$O311/1000,2))</f>
        <v>0</v>
      </c>
      <c r="BK311" s="330">
        <v>0</v>
      </c>
      <c r="BL311" s="330">
        <v>0</v>
      </c>
      <c r="BM311" s="330">
        <v>0</v>
      </c>
      <c r="BN311" s="258">
        <f t="shared" si="711"/>
        <v>0</v>
      </c>
      <c r="BO311" s="258">
        <v>0</v>
      </c>
      <c r="BP311" s="258">
        <v>0</v>
      </c>
      <c r="BQ311" s="258">
        <v>25.61</v>
      </c>
      <c r="BR311" s="258">
        <v>28.81</v>
      </c>
      <c r="BT311" s="258" cm="1">
        <f ca="1" t="array" ref="BT311:BW311">_xlfn.HSTACK(SUM(INDEX($R311:$AV311,1,1):INDEX($R311:$AV311,1,7)),SUM(INDEX($R311:$AV311,1,7):INDEX($R311:$AV311,1,13)),SUM(INDEX($R311:$AV311,1,16):INDEX($R311:$AV311,1,23)),SUM(INDEX($R311:$AV311,1,23):INDEX($R311:$AV311,1,31)))</f>
        <v>0</v>
      </c>
      <c r="BU311" s="258">
        <v>0</v>
      </c>
      <c r="BV311" s="258">
        <v>0</v>
      </c>
      <c r="BW311" s="258">
        <v>0</v>
      </c>
      <c r="BY311" s="258">
        <f t="shared" si="712"/>
        <v>0</v>
      </c>
      <c r="BZ311" s="258">
        <f t="shared" si="713"/>
        <v>0</v>
      </c>
      <c r="CA311" s="258">
        <f t="shared" si="714"/>
        <v>0</v>
      </c>
      <c r="CB311" s="258">
        <f t="shared" si="715"/>
        <v>0</v>
      </c>
      <c r="CE311" s="258">
        <f t="shared" si="716"/>
        <v>0</v>
      </c>
      <c r="CF311" s="258">
        <f t="shared" si="717"/>
        <v>0</v>
      </c>
      <c r="CG311" s="258">
        <f t="shared" si="718"/>
        <v>0</v>
      </c>
      <c r="CH311" s="258">
        <f t="shared" si="719"/>
        <v>0</v>
      </c>
      <c r="CI311" s="258">
        <f t="shared" si="720"/>
        <v>0</v>
      </c>
      <c r="CK311" s="258">
        <f t="shared" ref="CK311:CN311" si="775">IFERROR(ROUND(BY311*$P311,2),"")</f>
        <v>0</v>
      </c>
      <c r="CL311" s="258">
        <f t="shared" si="775"/>
        <v>0</v>
      </c>
      <c r="CM311" s="258">
        <f t="shared" si="775"/>
        <v>0</v>
      </c>
      <c r="CN311" s="258">
        <f t="shared" si="775"/>
        <v>0</v>
      </c>
      <c r="CO311" s="258">
        <f t="shared" si="761"/>
        <v>0</v>
      </c>
    </row>
    <row r="312" ht="17.6" spans="2:93">
      <c r="B312" s="334" t="str">
        <f>_xlfn.XLOOKUP(G312,销售需求表!A:A,销售需求表!C:C)</f>
        <v>非</v>
      </c>
      <c r="C312" s="335" t="str">
        <f t="shared" si="768"/>
        <v>24</v>
      </c>
      <c r="D312" s="362" t="str">
        <f t="shared" si="698"/>
        <v>非24寸</v>
      </c>
      <c r="E312" s="339" t="str">
        <f t="shared" si="699"/>
        <v>325/95R24-22PR(162/160K)-MD752</v>
      </c>
      <c r="F312" s="340" t="str">
        <f t="shared" si="747"/>
        <v>325/95R24-22PR-MD752</v>
      </c>
      <c r="G312" s="339" t="s">
        <v>568</v>
      </c>
      <c r="H312" s="334">
        <v>100</v>
      </c>
      <c r="I312" s="345"/>
      <c r="J312" s="346" t="str">
        <f t="shared" si="700"/>
        <v>325/95R24-MD752</v>
      </c>
      <c r="K312" s="347" t="str">
        <f>_xlfn.XLOOKUP(F312,投产规格!E:E,投产规格!D:D,"未投产")</f>
        <v>✔</v>
      </c>
      <c r="L312" s="347">
        <f>IFERROR(_xlfn.XLOOKUP(F312,硫化工艺!B:B,硫化工艺!C:C),"")</f>
        <v>43</v>
      </c>
      <c r="M312" s="349">
        <f t="shared" ref="M312:M323" si="776">IF(L312="","",L312/(L312+$L$1/60))</f>
        <v>0.880546075085324</v>
      </c>
      <c r="N312" s="347" t="str">
        <f t="shared" si="702"/>
        <v>24全钢</v>
      </c>
      <c r="O312" s="347">
        <f>IFERROR(_xlfn.XLOOKUP(F312,轮胎重量!J:J,轮胎重量!G:G),"")</f>
        <v>81.407</v>
      </c>
      <c r="P312" s="350">
        <f t="shared" ref="P312:P316" si="777">O312*13.9</f>
        <v>1131.5573</v>
      </c>
      <c r="Q312" s="347">
        <f t="shared" si="703"/>
        <v>0</v>
      </c>
      <c r="R312" s="347"/>
      <c r="S312" s="347"/>
      <c r="T312" s="347"/>
      <c r="U312" s="347"/>
      <c r="V312" s="347"/>
      <c r="W312" s="347"/>
      <c r="X312" s="347"/>
      <c r="Y312" s="347"/>
      <c r="Z312" s="347"/>
      <c r="AA312" s="347"/>
      <c r="AB312" s="347"/>
      <c r="AC312" s="347"/>
      <c r="AD312" s="347"/>
      <c r="AE312" s="347"/>
      <c r="AF312" s="347"/>
      <c r="AG312" s="347"/>
      <c r="AH312" s="347"/>
      <c r="AI312" s="347"/>
      <c r="AJ312" s="347"/>
      <c r="AK312" s="347"/>
      <c r="AL312" s="347"/>
      <c r="AM312" s="347"/>
      <c r="AN312" s="347"/>
      <c r="AO312" s="347"/>
      <c r="AP312" s="347"/>
      <c r="AQ312" s="347"/>
      <c r="AR312" s="347"/>
      <c r="AS312" s="347"/>
      <c r="AT312" s="347"/>
      <c r="AU312" s="347"/>
      <c r="AV312" s="347"/>
      <c r="AW312" s="347" t="str">
        <f t="shared" si="704"/>
        <v/>
      </c>
      <c r="AX312" s="365" t="str">
        <f t="shared" si="705"/>
        <v/>
      </c>
      <c r="AY312" s="365" t="str">
        <f t="shared" si="706"/>
        <v/>
      </c>
      <c r="AZ312" s="366">
        <v>677.88</v>
      </c>
      <c r="BA312" s="368">
        <v>44.56</v>
      </c>
      <c r="BB312" s="368">
        <v>66.37</v>
      </c>
      <c r="BC312" s="368">
        <v>75.26</v>
      </c>
      <c r="BE312" s="330" t="e">
        <f t="shared" si="769"/>
        <v>#VALUE!</v>
      </c>
      <c r="BF312" s="330" t="e">
        <f t="shared" si="770"/>
        <v>#VALUE!</v>
      </c>
      <c r="BG312" s="330" t="e">
        <f t="shared" si="771"/>
        <v>#VALUE!</v>
      </c>
      <c r="BH312" s="330" t="e">
        <f t="shared" si="772"/>
        <v>#VALUE!</v>
      </c>
      <c r="BJ312" s="370" cm="1">
        <f t="array" ref="BJ312:BM312">_xlfn.LET(_xlpm.data,$R312:$AV312,_xlpm.starts,{1,8,16,23},_xlpm.lengths,{7,7,8,9},_xlpm.arr,_xlfn.MAP(_xlpm.starts,_xlpm.lengths,_xlfn.LAMBDA(_xlpm.s,_xlpm.l,SUM(INDEX(_xlpm.data,,_xlfn.SEQUENCE(,_xlpm.l,_xlpm.s))))),ROUND(_xlpm.arr*$O312/1000,2))</f>
        <v>0</v>
      </c>
      <c r="BK312" s="330">
        <v>0</v>
      </c>
      <c r="BL312" s="330">
        <v>0</v>
      </c>
      <c r="BM312" s="330">
        <v>0</v>
      </c>
      <c r="BN312" s="258">
        <f t="shared" ref="BN312:BN323" si="778">SUM(BJ312:BM312)</f>
        <v>0</v>
      </c>
      <c r="BO312" s="258">
        <v>0</v>
      </c>
      <c r="BP312" s="258">
        <v>0</v>
      </c>
      <c r="BQ312" s="258">
        <v>0</v>
      </c>
      <c r="BR312" s="258">
        <v>0</v>
      </c>
      <c r="BT312" s="258" cm="1">
        <f ca="1" t="array" ref="BT312:BW312">_xlfn.HSTACK(SUM(INDEX($R312:$AV312,1,1):INDEX($R312:$AV312,1,7)),SUM(INDEX($R312:$AV312,1,7):INDEX($R312:$AV312,1,13)),SUM(INDEX($R312:$AV312,1,16):INDEX($R312:$AV312,1,23)),SUM(INDEX($R312:$AV312,1,23):INDEX($R312:$AV312,1,31)))</f>
        <v>0</v>
      </c>
      <c r="BU312" s="258">
        <v>0</v>
      </c>
      <c r="BV312" s="258">
        <v>0</v>
      </c>
      <c r="BW312" s="258">
        <v>0</v>
      </c>
      <c r="BY312" s="258">
        <f t="shared" si="712"/>
        <v>0</v>
      </c>
      <c r="BZ312" s="258">
        <f t="shared" si="713"/>
        <v>0</v>
      </c>
      <c r="CA312" s="258">
        <f t="shared" si="714"/>
        <v>0</v>
      </c>
      <c r="CB312" s="258">
        <f t="shared" si="715"/>
        <v>0</v>
      </c>
      <c r="CE312" s="258">
        <f t="shared" ref="CE312:CE323" si="779">ROUND(BY312*$O312/1000,2)</f>
        <v>0</v>
      </c>
      <c r="CF312" s="258">
        <f t="shared" ref="CF312:CF323" si="780">ROUND(BZ312*$O312/1000,2)</f>
        <v>0</v>
      </c>
      <c r="CG312" s="258">
        <f t="shared" ref="CG312:CG323" si="781">ROUND(CA312*$O312/1000,2)</f>
        <v>0</v>
      </c>
      <c r="CH312" s="258">
        <f t="shared" ref="CH312:CH323" si="782">ROUND(CB312*$O312/1000,2)</f>
        <v>0</v>
      </c>
      <c r="CI312" s="258">
        <f t="shared" ref="CI312:CI323" si="783">SUM(CE312:CH312)</f>
        <v>0</v>
      </c>
      <c r="CK312" s="258">
        <f t="shared" ref="CK312:CN312" si="784">IFERROR(ROUND(BY312*$P312,2),"")</f>
        <v>0</v>
      </c>
      <c r="CL312" s="258">
        <f t="shared" si="784"/>
        <v>0</v>
      </c>
      <c r="CM312" s="258">
        <f t="shared" si="784"/>
        <v>0</v>
      </c>
      <c r="CN312" s="258">
        <f t="shared" si="784"/>
        <v>0</v>
      </c>
      <c r="CO312" s="258">
        <f t="shared" si="761"/>
        <v>0</v>
      </c>
    </row>
    <row r="313" s="258" customFormat="1" ht="17.6" spans="1:93">
      <c r="A313" s="330"/>
      <c r="B313" s="334" t="str">
        <f>_xlfn.XLOOKUP(G313,销售需求表!A:A,销售需求表!C:C)</f>
        <v>非</v>
      </c>
      <c r="C313" s="335" t="str">
        <f t="shared" si="768"/>
        <v>24</v>
      </c>
      <c r="D313" s="362" t="str">
        <f t="shared" si="698"/>
        <v>非24寸</v>
      </c>
      <c r="E313" s="339" t="str">
        <f t="shared" si="699"/>
        <v>325/95R24-22PR(162/160K)-MD752</v>
      </c>
      <c r="F313" s="340" t="str">
        <f t="shared" si="747"/>
        <v>325/95R24-22PR-MD752</v>
      </c>
      <c r="G313" s="339" t="s">
        <v>569</v>
      </c>
      <c r="H313" s="334">
        <v>480</v>
      </c>
      <c r="I313" s="345"/>
      <c r="J313" s="346" t="str">
        <f t="shared" si="700"/>
        <v>325/95R24-MD752</v>
      </c>
      <c r="K313" s="347" t="str">
        <f>_xlfn.XLOOKUP(F313,投产规格!E:E,投产规格!D:D,"未投产")</f>
        <v>✔</v>
      </c>
      <c r="L313" s="347">
        <f>IFERROR(_xlfn.XLOOKUP(F313,硫化工艺!B:B,硫化工艺!C:C),"")</f>
        <v>43</v>
      </c>
      <c r="M313" s="349">
        <f t="shared" si="776"/>
        <v>0.880546075085324</v>
      </c>
      <c r="N313" s="347" t="str">
        <f t="shared" si="702"/>
        <v>24全钢</v>
      </c>
      <c r="O313" s="347">
        <f>IFERROR(_xlfn.XLOOKUP(F313,轮胎重量!J:J,轮胎重量!G:G),"")</f>
        <v>81.407</v>
      </c>
      <c r="P313" s="347">
        <f>IFERROR(_xlfn.XLOOKUP(G313,硫化工艺!I:I,硫化工艺!J:J),"")</f>
        <v>1168.5324</v>
      </c>
      <c r="Q313" s="347">
        <f t="shared" si="703"/>
        <v>0</v>
      </c>
      <c r="R313" s="347"/>
      <c r="S313" s="347"/>
      <c r="T313" s="347"/>
      <c r="U313" s="347"/>
      <c r="V313" s="347"/>
      <c r="W313" s="347"/>
      <c r="X313" s="347"/>
      <c r="Y313" s="347"/>
      <c r="Z313" s="347"/>
      <c r="AA313" s="347"/>
      <c r="AB313" s="347"/>
      <c r="AC313" s="347"/>
      <c r="AD313" s="347"/>
      <c r="AE313" s="347"/>
      <c r="AF313" s="347"/>
      <c r="AG313" s="347"/>
      <c r="AH313" s="347"/>
      <c r="AI313" s="347"/>
      <c r="AJ313" s="347"/>
      <c r="AK313" s="347"/>
      <c r="AL313" s="347"/>
      <c r="AM313" s="347"/>
      <c r="AN313" s="347"/>
      <c r="AO313" s="347"/>
      <c r="AP313" s="347"/>
      <c r="AQ313" s="347"/>
      <c r="AR313" s="347"/>
      <c r="AS313" s="347"/>
      <c r="AT313" s="347"/>
      <c r="AU313" s="347"/>
      <c r="AV313" s="347"/>
      <c r="AW313" s="347" t="str">
        <f t="shared" si="704"/>
        <v/>
      </c>
      <c r="AX313" s="365" t="str">
        <f t="shared" si="705"/>
        <v/>
      </c>
      <c r="AY313" s="365" t="str">
        <f t="shared" si="706"/>
        <v/>
      </c>
      <c r="AZ313" s="366">
        <v>677.88</v>
      </c>
      <c r="BA313" s="368">
        <v>44.56</v>
      </c>
      <c r="BB313" s="368">
        <v>66.37</v>
      </c>
      <c r="BC313" s="368">
        <v>75.26</v>
      </c>
      <c r="BD313" s="330"/>
      <c r="BE313" s="330" t="e">
        <f t="shared" si="769"/>
        <v>#VALUE!</v>
      </c>
      <c r="BF313" s="330" t="e">
        <f t="shared" si="770"/>
        <v>#VALUE!</v>
      </c>
      <c r="BG313" s="330" t="e">
        <f t="shared" si="771"/>
        <v>#VALUE!</v>
      </c>
      <c r="BH313" s="330" t="e">
        <f t="shared" si="772"/>
        <v>#VALUE!</v>
      </c>
      <c r="BI313" s="330"/>
      <c r="BJ313" s="370" cm="1">
        <f t="array" ref="BJ313:BM313">_xlfn.LET(_xlpm.data,$R313:$AV313,_xlpm.starts,{1,8,16,23},_xlpm.lengths,{7,7,8,9},_xlpm.arr,_xlfn.MAP(_xlpm.starts,_xlpm.lengths,_xlfn.LAMBDA(_xlpm.s,_xlpm.l,SUM(INDEX(_xlpm.data,,_xlfn.SEQUENCE(,_xlpm.l,_xlpm.s))))),ROUND(_xlpm.arr*$O313/1000,2))</f>
        <v>0</v>
      </c>
      <c r="BK313" s="330">
        <v>0</v>
      </c>
      <c r="BL313" s="330">
        <v>0</v>
      </c>
      <c r="BM313" s="330">
        <v>0</v>
      </c>
      <c r="BN313" s="258">
        <f t="shared" si="778"/>
        <v>0</v>
      </c>
      <c r="BO313" s="258">
        <v>17.96</v>
      </c>
      <c r="BP313" s="258">
        <v>25.14</v>
      </c>
      <c r="BQ313" s="258">
        <v>28.73</v>
      </c>
      <c r="BR313" s="258">
        <v>32.32</v>
      </c>
      <c r="BS313" s="115"/>
      <c r="BT313" s="258" cm="1">
        <f ca="1" t="array" ref="BT313:BW313">_xlfn.HSTACK(SUM(INDEX($R313:$AV313,1,1):INDEX($R313:$AV313,1,7)),SUM(INDEX($R313:$AV313,1,7):INDEX($R313:$AV313,1,13)),SUM(INDEX($R313:$AV313,1,16):INDEX($R313:$AV313,1,23)),SUM(INDEX($R313:$AV313,1,23):INDEX($R313:$AV313,1,31)))</f>
        <v>0</v>
      </c>
      <c r="BU313" s="258">
        <v>0</v>
      </c>
      <c r="BV313" s="258">
        <v>0</v>
      </c>
      <c r="BW313" s="258">
        <v>0</v>
      </c>
      <c r="BY313" s="258">
        <f t="shared" si="712"/>
        <v>0</v>
      </c>
      <c r="BZ313" s="258">
        <f t="shared" si="713"/>
        <v>0</v>
      </c>
      <c r="CA313" s="258">
        <f t="shared" si="714"/>
        <v>0</v>
      </c>
      <c r="CB313" s="258">
        <f t="shared" si="715"/>
        <v>0</v>
      </c>
      <c r="CD313" s="113"/>
      <c r="CE313" s="258">
        <f t="shared" si="779"/>
        <v>0</v>
      </c>
      <c r="CF313" s="258">
        <f t="shared" si="780"/>
        <v>0</v>
      </c>
      <c r="CG313" s="258">
        <f t="shared" si="781"/>
        <v>0</v>
      </c>
      <c r="CH313" s="258">
        <f t="shared" si="782"/>
        <v>0</v>
      </c>
      <c r="CI313" s="258">
        <f t="shared" si="783"/>
        <v>0</v>
      </c>
      <c r="CJ313" s="113"/>
      <c r="CK313" s="258">
        <f t="shared" ref="CK313:CN313" si="785">IFERROR(ROUND(BY313*$P313,2),"")</f>
        <v>0</v>
      </c>
      <c r="CL313" s="258">
        <f t="shared" si="785"/>
        <v>0</v>
      </c>
      <c r="CM313" s="258">
        <f t="shared" si="785"/>
        <v>0</v>
      </c>
      <c r="CN313" s="258">
        <f t="shared" si="785"/>
        <v>0</v>
      </c>
      <c r="CO313" s="258">
        <f t="shared" si="761"/>
        <v>0</v>
      </c>
    </row>
    <row r="314" s="258" customFormat="1" ht="17.6" spans="1:95">
      <c r="A314" s="330"/>
      <c r="B314" s="334" t="s">
        <v>695</v>
      </c>
      <c r="C314" s="335" t="str">
        <f t="shared" si="768"/>
        <v>16</v>
      </c>
      <c r="D314" s="362" t="str">
        <f t="shared" ref="D314:D319" si="786">B314&amp;C314&amp;"寸"</f>
        <v>印尼16寸</v>
      </c>
      <c r="E314" s="339" t="str">
        <f t="shared" ref="E314:E319" si="787">LEFT(REPLACE(G314,1,2,""),FIND("[",REPLACE(G314,1,2,""))-1)&amp;"-"&amp;MID(REPLACE(G314,1,2,""),FIND("[",REPLACE(G314,1,2,""))+1,FIND("]",REPLACE(G314,1,2,""))-FIND("[",REPLACE(G314,1,2,""))-1)</f>
        <v>7.50R16-14PR(122/118F)-CB972pro</v>
      </c>
      <c r="F314" s="340" t="str">
        <f t="shared" si="747"/>
        <v>7.50R16-14PR-CB972pro</v>
      </c>
      <c r="G314" s="372" t="s">
        <v>63</v>
      </c>
      <c r="H314" s="334">
        <v>630</v>
      </c>
      <c r="I314" s="345"/>
      <c r="J314" s="346" t="str">
        <f t="shared" ref="J314:J323" si="788">IFERROR(LEFT(F314,FIND("-",F314))&amp;MID(F314,FIND("PR",F314,FIND("-",F314))+3,LEN(F314)),F314)</f>
        <v>7.50R16-CB972pro</v>
      </c>
      <c r="K314" s="347" t="str">
        <f>_xlfn.XLOOKUP(F314,投产规格!E:E,投产规格!D:D,"未投产")</f>
        <v>未投产</v>
      </c>
      <c r="L314" s="347">
        <f>IFERROR(_xlfn.XLOOKUP(F314,硫化工艺!B:B,硫化工艺!C:C),"")</f>
        <v>30</v>
      </c>
      <c r="M314" s="349">
        <f t="shared" si="776"/>
        <v>0.837209302325581</v>
      </c>
      <c r="N314" s="347" t="str">
        <f t="shared" ref="N314:N319" si="789">C314&amp;"全钢"</f>
        <v>16全钢</v>
      </c>
      <c r="O314" s="347">
        <f>IFERROR(_xlfn.XLOOKUP(F314,轮胎重量!J:J,轮胎重量!G:G),"")</f>
        <v>30.06</v>
      </c>
      <c r="P314" s="350">
        <f t="shared" si="777"/>
        <v>417.834</v>
      </c>
      <c r="Q314" s="347">
        <f t="shared" ref="Q314:Q319" si="790">IFERROR(ROUND(1440/L314*(I314)*M314,0),"")</f>
        <v>0</v>
      </c>
      <c r="R314" s="347"/>
      <c r="S314" s="347"/>
      <c r="T314" s="347"/>
      <c r="U314" s="347"/>
      <c r="V314" s="347"/>
      <c r="W314" s="347"/>
      <c r="X314" s="347"/>
      <c r="Y314" s="347"/>
      <c r="Z314" s="347"/>
      <c r="AA314" s="347"/>
      <c r="AB314" s="347">
        <v>80</v>
      </c>
      <c r="AC314" s="347">
        <v>80</v>
      </c>
      <c r="AD314" s="347">
        <v>80</v>
      </c>
      <c r="AE314" s="347">
        <v>80</v>
      </c>
      <c r="AF314" s="347">
        <v>80</v>
      </c>
      <c r="AG314" s="347">
        <v>80</v>
      </c>
      <c r="AH314" s="347">
        <v>80</v>
      </c>
      <c r="AI314" s="347">
        <v>80</v>
      </c>
      <c r="AJ314" s="347">
        <v>80</v>
      </c>
      <c r="AK314" s="347"/>
      <c r="AL314" s="347"/>
      <c r="AM314" s="347"/>
      <c r="AN314" s="347"/>
      <c r="AO314" s="347"/>
      <c r="AP314" s="347"/>
      <c r="AQ314" s="347"/>
      <c r="AR314" s="347"/>
      <c r="AS314" s="347"/>
      <c r="AT314" s="347"/>
      <c r="AU314" s="347"/>
      <c r="AV314" s="347"/>
      <c r="AW314" s="347">
        <v>3000</v>
      </c>
      <c r="AX314" s="365">
        <f t="shared" ref="AX314:AX319" si="791">IFERROR(AW314*O314/1000,"")</f>
        <v>90.18</v>
      </c>
      <c r="AY314" s="365">
        <f t="shared" ref="AY314:AY319" si="792">IFERROR(ROUND(AW314*P314/10000,3),"")</f>
        <v>125.35</v>
      </c>
      <c r="AZ314" s="366">
        <v>677.88</v>
      </c>
      <c r="BA314" s="368">
        <v>44.56</v>
      </c>
      <c r="BB314" s="368">
        <v>66.37</v>
      </c>
      <c r="BC314" s="368">
        <v>75.26</v>
      </c>
      <c r="BD314" s="330"/>
      <c r="BE314" s="330">
        <f t="shared" si="769"/>
        <v>2033640</v>
      </c>
      <c r="BF314" s="330">
        <f t="shared" si="770"/>
        <v>133680</v>
      </c>
      <c r="BG314" s="330">
        <f t="shared" si="771"/>
        <v>199110</v>
      </c>
      <c r="BH314" s="330">
        <f t="shared" si="772"/>
        <v>225780</v>
      </c>
      <c r="BI314" s="330"/>
      <c r="BJ314" s="370" cm="1">
        <f t="array" ref="BJ314:BM314">_xlfn.LET(_xlpm.data,$R314:$AV314,_xlpm.starts,{1,8,16,23},_xlpm.lengths,{7,7,8,9},_xlpm.arr,_xlfn.MAP(_xlpm.starts,_xlpm.lengths,_xlfn.LAMBDA(_xlpm.s,_xlpm.l,SUM(INDEX(_xlpm.data,,_xlfn.SEQUENCE(,_xlpm.l,_xlpm.s))))),ROUND(_xlpm.arr*$O314/1000,2))</f>
        <v>0</v>
      </c>
      <c r="BK314" s="330">
        <v>9.62</v>
      </c>
      <c r="BL314" s="330">
        <v>9.62</v>
      </c>
      <c r="BM314" s="330">
        <v>0</v>
      </c>
      <c r="BN314" s="258">
        <f t="shared" si="778"/>
        <v>19.24</v>
      </c>
      <c r="BO314" s="258">
        <v>19.42</v>
      </c>
      <c r="BP314" s="258">
        <v>27.19</v>
      </c>
      <c r="BQ314" s="258">
        <v>31.07</v>
      </c>
      <c r="BR314" s="258">
        <v>34.96</v>
      </c>
      <c r="BS314" s="115"/>
      <c r="BT314" s="258" cm="1">
        <f ca="1" t="array" ref="BT314:BW314">_xlfn.HSTACK(SUM(INDEX($R314:$AV314,1,1):INDEX($R314:$AV314,1,7)),SUM(INDEX($R314:$AV314,1,7):INDEX($R314:$AV314,1,13)),SUM(INDEX($R314:$AV314,1,16):INDEX($R314:$AV314,1,23)),SUM(INDEX($R314:$AV314,1,23):INDEX($R314:$AV314,1,31)))</f>
        <v>0</v>
      </c>
      <c r="BU314" s="258">
        <v>240</v>
      </c>
      <c r="BV314" s="258">
        <v>320</v>
      </c>
      <c r="BW314" s="258">
        <v>0</v>
      </c>
      <c r="BY314" s="258">
        <f t="shared" ref="BY314:BY331" si="793">SUM(R314:X314)</f>
        <v>0</v>
      </c>
      <c r="BZ314" s="258">
        <f t="shared" ref="BZ314:BZ331" si="794">SUM(Y314:AE314)</f>
        <v>320</v>
      </c>
      <c r="CA314" s="258">
        <f t="shared" ref="CA314:CA331" si="795">SUM(AF314:AM314)</f>
        <v>400</v>
      </c>
      <c r="CB314" s="258">
        <f t="shared" ref="CB314:CB331" si="796">SUM(AN314:AV314)</f>
        <v>0</v>
      </c>
      <c r="CD314" s="113"/>
      <c r="CE314" s="258">
        <f t="shared" si="779"/>
        <v>0</v>
      </c>
      <c r="CF314" s="258">
        <f t="shared" si="780"/>
        <v>9.62</v>
      </c>
      <c r="CG314" s="258">
        <f t="shared" si="781"/>
        <v>12.02</v>
      </c>
      <c r="CH314" s="258">
        <f t="shared" si="782"/>
        <v>0</v>
      </c>
      <c r="CI314" s="258">
        <f t="shared" si="783"/>
        <v>21.64</v>
      </c>
      <c r="CJ314" s="113"/>
      <c r="CK314" s="258">
        <f t="shared" ref="CK314:CN314" si="797">IFERROR(ROUND(BY314*$P314,2),"")</f>
        <v>0</v>
      </c>
      <c r="CL314" s="258">
        <f t="shared" si="797"/>
        <v>133706.88</v>
      </c>
      <c r="CM314" s="258">
        <f t="shared" si="797"/>
        <v>167133.6</v>
      </c>
      <c r="CN314" s="258">
        <f t="shared" si="797"/>
        <v>0</v>
      </c>
      <c r="CO314" s="258">
        <f t="shared" ref="CO314:CO319" si="798">SUM(CK314:CN314)</f>
        <v>300840.48</v>
      </c>
      <c r="CP314" s="258" t="e">
        <f>VLOOKUP(G314,[2]Sheet1!$C$3:$G$310,5,0)</f>
        <v>#N/A</v>
      </c>
      <c r="CQ314" s="258" t="e">
        <f>VLOOKUP(G314,[3]KCBB0101!$C$3:$F$691,4,0)</f>
        <v>#N/A</v>
      </c>
    </row>
    <row r="315" s="258" customFormat="1" ht="17.6" spans="1:95">
      <c r="A315" s="330"/>
      <c r="B315" s="334" t="s">
        <v>695</v>
      </c>
      <c r="C315" s="335" t="str">
        <f t="shared" si="768"/>
        <v>16</v>
      </c>
      <c r="D315" s="362" t="str">
        <f t="shared" si="786"/>
        <v>印尼16寸</v>
      </c>
      <c r="E315" s="339" t="str">
        <f t="shared" si="787"/>
        <v>7.50R16-14PR(122/118F)-CB972pro</v>
      </c>
      <c r="F315" s="340" t="str">
        <f t="shared" si="747"/>
        <v>7.50R16-14PR-CB972pro</v>
      </c>
      <c r="G315" s="372" t="s">
        <v>69</v>
      </c>
      <c r="H315" s="334">
        <v>630</v>
      </c>
      <c r="I315" s="345"/>
      <c r="J315" s="346" t="str">
        <f t="shared" si="788"/>
        <v>7.50R16-CB972pro</v>
      </c>
      <c r="K315" s="347" t="str">
        <f>_xlfn.XLOOKUP(F315,投产规格!E:E,投产规格!D:D,"未投产")</f>
        <v>未投产</v>
      </c>
      <c r="L315" s="347">
        <f>IFERROR(_xlfn.XLOOKUP(F315,硫化工艺!B:B,硫化工艺!C:C),"")</f>
        <v>30</v>
      </c>
      <c r="M315" s="349">
        <f t="shared" si="776"/>
        <v>0.837209302325581</v>
      </c>
      <c r="N315" s="347" t="str">
        <f t="shared" si="789"/>
        <v>16全钢</v>
      </c>
      <c r="O315" s="347">
        <f>IFERROR(_xlfn.XLOOKUP(F315,轮胎重量!J:J,轮胎重量!G:G),"")</f>
        <v>30.06</v>
      </c>
      <c r="P315" s="350">
        <f t="shared" si="777"/>
        <v>417.834</v>
      </c>
      <c r="Q315" s="347">
        <f t="shared" si="790"/>
        <v>0</v>
      </c>
      <c r="R315" s="347"/>
      <c r="S315" s="347"/>
      <c r="T315" s="347"/>
      <c r="U315" s="347"/>
      <c r="V315" s="347"/>
      <c r="W315" s="347"/>
      <c r="X315" s="347"/>
      <c r="Y315" s="347"/>
      <c r="Z315" s="347"/>
      <c r="AA315" s="347"/>
      <c r="AB315" s="347"/>
      <c r="AC315" s="347"/>
      <c r="AD315" s="347"/>
      <c r="AE315" s="347"/>
      <c r="AF315" s="347"/>
      <c r="AG315" s="347"/>
      <c r="AH315" s="347"/>
      <c r="AI315" s="347"/>
      <c r="AJ315" s="347"/>
      <c r="AK315" s="347">
        <v>80</v>
      </c>
      <c r="AL315" s="347">
        <v>80</v>
      </c>
      <c r="AM315" s="347">
        <v>80</v>
      </c>
      <c r="AN315" s="347">
        <v>80</v>
      </c>
      <c r="AO315" s="347">
        <v>80</v>
      </c>
      <c r="AP315" s="347">
        <v>80</v>
      </c>
      <c r="AQ315" s="347">
        <v>160</v>
      </c>
      <c r="AR315" s="347">
        <v>160</v>
      </c>
      <c r="AS315" s="347">
        <v>160</v>
      </c>
      <c r="AT315" s="347">
        <v>160</v>
      </c>
      <c r="AU315" s="347">
        <v>160</v>
      </c>
      <c r="AV315" s="347">
        <v>160</v>
      </c>
      <c r="AW315" s="347">
        <v>3000</v>
      </c>
      <c r="AX315" s="365">
        <f t="shared" si="791"/>
        <v>90.18</v>
      </c>
      <c r="AY315" s="365">
        <f t="shared" si="792"/>
        <v>125.35</v>
      </c>
      <c r="AZ315" s="366">
        <v>677.88</v>
      </c>
      <c r="BA315" s="368">
        <v>44.56</v>
      </c>
      <c r="BB315" s="368">
        <v>66.37</v>
      </c>
      <c r="BC315" s="368">
        <v>75.26</v>
      </c>
      <c r="BD315" s="330"/>
      <c r="BE315" s="330">
        <f t="shared" ref="BE315:BE323" si="799">AZ315*AW315</f>
        <v>2033640</v>
      </c>
      <c r="BF315" s="330">
        <f t="shared" ref="BF315:BF323" si="800">BA315*AW315</f>
        <v>133680</v>
      </c>
      <c r="BG315" s="330">
        <f t="shared" ref="BG315:BG323" si="801">BB315*AW315</f>
        <v>199110</v>
      </c>
      <c r="BH315" s="330">
        <f t="shared" ref="BH315:BH323" si="802">BC315*AW315</f>
        <v>225780</v>
      </c>
      <c r="BI315" s="330"/>
      <c r="BJ315" s="370" cm="1">
        <f t="array" ref="BJ315:BM315">_xlfn.LET(_xlpm.data,$R315:$AV315,_xlpm.starts,{1,8,16,23},_xlpm.lengths,{7,7,8,9},_xlpm.arr,_xlfn.MAP(_xlpm.starts,_xlpm.lengths,_xlfn.LAMBDA(_xlpm.s,_xlpm.l,SUM(INDEX(_xlpm.data,,_xlfn.SEQUENCE(,_xlpm.l,_xlpm.s))))),ROUND(_xlpm.arr*$O315/1000,2))</f>
        <v>0</v>
      </c>
      <c r="BK315" s="330">
        <v>0</v>
      </c>
      <c r="BL315" s="330">
        <v>9.62</v>
      </c>
      <c r="BM315" s="330">
        <v>36.07</v>
      </c>
      <c r="BN315" s="258">
        <f t="shared" si="778"/>
        <v>45.69</v>
      </c>
      <c r="BO315" s="258">
        <v>19.42</v>
      </c>
      <c r="BP315" s="258">
        <v>27.19</v>
      </c>
      <c r="BQ315" s="258">
        <v>31.07</v>
      </c>
      <c r="BR315" s="258">
        <v>34.96</v>
      </c>
      <c r="BS315" s="115"/>
      <c r="BT315" s="258" cm="1">
        <f ca="1" t="array" ref="BT315:BW315">_xlfn.HSTACK(SUM(INDEX($R315:$AV315,1,1):INDEX($R315:$AV315,1,7)),SUM(INDEX($R315:$AV315,1,7):INDEX($R315:$AV315,1,13)),SUM(INDEX($R315:$AV315,1,16):INDEX($R315:$AV315,1,23)),SUM(INDEX($R315:$AV315,1,23):INDEX($R315:$AV315,1,31)))</f>
        <v>0</v>
      </c>
      <c r="BU315" s="258">
        <v>0</v>
      </c>
      <c r="BV315" s="258">
        <v>320</v>
      </c>
      <c r="BW315" s="258">
        <v>1200</v>
      </c>
      <c r="BY315" s="258">
        <f t="shared" si="793"/>
        <v>0</v>
      </c>
      <c r="BZ315" s="258">
        <f t="shared" si="794"/>
        <v>0</v>
      </c>
      <c r="CA315" s="258">
        <f t="shared" si="795"/>
        <v>240</v>
      </c>
      <c r="CB315" s="258">
        <f t="shared" si="796"/>
        <v>1200</v>
      </c>
      <c r="CD315" s="113"/>
      <c r="CE315" s="258">
        <f t="shared" si="779"/>
        <v>0</v>
      </c>
      <c r="CF315" s="258">
        <f t="shared" si="780"/>
        <v>0</v>
      </c>
      <c r="CG315" s="258">
        <f t="shared" si="781"/>
        <v>7.21</v>
      </c>
      <c r="CH315" s="258">
        <f t="shared" si="782"/>
        <v>36.07</v>
      </c>
      <c r="CI315" s="258">
        <f t="shared" si="783"/>
        <v>43.28</v>
      </c>
      <c r="CJ315" s="113"/>
      <c r="CK315" s="258">
        <f t="shared" ref="CK315:CN315" si="803">IFERROR(ROUND(BY315*$P315,2),"")</f>
        <v>0</v>
      </c>
      <c r="CL315" s="258">
        <f t="shared" si="803"/>
        <v>0</v>
      </c>
      <c r="CM315" s="258">
        <f t="shared" si="803"/>
        <v>100280.16</v>
      </c>
      <c r="CN315" s="258">
        <f t="shared" si="803"/>
        <v>501400.8</v>
      </c>
      <c r="CO315" s="258">
        <f t="shared" si="798"/>
        <v>601680.96</v>
      </c>
      <c r="CP315" s="258" t="e">
        <f>VLOOKUP(G315,[2]Sheet1!$C$3:$G$310,5,0)</f>
        <v>#N/A</v>
      </c>
      <c r="CQ315" s="258" t="e">
        <f>VLOOKUP(G315,[3]KCBB0101!$C$3:$F$691,4,0)</f>
        <v>#N/A</v>
      </c>
    </row>
    <row r="316" s="258" customFormat="1" ht="17.6" spans="1:95">
      <c r="A316" s="330"/>
      <c r="B316" s="334" t="s">
        <v>695</v>
      </c>
      <c r="C316" s="335" t="str">
        <f t="shared" si="768"/>
        <v>16</v>
      </c>
      <c r="D316" s="362" t="str">
        <f t="shared" si="786"/>
        <v>印尼16寸</v>
      </c>
      <c r="E316" s="339" t="str">
        <f t="shared" si="787"/>
        <v>7.50R16-14PR(122/118F)-CB972pro</v>
      </c>
      <c r="F316" s="340" t="str">
        <f t="shared" si="747"/>
        <v>7.50R16-14PR-CB972pro</v>
      </c>
      <c r="G316" s="372" t="s">
        <v>75</v>
      </c>
      <c r="H316" s="334">
        <v>630</v>
      </c>
      <c r="I316" s="345"/>
      <c r="J316" s="346" t="str">
        <f t="shared" si="788"/>
        <v>7.50R16-CB972pro</v>
      </c>
      <c r="K316" s="347" t="str">
        <f>_xlfn.XLOOKUP(F316,投产规格!E:E,投产规格!D:D,"未投产")</f>
        <v>未投产</v>
      </c>
      <c r="L316" s="347">
        <f>IFERROR(_xlfn.XLOOKUP(F316,硫化工艺!B:B,硫化工艺!C:C),"")</f>
        <v>30</v>
      </c>
      <c r="M316" s="349">
        <f t="shared" si="776"/>
        <v>0.837209302325581</v>
      </c>
      <c r="N316" s="347" t="str">
        <f t="shared" si="789"/>
        <v>16全钢</v>
      </c>
      <c r="O316" s="347">
        <f>IFERROR(_xlfn.XLOOKUP(F316,轮胎重量!J:J,轮胎重量!G:G),"")</f>
        <v>30.06</v>
      </c>
      <c r="P316" s="350">
        <f t="shared" si="777"/>
        <v>417.834</v>
      </c>
      <c r="Q316" s="347">
        <f t="shared" si="790"/>
        <v>0</v>
      </c>
      <c r="R316" s="347"/>
      <c r="S316" s="347"/>
      <c r="T316" s="347"/>
      <c r="U316" s="347"/>
      <c r="V316" s="347"/>
      <c r="W316" s="347"/>
      <c r="X316" s="347"/>
      <c r="Y316" s="347"/>
      <c r="Z316" s="347"/>
      <c r="AA316" s="347"/>
      <c r="AB316" s="347"/>
      <c r="AC316" s="347"/>
      <c r="AD316" s="347"/>
      <c r="AE316" s="347"/>
      <c r="AF316" s="347"/>
      <c r="AG316" s="347"/>
      <c r="AH316" s="347">
        <v>80</v>
      </c>
      <c r="AI316" s="347">
        <v>80</v>
      </c>
      <c r="AJ316" s="347">
        <v>80</v>
      </c>
      <c r="AK316" s="347">
        <v>80</v>
      </c>
      <c r="AL316" s="347">
        <v>80</v>
      </c>
      <c r="AM316" s="347">
        <v>80</v>
      </c>
      <c r="AN316" s="347">
        <v>80</v>
      </c>
      <c r="AO316" s="347">
        <v>80</v>
      </c>
      <c r="AP316" s="347">
        <v>80</v>
      </c>
      <c r="AQ316" s="347"/>
      <c r="AR316" s="347"/>
      <c r="AS316" s="347"/>
      <c r="AT316" s="347"/>
      <c r="AU316" s="347"/>
      <c r="AV316" s="347"/>
      <c r="AW316" s="347">
        <v>3000</v>
      </c>
      <c r="AX316" s="365">
        <f t="shared" si="791"/>
        <v>90.18</v>
      </c>
      <c r="AY316" s="365">
        <f t="shared" si="792"/>
        <v>125.35</v>
      </c>
      <c r="AZ316" s="366">
        <v>677.88</v>
      </c>
      <c r="BA316" s="368">
        <v>44.56</v>
      </c>
      <c r="BB316" s="368">
        <v>66.37</v>
      </c>
      <c r="BC316" s="368">
        <v>75.26</v>
      </c>
      <c r="BD316" s="330"/>
      <c r="BE316" s="330">
        <f t="shared" si="799"/>
        <v>2033640</v>
      </c>
      <c r="BF316" s="330">
        <f t="shared" si="800"/>
        <v>133680</v>
      </c>
      <c r="BG316" s="330">
        <f t="shared" si="801"/>
        <v>199110</v>
      </c>
      <c r="BH316" s="330">
        <f t="shared" si="802"/>
        <v>225780</v>
      </c>
      <c r="BI316" s="330"/>
      <c r="BJ316" s="370" cm="1">
        <f t="array" ref="BJ316:BM316">_xlfn.LET(_xlpm.data,$R316:$AV316,_xlpm.starts,{1,8,16,23},_xlpm.lengths,{7,7,8,9},_xlpm.arr,_xlfn.MAP(_xlpm.starts,_xlpm.lengths,_xlfn.LAMBDA(_xlpm.s,_xlpm.l,SUM(INDEX(_xlpm.data,,_xlfn.SEQUENCE(,_xlpm.l,_xlpm.s))))),ROUND(_xlpm.arr*$O316/1000,2))</f>
        <v>0</v>
      </c>
      <c r="BK316" s="330">
        <v>0</v>
      </c>
      <c r="BL316" s="330">
        <v>16.83</v>
      </c>
      <c r="BM316" s="330">
        <v>7.21</v>
      </c>
      <c r="BN316" s="258">
        <f t="shared" si="778"/>
        <v>24.04</v>
      </c>
      <c r="BO316" s="258">
        <v>19.42</v>
      </c>
      <c r="BP316" s="258">
        <v>27.19</v>
      </c>
      <c r="BQ316" s="258">
        <v>31.07</v>
      </c>
      <c r="BR316" s="258">
        <v>34.96</v>
      </c>
      <c r="BS316" s="115"/>
      <c r="BT316" s="258" cm="1">
        <f ca="1" t="array" ref="BT316:BW316">_xlfn.HSTACK(SUM(INDEX($R316:$AV316,1,1):INDEX($R316:$AV316,1,7)),SUM(INDEX($R316:$AV316,1,7):INDEX($R316:$AV316,1,13)),SUM(INDEX($R316:$AV316,1,16):INDEX($R316:$AV316,1,23)),SUM(INDEX($R316:$AV316,1,23):INDEX($R316:$AV316,1,31)))</f>
        <v>0</v>
      </c>
      <c r="BU316" s="258">
        <v>0</v>
      </c>
      <c r="BV316" s="258">
        <v>560</v>
      </c>
      <c r="BW316" s="258">
        <v>240</v>
      </c>
      <c r="BY316" s="258">
        <f t="shared" si="793"/>
        <v>0</v>
      </c>
      <c r="BZ316" s="258">
        <f t="shared" si="794"/>
        <v>0</v>
      </c>
      <c r="CA316" s="258">
        <f t="shared" si="795"/>
        <v>480</v>
      </c>
      <c r="CB316" s="258">
        <f t="shared" si="796"/>
        <v>240</v>
      </c>
      <c r="CD316" s="113"/>
      <c r="CE316" s="258">
        <f t="shared" si="779"/>
        <v>0</v>
      </c>
      <c r="CF316" s="258">
        <f t="shared" si="780"/>
        <v>0</v>
      </c>
      <c r="CG316" s="258">
        <f t="shared" si="781"/>
        <v>14.43</v>
      </c>
      <c r="CH316" s="258">
        <f t="shared" si="782"/>
        <v>7.21</v>
      </c>
      <c r="CI316" s="258">
        <f t="shared" si="783"/>
        <v>21.64</v>
      </c>
      <c r="CJ316" s="113"/>
      <c r="CK316" s="258">
        <f t="shared" ref="CK316:CN316" si="804">IFERROR(ROUND(BY316*$P316,2),"")</f>
        <v>0</v>
      </c>
      <c r="CL316" s="258">
        <f t="shared" si="804"/>
        <v>0</v>
      </c>
      <c r="CM316" s="258">
        <f t="shared" si="804"/>
        <v>200560.32</v>
      </c>
      <c r="CN316" s="258">
        <f t="shared" si="804"/>
        <v>100280.16</v>
      </c>
      <c r="CO316" s="258">
        <f t="shared" si="798"/>
        <v>300840.48</v>
      </c>
      <c r="CP316" s="258" t="e">
        <f>VLOOKUP(G316,[2]Sheet1!$C$3:$G$310,5,0)</f>
        <v>#N/A</v>
      </c>
      <c r="CQ316" s="258" t="e">
        <f>VLOOKUP(G316,[3]KCBB0101!$C$3:$F$691,4,0)</f>
        <v>#N/A</v>
      </c>
    </row>
    <row r="317" s="258" customFormat="1" ht="17.6" spans="1:95">
      <c r="A317" s="330"/>
      <c r="B317" s="334" t="str">
        <f>_xlfn.XLOOKUP(G317,销售需求表!A:A,销售需求表!C:C)</f>
        <v>亚</v>
      </c>
      <c r="C317" s="335" t="str">
        <f t="shared" si="768"/>
        <v>16</v>
      </c>
      <c r="D317" s="362" t="str">
        <f t="shared" si="786"/>
        <v>亚16寸</v>
      </c>
      <c r="E317" s="339" t="str">
        <f t="shared" si="787"/>
        <v>7.50R16-14PR(122/118F)-EZ377</v>
      </c>
      <c r="F317" s="340" t="str">
        <f t="shared" si="747"/>
        <v>7.50R16-14PR-EZ377</v>
      </c>
      <c r="G317" s="341" t="s">
        <v>649</v>
      </c>
      <c r="H317" s="334">
        <v>1300</v>
      </c>
      <c r="I317" s="345">
        <v>2</v>
      </c>
      <c r="J317" s="346" t="str">
        <f t="shared" si="788"/>
        <v>7.50R16-EZ377</v>
      </c>
      <c r="K317" s="347" t="str">
        <f>_xlfn.XLOOKUP(F317,投产规格!E:E,投产规格!D:D,"未投产")</f>
        <v>未投产</v>
      </c>
      <c r="L317" s="347">
        <f>IFERROR(_xlfn.XLOOKUP(F317,硫化工艺!B:B,硫化工艺!C:C),"")</f>
        <v>29</v>
      </c>
      <c r="M317" s="349">
        <f t="shared" si="776"/>
        <v>0.832535885167464</v>
      </c>
      <c r="N317" s="347" t="str">
        <f t="shared" si="789"/>
        <v>16全钢</v>
      </c>
      <c r="O317" s="347">
        <f>IFERROR(_xlfn.XLOOKUP(F317,轮胎重量!J:J,轮胎重量!G:G),"")</f>
        <v>30.042</v>
      </c>
      <c r="P317" s="347">
        <f>IFERROR(_xlfn.XLOOKUP(G317,硫化工艺!I:I,硫化工艺!J:J),"")</f>
        <v>414.1676</v>
      </c>
      <c r="Q317" s="347">
        <f t="shared" si="790"/>
        <v>83</v>
      </c>
      <c r="R317" s="347">
        <v>80</v>
      </c>
      <c r="S317" s="347">
        <v>80</v>
      </c>
      <c r="T317" s="347">
        <v>80</v>
      </c>
      <c r="U317" s="347">
        <v>80</v>
      </c>
      <c r="V317" s="347">
        <v>80</v>
      </c>
      <c r="W317" s="347">
        <v>80</v>
      </c>
      <c r="X317" s="347">
        <v>80</v>
      </c>
      <c r="Y317" s="347">
        <v>80</v>
      </c>
      <c r="Z317" s="347">
        <v>80</v>
      </c>
      <c r="AA317" s="347">
        <v>80</v>
      </c>
      <c r="AB317" s="347">
        <v>80</v>
      </c>
      <c r="AC317" s="347">
        <v>80</v>
      </c>
      <c r="AD317" s="347">
        <v>80</v>
      </c>
      <c r="AE317" s="347">
        <v>80</v>
      </c>
      <c r="AF317" s="347">
        <v>80</v>
      </c>
      <c r="AG317" s="347">
        <v>80</v>
      </c>
      <c r="AH317" s="347"/>
      <c r="AI317" s="347"/>
      <c r="AJ317" s="347"/>
      <c r="AK317" s="347"/>
      <c r="AL317" s="347"/>
      <c r="AM317" s="347"/>
      <c r="AN317" s="347"/>
      <c r="AO317" s="347"/>
      <c r="AP317" s="347"/>
      <c r="AQ317" s="347"/>
      <c r="AR317" s="347"/>
      <c r="AS317" s="347"/>
      <c r="AT317" s="347"/>
      <c r="AU317" s="347"/>
      <c r="AV317" s="347"/>
      <c r="AW317" s="347">
        <f>IF(SUM(R317:AV317)=0,"",SUM(R317:AV317))</f>
        <v>1280</v>
      </c>
      <c r="AX317" s="365">
        <f t="shared" si="791"/>
        <v>38.45376</v>
      </c>
      <c r="AY317" s="365">
        <f t="shared" si="792"/>
        <v>53.013</v>
      </c>
      <c r="AZ317" s="366">
        <v>677.88</v>
      </c>
      <c r="BA317" s="368">
        <v>44.56</v>
      </c>
      <c r="BB317" s="368">
        <v>66.37</v>
      </c>
      <c r="BC317" s="368">
        <v>75.26</v>
      </c>
      <c r="BD317" s="330"/>
      <c r="BE317" s="330">
        <f t="shared" si="799"/>
        <v>867686.4</v>
      </c>
      <c r="BF317" s="330">
        <f t="shared" si="800"/>
        <v>57036.8</v>
      </c>
      <c r="BG317" s="330">
        <f t="shared" si="801"/>
        <v>84953.6</v>
      </c>
      <c r="BH317" s="330">
        <f t="shared" si="802"/>
        <v>96332.8</v>
      </c>
      <c r="BI317" s="330"/>
      <c r="BJ317" s="370" cm="1">
        <f t="array" ref="BJ317:BM317">_xlfn.LET(_xlpm.data,$R317:$AV317,_xlpm.starts,{1,8,16,23},_xlpm.lengths,{7,7,8,9},_xlpm.arr,_xlfn.MAP(_xlpm.starts,_xlpm.lengths,_xlfn.LAMBDA(_xlpm.s,_xlpm.l,SUM(INDEX(_xlpm.data,,_xlfn.SEQUENCE(,_xlpm.l,_xlpm.s))))),ROUND(_xlpm.arr*$O317/1000,2))</f>
        <v>16.82</v>
      </c>
      <c r="BK317" s="330">
        <v>16.82</v>
      </c>
      <c r="BL317" s="330">
        <v>2.4</v>
      </c>
      <c r="BM317" s="330">
        <v>0</v>
      </c>
      <c r="BN317" s="258">
        <f t="shared" si="778"/>
        <v>36.04</v>
      </c>
      <c r="BO317" s="258">
        <v>19.42</v>
      </c>
      <c r="BP317" s="258">
        <v>27.19</v>
      </c>
      <c r="BQ317" s="258">
        <v>31.07</v>
      </c>
      <c r="BR317" s="258">
        <v>34.96</v>
      </c>
      <c r="BS317" s="115"/>
      <c r="BT317" s="258" cm="1">
        <f ca="1" t="array" ref="BT317:BW317">_xlfn.HSTACK(SUM(INDEX($R317:$AV317,1,1):INDEX($R317:$AV317,1,7)),SUM(INDEX($R317:$AV317,1,7):INDEX($R317:$AV317,1,13)),SUM(INDEX($R317:$AV317,1,16):INDEX($R317:$AV317,1,23)),SUM(INDEX($R317:$AV317,1,23):INDEX($R317:$AV317,1,31)))</f>
        <v>560</v>
      </c>
      <c r="BU317" s="258">
        <v>560</v>
      </c>
      <c r="BV317" s="258">
        <v>80</v>
      </c>
      <c r="BW317" s="258">
        <v>0</v>
      </c>
      <c r="BY317" s="258">
        <f t="shared" si="793"/>
        <v>560</v>
      </c>
      <c r="BZ317" s="258">
        <f t="shared" si="794"/>
        <v>560</v>
      </c>
      <c r="CA317" s="258">
        <f t="shared" si="795"/>
        <v>160</v>
      </c>
      <c r="CB317" s="258">
        <f t="shared" si="796"/>
        <v>0</v>
      </c>
      <c r="CD317" s="113"/>
      <c r="CE317" s="258">
        <f t="shared" si="779"/>
        <v>16.82</v>
      </c>
      <c r="CF317" s="258">
        <f t="shared" si="780"/>
        <v>16.82</v>
      </c>
      <c r="CG317" s="258">
        <f t="shared" si="781"/>
        <v>4.81</v>
      </c>
      <c r="CH317" s="258">
        <f t="shared" si="782"/>
        <v>0</v>
      </c>
      <c r="CI317" s="258">
        <f t="shared" si="783"/>
        <v>38.45</v>
      </c>
      <c r="CJ317" s="113"/>
      <c r="CK317" s="258">
        <f t="shared" ref="CK317:CN317" si="805">IFERROR(ROUND(BY317*$P317,2),"")</f>
        <v>231933.86</v>
      </c>
      <c r="CL317" s="258">
        <f t="shared" si="805"/>
        <v>231933.86</v>
      </c>
      <c r="CM317" s="258">
        <f t="shared" si="805"/>
        <v>66266.82</v>
      </c>
      <c r="CN317" s="258">
        <f t="shared" si="805"/>
        <v>0</v>
      </c>
      <c r="CO317" s="258">
        <f t="shared" si="798"/>
        <v>530134.54</v>
      </c>
      <c r="CP317" s="258">
        <f>VLOOKUP(G317,[2]Sheet1!$C$3:$G$310,5,0)</f>
        <v>4000</v>
      </c>
      <c r="CQ317" s="258" t="e">
        <f>VLOOKUP(G317,[3]KCBB0101!$C$3:$F$691,4,0)</f>
        <v>#N/A</v>
      </c>
    </row>
    <row r="318" ht="17.6" spans="2:95">
      <c r="B318" s="334" t="s">
        <v>695</v>
      </c>
      <c r="C318" s="335" t="str">
        <f t="shared" si="768"/>
        <v>16</v>
      </c>
      <c r="D318" s="362" t="str">
        <f t="shared" si="786"/>
        <v>印尼16寸</v>
      </c>
      <c r="E318" s="339" t="str">
        <f t="shared" si="787"/>
        <v>7.50R16-14PR(122/118L)-AZ601+</v>
      </c>
      <c r="F318" s="340" t="str">
        <f t="shared" si="747"/>
        <v>7.50R16-14PR-AZ601+</v>
      </c>
      <c r="G318" s="372" t="s">
        <v>80</v>
      </c>
      <c r="H318" s="334">
        <v>650</v>
      </c>
      <c r="I318" s="345">
        <v>2</v>
      </c>
      <c r="J318" s="346" t="str">
        <f t="shared" si="788"/>
        <v>7.50R16-AZ601+</v>
      </c>
      <c r="K318" s="347" t="str">
        <f>_xlfn.XLOOKUP(F318,投产规格!E:E,投产规格!D:D,"未投产")</f>
        <v>✔</v>
      </c>
      <c r="L318" s="347">
        <f>IFERROR(_xlfn.XLOOKUP(F318,硫化工艺!B:B,硫化工艺!C:C),"")</f>
        <v>26.5</v>
      </c>
      <c r="M318" s="349">
        <f t="shared" si="776"/>
        <v>0.819587628865979</v>
      </c>
      <c r="N318" s="347" t="str">
        <f t="shared" si="789"/>
        <v>16全钢</v>
      </c>
      <c r="O318" s="347">
        <f>IFERROR(_xlfn.XLOOKUP(F318,轮胎重量!J:J,轮胎重量!G:G),"")</f>
        <v>30.268</v>
      </c>
      <c r="P318" s="350">
        <f>O318*13.9</f>
        <v>420.7252</v>
      </c>
      <c r="Q318" s="347">
        <f t="shared" si="790"/>
        <v>89</v>
      </c>
      <c r="R318" s="347">
        <v>80</v>
      </c>
      <c r="S318" s="347">
        <v>80</v>
      </c>
      <c r="T318" s="347">
        <v>80</v>
      </c>
      <c r="U318" s="347">
        <v>80</v>
      </c>
      <c r="V318" s="347">
        <v>80</v>
      </c>
      <c r="W318" s="347">
        <v>80</v>
      </c>
      <c r="X318" s="347">
        <v>80</v>
      </c>
      <c r="Y318" s="347">
        <v>80</v>
      </c>
      <c r="Z318" s="347"/>
      <c r="AA318" s="347"/>
      <c r="AB318" s="347"/>
      <c r="AC318" s="347"/>
      <c r="AD318" s="347"/>
      <c r="AE318" s="347"/>
      <c r="AF318" s="347"/>
      <c r="AG318" s="347"/>
      <c r="AH318" s="347"/>
      <c r="AI318" s="347"/>
      <c r="AJ318" s="347"/>
      <c r="AK318" s="347"/>
      <c r="AL318" s="347"/>
      <c r="AM318" s="347"/>
      <c r="AN318" s="347"/>
      <c r="AO318" s="347"/>
      <c r="AP318" s="347"/>
      <c r="AQ318" s="347"/>
      <c r="AR318" s="347"/>
      <c r="AS318" s="347"/>
      <c r="AT318" s="347"/>
      <c r="AU318" s="347"/>
      <c r="AV318" s="347"/>
      <c r="AW318" s="347">
        <v>3000</v>
      </c>
      <c r="AX318" s="365">
        <f t="shared" si="791"/>
        <v>90.804</v>
      </c>
      <c r="AY318" s="365">
        <f t="shared" si="792"/>
        <v>126.218</v>
      </c>
      <c r="AZ318" s="366">
        <v>819.5</v>
      </c>
      <c r="BA318" s="368">
        <v>49.61</v>
      </c>
      <c r="BB318" s="368">
        <v>74.31</v>
      </c>
      <c r="BC318" s="368">
        <v>81.82</v>
      </c>
      <c r="BE318" s="330">
        <f t="shared" si="799"/>
        <v>2458500</v>
      </c>
      <c r="BF318" s="330">
        <f t="shared" si="800"/>
        <v>148830</v>
      </c>
      <c r="BG318" s="330">
        <f t="shared" si="801"/>
        <v>222930</v>
      </c>
      <c r="BH318" s="330">
        <f t="shared" si="802"/>
        <v>245460</v>
      </c>
      <c r="BJ318" s="370" cm="1">
        <f t="array" ref="BJ318:BM318">_xlfn.LET(_xlpm.data,$R318:$AV318,_xlpm.starts,{1,8,16,23},_xlpm.lengths,{7,7,8,9},_xlpm.arr,_xlfn.MAP(_xlpm.starts,_xlpm.lengths,_xlfn.LAMBDA(_xlpm.s,_xlpm.l,SUM(INDEX(_xlpm.data,,_xlfn.SEQUENCE(,_xlpm.l,_xlpm.s))))),ROUND(_xlpm.arr*$O318/1000,2))</f>
        <v>16.95</v>
      </c>
      <c r="BK318" s="330">
        <v>2.42</v>
      </c>
      <c r="BL318" s="330">
        <v>0</v>
      </c>
      <c r="BM318" s="330">
        <v>0</v>
      </c>
      <c r="BN318" s="258">
        <f t="shared" si="778"/>
        <v>19.37</v>
      </c>
      <c r="BO318" s="258">
        <v>76.99</v>
      </c>
      <c r="BP318" s="258">
        <v>76.99</v>
      </c>
      <c r="BQ318" s="258">
        <v>87.99</v>
      </c>
      <c r="BR318" s="258">
        <v>98.99</v>
      </c>
      <c r="BT318" s="258" cm="1">
        <f ca="1" t="array" ref="BT318:BW318">_xlfn.HSTACK(SUM(INDEX($R318:$AV318,1,1):INDEX($R318:$AV318,1,7)),SUM(INDEX($R318:$AV318,1,7):INDEX($R318:$AV318,1,13)),SUM(INDEX($R318:$AV318,1,16):INDEX($R318:$AV318,1,23)),SUM(INDEX($R318:$AV318,1,23):INDEX($R318:$AV318,1,31)))</f>
        <v>560</v>
      </c>
      <c r="BU318" s="258">
        <v>160</v>
      </c>
      <c r="BV318" s="258">
        <v>0</v>
      </c>
      <c r="BW318" s="258">
        <v>0</v>
      </c>
      <c r="BY318" s="258">
        <f t="shared" si="793"/>
        <v>560</v>
      </c>
      <c r="BZ318" s="258">
        <f t="shared" si="794"/>
        <v>80</v>
      </c>
      <c r="CA318" s="258">
        <f t="shared" si="795"/>
        <v>0</v>
      </c>
      <c r="CB318" s="258">
        <f t="shared" si="796"/>
        <v>0</v>
      </c>
      <c r="CE318" s="258">
        <f t="shared" si="779"/>
        <v>16.95</v>
      </c>
      <c r="CF318" s="258">
        <f t="shared" si="780"/>
        <v>2.42</v>
      </c>
      <c r="CG318" s="258">
        <f t="shared" si="781"/>
        <v>0</v>
      </c>
      <c r="CH318" s="258">
        <f t="shared" si="782"/>
        <v>0</v>
      </c>
      <c r="CI318" s="258">
        <f t="shared" si="783"/>
        <v>19.37</v>
      </c>
      <c r="CK318" s="258">
        <f t="shared" ref="CK318:CN318" si="806">IFERROR(ROUND(BY318*$P318,2),"")</f>
        <v>235606.11</v>
      </c>
      <c r="CL318" s="258">
        <f t="shared" si="806"/>
        <v>33658.02</v>
      </c>
      <c r="CM318" s="258">
        <f t="shared" si="806"/>
        <v>0</v>
      </c>
      <c r="CN318" s="258">
        <f t="shared" si="806"/>
        <v>0</v>
      </c>
      <c r="CO318" s="258">
        <f t="shared" si="798"/>
        <v>269264.13</v>
      </c>
      <c r="CP318" s="258" t="e">
        <f>VLOOKUP(G318,[2]Sheet1!$C$3:$G$310,5,0)</f>
        <v>#N/A</v>
      </c>
      <c r="CQ318" s="258" t="e">
        <f>VLOOKUP(G318,[3]KCBB0101!$C$3:$F$691,4,0)</f>
        <v>#N/A</v>
      </c>
    </row>
    <row r="319" ht="17.6" spans="2:93">
      <c r="B319" s="334" t="str">
        <f>_xlfn.XLOOKUP(G319,销售需求表!A:A,销售需求表!C:C)</f>
        <v>亚</v>
      </c>
      <c r="C319" s="335" t="str">
        <f t="shared" si="768"/>
        <v>16</v>
      </c>
      <c r="D319" s="362" t="str">
        <f t="shared" si="786"/>
        <v>亚16寸</v>
      </c>
      <c r="E319" s="339" t="str">
        <f t="shared" si="787"/>
        <v>7.50R16-14PR(122/118L)-CB981</v>
      </c>
      <c r="F319" s="340" t="str">
        <f t="shared" si="747"/>
        <v>7.50R16-14PR-CB981</v>
      </c>
      <c r="G319" s="377" t="s">
        <v>650</v>
      </c>
      <c r="H319" s="334">
        <v>300</v>
      </c>
      <c r="I319" s="345"/>
      <c r="J319" s="346" t="str">
        <f t="shared" si="788"/>
        <v>7.50R16-CB981</v>
      </c>
      <c r="K319" s="347" t="str">
        <f>_xlfn.XLOOKUP(F319,投产规格!E:E,投产规格!D:D,"未投产")</f>
        <v>✔</v>
      </c>
      <c r="L319" s="347">
        <f>IFERROR(_xlfn.XLOOKUP(F319,硫化工艺!B:B,硫化工艺!C:C),"")</f>
        <v>27</v>
      </c>
      <c r="M319" s="349">
        <f t="shared" si="776"/>
        <v>0.822335025380711</v>
      </c>
      <c r="N319" s="347" t="str">
        <f t="shared" si="789"/>
        <v>16全钢</v>
      </c>
      <c r="O319" s="347">
        <f>IFERROR(_xlfn.XLOOKUP(F319,轮胎重量!J:J,轮胎重量!G:G),"")</f>
        <v>29.232</v>
      </c>
      <c r="P319" s="347">
        <f>IFERROR(_xlfn.XLOOKUP(G319,硫化工艺!I:I,硫化工艺!J:J),"")</f>
        <v>442.430695</v>
      </c>
      <c r="Q319" s="347">
        <f t="shared" si="790"/>
        <v>0</v>
      </c>
      <c r="R319" s="347"/>
      <c r="S319" s="347"/>
      <c r="T319" s="347"/>
      <c r="U319" s="347"/>
      <c r="V319" s="347"/>
      <c r="W319" s="347"/>
      <c r="X319" s="347"/>
      <c r="Y319" s="347"/>
      <c r="Z319" s="347"/>
      <c r="AA319" s="347"/>
      <c r="AB319" s="347"/>
      <c r="AC319" s="347"/>
      <c r="AD319" s="347"/>
      <c r="AE319" s="347"/>
      <c r="AF319" s="347"/>
      <c r="AG319" s="347"/>
      <c r="AH319" s="347"/>
      <c r="AI319" s="347"/>
      <c r="AJ319" s="347"/>
      <c r="AK319" s="347"/>
      <c r="AL319" s="347"/>
      <c r="AM319" s="347"/>
      <c r="AN319" s="347"/>
      <c r="AO319" s="347"/>
      <c r="AP319" s="347"/>
      <c r="AQ319" s="347"/>
      <c r="AR319" s="347"/>
      <c r="AS319" s="347"/>
      <c r="AT319" s="347"/>
      <c r="AU319" s="347"/>
      <c r="AV319" s="347"/>
      <c r="AW319" s="347" t="str">
        <f>IF(SUM(R319:AV319)=0,"",SUM(R319:AV319))</f>
        <v/>
      </c>
      <c r="AX319" s="365" t="str">
        <f t="shared" si="791"/>
        <v/>
      </c>
      <c r="AY319" s="365" t="str">
        <f t="shared" si="792"/>
        <v/>
      </c>
      <c r="AZ319" s="366">
        <v>768.71</v>
      </c>
      <c r="BA319" s="368">
        <v>46.75</v>
      </c>
      <c r="BB319" s="368">
        <v>71.52</v>
      </c>
      <c r="BC319" s="368">
        <v>76.57</v>
      </c>
      <c r="BE319" s="330" t="e">
        <f t="shared" si="799"/>
        <v>#VALUE!</v>
      </c>
      <c r="BF319" s="330" t="e">
        <f t="shared" si="800"/>
        <v>#VALUE!</v>
      </c>
      <c r="BG319" s="330" t="e">
        <f t="shared" si="801"/>
        <v>#VALUE!</v>
      </c>
      <c r="BH319" s="330" t="e">
        <f t="shared" si="802"/>
        <v>#VALUE!</v>
      </c>
      <c r="BJ319" s="370" cm="1">
        <f t="array" ref="BJ319:BM319">_xlfn.LET(_xlpm.data,$R319:$AV319,_xlpm.starts,{1,8,16,23},_xlpm.lengths,{7,7,8,9},_xlpm.arr,_xlfn.MAP(_xlpm.starts,_xlpm.lengths,_xlfn.LAMBDA(_xlpm.s,_xlpm.l,SUM(INDEX(_xlpm.data,,_xlfn.SEQUENCE(,_xlpm.l,_xlpm.s))))),ROUND(_xlpm.arr*$O319/1000,2))</f>
        <v>0</v>
      </c>
      <c r="BK319" s="330">
        <v>0</v>
      </c>
      <c r="BL319" s="330">
        <v>0</v>
      </c>
      <c r="BM319" s="330">
        <v>0</v>
      </c>
      <c r="BN319" s="258">
        <f t="shared" si="778"/>
        <v>0</v>
      </c>
      <c r="BO319" s="258">
        <v>51.56</v>
      </c>
      <c r="BP319" s="258">
        <v>51.56</v>
      </c>
      <c r="BQ319" s="258">
        <v>58.92</v>
      </c>
      <c r="BR319" s="258">
        <v>66.29</v>
      </c>
      <c r="BT319" s="258" cm="1">
        <f ca="1" t="array" ref="BT319:BW319">_xlfn.HSTACK(SUM(INDEX($R319:$AV319,1,1):INDEX($R319:$AV319,1,7)),SUM(INDEX($R319:$AV319,1,7):INDEX($R319:$AV319,1,13)),SUM(INDEX($R319:$AV319,1,16):INDEX($R319:$AV319,1,23)),SUM(INDEX($R319:$AV319,1,23):INDEX($R319:$AV319,1,31)))</f>
        <v>0</v>
      </c>
      <c r="BU319" s="258">
        <v>0</v>
      </c>
      <c r="BV319" s="258">
        <v>0</v>
      </c>
      <c r="BW319" s="258">
        <v>0</v>
      </c>
      <c r="BY319" s="258">
        <f t="shared" si="793"/>
        <v>0</v>
      </c>
      <c r="BZ319" s="258">
        <f t="shared" si="794"/>
        <v>0</v>
      </c>
      <c r="CA319" s="258">
        <f t="shared" si="795"/>
        <v>0</v>
      </c>
      <c r="CB319" s="258">
        <f t="shared" si="796"/>
        <v>0</v>
      </c>
      <c r="CE319" s="258">
        <f t="shared" si="779"/>
        <v>0</v>
      </c>
      <c r="CF319" s="258">
        <f t="shared" si="780"/>
        <v>0</v>
      </c>
      <c r="CG319" s="258">
        <f t="shared" si="781"/>
        <v>0</v>
      </c>
      <c r="CH319" s="258">
        <f t="shared" si="782"/>
        <v>0</v>
      </c>
      <c r="CI319" s="258">
        <f t="shared" si="783"/>
        <v>0</v>
      </c>
      <c r="CK319" s="258">
        <f t="shared" ref="CK319:CN319" si="807">IFERROR(ROUND(BY319*$P319,2),"")</f>
        <v>0</v>
      </c>
      <c r="CL319" s="258">
        <f t="shared" si="807"/>
        <v>0</v>
      </c>
      <c r="CM319" s="258">
        <f t="shared" si="807"/>
        <v>0</v>
      </c>
      <c r="CN319" s="258">
        <f t="shared" si="807"/>
        <v>0</v>
      </c>
      <c r="CO319" s="258">
        <f t="shared" si="798"/>
        <v>0</v>
      </c>
    </row>
    <row r="320" ht="17.6" spans="2:95">
      <c r="B320" s="334" t="str">
        <f>_xlfn.XLOOKUP(G320,销售需求表!A:A,销售需求表!C:C)</f>
        <v>亚</v>
      </c>
      <c r="C320" s="335" t="str">
        <f t="shared" si="768"/>
        <v>16</v>
      </c>
      <c r="D320" s="362" t="str">
        <f t="shared" ref="D320:D345" si="808">B320&amp;C320&amp;"寸"</f>
        <v>亚16寸</v>
      </c>
      <c r="E320" s="339" t="str">
        <f t="shared" ref="E320:E347" si="809">LEFT(REPLACE(G320,1,2,""),FIND("[",REPLACE(G320,1,2,""))-1)&amp;"-"&amp;MID(REPLACE(G320,1,2,""),FIND("[",REPLACE(G320,1,2,""))+1,FIND("]",REPLACE(G320,1,2,""))-FIND("[",REPLACE(G320,1,2,""))-1)</f>
        <v>7.50R16-14PR(122/118L)-CM988</v>
      </c>
      <c r="F320" s="340" t="str">
        <f t="shared" si="747"/>
        <v>7.50R16-14PR-CM988</v>
      </c>
      <c r="G320" s="341" t="s">
        <v>651</v>
      </c>
      <c r="H320" s="334">
        <v>320</v>
      </c>
      <c r="I320" s="345"/>
      <c r="J320" s="346" t="str">
        <f t="shared" si="788"/>
        <v>7.50R16-CM988</v>
      </c>
      <c r="K320" s="347" t="str">
        <f>_xlfn.XLOOKUP(F320,投产规格!E:E,投产规格!D:D,"未投产")</f>
        <v>✔</v>
      </c>
      <c r="L320" s="347">
        <f>IFERROR(_xlfn.XLOOKUP(F320,硫化工艺!B:B,硫化工艺!C:C),"")</f>
        <v>28</v>
      </c>
      <c r="M320" s="349">
        <f t="shared" si="776"/>
        <v>0.827586206896552</v>
      </c>
      <c r="N320" s="347" t="str">
        <f t="shared" ref="N320:N345" si="810">C320&amp;"全钢"</f>
        <v>16全钢</v>
      </c>
      <c r="O320" s="347">
        <f>IFERROR(_xlfn.XLOOKUP(F320,轮胎重量!J:J,轮胎重量!G:G),"")</f>
        <v>29.791</v>
      </c>
      <c r="P320" s="347">
        <f>IFERROR(_xlfn.XLOOKUP(G320,硫化工艺!I:I,硫化工艺!J:J),"")</f>
        <v>443.75576</v>
      </c>
      <c r="Q320" s="347">
        <f t="shared" ref="Q320:Q348" si="811">IFERROR(ROUND(1440/L320*(I320)*M320,0),"")</f>
        <v>0</v>
      </c>
      <c r="R320" s="347"/>
      <c r="S320" s="347"/>
      <c r="T320" s="347"/>
      <c r="U320" s="347"/>
      <c r="V320" s="347"/>
      <c r="W320" s="347"/>
      <c r="X320" s="347"/>
      <c r="Y320" s="347"/>
      <c r="Z320" s="347">
        <v>80</v>
      </c>
      <c r="AA320" s="347">
        <v>80</v>
      </c>
      <c r="AB320" s="347">
        <v>80</v>
      </c>
      <c r="AC320" s="347">
        <v>80</v>
      </c>
      <c r="AD320" s="347">
        <v>80</v>
      </c>
      <c r="AE320" s="347">
        <v>80</v>
      </c>
      <c r="AF320" s="347">
        <v>80</v>
      </c>
      <c r="AG320" s="347">
        <v>80</v>
      </c>
      <c r="AH320" s="347"/>
      <c r="AI320" s="347"/>
      <c r="AJ320" s="347"/>
      <c r="AK320" s="347"/>
      <c r="AL320" s="347"/>
      <c r="AM320" s="347"/>
      <c r="AN320" s="347"/>
      <c r="AO320" s="347"/>
      <c r="AP320" s="347"/>
      <c r="AQ320" s="347"/>
      <c r="AR320" s="347"/>
      <c r="AS320" s="347"/>
      <c r="AT320" s="347"/>
      <c r="AU320" s="347"/>
      <c r="AV320" s="347"/>
      <c r="AW320" s="347">
        <f t="shared" ref="AW320:AW345" si="812">IF(SUM(R320:AV320)=0,"",SUM(R320:AV320))</f>
        <v>640</v>
      </c>
      <c r="AX320" s="365">
        <f t="shared" ref="AX320:AX345" si="813">IFERROR(AW320*O320/1000,"")</f>
        <v>19.06624</v>
      </c>
      <c r="AY320" s="365">
        <f t="shared" ref="AY320:AY345" si="814">IFERROR(ROUND(AW320*P320/10000,3),"")</f>
        <v>28.4</v>
      </c>
      <c r="AZ320" s="366">
        <v>768.71</v>
      </c>
      <c r="BA320" s="368">
        <v>46.75</v>
      </c>
      <c r="BB320" s="368">
        <v>71.52</v>
      </c>
      <c r="BC320" s="368">
        <v>76.57</v>
      </c>
      <c r="BE320" s="330">
        <f t="shared" si="799"/>
        <v>491974.4</v>
      </c>
      <c r="BF320" s="330">
        <f t="shared" si="800"/>
        <v>29920</v>
      </c>
      <c r="BG320" s="330">
        <f t="shared" si="801"/>
        <v>45772.8</v>
      </c>
      <c r="BH320" s="330">
        <f t="shared" si="802"/>
        <v>49004.8</v>
      </c>
      <c r="BJ320" s="370" cm="1">
        <f t="array" ref="BJ320:BM320">_xlfn.LET(_xlpm.data,$R320:$AV320,_xlpm.starts,{1,8,16,23},_xlpm.lengths,{7,7,8,9},_xlpm.arr,_xlfn.MAP(_xlpm.starts,_xlpm.lengths,_xlfn.LAMBDA(_xlpm.s,_xlpm.l,SUM(INDEX(_xlpm.data,,_xlfn.SEQUENCE(,_xlpm.l,_xlpm.s))))),ROUND(_xlpm.arr*$O320/1000,2))</f>
        <v>0</v>
      </c>
      <c r="BK320" s="330">
        <v>14.3</v>
      </c>
      <c r="BL320" s="330">
        <v>2.38</v>
      </c>
      <c r="BM320" s="330">
        <v>0</v>
      </c>
      <c r="BN320" s="258">
        <f t="shared" si="778"/>
        <v>16.68</v>
      </c>
      <c r="BO320" s="258">
        <v>51.56</v>
      </c>
      <c r="BP320" s="258">
        <v>51.56</v>
      </c>
      <c r="BQ320" s="258">
        <v>58.92</v>
      </c>
      <c r="BR320" s="258">
        <v>66.29</v>
      </c>
      <c r="BT320" s="258" cm="1">
        <f ca="1" t="array" ref="BT320:BW320">_xlfn.HSTACK(SUM(INDEX($R320:$AV320,1,1):INDEX($R320:$AV320,1,7)),SUM(INDEX($R320:$AV320,1,7):INDEX($R320:$AV320,1,13)),SUM(INDEX($R320:$AV320,1,16):INDEX($R320:$AV320,1,23)),SUM(INDEX($R320:$AV320,1,23):INDEX($R320:$AV320,1,31)))</f>
        <v>0</v>
      </c>
      <c r="BU320" s="258">
        <v>400</v>
      </c>
      <c r="BV320" s="258">
        <v>80</v>
      </c>
      <c r="BW320" s="258">
        <v>0</v>
      </c>
      <c r="BY320" s="258">
        <f t="shared" si="793"/>
        <v>0</v>
      </c>
      <c r="BZ320" s="258">
        <f t="shared" si="794"/>
        <v>480</v>
      </c>
      <c r="CA320" s="258">
        <f t="shared" si="795"/>
        <v>160</v>
      </c>
      <c r="CB320" s="258">
        <f t="shared" si="796"/>
        <v>0</v>
      </c>
      <c r="CE320" s="258">
        <f t="shared" si="779"/>
        <v>0</v>
      </c>
      <c r="CF320" s="258">
        <f t="shared" si="780"/>
        <v>14.3</v>
      </c>
      <c r="CG320" s="258">
        <f t="shared" si="781"/>
        <v>4.77</v>
      </c>
      <c r="CH320" s="258">
        <f t="shared" si="782"/>
        <v>0</v>
      </c>
      <c r="CI320" s="258">
        <f t="shared" si="783"/>
        <v>19.07</v>
      </c>
      <c r="CK320" s="258">
        <f t="shared" ref="CK320:CN320" si="815">IFERROR(ROUND(BY320*$P320,2),"")</f>
        <v>0</v>
      </c>
      <c r="CL320" s="258">
        <f t="shared" si="815"/>
        <v>213002.76</v>
      </c>
      <c r="CM320" s="258">
        <f t="shared" si="815"/>
        <v>71000.92</v>
      </c>
      <c r="CN320" s="258">
        <f t="shared" si="815"/>
        <v>0</v>
      </c>
      <c r="CO320" s="258">
        <f t="shared" ref="CO320:CO347" si="816">SUM(CK320:CN320)</f>
        <v>284003.68</v>
      </c>
      <c r="CP320" s="258" t="e">
        <f>VLOOKUP(G320,[2]Sheet1!$C$3:$G$310,5,0)</f>
        <v>#N/A</v>
      </c>
      <c r="CQ320" s="258">
        <f>VLOOKUP(G320,[3]KCBB0101!$C$3:$F$691,4,0)</f>
        <v>2170</v>
      </c>
    </row>
    <row r="321" ht="17.6" spans="2:95">
      <c r="B321" s="334" t="str">
        <f>_xlfn.XLOOKUP(G321,销售需求表!A:A,销售需求表!C:C)</f>
        <v>亚</v>
      </c>
      <c r="C321" s="335" t="str">
        <f t="shared" si="768"/>
        <v>16</v>
      </c>
      <c r="D321" s="362" t="str">
        <f t="shared" si="808"/>
        <v>亚16寸</v>
      </c>
      <c r="E321" s="339" t="str">
        <f t="shared" si="809"/>
        <v>7.50R16-14PR(122/118L)-CM988</v>
      </c>
      <c r="F321" s="340" t="str">
        <f t="shared" si="747"/>
        <v>7.50R16-14PR-CM988</v>
      </c>
      <c r="G321" s="341" t="s">
        <v>652</v>
      </c>
      <c r="H321" s="334">
        <v>1300</v>
      </c>
      <c r="I321" s="345"/>
      <c r="J321" s="346" t="str">
        <f t="shared" si="788"/>
        <v>7.50R16-CM988</v>
      </c>
      <c r="K321" s="347" t="str">
        <f>_xlfn.XLOOKUP(F321,投产规格!E:E,投产规格!D:D,"未投产")</f>
        <v>✔</v>
      </c>
      <c r="L321" s="347">
        <f>IFERROR(_xlfn.XLOOKUP(F321,硫化工艺!B:B,硫化工艺!C:C),"")</f>
        <v>28</v>
      </c>
      <c r="M321" s="349">
        <f t="shared" si="776"/>
        <v>0.827586206896552</v>
      </c>
      <c r="N321" s="347" t="str">
        <f t="shared" si="810"/>
        <v>16全钢</v>
      </c>
      <c r="O321" s="347">
        <f>IFERROR(_xlfn.XLOOKUP(F321,轮胎重量!J:J,轮胎重量!G:G),"")</f>
        <v>29.791</v>
      </c>
      <c r="P321" s="347">
        <f>IFERROR(_xlfn.XLOOKUP(G321,硫化工艺!I:I,硫化工艺!J:J),"")</f>
        <v>445.7978</v>
      </c>
      <c r="Q321" s="347">
        <f t="shared" si="811"/>
        <v>0</v>
      </c>
      <c r="R321" s="347"/>
      <c r="S321" s="347"/>
      <c r="T321" s="347"/>
      <c r="U321" s="347"/>
      <c r="V321" s="347"/>
      <c r="W321" s="347"/>
      <c r="X321" s="347"/>
      <c r="Y321" s="347"/>
      <c r="Z321" s="347"/>
      <c r="AA321" s="347"/>
      <c r="AB321" s="347"/>
      <c r="AC321" s="347"/>
      <c r="AD321" s="347"/>
      <c r="AE321" s="347"/>
      <c r="AF321" s="347"/>
      <c r="AG321" s="347"/>
      <c r="AH321" s="347">
        <v>80</v>
      </c>
      <c r="AI321" s="347">
        <v>80</v>
      </c>
      <c r="AJ321" s="347">
        <v>80</v>
      </c>
      <c r="AK321" s="347">
        <v>80</v>
      </c>
      <c r="AL321" s="347">
        <v>80</v>
      </c>
      <c r="AM321" s="347">
        <v>80</v>
      </c>
      <c r="AN321" s="347">
        <v>80</v>
      </c>
      <c r="AO321" s="347">
        <v>80</v>
      </c>
      <c r="AP321" s="347"/>
      <c r="AQ321" s="347"/>
      <c r="AR321" s="347"/>
      <c r="AS321" s="347"/>
      <c r="AT321" s="347"/>
      <c r="AU321" s="347"/>
      <c r="AV321" s="347"/>
      <c r="AW321" s="347">
        <f t="shared" si="812"/>
        <v>640</v>
      </c>
      <c r="AX321" s="365">
        <f t="shared" si="813"/>
        <v>19.06624</v>
      </c>
      <c r="AY321" s="365">
        <f t="shared" si="814"/>
        <v>28.531</v>
      </c>
      <c r="AZ321" s="366">
        <v>660.8</v>
      </c>
      <c r="BA321" s="368">
        <v>42.02</v>
      </c>
      <c r="BB321" s="368">
        <v>65.11</v>
      </c>
      <c r="BC321" s="368">
        <v>70.93</v>
      </c>
      <c r="BE321" s="330">
        <f t="shared" si="799"/>
        <v>422912</v>
      </c>
      <c r="BF321" s="330">
        <f t="shared" si="800"/>
        <v>26892.8</v>
      </c>
      <c r="BG321" s="330">
        <f t="shared" si="801"/>
        <v>41670.4</v>
      </c>
      <c r="BH321" s="330">
        <f t="shared" si="802"/>
        <v>45395.2</v>
      </c>
      <c r="BJ321" s="370" cm="1">
        <f t="array" ref="BJ321:BM321">_xlfn.LET(_xlpm.data,$R321:$AV321,_xlpm.starts,{1,8,16,23},_xlpm.lengths,{7,7,8,9},_xlpm.arr,_xlfn.MAP(_xlpm.starts,_xlpm.lengths,_xlfn.LAMBDA(_xlpm.s,_xlpm.l,SUM(INDEX(_xlpm.data,,_xlfn.SEQUENCE(,_xlpm.l,_xlpm.s))))),ROUND(_xlpm.arr*$O321/1000,2))</f>
        <v>0</v>
      </c>
      <c r="BK321" s="330">
        <v>0</v>
      </c>
      <c r="BL321" s="330">
        <v>16.68</v>
      </c>
      <c r="BM321" s="330">
        <v>4.77</v>
      </c>
      <c r="BN321" s="258">
        <f t="shared" si="778"/>
        <v>21.45</v>
      </c>
      <c r="BO321" s="258">
        <v>53.95</v>
      </c>
      <c r="BP321" s="258">
        <v>0</v>
      </c>
      <c r="BQ321" s="258">
        <v>0</v>
      </c>
      <c r="BR321" s="258">
        <v>0</v>
      </c>
      <c r="BT321" s="258" cm="1">
        <f ca="1" t="array" ref="BT321:BW321">_xlfn.HSTACK(SUM(INDEX($R321:$AV321,1,1):INDEX($R321:$AV321,1,7)),SUM(INDEX($R321:$AV321,1,7):INDEX($R321:$AV321,1,13)),SUM(INDEX($R321:$AV321,1,16):INDEX($R321:$AV321,1,23)),SUM(INDEX($R321:$AV321,1,23):INDEX($R321:$AV321,1,31)))</f>
        <v>0</v>
      </c>
      <c r="BU321" s="258">
        <v>0</v>
      </c>
      <c r="BV321" s="258">
        <v>560</v>
      </c>
      <c r="BW321" s="258">
        <v>160</v>
      </c>
      <c r="BY321" s="258">
        <f t="shared" si="793"/>
        <v>0</v>
      </c>
      <c r="BZ321" s="258">
        <f t="shared" si="794"/>
        <v>0</v>
      </c>
      <c r="CA321" s="258">
        <f t="shared" si="795"/>
        <v>480</v>
      </c>
      <c r="CB321" s="258">
        <f t="shared" si="796"/>
        <v>160</v>
      </c>
      <c r="CE321" s="258">
        <f t="shared" si="779"/>
        <v>0</v>
      </c>
      <c r="CF321" s="258">
        <f t="shared" si="780"/>
        <v>0</v>
      </c>
      <c r="CG321" s="258">
        <f t="shared" si="781"/>
        <v>14.3</v>
      </c>
      <c r="CH321" s="258">
        <f t="shared" si="782"/>
        <v>4.77</v>
      </c>
      <c r="CI321" s="258">
        <f t="shared" si="783"/>
        <v>19.07</v>
      </c>
      <c r="CK321" s="258">
        <f t="shared" ref="CK321:CN321" si="817">IFERROR(ROUND(BY321*$P321,2),"")</f>
        <v>0</v>
      </c>
      <c r="CL321" s="258">
        <f t="shared" si="817"/>
        <v>0</v>
      </c>
      <c r="CM321" s="258">
        <f t="shared" si="817"/>
        <v>213982.94</v>
      </c>
      <c r="CN321" s="258">
        <f t="shared" si="817"/>
        <v>71327.65</v>
      </c>
      <c r="CO321" s="258">
        <f t="shared" si="816"/>
        <v>285310.59</v>
      </c>
      <c r="CP321" s="258">
        <f>VLOOKUP(G321,[2]Sheet1!$C$3:$G$310,5,0)</f>
        <v>5200</v>
      </c>
      <c r="CQ321" s="258" t="e">
        <f>VLOOKUP(G321,[3]KCBB0101!$C$3:$F$691,4,0)</f>
        <v>#N/A</v>
      </c>
    </row>
    <row r="322" ht="17.6" spans="2:93">
      <c r="B322" s="334" t="str">
        <f>_xlfn.XLOOKUP(G322,销售需求表!A:A,销售需求表!C:C)</f>
        <v>亚</v>
      </c>
      <c r="C322" s="335" t="str">
        <f t="shared" si="768"/>
        <v>16</v>
      </c>
      <c r="D322" s="362" t="str">
        <f t="shared" si="808"/>
        <v>亚16寸</v>
      </c>
      <c r="E322" s="339" t="str">
        <f t="shared" si="809"/>
        <v>7.50R16-14PR(122/118L)-CR926</v>
      </c>
      <c r="F322" s="340" t="str">
        <f t="shared" si="747"/>
        <v>7.50R16-14PR-CR926</v>
      </c>
      <c r="G322" s="377" t="s">
        <v>653</v>
      </c>
      <c r="H322" s="334">
        <v>1600</v>
      </c>
      <c r="I322" s="345"/>
      <c r="J322" s="346" t="str">
        <f t="shared" si="788"/>
        <v>7.50R16-CR926</v>
      </c>
      <c r="K322" s="347" t="str">
        <f>_xlfn.XLOOKUP(F322,投产规格!E:E,投产规格!D:D,"未投产")</f>
        <v>✔</v>
      </c>
      <c r="L322" s="347">
        <f>IFERROR(_xlfn.XLOOKUP(F322,硫化工艺!B:B,硫化工艺!C:C),"")</f>
        <v>26</v>
      </c>
      <c r="M322" s="349">
        <f t="shared" si="776"/>
        <v>0.816753926701571</v>
      </c>
      <c r="N322" s="347" t="str">
        <f t="shared" si="810"/>
        <v>16全钢</v>
      </c>
      <c r="O322" s="347">
        <f>IFERROR(_xlfn.XLOOKUP(F322,轮胎重量!J:J,轮胎重量!G:G),"")</f>
        <v>28.436</v>
      </c>
      <c r="P322" s="347">
        <f>IFERROR(_xlfn.XLOOKUP(G322,硫化工艺!I:I,硫化工艺!J:J),"")</f>
        <v>419.988009</v>
      </c>
      <c r="Q322" s="347">
        <f t="shared" si="811"/>
        <v>0</v>
      </c>
      <c r="R322" s="347"/>
      <c r="S322" s="347"/>
      <c r="T322" s="347"/>
      <c r="U322" s="347"/>
      <c r="V322" s="347"/>
      <c r="W322" s="347"/>
      <c r="X322" s="347"/>
      <c r="Y322" s="347"/>
      <c r="Z322" s="347"/>
      <c r="AA322" s="347"/>
      <c r="AB322" s="347"/>
      <c r="AC322" s="347"/>
      <c r="AD322" s="347"/>
      <c r="AE322" s="347"/>
      <c r="AF322" s="347"/>
      <c r="AG322" s="347"/>
      <c r="AH322" s="347"/>
      <c r="AI322" s="347"/>
      <c r="AJ322" s="347"/>
      <c r="AK322" s="347"/>
      <c r="AL322" s="347"/>
      <c r="AM322" s="347"/>
      <c r="AN322" s="347"/>
      <c r="AO322" s="347"/>
      <c r="AP322" s="347"/>
      <c r="AQ322" s="347"/>
      <c r="AR322" s="347"/>
      <c r="AS322" s="347"/>
      <c r="AT322" s="347"/>
      <c r="AU322" s="347"/>
      <c r="AV322" s="347"/>
      <c r="AW322" s="347" t="str">
        <f t="shared" si="812"/>
        <v/>
      </c>
      <c r="AX322" s="365" t="str">
        <f t="shared" si="813"/>
        <v/>
      </c>
      <c r="AY322" s="365" t="str">
        <f t="shared" si="814"/>
        <v/>
      </c>
      <c r="AZ322" s="366">
        <v>660.8</v>
      </c>
      <c r="BA322" s="368">
        <v>42.02</v>
      </c>
      <c r="BB322" s="368">
        <v>65.11</v>
      </c>
      <c r="BC322" s="368">
        <v>70.93</v>
      </c>
      <c r="BE322" s="330" t="e">
        <f t="shared" si="799"/>
        <v>#VALUE!</v>
      </c>
      <c r="BF322" s="330" t="e">
        <f t="shared" si="800"/>
        <v>#VALUE!</v>
      </c>
      <c r="BG322" s="330" t="e">
        <f t="shared" si="801"/>
        <v>#VALUE!</v>
      </c>
      <c r="BH322" s="330" t="e">
        <f t="shared" si="802"/>
        <v>#VALUE!</v>
      </c>
      <c r="BJ322" s="370" cm="1">
        <f t="array" ref="BJ322:BM322">_xlfn.LET(_xlpm.data,$R322:$AV322,_xlpm.starts,{1,8,16,23},_xlpm.lengths,{7,7,8,9},_xlpm.arr,_xlfn.MAP(_xlpm.starts,_xlpm.lengths,_xlfn.LAMBDA(_xlpm.s,_xlpm.l,SUM(INDEX(_xlpm.data,,_xlfn.SEQUENCE(,_xlpm.l,_xlpm.s))))),ROUND(_xlpm.arr*$O322/1000,2))</f>
        <v>0</v>
      </c>
      <c r="BK322" s="330">
        <v>0</v>
      </c>
      <c r="BL322" s="330">
        <v>0</v>
      </c>
      <c r="BM322" s="330">
        <v>0</v>
      </c>
      <c r="BN322" s="258">
        <f t="shared" si="778"/>
        <v>0</v>
      </c>
      <c r="BO322" s="258">
        <v>53.95</v>
      </c>
      <c r="BP322" s="258">
        <v>0</v>
      </c>
      <c r="BQ322" s="258">
        <v>0</v>
      </c>
      <c r="BR322" s="258">
        <v>0</v>
      </c>
      <c r="BT322" s="258" cm="1">
        <f ca="1" t="array" ref="BT322:BW322">_xlfn.HSTACK(SUM(INDEX($R322:$AV322,1,1):INDEX($R322:$AV322,1,7)),SUM(INDEX($R322:$AV322,1,7):INDEX($R322:$AV322,1,13)),SUM(INDEX($R322:$AV322,1,16):INDEX($R322:$AV322,1,23)),SUM(INDEX($R322:$AV322,1,23):INDEX($R322:$AV322,1,31)))</f>
        <v>0</v>
      </c>
      <c r="BU322" s="258">
        <v>0</v>
      </c>
      <c r="BV322" s="258">
        <v>0</v>
      </c>
      <c r="BW322" s="258">
        <v>0</v>
      </c>
      <c r="BY322" s="258">
        <f t="shared" si="793"/>
        <v>0</v>
      </c>
      <c r="BZ322" s="258">
        <f t="shared" si="794"/>
        <v>0</v>
      </c>
      <c r="CA322" s="258">
        <f t="shared" si="795"/>
        <v>0</v>
      </c>
      <c r="CB322" s="258">
        <f t="shared" si="796"/>
        <v>0</v>
      </c>
      <c r="CE322" s="258">
        <f t="shared" si="779"/>
        <v>0</v>
      </c>
      <c r="CF322" s="258">
        <f t="shared" si="780"/>
        <v>0</v>
      </c>
      <c r="CG322" s="258">
        <f t="shared" si="781"/>
        <v>0</v>
      </c>
      <c r="CH322" s="258">
        <f t="shared" si="782"/>
        <v>0</v>
      </c>
      <c r="CI322" s="258">
        <f t="shared" si="783"/>
        <v>0</v>
      </c>
      <c r="CK322" s="258">
        <f t="shared" ref="CK322:CN322" si="818">IFERROR(ROUND(BY322*$P322,2),"")</f>
        <v>0</v>
      </c>
      <c r="CL322" s="258">
        <f t="shared" si="818"/>
        <v>0</v>
      </c>
      <c r="CM322" s="258">
        <f t="shared" si="818"/>
        <v>0</v>
      </c>
      <c r="CN322" s="258">
        <f t="shared" si="818"/>
        <v>0</v>
      </c>
      <c r="CO322" s="258">
        <f t="shared" si="816"/>
        <v>0</v>
      </c>
    </row>
    <row r="323" ht="17.6" spans="2:93">
      <c r="B323" s="334" t="str">
        <f>_xlfn.XLOOKUP(G323,销售需求表!A:A,销售需求表!C:C)</f>
        <v>亚</v>
      </c>
      <c r="C323" s="335" t="str">
        <f t="shared" si="768"/>
        <v>16</v>
      </c>
      <c r="D323" s="362" t="str">
        <f t="shared" si="808"/>
        <v>亚16寸</v>
      </c>
      <c r="E323" s="339" t="str">
        <f t="shared" si="809"/>
        <v>7.50R16-14PR(122/118L)-CR926</v>
      </c>
      <c r="F323" s="340" t="str">
        <f t="shared" si="747"/>
        <v>7.50R16-14PR-CR926</v>
      </c>
      <c r="G323" s="377" t="s">
        <v>654</v>
      </c>
      <c r="H323" s="334">
        <v>250</v>
      </c>
      <c r="I323" s="345"/>
      <c r="J323" s="346" t="str">
        <f t="shared" si="788"/>
        <v>7.50R16-CR926</v>
      </c>
      <c r="K323" s="347" t="str">
        <f>_xlfn.XLOOKUP(F323,投产规格!E:E,投产规格!D:D,"未投产")</f>
        <v>✔</v>
      </c>
      <c r="L323" s="347">
        <f>IFERROR(_xlfn.XLOOKUP(F323,硫化工艺!B:B,硫化工艺!C:C),"")</f>
        <v>26</v>
      </c>
      <c r="M323" s="349">
        <f t="shared" si="776"/>
        <v>0.816753926701571</v>
      </c>
      <c r="N323" s="347" t="str">
        <f t="shared" si="810"/>
        <v>16全钢</v>
      </c>
      <c r="O323" s="347">
        <f>IFERROR(_xlfn.XLOOKUP(F323,轮胎重量!J:J,轮胎重量!G:G),"")</f>
        <v>28.436</v>
      </c>
      <c r="P323" s="350">
        <f>O323*13.9</f>
        <v>395.2604</v>
      </c>
      <c r="Q323" s="347">
        <f t="shared" si="811"/>
        <v>0</v>
      </c>
      <c r="R323" s="347"/>
      <c r="S323" s="347"/>
      <c r="T323" s="347"/>
      <c r="U323" s="347"/>
      <c r="V323" s="347"/>
      <c r="W323" s="347"/>
      <c r="X323" s="347"/>
      <c r="Y323" s="347"/>
      <c r="Z323" s="347"/>
      <c r="AA323" s="347"/>
      <c r="AB323" s="347"/>
      <c r="AC323" s="347"/>
      <c r="AD323" s="347"/>
      <c r="AE323" s="347"/>
      <c r="AF323" s="347"/>
      <c r="AG323" s="347"/>
      <c r="AH323" s="347"/>
      <c r="AI323" s="347"/>
      <c r="AJ323" s="347"/>
      <c r="AK323" s="347"/>
      <c r="AL323" s="347"/>
      <c r="AM323" s="347"/>
      <c r="AN323" s="347"/>
      <c r="AO323" s="347"/>
      <c r="AP323" s="347"/>
      <c r="AQ323" s="347"/>
      <c r="AR323" s="347"/>
      <c r="AS323" s="347"/>
      <c r="AT323" s="347"/>
      <c r="AU323" s="347"/>
      <c r="AV323" s="347"/>
      <c r="AW323" s="347" t="str">
        <f t="shared" si="812"/>
        <v/>
      </c>
      <c r="AX323" s="365" t="str">
        <f t="shared" si="813"/>
        <v/>
      </c>
      <c r="AY323" s="365" t="str">
        <f t="shared" si="814"/>
        <v/>
      </c>
      <c r="AZ323" s="366">
        <v>660.8</v>
      </c>
      <c r="BA323" s="368">
        <v>42.02</v>
      </c>
      <c r="BB323" s="368">
        <v>65.11</v>
      </c>
      <c r="BC323" s="368">
        <v>70.93</v>
      </c>
      <c r="BE323" s="330" t="e">
        <f t="shared" si="799"/>
        <v>#VALUE!</v>
      </c>
      <c r="BF323" s="330" t="e">
        <f t="shared" si="800"/>
        <v>#VALUE!</v>
      </c>
      <c r="BG323" s="330" t="e">
        <f t="shared" si="801"/>
        <v>#VALUE!</v>
      </c>
      <c r="BH323" s="330" t="e">
        <f t="shared" si="802"/>
        <v>#VALUE!</v>
      </c>
      <c r="BJ323" s="370" cm="1">
        <f t="array" ref="BJ323:BM323">_xlfn.LET(_xlpm.data,$R323:$AV323,_xlpm.starts,{1,8,16,23},_xlpm.lengths,{7,7,8,9},_xlpm.arr,_xlfn.MAP(_xlpm.starts,_xlpm.lengths,_xlfn.LAMBDA(_xlpm.s,_xlpm.l,SUM(INDEX(_xlpm.data,,_xlfn.SEQUENCE(,_xlpm.l,_xlpm.s))))),ROUND(_xlpm.arr*$O323/1000,2))</f>
        <v>0</v>
      </c>
      <c r="BK323" s="330">
        <v>0</v>
      </c>
      <c r="BL323" s="330">
        <v>0</v>
      </c>
      <c r="BM323" s="330">
        <v>0</v>
      </c>
      <c r="BN323" s="258">
        <f t="shared" si="778"/>
        <v>0</v>
      </c>
      <c r="BO323" s="258">
        <v>53.95</v>
      </c>
      <c r="BP323" s="258">
        <v>0</v>
      </c>
      <c r="BQ323" s="258">
        <v>0</v>
      </c>
      <c r="BR323" s="258">
        <v>0</v>
      </c>
      <c r="BT323" s="258" cm="1">
        <f ca="1" t="array" ref="BT323:BW323">_xlfn.HSTACK(SUM(INDEX($R323:$AV323,1,1):INDEX($R323:$AV323,1,7)),SUM(INDEX($R323:$AV323,1,7):INDEX($R323:$AV323,1,13)),SUM(INDEX($R323:$AV323,1,16):INDEX($R323:$AV323,1,23)),SUM(INDEX($R323:$AV323,1,23):INDEX($R323:$AV323,1,31)))</f>
        <v>0</v>
      </c>
      <c r="BU323" s="258">
        <v>0</v>
      </c>
      <c r="BV323" s="258">
        <v>0</v>
      </c>
      <c r="BW323" s="258">
        <v>0</v>
      </c>
      <c r="BY323" s="258">
        <f t="shared" si="793"/>
        <v>0</v>
      </c>
      <c r="BZ323" s="258">
        <f t="shared" si="794"/>
        <v>0</v>
      </c>
      <c r="CA323" s="258">
        <f t="shared" si="795"/>
        <v>0</v>
      </c>
      <c r="CB323" s="258">
        <f t="shared" si="796"/>
        <v>0</v>
      </c>
      <c r="CE323" s="258">
        <f t="shared" si="779"/>
        <v>0</v>
      </c>
      <c r="CF323" s="258">
        <f t="shared" si="780"/>
        <v>0</v>
      </c>
      <c r="CG323" s="258">
        <f t="shared" si="781"/>
        <v>0</v>
      </c>
      <c r="CH323" s="258">
        <f t="shared" si="782"/>
        <v>0</v>
      </c>
      <c r="CI323" s="258">
        <f t="shared" si="783"/>
        <v>0</v>
      </c>
      <c r="CK323" s="258">
        <f t="shared" ref="CK323:CN323" si="819">IFERROR(ROUND(BY323*$P323,2),"")</f>
        <v>0</v>
      </c>
      <c r="CL323" s="258">
        <f t="shared" si="819"/>
        <v>0</v>
      </c>
      <c r="CM323" s="258">
        <f t="shared" si="819"/>
        <v>0</v>
      </c>
      <c r="CN323" s="258">
        <f t="shared" si="819"/>
        <v>0</v>
      </c>
      <c r="CO323" s="258">
        <f t="shared" si="816"/>
        <v>0</v>
      </c>
    </row>
    <row r="324" ht="17.6" spans="2:93">
      <c r="B324" s="334" t="str">
        <f>_xlfn.XLOOKUP(G324,销售需求表!A:A,销售需求表!C:C)</f>
        <v>亚</v>
      </c>
      <c r="C324" s="335" t="str">
        <f t="shared" si="768"/>
        <v>16</v>
      </c>
      <c r="D324" s="362" t="str">
        <f t="shared" si="808"/>
        <v>亚16寸</v>
      </c>
      <c r="E324" s="339" t="str">
        <f t="shared" si="809"/>
        <v>7.50R16-14PR(122/118L)-CR926</v>
      </c>
      <c r="F324" s="340" t="str">
        <f t="shared" si="747"/>
        <v>7.50R16-14PR-CR926</v>
      </c>
      <c r="G324" s="377" t="s">
        <v>655</v>
      </c>
      <c r="H324" s="334">
        <v>1300</v>
      </c>
      <c r="I324" s="345"/>
      <c r="J324" s="346" t="str">
        <f t="shared" ref="J324:J345" si="820">IFERROR(LEFT(F324,FIND("-",F324))&amp;MID(F324,FIND("PR",F324,FIND("-",F324))+3,LEN(F324)),F324)</f>
        <v>7.50R16-CR926</v>
      </c>
      <c r="K324" s="347" t="str">
        <f>_xlfn.XLOOKUP(F324,投产规格!E:E,投产规格!D:D,"未投产")</f>
        <v>✔</v>
      </c>
      <c r="L324" s="347">
        <f>IFERROR(_xlfn.XLOOKUP(F324,硫化工艺!B:B,硫化工艺!C:C),"")</f>
        <v>26</v>
      </c>
      <c r="M324" s="349">
        <f t="shared" ref="M324:M345" si="821">IF(L324="","",L324/(L324+$L$1/60))</f>
        <v>0.816753926701571</v>
      </c>
      <c r="N324" s="347" t="str">
        <f t="shared" si="810"/>
        <v>16全钢</v>
      </c>
      <c r="O324" s="347">
        <v>64.622</v>
      </c>
      <c r="P324" s="347">
        <f>IFERROR(_xlfn.XLOOKUP(G324,硫化工艺!I:I,硫化工艺!J:J),"")</f>
        <v>419.988009</v>
      </c>
      <c r="Q324" s="347">
        <f t="shared" si="811"/>
        <v>0</v>
      </c>
      <c r="R324" s="347"/>
      <c r="S324" s="347"/>
      <c r="T324" s="347"/>
      <c r="U324" s="347"/>
      <c r="V324" s="347"/>
      <c r="W324" s="347"/>
      <c r="X324" s="347"/>
      <c r="Y324" s="347"/>
      <c r="Z324" s="347"/>
      <c r="AA324" s="347"/>
      <c r="AB324" s="347"/>
      <c r="AC324" s="347"/>
      <c r="AD324" s="347"/>
      <c r="AE324" s="347"/>
      <c r="AF324" s="347"/>
      <c r="AG324" s="347"/>
      <c r="AH324" s="347"/>
      <c r="AI324" s="347"/>
      <c r="AJ324" s="347"/>
      <c r="AK324" s="347"/>
      <c r="AL324" s="347"/>
      <c r="AM324" s="347"/>
      <c r="AN324" s="347"/>
      <c r="AO324" s="347"/>
      <c r="AP324" s="347"/>
      <c r="AQ324" s="347"/>
      <c r="AR324" s="347"/>
      <c r="AS324" s="347"/>
      <c r="AT324" s="347"/>
      <c r="AU324" s="347"/>
      <c r="AV324" s="347"/>
      <c r="AW324" s="347" t="str">
        <f t="shared" si="812"/>
        <v/>
      </c>
      <c r="AX324" s="365" t="str">
        <f t="shared" si="813"/>
        <v/>
      </c>
      <c r="AY324" s="365" t="str">
        <f t="shared" si="814"/>
        <v/>
      </c>
      <c r="AZ324" s="366">
        <v>660.8</v>
      </c>
      <c r="BA324" s="368">
        <v>42.02</v>
      </c>
      <c r="BB324" s="368">
        <v>65.11</v>
      </c>
      <c r="BC324" s="368">
        <v>70.93</v>
      </c>
      <c r="BE324" s="330" t="e">
        <f t="shared" ref="BE324:BE345" si="822">AZ324*AW324</f>
        <v>#VALUE!</v>
      </c>
      <c r="BF324" s="330" t="e">
        <f t="shared" ref="BF324:BF345" si="823">BA324*AW324</f>
        <v>#VALUE!</v>
      </c>
      <c r="BG324" s="330" t="e">
        <f t="shared" ref="BG324:BG345" si="824">BB324*AW324</f>
        <v>#VALUE!</v>
      </c>
      <c r="BH324" s="330" t="e">
        <f t="shared" ref="BH324:BH345" si="825">BC324*AW324</f>
        <v>#VALUE!</v>
      </c>
      <c r="BJ324" s="370" cm="1">
        <f t="array" ref="BJ324:BM324">_xlfn.LET(_xlpm.data,$R324:$AV324,_xlpm.starts,{1,8,16,23},_xlpm.lengths,{7,7,8,9},_xlpm.arr,_xlfn.MAP(_xlpm.starts,_xlpm.lengths,_xlfn.LAMBDA(_xlpm.s,_xlpm.l,SUM(INDEX(_xlpm.data,,_xlfn.SEQUENCE(,_xlpm.l,_xlpm.s))))),ROUND(_xlpm.arr*$O324/1000,2))</f>
        <v>0</v>
      </c>
      <c r="BK324" s="330">
        <v>0</v>
      </c>
      <c r="BL324" s="330">
        <v>0</v>
      </c>
      <c r="BM324" s="330">
        <v>0</v>
      </c>
      <c r="BN324" s="258">
        <f t="shared" ref="BN324:BN345" si="826">SUM(BJ324:BM324)</f>
        <v>0</v>
      </c>
      <c r="BO324" s="258">
        <v>53.95</v>
      </c>
      <c r="BP324" s="258">
        <v>0</v>
      </c>
      <c r="BQ324" s="258">
        <v>0</v>
      </c>
      <c r="BR324" s="258">
        <v>0</v>
      </c>
      <c r="BT324" s="258" cm="1">
        <f ca="1" t="array" ref="BT324:BW324">_xlfn.HSTACK(SUM(INDEX($R324:$AV324,1,1):INDEX($R324:$AV324,1,7)),SUM(INDEX($R324:$AV324,1,7):INDEX($R324:$AV324,1,13)),SUM(INDEX($R324:$AV324,1,16):INDEX($R324:$AV324,1,23)),SUM(INDEX($R324:$AV324,1,23):INDEX($R324:$AV324,1,31)))</f>
        <v>0</v>
      </c>
      <c r="BU324" s="258">
        <v>0</v>
      </c>
      <c r="BV324" s="258">
        <v>0</v>
      </c>
      <c r="BW324" s="258">
        <v>0</v>
      </c>
      <c r="BY324" s="258">
        <f t="shared" si="793"/>
        <v>0</v>
      </c>
      <c r="BZ324" s="258">
        <f t="shared" si="794"/>
        <v>0</v>
      </c>
      <c r="CA324" s="258">
        <f t="shared" si="795"/>
        <v>0</v>
      </c>
      <c r="CB324" s="258">
        <f t="shared" si="796"/>
        <v>0</v>
      </c>
      <c r="CE324" s="258">
        <f t="shared" ref="CE324:CE345" si="827">ROUND(BY324*$O324/1000,2)</f>
        <v>0</v>
      </c>
      <c r="CF324" s="258">
        <f t="shared" ref="CF324:CF345" si="828">ROUND(BZ324*$O324/1000,2)</f>
        <v>0</v>
      </c>
      <c r="CG324" s="258">
        <f t="shared" ref="CG324:CG345" si="829">ROUND(CA324*$O324/1000,2)</f>
        <v>0</v>
      </c>
      <c r="CH324" s="258">
        <f t="shared" ref="CH324:CH345" si="830">ROUND(CB324*$O324/1000,2)</f>
        <v>0</v>
      </c>
      <c r="CI324" s="258">
        <f t="shared" ref="CI324:CI345" si="831">SUM(CE324:CH324)</f>
        <v>0</v>
      </c>
      <c r="CK324" s="258">
        <f t="shared" ref="CK324:CN324" si="832">IFERROR(ROUND(BY324*$P324,2),"")</f>
        <v>0</v>
      </c>
      <c r="CL324" s="258">
        <f t="shared" si="832"/>
        <v>0</v>
      </c>
      <c r="CM324" s="258">
        <f t="shared" si="832"/>
        <v>0</v>
      </c>
      <c r="CN324" s="258">
        <f t="shared" si="832"/>
        <v>0</v>
      </c>
      <c r="CO324" s="258">
        <f t="shared" si="816"/>
        <v>0</v>
      </c>
    </row>
    <row r="325" ht="17.6" spans="2:95">
      <c r="B325" s="334" t="str">
        <f>_xlfn.XLOOKUP(G325,销售需求表!A:A,销售需求表!C:C)</f>
        <v>亚</v>
      </c>
      <c r="C325" s="335" t="str">
        <f t="shared" si="768"/>
        <v>16</v>
      </c>
      <c r="D325" s="362" t="str">
        <f t="shared" si="808"/>
        <v>亚16寸</v>
      </c>
      <c r="E325" s="339" t="str">
        <f t="shared" si="809"/>
        <v>7.50R16-14PR(122/118L)-EZ369</v>
      </c>
      <c r="F325" s="340" t="str">
        <f t="shared" si="747"/>
        <v>7.50R16-14PR-EZ369</v>
      </c>
      <c r="G325" s="341" t="s">
        <v>656</v>
      </c>
      <c r="H325" s="334">
        <v>800</v>
      </c>
      <c r="I325" s="345"/>
      <c r="J325" s="346" t="str">
        <f t="shared" si="820"/>
        <v>7.50R16-EZ369</v>
      </c>
      <c r="K325" s="347" t="str">
        <f>_xlfn.XLOOKUP(F325,投产规格!E:E,投产规格!D:D,"未投产")</f>
        <v>✔</v>
      </c>
      <c r="L325" s="347">
        <f>IFERROR(_xlfn.XLOOKUP(F325,硫化工艺!B:B,硫化工艺!C:C),"")</f>
        <v>30</v>
      </c>
      <c r="M325" s="349">
        <f t="shared" si="821"/>
        <v>0.837209302325581</v>
      </c>
      <c r="N325" s="347" t="str">
        <f t="shared" si="810"/>
        <v>16全钢</v>
      </c>
      <c r="O325" s="347">
        <f>IFERROR(_xlfn.XLOOKUP(F325,轮胎重量!J:J,轮胎重量!G:G),"")</f>
        <v>30.597</v>
      </c>
      <c r="P325" s="347">
        <f>IFERROR(_xlfn.XLOOKUP(G325,硫化工艺!I:I,硫化工艺!J:J),"")</f>
        <v>465.297259</v>
      </c>
      <c r="Q325" s="347">
        <f t="shared" si="811"/>
        <v>0</v>
      </c>
      <c r="R325" s="347"/>
      <c r="S325" s="347"/>
      <c r="T325" s="347"/>
      <c r="U325" s="347"/>
      <c r="V325" s="347"/>
      <c r="W325" s="347"/>
      <c r="X325" s="347"/>
      <c r="Y325" s="347"/>
      <c r="Z325" s="347"/>
      <c r="AA325" s="347"/>
      <c r="AB325" s="347"/>
      <c r="AC325" s="347"/>
      <c r="AD325" s="347"/>
      <c r="AE325" s="347"/>
      <c r="AF325" s="347"/>
      <c r="AG325" s="347"/>
      <c r="AH325" s="347"/>
      <c r="AI325" s="347"/>
      <c r="AJ325" s="347"/>
      <c r="AK325" s="347"/>
      <c r="AL325" s="347"/>
      <c r="AM325" s="347"/>
      <c r="AN325" s="347"/>
      <c r="AO325" s="347"/>
      <c r="AP325" s="347">
        <v>80</v>
      </c>
      <c r="AQ325" s="347">
        <v>80</v>
      </c>
      <c r="AR325" s="347">
        <v>80</v>
      </c>
      <c r="AS325" s="347">
        <v>80</v>
      </c>
      <c r="AT325" s="347">
        <v>80</v>
      </c>
      <c r="AU325" s="347">
        <v>80</v>
      </c>
      <c r="AV325" s="347">
        <v>80</v>
      </c>
      <c r="AW325" s="347">
        <f t="shared" si="812"/>
        <v>560</v>
      </c>
      <c r="AX325" s="365">
        <f t="shared" si="813"/>
        <v>17.13432</v>
      </c>
      <c r="AY325" s="365">
        <f t="shared" si="814"/>
        <v>26.057</v>
      </c>
      <c r="AZ325" s="366">
        <v>828.4</v>
      </c>
      <c r="BA325" s="368">
        <v>50.66</v>
      </c>
      <c r="BB325" s="368">
        <v>75.77</v>
      </c>
      <c r="BC325" s="368">
        <v>82.47</v>
      </c>
      <c r="BE325" s="330">
        <f t="shared" si="822"/>
        <v>463904</v>
      </c>
      <c r="BF325" s="330">
        <f t="shared" si="823"/>
        <v>28369.6</v>
      </c>
      <c r="BG325" s="330">
        <f t="shared" si="824"/>
        <v>42431.2</v>
      </c>
      <c r="BH325" s="330">
        <f t="shared" si="825"/>
        <v>46183.2</v>
      </c>
      <c r="BJ325" s="370" cm="1">
        <f t="array" ref="BJ325:BM325">_xlfn.LET(_xlpm.data,$R325:$AV325,_xlpm.starts,{1,8,16,23},_xlpm.lengths,{7,7,8,9},_xlpm.arr,_xlfn.MAP(_xlpm.starts,_xlpm.lengths,_xlfn.LAMBDA(_xlpm.s,_xlpm.l,SUM(INDEX(_xlpm.data,,_xlfn.SEQUENCE(,_xlpm.l,_xlpm.s))))),ROUND(_xlpm.arr*$O325/1000,2))</f>
        <v>0</v>
      </c>
      <c r="BK325" s="330">
        <v>0</v>
      </c>
      <c r="BL325" s="330">
        <v>0</v>
      </c>
      <c r="BM325" s="330">
        <v>17.13</v>
      </c>
      <c r="BN325" s="258">
        <f t="shared" si="826"/>
        <v>17.13</v>
      </c>
      <c r="BO325" s="258">
        <v>0</v>
      </c>
      <c r="BP325" s="258">
        <v>0</v>
      </c>
      <c r="BQ325" s="258">
        <v>0</v>
      </c>
      <c r="BR325" s="258">
        <v>16.09</v>
      </c>
      <c r="BT325" s="258" cm="1">
        <f ca="1" t="array" ref="BT325:BW325">_xlfn.HSTACK(SUM(INDEX($R325:$AV325,1,1):INDEX($R325:$AV325,1,7)),SUM(INDEX($R325:$AV325,1,7):INDEX($R325:$AV325,1,13)),SUM(INDEX($R325:$AV325,1,16):INDEX($R325:$AV325,1,23)),SUM(INDEX($R325:$AV325,1,23):INDEX($R325:$AV325,1,31)))</f>
        <v>0</v>
      </c>
      <c r="BU325" s="258">
        <v>0</v>
      </c>
      <c r="BV325" s="258">
        <v>0</v>
      </c>
      <c r="BW325" s="258">
        <v>560</v>
      </c>
      <c r="BY325" s="258">
        <f t="shared" si="793"/>
        <v>0</v>
      </c>
      <c r="BZ325" s="258">
        <f t="shared" si="794"/>
        <v>0</v>
      </c>
      <c r="CA325" s="258">
        <f t="shared" si="795"/>
        <v>0</v>
      </c>
      <c r="CB325" s="258">
        <f t="shared" si="796"/>
        <v>560</v>
      </c>
      <c r="CE325" s="258">
        <f t="shared" si="827"/>
        <v>0</v>
      </c>
      <c r="CF325" s="258">
        <f t="shared" si="828"/>
        <v>0</v>
      </c>
      <c r="CG325" s="258">
        <f t="shared" si="829"/>
        <v>0</v>
      </c>
      <c r="CH325" s="258">
        <f t="shared" si="830"/>
        <v>17.13</v>
      </c>
      <c r="CI325" s="258">
        <f t="shared" si="831"/>
        <v>17.13</v>
      </c>
      <c r="CK325" s="258">
        <f t="shared" ref="CK325:CN325" si="833">IFERROR(ROUND(BY325*$P325,2),"")</f>
        <v>0</v>
      </c>
      <c r="CL325" s="258">
        <f t="shared" si="833"/>
        <v>0</v>
      </c>
      <c r="CM325" s="258">
        <f t="shared" si="833"/>
        <v>0</v>
      </c>
      <c r="CN325" s="258">
        <f t="shared" si="833"/>
        <v>260566.47</v>
      </c>
      <c r="CO325" s="258">
        <f t="shared" si="816"/>
        <v>260566.47</v>
      </c>
      <c r="CP325" s="258" t="e">
        <f>VLOOKUP(G325,[2]Sheet1!$C$3:$G$310,5,0)</f>
        <v>#N/A</v>
      </c>
      <c r="CQ325" s="258">
        <f>VLOOKUP(G325,[3]KCBB0101!$C$3:$F$691,4,0)</f>
        <v>3660</v>
      </c>
    </row>
    <row r="326" s="258" customFormat="1" ht="17.6" spans="1:93">
      <c r="A326" s="330"/>
      <c r="B326" s="334" t="str">
        <f>_xlfn.XLOOKUP(G326,销售需求表!A:A,销售需求表!C:C)</f>
        <v>亚</v>
      </c>
      <c r="C326" s="335" t="str">
        <f t="shared" ref="C326:C345" si="834">IFERROR(MID(F326,FIND("R",F326)+1,2),"")</f>
        <v>16</v>
      </c>
      <c r="D326" s="362" t="str">
        <f t="shared" si="808"/>
        <v>亚16寸</v>
      </c>
      <c r="E326" s="339" t="str">
        <f t="shared" si="809"/>
        <v>7.50R16-14PR(122/118L)-EZ369</v>
      </c>
      <c r="F326" s="340" t="str">
        <f t="shared" si="747"/>
        <v>7.50R16-14PR-EZ369</v>
      </c>
      <c r="G326" s="377" t="s">
        <v>657</v>
      </c>
      <c r="H326" s="334">
        <v>1100</v>
      </c>
      <c r="I326" s="345"/>
      <c r="J326" s="346" t="str">
        <f t="shared" si="820"/>
        <v>7.50R16-EZ369</v>
      </c>
      <c r="K326" s="347" t="str">
        <f>_xlfn.XLOOKUP(F326,投产规格!E:E,投产规格!D:D,"未投产")</f>
        <v>✔</v>
      </c>
      <c r="L326" s="347">
        <f>IFERROR(_xlfn.XLOOKUP(F326,硫化工艺!B:B,硫化工艺!C:C),"")</f>
        <v>30</v>
      </c>
      <c r="M326" s="349">
        <f t="shared" si="821"/>
        <v>0.837209302325581</v>
      </c>
      <c r="N326" s="347" t="str">
        <f t="shared" si="810"/>
        <v>16全钢</v>
      </c>
      <c r="O326" s="347">
        <f>IFERROR(_xlfn.XLOOKUP(F326,轮胎重量!J:J,轮胎重量!G:G),"")</f>
        <v>30.597</v>
      </c>
      <c r="P326" s="347">
        <f>IFERROR(_xlfn.XLOOKUP(G326,硫化工艺!I:I,硫化工艺!J:J),"")</f>
        <v>460.55142</v>
      </c>
      <c r="Q326" s="347">
        <f t="shared" si="811"/>
        <v>0</v>
      </c>
      <c r="R326" s="347"/>
      <c r="S326" s="347"/>
      <c r="T326" s="347"/>
      <c r="U326" s="347"/>
      <c r="V326" s="347"/>
      <c r="W326" s="347"/>
      <c r="X326" s="347"/>
      <c r="Y326" s="347"/>
      <c r="Z326" s="347"/>
      <c r="AA326" s="347"/>
      <c r="AB326" s="347"/>
      <c r="AC326" s="347"/>
      <c r="AD326" s="347"/>
      <c r="AE326" s="347"/>
      <c r="AF326" s="347"/>
      <c r="AG326" s="347"/>
      <c r="AH326" s="347"/>
      <c r="AI326" s="347"/>
      <c r="AJ326" s="347"/>
      <c r="AK326" s="347"/>
      <c r="AL326" s="347"/>
      <c r="AM326" s="347"/>
      <c r="AN326" s="347"/>
      <c r="AO326" s="347"/>
      <c r="AP326" s="347"/>
      <c r="AQ326" s="347"/>
      <c r="AR326" s="347"/>
      <c r="AS326" s="347"/>
      <c r="AT326" s="347"/>
      <c r="AU326" s="347"/>
      <c r="AV326" s="347"/>
      <c r="AW326" s="347" t="str">
        <f t="shared" si="812"/>
        <v/>
      </c>
      <c r="AX326" s="365" t="str">
        <f t="shared" si="813"/>
        <v/>
      </c>
      <c r="AY326" s="365" t="str">
        <f t="shared" si="814"/>
        <v/>
      </c>
      <c r="AZ326" s="366">
        <v>768.71</v>
      </c>
      <c r="BA326" s="368">
        <v>46.75</v>
      </c>
      <c r="BB326" s="368">
        <v>71.52</v>
      </c>
      <c r="BC326" s="368">
        <v>76.57</v>
      </c>
      <c r="BD326" s="330"/>
      <c r="BE326" s="330" t="e">
        <f t="shared" si="822"/>
        <v>#VALUE!</v>
      </c>
      <c r="BF326" s="330" t="e">
        <f t="shared" si="823"/>
        <v>#VALUE!</v>
      </c>
      <c r="BG326" s="330" t="e">
        <f t="shared" si="824"/>
        <v>#VALUE!</v>
      </c>
      <c r="BH326" s="330" t="e">
        <f t="shared" si="825"/>
        <v>#VALUE!</v>
      </c>
      <c r="BI326" s="330"/>
      <c r="BJ326" s="370" cm="1">
        <f t="array" ref="BJ326:BM326">_xlfn.LET(_xlpm.data,$R326:$AV326,_xlpm.starts,{1,8,16,23},_xlpm.lengths,{7,7,8,9},_xlpm.arr,_xlfn.MAP(_xlpm.starts,_xlpm.lengths,_xlfn.LAMBDA(_xlpm.s,_xlpm.l,SUM(INDEX(_xlpm.data,,_xlfn.SEQUENCE(,_xlpm.l,_xlpm.s))))),ROUND(_xlpm.arr*$O326/1000,2))</f>
        <v>0</v>
      </c>
      <c r="BK326" s="330">
        <v>0</v>
      </c>
      <c r="BL326" s="330">
        <v>0</v>
      </c>
      <c r="BM326" s="330">
        <v>0</v>
      </c>
      <c r="BN326" s="258">
        <f t="shared" si="826"/>
        <v>0</v>
      </c>
      <c r="BO326" s="258">
        <v>51.56</v>
      </c>
      <c r="BP326" s="258">
        <v>51.56</v>
      </c>
      <c r="BQ326" s="258">
        <v>58.92</v>
      </c>
      <c r="BR326" s="258">
        <v>66.29</v>
      </c>
      <c r="BS326" s="115">
        <f>Q326*O326</f>
        <v>0</v>
      </c>
      <c r="BT326" s="258" cm="1">
        <f ca="1" t="array" ref="BT326:BW326">_xlfn.HSTACK(SUM(INDEX($R326:$AV326,1,1):INDEX($R326:$AV326,1,7)),SUM(INDEX($R326:$AV326,1,7):INDEX($R326:$AV326,1,13)),SUM(INDEX($R326:$AV326,1,16):INDEX($R326:$AV326,1,23)),SUM(INDEX($R326:$AV326,1,23):INDEX($R326:$AV326,1,31)))</f>
        <v>0</v>
      </c>
      <c r="BU326" s="258">
        <v>0</v>
      </c>
      <c r="BV326" s="258">
        <v>0</v>
      </c>
      <c r="BW326" s="258">
        <v>0</v>
      </c>
      <c r="BY326" s="258">
        <f t="shared" si="793"/>
        <v>0</v>
      </c>
      <c r="BZ326" s="258">
        <f t="shared" si="794"/>
        <v>0</v>
      </c>
      <c r="CA326" s="258">
        <f t="shared" si="795"/>
        <v>0</v>
      </c>
      <c r="CB326" s="258">
        <f t="shared" si="796"/>
        <v>0</v>
      </c>
      <c r="CD326" s="113"/>
      <c r="CE326" s="258">
        <f t="shared" si="827"/>
        <v>0</v>
      </c>
      <c r="CF326" s="258">
        <f t="shared" si="828"/>
        <v>0</v>
      </c>
      <c r="CG326" s="258">
        <f t="shared" si="829"/>
        <v>0</v>
      </c>
      <c r="CH326" s="258">
        <f t="shared" si="830"/>
        <v>0</v>
      </c>
      <c r="CI326" s="258">
        <f t="shared" si="831"/>
        <v>0</v>
      </c>
      <c r="CJ326" s="113"/>
      <c r="CK326" s="258">
        <f t="shared" ref="CK326:CN326" si="835">IFERROR(ROUND(BY326*$P326,2),"")</f>
        <v>0</v>
      </c>
      <c r="CL326" s="258">
        <f t="shared" si="835"/>
        <v>0</v>
      </c>
      <c r="CM326" s="258">
        <f t="shared" si="835"/>
        <v>0</v>
      </c>
      <c r="CN326" s="258">
        <f t="shared" si="835"/>
        <v>0</v>
      </c>
      <c r="CO326" s="258">
        <f t="shared" si="816"/>
        <v>0</v>
      </c>
    </row>
    <row r="327" ht="17.6" spans="2:95">
      <c r="B327" s="334" t="str">
        <f>_xlfn.XLOOKUP(G327,销售需求表!A:A,销售需求表!C:C)</f>
        <v>亚</v>
      </c>
      <c r="C327" s="335" t="str">
        <f t="shared" si="834"/>
        <v>16</v>
      </c>
      <c r="D327" s="362" t="str">
        <f t="shared" si="808"/>
        <v>亚16寸</v>
      </c>
      <c r="E327" s="339" t="str">
        <f t="shared" si="809"/>
        <v>7.50R16-14PR(122/118L)-FOLO.R109</v>
      </c>
      <c r="F327" s="340" t="str">
        <f t="shared" si="747"/>
        <v>7.50R16-14PR-FOLO.R109</v>
      </c>
      <c r="G327" s="341" t="s">
        <v>658</v>
      </c>
      <c r="H327" s="334">
        <f>650+370</f>
        <v>1020</v>
      </c>
      <c r="I327" s="345"/>
      <c r="J327" s="346" t="str">
        <f t="shared" si="820"/>
        <v>7.50R16-FOLO.R109</v>
      </c>
      <c r="K327" s="347" t="str">
        <f>_xlfn.XLOOKUP(F327,投产规格!E:E,投产规格!D:D,"未投产")</f>
        <v>✔</v>
      </c>
      <c r="L327" s="347">
        <f>IFERROR(_xlfn.XLOOKUP(F327,硫化工艺!B:B,硫化工艺!C:C),"")</f>
        <v>26.5</v>
      </c>
      <c r="M327" s="349">
        <f t="shared" si="821"/>
        <v>0.819587628865979</v>
      </c>
      <c r="N327" s="347" t="str">
        <f t="shared" si="810"/>
        <v>16全钢</v>
      </c>
      <c r="O327" s="347">
        <f>IFERROR(_xlfn.XLOOKUP(F327,轮胎重量!J:J,轮胎重量!G:G),"")</f>
        <v>30.86</v>
      </c>
      <c r="P327" s="350">
        <f>O327*13.9</f>
        <v>428.954</v>
      </c>
      <c r="Q327" s="347">
        <f t="shared" si="811"/>
        <v>0</v>
      </c>
      <c r="R327" s="347"/>
      <c r="S327" s="347"/>
      <c r="T327" s="347"/>
      <c r="U327" s="347"/>
      <c r="V327" s="347"/>
      <c r="W327" s="347"/>
      <c r="X327" s="347"/>
      <c r="Y327" s="347"/>
      <c r="Z327" s="347"/>
      <c r="AA327" s="347"/>
      <c r="AB327" s="347"/>
      <c r="AC327" s="347"/>
      <c r="AD327" s="347"/>
      <c r="AE327" s="347"/>
      <c r="AF327" s="347"/>
      <c r="AG327" s="347"/>
      <c r="AH327" s="347">
        <v>80</v>
      </c>
      <c r="AI327" s="347">
        <v>80</v>
      </c>
      <c r="AJ327" s="347">
        <v>80</v>
      </c>
      <c r="AK327" s="347">
        <v>80</v>
      </c>
      <c r="AL327" s="347">
        <v>80</v>
      </c>
      <c r="AM327" s="347">
        <v>80</v>
      </c>
      <c r="AN327" s="347">
        <v>80</v>
      </c>
      <c r="AO327" s="347">
        <v>80</v>
      </c>
      <c r="AP327" s="347"/>
      <c r="AQ327" s="347"/>
      <c r="AR327" s="347"/>
      <c r="AS327" s="347"/>
      <c r="AT327" s="347"/>
      <c r="AU327" s="347"/>
      <c r="AV327" s="347"/>
      <c r="AW327" s="347">
        <f t="shared" si="812"/>
        <v>640</v>
      </c>
      <c r="AX327" s="365">
        <f t="shared" si="813"/>
        <v>19.7504</v>
      </c>
      <c r="AY327" s="365">
        <f t="shared" si="814"/>
        <v>27.453</v>
      </c>
      <c r="AZ327" s="366">
        <v>828.4</v>
      </c>
      <c r="BA327" s="368">
        <v>50.66</v>
      </c>
      <c r="BB327" s="368">
        <v>75.77</v>
      </c>
      <c r="BC327" s="368">
        <v>82.47</v>
      </c>
      <c r="BE327" s="330">
        <f t="shared" si="822"/>
        <v>530176</v>
      </c>
      <c r="BF327" s="330">
        <f t="shared" si="823"/>
        <v>32422.4</v>
      </c>
      <c r="BG327" s="330">
        <f t="shared" si="824"/>
        <v>48492.8</v>
      </c>
      <c r="BH327" s="330">
        <f t="shared" si="825"/>
        <v>52780.8</v>
      </c>
      <c r="BJ327" s="370" cm="1">
        <f t="array" ref="BJ327:BM327">_xlfn.LET(_xlpm.data,$R327:$AV327,_xlpm.starts,{1,8,16,23},_xlpm.lengths,{7,7,8,9},_xlpm.arr,_xlfn.MAP(_xlpm.starts,_xlpm.lengths,_xlfn.LAMBDA(_xlpm.s,_xlpm.l,SUM(INDEX(_xlpm.data,,_xlfn.SEQUENCE(,_xlpm.l,_xlpm.s))))),ROUND(_xlpm.arr*$O327/1000,2))</f>
        <v>0</v>
      </c>
      <c r="BK327" s="330">
        <v>0</v>
      </c>
      <c r="BL327" s="330">
        <v>17.28</v>
      </c>
      <c r="BM327" s="330">
        <v>4.94</v>
      </c>
      <c r="BN327" s="258">
        <f t="shared" si="826"/>
        <v>22.22</v>
      </c>
      <c r="BO327" s="258">
        <v>0</v>
      </c>
      <c r="BP327" s="258">
        <v>0</v>
      </c>
      <c r="BQ327" s="258">
        <v>0</v>
      </c>
      <c r="BR327" s="258">
        <v>16.09</v>
      </c>
      <c r="BT327" s="258" cm="1">
        <f ca="1" t="array" ref="BT327:BW327">_xlfn.HSTACK(SUM(INDEX($R327:$AV327,1,1):INDEX($R327:$AV327,1,7)),SUM(INDEX($R327:$AV327,1,7):INDEX($R327:$AV327,1,13)),SUM(INDEX($R327:$AV327,1,16):INDEX($R327:$AV327,1,23)),SUM(INDEX($R327:$AV327,1,23):INDEX($R327:$AV327,1,31)))</f>
        <v>0</v>
      </c>
      <c r="BU327" s="258">
        <v>0</v>
      </c>
      <c r="BV327" s="258">
        <v>560</v>
      </c>
      <c r="BW327" s="258">
        <v>160</v>
      </c>
      <c r="BY327" s="258">
        <f t="shared" si="793"/>
        <v>0</v>
      </c>
      <c r="BZ327" s="258">
        <f t="shared" si="794"/>
        <v>0</v>
      </c>
      <c r="CA327" s="258">
        <f t="shared" si="795"/>
        <v>480</v>
      </c>
      <c r="CB327" s="258">
        <f t="shared" si="796"/>
        <v>160</v>
      </c>
      <c r="CE327" s="258">
        <f t="shared" si="827"/>
        <v>0</v>
      </c>
      <c r="CF327" s="258">
        <f t="shared" si="828"/>
        <v>0</v>
      </c>
      <c r="CG327" s="258">
        <f t="shared" si="829"/>
        <v>14.81</v>
      </c>
      <c r="CH327" s="258">
        <f t="shared" si="830"/>
        <v>4.94</v>
      </c>
      <c r="CI327" s="258">
        <f t="shared" si="831"/>
        <v>19.75</v>
      </c>
      <c r="CK327" s="258">
        <f t="shared" ref="CK327:CN327" si="836">IFERROR(ROUND(BY327*$P327,2),"")</f>
        <v>0</v>
      </c>
      <c r="CL327" s="258">
        <f t="shared" si="836"/>
        <v>0</v>
      </c>
      <c r="CM327" s="258">
        <f t="shared" si="836"/>
        <v>205897.92</v>
      </c>
      <c r="CN327" s="258">
        <f t="shared" si="836"/>
        <v>68632.64</v>
      </c>
      <c r="CO327" s="258">
        <f t="shared" si="816"/>
        <v>274530.56</v>
      </c>
      <c r="CP327" s="258">
        <f>VLOOKUP(G327,[2]Sheet1!$C$3:$G$310,5,0)</f>
        <v>2000</v>
      </c>
      <c r="CQ327" s="258" t="e">
        <f>VLOOKUP(G327,[3]KCBB0101!$C$3:$F$691,4,0)</f>
        <v>#N/A</v>
      </c>
    </row>
    <row r="328" s="258" customFormat="1" ht="17.6" spans="1:95">
      <c r="A328" s="330"/>
      <c r="B328" s="334" t="str">
        <f>_xlfn.XLOOKUP(G328,销售需求表!A:A,销售需求表!C:C)</f>
        <v>亚</v>
      </c>
      <c r="C328" s="335" t="str">
        <f t="shared" si="834"/>
        <v>16</v>
      </c>
      <c r="D328" s="362" t="str">
        <f t="shared" si="808"/>
        <v>亚16寸</v>
      </c>
      <c r="E328" s="339" t="str">
        <f t="shared" si="809"/>
        <v>7.50R16-14PR(122/118L)-MOBY.R856X</v>
      </c>
      <c r="F328" s="340" t="str">
        <f t="shared" si="747"/>
        <v>7.50R16-14PR-MOBY.R856X</v>
      </c>
      <c r="G328" s="341" t="s">
        <v>659</v>
      </c>
      <c r="H328" s="334">
        <f>1400+2000</f>
        <v>3400</v>
      </c>
      <c r="I328" s="345">
        <v>2</v>
      </c>
      <c r="J328" s="346" t="str">
        <f t="shared" si="820"/>
        <v>7.50R16-MOBY.R856X</v>
      </c>
      <c r="K328" s="347" t="str">
        <f>_xlfn.XLOOKUP(F328,投产规格!E:E,投产规格!D:D,"未投产")</f>
        <v>✔</v>
      </c>
      <c r="L328" s="347">
        <f>IFERROR(_xlfn.XLOOKUP(F328,硫化工艺!B:B,硫化工艺!C:C),"")</f>
        <v>26</v>
      </c>
      <c r="M328" s="349">
        <f t="shared" si="821"/>
        <v>0.816753926701571</v>
      </c>
      <c r="N328" s="347" t="str">
        <f t="shared" si="810"/>
        <v>16全钢</v>
      </c>
      <c r="O328" s="347">
        <f>IFERROR(_xlfn.XLOOKUP(F328,轮胎重量!J:J,轮胎重量!G:G),"")</f>
        <v>29.618</v>
      </c>
      <c r="P328" s="347">
        <f>IFERROR(_xlfn.XLOOKUP(G328,硫化工艺!I:I,硫化工艺!J:J),"")</f>
        <v>429.2687</v>
      </c>
      <c r="Q328" s="347">
        <f t="shared" si="811"/>
        <v>90</v>
      </c>
      <c r="R328" s="347">
        <v>90</v>
      </c>
      <c r="S328" s="347">
        <v>90</v>
      </c>
      <c r="T328" s="347">
        <v>90</v>
      </c>
      <c r="U328" s="347">
        <v>90</v>
      </c>
      <c r="V328" s="347">
        <v>90</v>
      </c>
      <c r="W328" s="347">
        <v>90</v>
      </c>
      <c r="X328" s="347">
        <v>90</v>
      </c>
      <c r="Y328" s="347">
        <v>90</v>
      </c>
      <c r="Z328" s="347">
        <v>90</v>
      </c>
      <c r="AA328" s="347">
        <v>90</v>
      </c>
      <c r="AB328" s="347">
        <v>90</v>
      </c>
      <c r="AC328" s="347">
        <v>90</v>
      </c>
      <c r="AD328" s="347">
        <v>90</v>
      </c>
      <c r="AE328" s="347">
        <v>90</v>
      </c>
      <c r="AF328" s="347">
        <v>90</v>
      </c>
      <c r="AG328" s="347">
        <v>90</v>
      </c>
      <c r="AH328" s="347"/>
      <c r="AI328" s="347"/>
      <c r="AJ328" s="347"/>
      <c r="AK328" s="347"/>
      <c r="AL328" s="347"/>
      <c r="AM328" s="347"/>
      <c r="AN328" s="347"/>
      <c r="AO328" s="347"/>
      <c r="AP328" s="347"/>
      <c r="AQ328" s="347"/>
      <c r="AR328" s="347"/>
      <c r="AS328" s="347"/>
      <c r="AT328" s="347"/>
      <c r="AU328" s="347"/>
      <c r="AV328" s="347"/>
      <c r="AW328" s="347">
        <f t="shared" si="812"/>
        <v>1440</v>
      </c>
      <c r="AX328" s="365">
        <f t="shared" si="813"/>
        <v>42.64992</v>
      </c>
      <c r="AY328" s="365">
        <f t="shared" si="814"/>
        <v>61.815</v>
      </c>
      <c r="AZ328" s="366">
        <v>828.4</v>
      </c>
      <c r="BA328" s="368">
        <v>50.66</v>
      </c>
      <c r="BB328" s="368">
        <v>75.77</v>
      </c>
      <c r="BC328" s="368">
        <v>82.47</v>
      </c>
      <c r="BD328" s="330"/>
      <c r="BE328" s="330">
        <f t="shared" si="822"/>
        <v>1192896</v>
      </c>
      <c r="BF328" s="330">
        <f t="shared" si="823"/>
        <v>72950.4</v>
      </c>
      <c r="BG328" s="330">
        <f t="shared" si="824"/>
        <v>109108.8</v>
      </c>
      <c r="BH328" s="330">
        <f t="shared" si="825"/>
        <v>118756.8</v>
      </c>
      <c r="BI328" s="330"/>
      <c r="BJ328" s="370" cm="1">
        <f t="array" ref="BJ328:BM328">_xlfn.LET(_xlpm.data,$R328:$AV328,_xlpm.starts,{1,8,16,23},_xlpm.lengths,{7,7,8,9},_xlpm.arr,_xlfn.MAP(_xlpm.starts,_xlpm.lengths,_xlfn.LAMBDA(_xlpm.s,_xlpm.l,SUM(INDEX(_xlpm.data,,_xlfn.SEQUENCE(,_xlpm.l,_xlpm.s))))),ROUND(_xlpm.arr*$O328/1000,2))</f>
        <v>18.66</v>
      </c>
      <c r="BK328" s="330">
        <v>18.66</v>
      </c>
      <c r="BL328" s="330">
        <v>2.67</v>
      </c>
      <c r="BM328" s="330">
        <v>0</v>
      </c>
      <c r="BN328" s="258">
        <f t="shared" si="826"/>
        <v>39.99</v>
      </c>
      <c r="BO328" s="258">
        <v>0</v>
      </c>
      <c r="BP328" s="258">
        <v>0</v>
      </c>
      <c r="BQ328" s="258">
        <v>0</v>
      </c>
      <c r="BR328" s="258">
        <v>16.09</v>
      </c>
      <c r="BS328" s="115">
        <f>Q328*O328</f>
        <v>2665.62</v>
      </c>
      <c r="BT328" s="258" cm="1">
        <f ca="1" t="array" ref="BT328:BW328">_xlfn.HSTACK(SUM(INDEX($R328:$AV328,1,1):INDEX($R328:$AV328,1,7)),SUM(INDEX($R328:$AV328,1,7):INDEX($R328:$AV328,1,13)),SUM(INDEX($R328:$AV328,1,16):INDEX($R328:$AV328,1,23)),SUM(INDEX($R328:$AV328,1,23):INDEX($R328:$AV328,1,31)))</f>
        <v>630</v>
      </c>
      <c r="BU328" s="258">
        <v>630</v>
      </c>
      <c r="BV328" s="258">
        <v>90</v>
      </c>
      <c r="BW328" s="258">
        <v>0</v>
      </c>
      <c r="BY328" s="258">
        <f t="shared" si="793"/>
        <v>630</v>
      </c>
      <c r="BZ328" s="258">
        <f t="shared" si="794"/>
        <v>630</v>
      </c>
      <c r="CA328" s="258">
        <f t="shared" si="795"/>
        <v>180</v>
      </c>
      <c r="CB328" s="258">
        <f t="shared" si="796"/>
        <v>0</v>
      </c>
      <c r="CD328" s="113"/>
      <c r="CE328" s="258">
        <f t="shared" si="827"/>
        <v>18.66</v>
      </c>
      <c r="CF328" s="258">
        <f t="shared" si="828"/>
        <v>18.66</v>
      </c>
      <c r="CG328" s="258">
        <f t="shared" si="829"/>
        <v>5.33</v>
      </c>
      <c r="CH328" s="258">
        <f t="shared" si="830"/>
        <v>0</v>
      </c>
      <c r="CI328" s="258">
        <f t="shared" si="831"/>
        <v>42.65</v>
      </c>
      <c r="CJ328" s="113"/>
      <c r="CK328" s="258">
        <f t="shared" ref="CK328:CN328" si="837">IFERROR(ROUND(BY328*$P328,2),"")</f>
        <v>270439.28</v>
      </c>
      <c r="CL328" s="258">
        <f t="shared" si="837"/>
        <v>270439.28</v>
      </c>
      <c r="CM328" s="258">
        <f t="shared" si="837"/>
        <v>77268.37</v>
      </c>
      <c r="CN328" s="258">
        <f t="shared" si="837"/>
        <v>0</v>
      </c>
      <c r="CO328" s="258">
        <f t="shared" si="816"/>
        <v>618146.93</v>
      </c>
      <c r="CP328" s="258">
        <f>VLOOKUP(G328,[2]Sheet1!$C$3:$G$310,5,0)</f>
        <v>17200</v>
      </c>
      <c r="CQ328" s="258" t="e">
        <f>VLOOKUP(G328,[3]KCBB0101!$C$3:$F$691,4,0)</f>
        <v>#N/A</v>
      </c>
    </row>
    <row r="329" s="258" customFormat="1" ht="17" spans="1:93">
      <c r="A329" s="330"/>
      <c r="B329" s="334" t="str">
        <f>_xlfn.XLOOKUP(G329,销售需求表!A:A,销售需求表!C:C)</f>
        <v>亚</v>
      </c>
      <c r="C329" s="335" t="str">
        <f t="shared" si="834"/>
        <v>16</v>
      </c>
      <c r="D329" s="362" t="str">
        <f t="shared" si="808"/>
        <v>亚16寸</v>
      </c>
      <c r="E329" s="339" t="str">
        <f t="shared" si="809"/>
        <v>7.50R16-14PR(122/118L)-MT200</v>
      </c>
      <c r="F329" s="339" t="str">
        <f t="shared" ref="F320:F347" si="838">IFERROR(IFERROR(SUBSTITUTE(E329,"("&amp;MID(E329,FIND("(",E329)+1,FIND(")",E329)-FIND("(",E329)-1)&amp;")",""),E329),"")</f>
        <v>7.50R16-14PR-MT200</v>
      </c>
      <c r="G329" s="377" t="s">
        <v>660</v>
      </c>
      <c r="H329" s="334">
        <v>400</v>
      </c>
      <c r="I329" s="345"/>
      <c r="J329" s="346" t="str">
        <f t="shared" si="820"/>
        <v>7.50R16-MT200</v>
      </c>
      <c r="K329" s="347" t="str">
        <f>_xlfn.XLOOKUP(F329,投产规格!E:E,投产规格!D:D,"未投产")</f>
        <v>✔</v>
      </c>
      <c r="L329" s="347">
        <f>IFERROR(_xlfn.XLOOKUP(F329,硫化工艺!B:B,硫化工艺!C:C),"")</f>
        <v>27</v>
      </c>
      <c r="M329" s="349">
        <f t="shared" si="821"/>
        <v>0.822335025380711</v>
      </c>
      <c r="N329" s="347" t="str">
        <f t="shared" si="810"/>
        <v>16全钢</v>
      </c>
      <c r="O329" s="347">
        <f>IFERROR(_xlfn.XLOOKUP(F329,轮胎重量!J:J,轮胎重量!G:G),"")</f>
        <v>28.436</v>
      </c>
      <c r="P329" s="350">
        <f>O329*13.9</f>
        <v>395.2604</v>
      </c>
      <c r="Q329" s="347">
        <f t="shared" si="811"/>
        <v>0</v>
      </c>
      <c r="R329" s="347"/>
      <c r="S329" s="347"/>
      <c r="T329" s="347"/>
      <c r="U329" s="347"/>
      <c r="V329" s="347"/>
      <c r="W329" s="347"/>
      <c r="X329" s="347"/>
      <c r="Y329" s="347"/>
      <c r="Z329" s="347"/>
      <c r="AA329" s="347"/>
      <c r="AB329" s="347"/>
      <c r="AC329" s="347"/>
      <c r="AD329" s="347"/>
      <c r="AE329" s="347"/>
      <c r="AF329" s="347"/>
      <c r="AG329" s="347"/>
      <c r="AH329" s="347"/>
      <c r="AI329" s="347"/>
      <c r="AJ329" s="347"/>
      <c r="AK329" s="347"/>
      <c r="AL329" s="347"/>
      <c r="AM329" s="347"/>
      <c r="AN329" s="347"/>
      <c r="AO329" s="347"/>
      <c r="AP329" s="347"/>
      <c r="AQ329" s="347"/>
      <c r="AR329" s="347"/>
      <c r="AS329" s="347"/>
      <c r="AT329" s="347"/>
      <c r="AU329" s="347"/>
      <c r="AV329" s="347"/>
      <c r="AW329" s="347" t="str">
        <f t="shared" si="812"/>
        <v/>
      </c>
      <c r="AX329" s="365" t="str">
        <f t="shared" si="813"/>
        <v/>
      </c>
      <c r="AY329" s="365" t="str">
        <f t="shared" si="814"/>
        <v/>
      </c>
      <c r="AZ329" s="367"/>
      <c r="BA329" s="258"/>
      <c r="BB329" s="258"/>
      <c r="BC329" s="330"/>
      <c r="BD329" s="330"/>
      <c r="BE329" s="330" t="e">
        <f t="shared" si="822"/>
        <v>#VALUE!</v>
      </c>
      <c r="BF329" s="330" t="e">
        <f t="shared" si="823"/>
        <v>#VALUE!</v>
      </c>
      <c r="BG329" s="330" t="e">
        <f t="shared" si="824"/>
        <v>#VALUE!</v>
      </c>
      <c r="BH329" s="330" t="e">
        <f t="shared" si="825"/>
        <v>#VALUE!</v>
      </c>
      <c r="BI329" s="330"/>
      <c r="BJ329" s="370" cm="1">
        <f t="array" ref="BJ329:BM329">_xlfn.LET(_xlpm.data,$R329:$AV329,_xlpm.starts,{1,8,16,23},_xlpm.lengths,{7,7,8,9},_xlpm.arr,_xlfn.MAP(_xlpm.starts,_xlpm.lengths,_xlfn.LAMBDA(_xlpm.s,_xlpm.l,SUM(INDEX(_xlpm.data,,_xlfn.SEQUENCE(,_xlpm.l,_xlpm.s))))),ROUND(_xlpm.arr*$O329/1000,2))</f>
        <v>0</v>
      </c>
      <c r="BK329" s="330">
        <v>0</v>
      </c>
      <c r="BL329" s="330">
        <v>0</v>
      </c>
      <c r="BM329" s="330">
        <v>0</v>
      </c>
      <c r="BN329" s="258">
        <f t="shared" si="826"/>
        <v>0</v>
      </c>
      <c r="BO329" s="258">
        <v>0</v>
      </c>
      <c r="BP329" s="258">
        <v>0</v>
      </c>
      <c r="BQ329" s="258">
        <v>0</v>
      </c>
      <c r="BR329" s="258">
        <v>0</v>
      </c>
      <c r="BS329" s="115">
        <f>SUM(BS309:BS311)/1000</f>
        <v>0</v>
      </c>
      <c r="BT329" s="258" cm="1">
        <f ca="1" t="array" ref="BT329:BW329">_xlfn.HSTACK(SUM(INDEX($R329:$AV329,1,1):INDEX($R329:$AV329,1,7)),SUM(INDEX($R329:$AV329,1,7):INDEX($R329:$AV329,1,13)),SUM(INDEX($R329:$AV329,1,16):INDEX($R329:$AV329,1,23)),SUM(INDEX($R329:$AV329,1,23):INDEX($R329:$AV329,1,31)))</f>
        <v>0</v>
      </c>
      <c r="BU329" s="258">
        <v>0</v>
      </c>
      <c r="BV329" s="258">
        <v>0</v>
      </c>
      <c r="BW329" s="258">
        <v>0</v>
      </c>
      <c r="BY329" s="258">
        <f t="shared" si="793"/>
        <v>0</v>
      </c>
      <c r="BZ329" s="258">
        <f t="shared" si="794"/>
        <v>0</v>
      </c>
      <c r="CA329" s="258">
        <f t="shared" si="795"/>
        <v>0</v>
      </c>
      <c r="CB329" s="258">
        <f t="shared" si="796"/>
        <v>0</v>
      </c>
      <c r="CD329" s="113"/>
      <c r="CE329" s="258">
        <f t="shared" si="827"/>
        <v>0</v>
      </c>
      <c r="CF329" s="258">
        <f t="shared" si="828"/>
        <v>0</v>
      </c>
      <c r="CG329" s="258">
        <f t="shared" si="829"/>
        <v>0</v>
      </c>
      <c r="CH329" s="258">
        <f t="shared" si="830"/>
        <v>0</v>
      </c>
      <c r="CI329" s="258">
        <f t="shared" si="831"/>
        <v>0</v>
      </c>
      <c r="CJ329" s="113"/>
      <c r="CK329" s="258">
        <f t="shared" ref="CK329:CN329" si="839">IFERROR(ROUND(BY329*$P329,2),"")</f>
        <v>0</v>
      </c>
      <c r="CL329" s="258">
        <f t="shared" si="839"/>
        <v>0</v>
      </c>
      <c r="CM329" s="258">
        <f t="shared" si="839"/>
        <v>0</v>
      </c>
      <c r="CN329" s="258">
        <f t="shared" si="839"/>
        <v>0</v>
      </c>
      <c r="CO329" s="258">
        <f t="shared" si="816"/>
        <v>0</v>
      </c>
    </row>
    <row r="330" s="258" customFormat="1" ht="17" spans="1:95">
      <c r="A330" s="330"/>
      <c r="B330" s="334" t="str">
        <f>_xlfn.XLOOKUP(G330,销售需求表!A:A,销售需求表!C:C)</f>
        <v>亚</v>
      </c>
      <c r="C330" s="335" t="str">
        <f t="shared" si="834"/>
        <v>16</v>
      </c>
      <c r="D330" s="362" t="str">
        <f t="shared" si="808"/>
        <v>亚16寸</v>
      </c>
      <c r="E330" s="339" t="str">
        <f t="shared" si="809"/>
        <v>7.50R16-14PR(122/118L)-TZ202</v>
      </c>
      <c r="F330" s="339" t="str">
        <f t="shared" si="838"/>
        <v>7.50R16-14PR-TZ202</v>
      </c>
      <c r="G330" s="342" t="s">
        <v>52</v>
      </c>
      <c r="H330" s="334">
        <v>650</v>
      </c>
      <c r="I330" s="345"/>
      <c r="J330" s="346" t="str">
        <f t="shared" si="820"/>
        <v>7.50R16-TZ202</v>
      </c>
      <c r="K330" s="347" t="str">
        <f>_xlfn.XLOOKUP(F330,投产规格!E:E,投产规格!D:D,"未投产")</f>
        <v>✔</v>
      </c>
      <c r="L330" s="347">
        <f>IFERROR(_xlfn.XLOOKUP(F330,硫化工艺!B:B,硫化工艺!C:C),"")</f>
        <v>27.5</v>
      </c>
      <c r="M330" s="349">
        <f t="shared" si="821"/>
        <v>0.825</v>
      </c>
      <c r="N330" s="347" t="str">
        <f t="shared" si="810"/>
        <v>16全钢</v>
      </c>
      <c r="O330" s="347">
        <f>IFERROR(_xlfn.XLOOKUP(F330,轮胎重量!J:J,轮胎重量!G:G),"")</f>
        <v>28.436</v>
      </c>
      <c r="P330" s="347">
        <f>IFERROR(_xlfn.XLOOKUP(F330,硫化工艺!I:I,硫化工艺!J:J),"")</f>
        <v>425.068</v>
      </c>
      <c r="Q330" s="347">
        <f t="shared" si="811"/>
        <v>0</v>
      </c>
      <c r="R330" s="347"/>
      <c r="S330" s="347"/>
      <c r="T330" s="347"/>
      <c r="U330" s="347"/>
      <c r="V330" s="347"/>
      <c r="W330" s="347"/>
      <c r="X330" s="347"/>
      <c r="Y330" s="347"/>
      <c r="Z330" s="347"/>
      <c r="AA330" s="347"/>
      <c r="AB330" s="347"/>
      <c r="AC330" s="347"/>
      <c r="AD330" s="347"/>
      <c r="AE330" s="347"/>
      <c r="AF330" s="347"/>
      <c r="AG330" s="347"/>
      <c r="AH330" s="347"/>
      <c r="AI330" s="347"/>
      <c r="AJ330" s="347"/>
      <c r="AK330" s="347"/>
      <c r="AL330" s="347"/>
      <c r="AM330" s="347"/>
      <c r="AN330" s="347"/>
      <c r="AO330" s="347"/>
      <c r="AP330" s="347">
        <v>80</v>
      </c>
      <c r="AQ330" s="347">
        <v>80</v>
      </c>
      <c r="AR330" s="347">
        <v>80</v>
      </c>
      <c r="AS330" s="347">
        <v>80</v>
      </c>
      <c r="AT330" s="347">
        <v>80</v>
      </c>
      <c r="AU330" s="347">
        <v>80</v>
      </c>
      <c r="AV330" s="347">
        <v>80</v>
      </c>
      <c r="AW330" s="347">
        <v>3000</v>
      </c>
      <c r="AX330" s="365">
        <f t="shared" si="813"/>
        <v>85.308</v>
      </c>
      <c r="AY330" s="365">
        <f t="shared" si="814"/>
        <v>127.52</v>
      </c>
      <c r="AZ330" s="366">
        <v>871.58</v>
      </c>
      <c r="BA330" s="368">
        <v>54.12</v>
      </c>
      <c r="BB330" s="368">
        <v>79.6</v>
      </c>
      <c r="BC330" s="368">
        <v>87.22</v>
      </c>
      <c r="BD330" s="330"/>
      <c r="BE330" s="330">
        <f t="shared" si="822"/>
        <v>2614740</v>
      </c>
      <c r="BF330" s="330">
        <f t="shared" si="823"/>
        <v>162360</v>
      </c>
      <c r="BG330" s="330">
        <f t="shared" si="824"/>
        <v>238800</v>
      </c>
      <c r="BH330" s="330">
        <f t="shared" si="825"/>
        <v>261660</v>
      </c>
      <c r="BI330" s="330"/>
      <c r="BJ330" s="370" cm="1">
        <f t="array" ref="BJ330:BM330">_xlfn.LET(_xlpm.data,$R330:$AV330,_xlpm.starts,{1,8,16,23},_xlpm.lengths,{7,7,8,9},_xlpm.arr,_xlfn.MAP(_xlpm.starts,_xlpm.lengths,_xlfn.LAMBDA(_xlpm.s,_xlpm.l,SUM(INDEX(_xlpm.data,,_xlfn.SEQUENCE(,_xlpm.l,_xlpm.s))))),ROUND(_xlpm.arr*$O330/1000,2))</f>
        <v>0</v>
      </c>
      <c r="BK330" s="330">
        <v>0</v>
      </c>
      <c r="BL330" s="330">
        <v>0</v>
      </c>
      <c r="BM330" s="330">
        <v>15.92</v>
      </c>
      <c r="BN330" s="258">
        <f t="shared" si="826"/>
        <v>15.92</v>
      </c>
      <c r="BO330" s="258">
        <v>145.92</v>
      </c>
      <c r="BP330" s="258">
        <v>145.92</v>
      </c>
      <c r="BQ330" s="258">
        <v>166.76</v>
      </c>
      <c r="BR330" s="258">
        <v>187.61</v>
      </c>
      <c r="BS330" s="115"/>
      <c r="BT330" s="258" cm="1">
        <f ca="1" t="array" ref="BT330:BW330">_xlfn.HSTACK(SUM(INDEX($R330:$AV330,1,1):INDEX($R330:$AV330,1,7)),SUM(INDEX($R330:$AV330,1,7):INDEX($R330:$AV330,1,13)),SUM(INDEX($R330:$AV330,1,16):INDEX($R330:$AV330,1,23)),SUM(INDEX($R330:$AV330,1,23):INDEX($R330:$AV330,1,31)))</f>
        <v>0</v>
      </c>
      <c r="BU330" s="258">
        <v>0</v>
      </c>
      <c r="BV330" s="258">
        <v>0</v>
      </c>
      <c r="BW330" s="258">
        <v>560</v>
      </c>
      <c r="BY330" s="258">
        <f t="shared" si="793"/>
        <v>0</v>
      </c>
      <c r="BZ330" s="258">
        <f t="shared" si="794"/>
        <v>0</v>
      </c>
      <c r="CA330" s="258">
        <f t="shared" si="795"/>
        <v>0</v>
      </c>
      <c r="CB330" s="258">
        <f t="shared" si="796"/>
        <v>560</v>
      </c>
      <c r="CD330" s="113"/>
      <c r="CE330" s="258">
        <f t="shared" si="827"/>
        <v>0</v>
      </c>
      <c r="CF330" s="258">
        <f t="shared" si="828"/>
        <v>0</v>
      </c>
      <c r="CG330" s="258">
        <f t="shared" si="829"/>
        <v>0</v>
      </c>
      <c r="CH330" s="258">
        <f t="shared" si="830"/>
        <v>15.92</v>
      </c>
      <c r="CI330" s="258">
        <f t="shared" si="831"/>
        <v>15.92</v>
      </c>
      <c r="CJ330" s="113"/>
      <c r="CK330" s="258">
        <f t="shared" ref="CK330:CN330" si="840">IFERROR(ROUND(BY330*$P330,2),"")</f>
        <v>0</v>
      </c>
      <c r="CL330" s="258">
        <f t="shared" si="840"/>
        <v>0</v>
      </c>
      <c r="CM330" s="258">
        <f t="shared" si="840"/>
        <v>0</v>
      </c>
      <c r="CN330" s="258">
        <f t="shared" si="840"/>
        <v>238038.08</v>
      </c>
      <c r="CO330" s="258">
        <f t="shared" si="816"/>
        <v>238038.08</v>
      </c>
      <c r="CP330" s="258" t="e">
        <f>VLOOKUP(G330,[2]Sheet1!$C$3:$G$310,5,0)</f>
        <v>#N/A</v>
      </c>
      <c r="CQ330" s="258">
        <f>VLOOKUP(G330,[3]KCBB0101!$C$3:$F$691,4,0)</f>
        <v>1820</v>
      </c>
    </row>
    <row r="331" s="258" customFormat="1" ht="17" spans="1:95">
      <c r="A331" s="330"/>
      <c r="B331" s="334" t="str">
        <f>_xlfn.XLOOKUP(G331,销售需求表!A:A,销售需求表!C:C)</f>
        <v>亚</v>
      </c>
      <c r="C331" s="335" t="str">
        <f t="shared" si="834"/>
        <v>16</v>
      </c>
      <c r="D331" s="362" t="str">
        <f t="shared" si="808"/>
        <v>亚16寸</v>
      </c>
      <c r="E331" s="339" t="str">
        <f t="shared" si="809"/>
        <v>7.50R16-14PR(122/118L)-TZ303</v>
      </c>
      <c r="F331" s="339" t="str">
        <f t="shared" si="838"/>
        <v>7.50R16-14PR-TZ303</v>
      </c>
      <c r="G331" s="341" t="s">
        <v>661</v>
      </c>
      <c r="H331" s="334">
        <v>750</v>
      </c>
      <c r="I331" s="345">
        <v>2</v>
      </c>
      <c r="J331" s="346" t="str">
        <f t="shared" si="820"/>
        <v>7.50R16-TZ303</v>
      </c>
      <c r="K331" s="347" t="str">
        <f>_xlfn.XLOOKUP(F331,投产规格!E:E,投产规格!D:D,"未投产")</f>
        <v>✔</v>
      </c>
      <c r="L331" s="347">
        <f>IFERROR(_xlfn.XLOOKUP(F331,硫化工艺!B:B,硫化工艺!C:C),"")</f>
        <v>30</v>
      </c>
      <c r="M331" s="349">
        <f t="shared" si="821"/>
        <v>0.837209302325581</v>
      </c>
      <c r="N331" s="347" t="str">
        <f t="shared" si="810"/>
        <v>16全钢</v>
      </c>
      <c r="O331" s="347">
        <f>IFERROR(_xlfn.XLOOKUP(F331,轮胎重量!J:J,轮胎重量!G:G),"")</f>
        <v>30.597</v>
      </c>
      <c r="P331" s="350">
        <f t="shared" ref="P331:P337" si="841">O331*13.9</f>
        <v>425.2983</v>
      </c>
      <c r="Q331" s="347">
        <f t="shared" si="811"/>
        <v>80</v>
      </c>
      <c r="R331" s="347">
        <v>80</v>
      </c>
      <c r="S331" s="347">
        <v>80</v>
      </c>
      <c r="T331" s="347">
        <v>80</v>
      </c>
      <c r="U331" s="347">
        <v>80</v>
      </c>
      <c r="V331" s="347">
        <v>80</v>
      </c>
      <c r="W331" s="347">
        <v>80</v>
      </c>
      <c r="X331" s="347">
        <v>80</v>
      </c>
      <c r="Y331" s="347">
        <v>80</v>
      </c>
      <c r="Z331" s="347">
        <v>80</v>
      </c>
      <c r="AA331" s="347">
        <v>80</v>
      </c>
      <c r="AB331" s="347"/>
      <c r="AC331" s="347"/>
      <c r="AD331" s="347"/>
      <c r="AE331" s="347"/>
      <c r="AF331" s="347"/>
      <c r="AG331" s="347"/>
      <c r="AH331" s="347"/>
      <c r="AI331" s="347"/>
      <c r="AJ331" s="347"/>
      <c r="AK331" s="347"/>
      <c r="AL331" s="347"/>
      <c r="AM331" s="347"/>
      <c r="AN331" s="347"/>
      <c r="AO331" s="347"/>
      <c r="AP331" s="347"/>
      <c r="AQ331" s="347"/>
      <c r="AR331" s="347"/>
      <c r="AS331" s="347"/>
      <c r="AT331" s="347"/>
      <c r="AU331" s="347"/>
      <c r="AV331" s="347"/>
      <c r="AW331" s="347">
        <f t="shared" si="812"/>
        <v>800</v>
      </c>
      <c r="AX331" s="365">
        <f t="shared" si="813"/>
        <v>24.4776</v>
      </c>
      <c r="AY331" s="365">
        <f t="shared" si="814"/>
        <v>34.024</v>
      </c>
      <c r="AZ331" s="366">
        <v>871.58</v>
      </c>
      <c r="BA331" s="368">
        <v>54.12</v>
      </c>
      <c r="BB331" s="368">
        <v>79.6</v>
      </c>
      <c r="BC331" s="368">
        <v>87.22</v>
      </c>
      <c r="BD331" s="330"/>
      <c r="BE331" s="330">
        <f t="shared" si="822"/>
        <v>697264</v>
      </c>
      <c r="BF331" s="330">
        <f t="shared" si="823"/>
        <v>43296</v>
      </c>
      <c r="BG331" s="330">
        <f t="shared" si="824"/>
        <v>63680</v>
      </c>
      <c r="BH331" s="330">
        <f t="shared" si="825"/>
        <v>69776</v>
      </c>
      <c r="BI331" s="330"/>
      <c r="BJ331" s="370" cm="1">
        <f t="array" ref="BJ331:BM331">_xlfn.LET(_xlpm.data,$R331:$AV331,_xlpm.starts,{1,8,16,23},_xlpm.lengths,{7,7,8,9},_xlpm.arr,_xlfn.MAP(_xlpm.starts,_xlpm.lengths,_xlfn.LAMBDA(_xlpm.s,_xlpm.l,SUM(INDEX(_xlpm.data,,_xlfn.SEQUENCE(,_xlpm.l,_xlpm.s))))),ROUND(_xlpm.arr*$O331/1000,2))</f>
        <v>17.13</v>
      </c>
      <c r="BK331" s="330">
        <v>7.34</v>
      </c>
      <c r="BL331" s="330">
        <v>0</v>
      </c>
      <c r="BM331" s="330">
        <v>0</v>
      </c>
      <c r="BN331" s="258">
        <f t="shared" si="826"/>
        <v>24.47</v>
      </c>
      <c r="BO331" s="258">
        <v>84.68</v>
      </c>
      <c r="BP331" s="258">
        <v>84.68</v>
      </c>
      <c r="BQ331" s="258">
        <v>92.69</v>
      </c>
      <c r="BR331" s="258">
        <v>72.03</v>
      </c>
      <c r="BS331" s="115"/>
      <c r="BT331" s="258" cm="1">
        <f ca="1" t="array" ref="BT331:BW331">_xlfn.HSTACK(SUM(INDEX($R331:$AV331,1,1):INDEX($R331:$AV331,1,7)),SUM(INDEX($R331:$AV331,1,7):INDEX($R331:$AV331,1,13)),SUM(INDEX($R331:$AV331,1,16):INDEX($R331:$AV331,1,23)),SUM(INDEX($R331:$AV331,1,23):INDEX($R331:$AV331,1,31)))</f>
        <v>560</v>
      </c>
      <c r="BU331" s="258">
        <v>320</v>
      </c>
      <c r="BV331" s="258">
        <v>0</v>
      </c>
      <c r="BW331" s="258">
        <v>0</v>
      </c>
      <c r="BY331" s="258">
        <f t="shared" si="793"/>
        <v>560</v>
      </c>
      <c r="BZ331" s="258">
        <f t="shared" si="794"/>
        <v>240</v>
      </c>
      <c r="CA331" s="258">
        <f t="shared" si="795"/>
        <v>0</v>
      </c>
      <c r="CB331" s="258">
        <f t="shared" si="796"/>
        <v>0</v>
      </c>
      <c r="CD331" s="113"/>
      <c r="CE331" s="258">
        <f t="shared" si="827"/>
        <v>17.13</v>
      </c>
      <c r="CF331" s="258">
        <f t="shared" si="828"/>
        <v>7.34</v>
      </c>
      <c r="CG331" s="258">
        <f t="shared" si="829"/>
        <v>0</v>
      </c>
      <c r="CH331" s="258">
        <f t="shared" si="830"/>
        <v>0</v>
      </c>
      <c r="CI331" s="258">
        <f t="shared" si="831"/>
        <v>24.47</v>
      </c>
      <c r="CJ331" s="113"/>
      <c r="CK331" s="258">
        <f t="shared" ref="CK331:CN331" si="842">IFERROR(ROUND(BY331*$P331,2),"")</f>
        <v>238167.05</v>
      </c>
      <c r="CL331" s="258">
        <f t="shared" si="842"/>
        <v>102071.59</v>
      </c>
      <c r="CM331" s="258">
        <f t="shared" si="842"/>
        <v>0</v>
      </c>
      <c r="CN331" s="258">
        <f t="shared" si="842"/>
        <v>0</v>
      </c>
      <c r="CO331" s="258">
        <f t="shared" si="816"/>
        <v>340238.64</v>
      </c>
      <c r="CP331" s="258" t="e">
        <f>VLOOKUP(G331,[2]Sheet1!$C$3:$G$310,5,0)</f>
        <v>#N/A</v>
      </c>
      <c r="CQ331" s="258">
        <f>VLOOKUP(G331,[3]KCBB0101!$C$3:$F$691,4,0)</f>
        <v>4070</v>
      </c>
    </row>
    <row r="332" s="258" customFormat="1" ht="17" spans="1:93">
      <c r="A332" s="330"/>
      <c r="B332" s="334" t="str">
        <f>_xlfn.XLOOKUP(G332,销售需求表!A:A,销售需求表!C:C)</f>
        <v>亚</v>
      </c>
      <c r="C332" s="335" t="str">
        <f t="shared" si="834"/>
        <v>16</v>
      </c>
      <c r="D332" s="362" t="str">
        <f t="shared" si="808"/>
        <v>亚16寸</v>
      </c>
      <c r="E332" s="339" t="str">
        <f t="shared" si="809"/>
        <v>8.25R16-16PR(128/124L)-CR926</v>
      </c>
      <c r="F332" s="339" t="str">
        <f t="shared" si="838"/>
        <v>8.25R16-16PR-CR926</v>
      </c>
      <c r="G332" s="377" t="s">
        <v>662</v>
      </c>
      <c r="H332" s="334">
        <v>300</v>
      </c>
      <c r="I332" s="345"/>
      <c r="J332" s="346" t="str">
        <f t="shared" si="820"/>
        <v>8.25R16-CR926</v>
      </c>
      <c r="K332" s="347" t="str">
        <f>_xlfn.XLOOKUP(F332,投产规格!E:E,投产规格!D:D,"未投产")</f>
        <v>✔</v>
      </c>
      <c r="L332" s="347">
        <f>IFERROR(_xlfn.XLOOKUP(F332,硫化工艺!B:B,硫化工艺!C:C),"")</f>
        <v>28.5</v>
      </c>
      <c r="M332" s="349">
        <f t="shared" si="821"/>
        <v>0.830097087378641</v>
      </c>
      <c r="N332" s="347" t="str">
        <f t="shared" si="810"/>
        <v>16全钢</v>
      </c>
      <c r="O332" s="347">
        <f>IFERROR(_xlfn.XLOOKUP(F332,轮胎重量!J:J,轮胎重量!G:G),"")</f>
        <v>32.174</v>
      </c>
      <c r="P332" s="347">
        <f>IFERROR(_xlfn.XLOOKUP(F332,硫化工艺!I:I,硫化工艺!J:J),"")</f>
        <v>0</v>
      </c>
      <c r="Q332" s="347">
        <f t="shared" si="811"/>
        <v>0</v>
      </c>
      <c r="R332" s="347"/>
      <c r="S332" s="347"/>
      <c r="T332" s="347"/>
      <c r="U332" s="347"/>
      <c r="V332" s="347"/>
      <c r="W332" s="347"/>
      <c r="X332" s="347"/>
      <c r="Y332" s="347"/>
      <c r="Z332" s="347"/>
      <c r="AA332" s="347"/>
      <c r="AB332" s="347"/>
      <c r="AC332" s="347"/>
      <c r="AD332" s="347"/>
      <c r="AE332" s="347"/>
      <c r="AF332" s="347"/>
      <c r="AG332" s="347"/>
      <c r="AH332" s="347"/>
      <c r="AI332" s="347"/>
      <c r="AJ332" s="347"/>
      <c r="AK332" s="347"/>
      <c r="AL332" s="347"/>
      <c r="AM332" s="347"/>
      <c r="AN332" s="347"/>
      <c r="AO332" s="347"/>
      <c r="AP332" s="347"/>
      <c r="AQ332" s="347"/>
      <c r="AR332" s="347"/>
      <c r="AS332" s="347"/>
      <c r="AT332" s="347"/>
      <c r="AU332" s="347"/>
      <c r="AV332" s="347"/>
      <c r="AW332" s="347" t="str">
        <f t="shared" si="812"/>
        <v/>
      </c>
      <c r="AX332" s="365" t="str">
        <f t="shared" si="813"/>
        <v/>
      </c>
      <c r="AY332" s="365" t="str">
        <f t="shared" si="814"/>
        <v/>
      </c>
      <c r="AZ332" s="366">
        <v>871.58</v>
      </c>
      <c r="BA332" s="368">
        <v>54.12</v>
      </c>
      <c r="BB332" s="368">
        <v>79.6</v>
      </c>
      <c r="BC332" s="368">
        <v>87.22</v>
      </c>
      <c r="BD332" s="330"/>
      <c r="BE332" s="330" t="e">
        <f t="shared" si="822"/>
        <v>#VALUE!</v>
      </c>
      <c r="BF332" s="330" t="e">
        <f t="shared" si="823"/>
        <v>#VALUE!</v>
      </c>
      <c r="BG332" s="330" t="e">
        <f t="shared" si="824"/>
        <v>#VALUE!</v>
      </c>
      <c r="BH332" s="330" t="e">
        <f t="shared" si="825"/>
        <v>#VALUE!</v>
      </c>
      <c r="BI332" s="330"/>
      <c r="BJ332" s="370" cm="1">
        <f t="array" ref="BJ332:BM332">_xlfn.LET(_xlpm.data,$R332:$AV332,_xlpm.starts,{1,8,16,23},_xlpm.lengths,{7,7,8,9},_xlpm.arr,_xlfn.MAP(_xlpm.starts,_xlpm.lengths,_xlfn.LAMBDA(_xlpm.s,_xlpm.l,SUM(INDEX(_xlpm.data,,_xlfn.SEQUENCE(,_xlpm.l,_xlpm.s))))),ROUND(_xlpm.arr*$O332/1000,2))</f>
        <v>0</v>
      </c>
      <c r="BK332" s="330">
        <v>0</v>
      </c>
      <c r="BL332" s="330">
        <v>0</v>
      </c>
      <c r="BM332" s="330">
        <v>0</v>
      </c>
      <c r="BN332" s="258">
        <f t="shared" si="826"/>
        <v>0</v>
      </c>
      <c r="BO332" s="258">
        <v>26.69</v>
      </c>
      <c r="BP332" s="258">
        <v>26.69</v>
      </c>
      <c r="BQ332" s="258">
        <v>30.5</v>
      </c>
      <c r="BR332" s="258">
        <v>34.31</v>
      </c>
      <c r="BS332" s="115"/>
      <c r="BT332" s="258" cm="1">
        <f ca="1" t="array" ref="BT332:BW332">_xlfn.HSTACK(SUM(INDEX($R332:$AV332,1,1):INDEX($R332:$AV332,1,7)),SUM(INDEX($R332:$AV332,1,7):INDEX($R332:$AV332,1,13)),SUM(INDEX($R332:$AV332,1,16):INDEX($R332:$AV332,1,23)),SUM(INDEX($R332:$AV332,1,23):INDEX($R332:$AV332,1,31)))</f>
        <v>0</v>
      </c>
      <c r="BU332" s="258">
        <v>0</v>
      </c>
      <c r="BV332" s="258">
        <v>0</v>
      </c>
      <c r="BW332" s="258">
        <v>0</v>
      </c>
      <c r="BY332" s="258">
        <f t="shared" ref="BY332:BY337" si="843">SUM(R332:X332)</f>
        <v>0</v>
      </c>
      <c r="BZ332" s="258">
        <f t="shared" ref="BZ332:BZ337" si="844">SUM(Y332:AE332)</f>
        <v>0</v>
      </c>
      <c r="CA332" s="258">
        <f t="shared" ref="CA332:CA337" si="845">SUM(AF332:AM332)</f>
        <v>0</v>
      </c>
      <c r="CB332" s="258">
        <f t="shared" ref="CB332:CB337" si="846">SUM(AN332:AV332)</f>
        <v>0</v>
      </c>
      <c r="CD332" s="113"/>
      <c r="CE332" s="258">
        <f t="shared" si="827"/>
        <v>0</v>
      </c>
      <c r="CF332" s="258">
        <f t="shared" si="828"/>
        <v>0</v>
      </c>
      <c r="CG332" s="258">
        <f t="shared" si="829"/>
        <v>0</v>
      </c>
      <c r="CH332" s="258">
        <f t="shared" si="830"/>
        <v>0</v>
      </c>
      <c r="CI332" s="258">
        <f t="shared" si="831"/>
        <v>0</v>
      </c>
      <c r="CJ332" s="113"/>
      <c r="CK332" s="258">
        <f t="shared" ref="CK332:CN332" si="847">IFERROR(ROUND(BY332*$P332,2),"")</f>
        <v>0</v>
      </c>
      <c r="CL332" s="258">
        <f t="shared" si="847"/>
        <v>0</v>
      </c>
      <c r="CM332" s="258">
        <f t="shared" si="847"/>
        <v>0</v>
      </c>
      <c r="CN332" s="258">
        <f t="shared" si="847"/>
        <v>0</v>
      </c>
      <c r="CO332" s="258">
        <f t="shared" si="816"/>
        <v>0</v>
      </c>
    </row>
    <row r="333" s="258" customFormat="1" ht="17" spans="1:93">
      <c r="A333" s="330"/>
      <c r="B333" s="334">
        <f>_xlfn.XLOOKUP(G333,销售需求表!A:A,销售需求表!C:C)</f>
        <v>0</v>
      </c>
      <c r="C333" s="335" t="str">
        <f t="shared" si="834"/>
        <v/>
      </c>
      <c r="D333" s="362" t="str">
        <f t="shared" si="808"/>
        <v>0寸</v>
      </c>
      <c r="E333" s="339" t="e">
        <f t="shared" si="809"/>
        <v>#VALUE!</v>
      </c>
      <c r="F333" s="339" t="str">
        <f t="shared" si="838"/>
        <v/>
      </c>
      <c r="G333" s="339"/>
      <c r="H333" s="334"/>
      <c r="I333" s="345"/>
      <c r="J333" s="346" t="str">
        <f t="shared" si="820"/>
        <v/>
      </c>
      <c r="K333" s="347">
        <f>_xlfn.XLOOKUP(F333,投产规格!E:E,投产规格!D:D,"未投产")</f>
        <v>0</v>
      </c>
      <c r="L333" s="347" t="str">
        <f>IFERROR(_xlfn.XLOOKUP(F333,硫化工艺!B:B,硫化工艺!C:C),"")</f>
        <v/>
      </c>
      <c r="M333" s="349" t="str">
        <f t="shared" si="821"/>
        <v/>
      </c>
      <c r="N333" s="347" t="str">
        <f t="shared" si="810"/>
        <v>全钢</v>
      </c>
      <c r="O333" s="347">
        <f>IFERROR(_xlfn.XLOOKUP(F333,轮胎重量!J:J,轮胎重量!G:G),"")</f>
        <v>0</v>
      </c>
      <c r="P333" s="347" t="str">
        <f>IFERROR(_xlfn.XLOOKUP(F333,硫化工艺!I:I,硫化工艺!J:J),"")</f>
        <v/>
      </c>
      <c r="Q333" s="347" t="str">
        <f t="shared" si="811"/>
        <v/>
      </c>
      <c r="R333" s="347"/>
      <c r="S333" s="347"/>
      <c r="T333" s="347"/>
      <c r="U333" s="347"/>
      <c r="V333" s="347"/>
      <c r="W333" s="347"/>
      <c r="X333" s="347"/>
      <c r="Y333" s="347"/>
      <c r="Z333" s="347"/>
      <c r="AA333" s="347"/>
      <c r="AB333" s="347"/>
      <c r="AC333" s="347"/>
      <c r="AD333" s="347"/>
      <c r="AE333" s="347"/>
      <c r="AF333" s="347"/>
      <c r="AG333" s="347"/>
      <c r="AH333" s="347"/>
      <c r="AI333" s="347"/>
      <c r="AJ333" s="347"/>
      <c r="AK333" s="347"/>
      <c r="AL333" s="347"/>
      <c r="AM333" s="347"/>
      <c r="AN333" s="347"/>
      <c r="AO333" s="347"/>
      <c r="AP333" s="347"/>
      <c r="AQ333" s="347"/>
      <c r="AR333" s="347"/>
      <c r="AS333" s="347"/>
      <c r="AT333" s="347"/>
      <c r="AU333" s="347"/>
      <c r="AV333" s="347"/>
      <c r="AW333" s="347" t="str">
        <f t="shared" si="812"/>
        <v/>
      </c>
      <c r="AX333" s="365" t="str">
        <f t="shared" si="813"/>
        <v/>
      </c>
      <c r="AY333" s="365" t="str">
        <f t="shared" si="814"/>
        <v/>
      </c>
      <c r="AZ333" s="366">
        <v>861.64</v>
      </c>
      <c r="BA333" s="368">
        <v>52.93</v>
      </c>
      <c r="BB333" s="368">
        <v>78.33</v>
      </c>
      <c r="BC333" s="368">
        <v>85.7</v>
      </c>
      <c r="BD333" s="330"/>
      <c r="BE333" s="330" t="e">
        <f t="shared" si="822"/>
        <v>#VALUE!</v>
      </c>
      <c r="BF333" s="330" t="e">
        <f t="shared" si="823"/>
        <v>#VALUE!</v>
      </c>
      <c r="BG333" s="330" t="e">
        <f t="shared" si="824"/>
        <v>#VALUE!</v>
      </c>
      <c r="BH333" s="330" t="e">
        <f t="shared" si="825"/>
        <v>#VALUE!</v>
      </c>
      <c r="BI333" s="330"/>
      <c r="BJ333" s="370" cm="1">
        <f t="array" ref="BJ333:BM333">_xlfn.LET(_xlpm.data,$R333:$AV333,_xlpm.starts,{1,8,16,23},_xlpm.lengths,{7,7,8,9},_xlpm.arr,_xlfn.MAP(_xlpm.starts,_xlpm.lengths,_xlfn.LAMBDA(_xlpm.s,_xlpm.l,SUM(INDEX(_xlpm.data,,_xlfn.SEQUENCE(,_xlpm.l,_xlpm.s))))),ROUND(_xlpm.arr*$O333/1000,2))</f>
        <v>0</v>
      </c>
      <c r="BK333" s="330">
        <v>0</v>
      </c>
      <c r="BL333" s="330">
        <v>0</v>
      </c>
      <c r="BM333" s="330">
        <v>0</v>
      </c>
      <c r="BN333" s="258">
        <f t="shared" si="826"/>
        <v>0</v>
      </c>
      <c r="BO333" s="258">
        <v>0</v>
      </c>
      <c r="BP333" s="258">
        <v>0</v>
      </c>
      <c r="BQ333" s="258">
        <v>0</v>
      </c>
      <c r="BR333" s="258">
        <v>0</v>
      </c>
      <c r="BS333" s="115"/>
      <c r="BT333" s="258" cm="1">
        <f ca="1" t="array" ref="BT333:BW333">_xlfn.HSTACK(SUM(INDEX($R333:$AV333,1,1):INDEX($R333:$AV333,1,7)),SUM(INDEX($R333:$AV333,1,7):INDEX($R333:$AV333,1,13)),SUM(INDEX($R333:$AV333,1,16):INDEX($R333:$AV333,1,23)),SUM(INDEX($R333:$AV333,1,23):INDEX($R333:$AV333,1,31)))</f>
        <v>0</v>
      </c>
      <c r="BU333" s="258">
        <v>0</v>
      </c>
      <c r="BV333" s="258">
        <v>0</v>
      </c>
      <c r="BW333" s="258">
        <v>0</v>
      </c>
      <c r="BY333" s="258">
        <f t="shared" si="843"/>
        <v>0</v>
      </c>
      <c r="BZ333" s="258">
        <f t="shared" si="844"/>
        <v>0</v>
      </c>
      <c r="CA333" s="258">
        <f t="shared" si="845"/>
        <v>0</v>
      </c>
      <c r="CB333" s="258">
        <f t="shared" si="846"/>
        <v>0</v>
      </c>
      <c r="CD333" s="113"/>
      <c r="CE333" s="258">
        <f t="shared" si="827"/>
        <v>0</v>
      </c>
      <c r="CF333" s="258">
        <f t="shared" si="828"/>
        <v>0</v>
      </c>
      <c r="CG333" s="258">
        <f t="shared" si="829"/>
        <v>0</v>
      </c>
      <c r="CH333" s="258">
        <f t="shared" si="830"/>
        <v>0</v>
      </c>
      <c r="CI333" s="258">
        <f t="shared" si="831"/>
        <v>0</v>
      </c>
      <c r="CJ333" s="113"/>
      <c r="CK333" s="258" t="str">
        <f t="shared" ref="CK333:CN333" si="848">IFERROR(ROUND(BY333*$P333,2),"")</f>
        <v/>
      </c>
      <c r="CL333" s="258" t="str">
        <f t="shared" si="848"/>
        <v/>
      </c>
      <c r="CM333" s="258" t="str">
        <f t="shared" si="848"/>
        <v/>
      </c>
      <c r="CN333" s="258" t="str">
        <f t="shared" si="848"/>
        <v/>
      </c>
      <c r="CO333" s="258">
        <f t="shared" si="816"/>
        <v>0</v>
      </c>
    </row>
    <row r="334" s="258" customFormat="1" ht="17" spans="1:93">
      <c r="A334" s="330"/>
      <c r="B334" s="334">
        <f>_xlfn.XLOOKUP(G334,销售需求表!A:A,销售需求表!C:C)</f>
        <v>0</v>
      </c>
      <c r="C334" s="335" t="str">
        <f t="shared" si="834"/>
        <v/>
      </c>
      <c r="D334" s="362" t="str">
        <f t="shared" si="808"/>
        <v>0寸</v>
      </c>
      <c r="E334" s="339" t="e">
        <f t="shared" si="809"/>
        <v>#VALUE!</v>
      </c>
      <c r="F334" s="339" t="str">
        <f t="shared" si="838"/>
        <v/>
      </c>
      <c r="G334" s="339"/>
      <c r="H334" s="334"/>
      <c r="I334" s="345"/>
      <c r="J334" s="346" t="str">
        <f t="shared" si="820"/>
        <v/>
      </c>
      <c r="K334" s="347">
        <f>_xlfn.XLOOKUP(F334,投产规格!E:E,投产规格!D:D,"未投产")</f>
        <v>0</v>
      </c>
      <c r="L334" s="347" t="str">
        <f>IFERROR(_xlfn.XLOOKUP(F334,硫化工艺!B:B,硫化工艺!C:C),"")</f>
        <v/>
      </c>
      <c r="M334" s="349" t="str">
        <f t="shared" si="821"/>
        <v/>
      </c>
      <c r="N334" s="347" t="str">
        <f t="shared" si="810"/>
        <v>全钢</v>
      </c>
      <c r="O334" s="347">
        <f>IFERROR(_xlfn.XLOOKUP(F334,轮胎重量!J:J,轮胎重量!G:G),"")</f>
        <v>0</v>
      </c>
      <c r="P334" s="347" t="str">
        <f>IFERROR(_xlfn.XLOOKUP(F334,硫化工艺!I:I,硫化工艺!J:J),"")</f>
        <v/>
      </c>
      <c r="Q334" s="347" t="str">
        <f t="shared" si="811"/>
        <v/>
      </c>
      <c r="R334" s="347"/>
      <c r="S334" s="347"/>
      <c r="T334" s="347"/>
      <c r="U334" s="347"/>
      <c r="V334" s="347"/>
      <c r="W334" s="347"/>
      <c r="X334" s="347"/>
      <c r="Y334" s="347"/>
      <c r="Z334" s="347"/>
      <c r="AA334" s="347"/>
      <c r="AB334" s="347"/>
      <c r="AC334" s="347"/>
      <c r="AD334" s="347"/>
      <c r="AE334" s="347"/>
      <c r="AF334" s="347"/>
      <c r="AG334" s="347"/>
      <c r="AH334" s="347"/>
      <c r="AI334" s="347"/>
      <c r="AJ334" s="347"/>
      <c r="AK334" s="347"/>
      <c r="AL334" s="347"/>
      <c r="AM334" s="347"/>
      <c r="AN334" s="347"/>
      <c r="AO334" s="347"/>
      <c r="AP334" s="347"/>
      <c r="AQ334" s="347"/>
      <c r="AR334" s="347"/>
      <c r="AS334" s="347"/>
      <c r="AT334" s="347"/>
      <c r="AU334" s="347"/>
      <c r="AV334" s="347"/>
      <c r="AW334" s="347" t="str">
        <f t="shared" si="812"/>
        <v/>
      </c>
      <c r="AX334" s="365" t="str">
        <f t="shared" si="813"/>
        <v/>
      </c>
      <c r="AY334" s="365" t="str">
        <f t="shared" si="814"/>
        <v/>
      </c>
      <c r="AZ334" s="366">
        <v>828.4</v>
      </c>
      <c r="BA334" s="368">
        <v>50.66</v>
      </c>
      <c r="BB334" s="368">
        <v>75.77</v>
      </c>
      <c r="BC334" s="368">
        <v>82.47</v>
      </c>
      <c r="BD334" s="330"/>
      <c r="BE334" s="330" t="e">
        <f t="shared" si="822"/>
        <v>#VALUE!</v>
      </c>
      <c r="BF334" s="330" t="e">
        <f t="shared" si="823"/>
        <v>#VALUE!</v>
      </c>
      <c r="BG334" s="330" t="e">
        <f t="shared" si="824"/>
        <v>#VALUE!</v>
      </c>
      <c r="BH334" s="330" t="e">
        <f t="shared" si="825"/>
        <v>#VALUE!</v>
      </c>
      <c r="BI334" s="330"/>
      <c r="BJ334" s="370" cm="1">
        <f t="array" ref="BJ334:BM334">_xlfn.LET(_xlpm.data,$R334:$AV334,_xlpm.starts,{1,8,16,23},_xlpm.lengths,{7,7,8,9},_xlpm.arr,_xlfn.MAP(_xlpm.starts,_xlpm.lengths,_xlfn.LAMBDA(_xlpm.s,_xlpm.l,SUM(INDEX(_xlpm.data,,_xlfn.SEQUENCE(,_xlpm.l,_xlpm.s))))),ROUND(_xlpm.arr*$O334/1000,2))</f>
        <v>0</v>
      </c>
      <c r="BK334" s="330">
        <v>0</v>
      </c>
      <c r="BL334" s="330">
        <v>0</v>
      </c>
      <c r="BM334" s="330">
        <v>0</v>
      </c>
      <c r="BN334" s="258">
        <f t="shared" si="826"/>
        <v>0</v>
      </c>
      <c r="BO334" s="258">
        <v>0</v>
      </c>
      <c r="BP334" s="258">
        <v>0</v>
      </c>
      <c r="BQ334" s="258">
        <v>0</v>
      </c>
      <c r="BR334" s="258">
        <v>16.09</v>
      </c>
      <c r="BS334" s="115" t="e">
        <f>Q334*O334</f>
        <v>#VALUE!</v>
      </c>
      <c r="BT334" s="258" cm="1">
        <f ca="1" t="array" ref="BT334:BW334">_xlfn.HSTACK(SUM(INDEX($R334:$AV334,1,1):INDEX($R334:$AV334,1,7)),SUM(INDEX($R334:$AV334,1,7):INDEX($R334:$AV334,1,13)),SUM(INDEX($R334:$AV334,1,16):INDEX($R334:$AV334,1,23)),SUM(INDEX($R334:$AV334,1,23):INDEX($R334:$AV334,1,31)))</f>
        <v>0</v>
      </c>
      <c r="BU334" s="258">
        <v>0</v>
      </c>
      <c r="BV334" s="258">
        <v>0</v>
      </c>
      <c r="BW334" s="258">
        <v>0</v>
      </c>
      <c r="BY334" s="258">
        <f t="shared" si="843"/>
        <v>0</v>
      </c>
      <c r="BZ334" s="258">
        <f t="shared" si="844"/>
        <v>0</v>
      </c>
      <c r="CA334" s="258">
        <f t="shared" si="845"/>
        <v>0</v>
      </c>
      <c r="CB334" s="258">
        <f t="shared" si="846"/>
        <v>0</v>
      </c>
      <c r="CD334" s="113"/>
      <c r="CE334" s="258">
        <f t="shared" si="827"/>
        <v>0</v>
      </c>
      <c r="CF334" s="258">
        <f t="shared" si="828"/>
        <v>0</v>
      </c>
      <c r="CG334" s="258">
        <f t="shared" si="829"/>
        <v>0</v>
      </c>
      <c r="CH334" s="258">
        <f t="shared" si="830"/>
        <v>0</v>
      </c>
      <c r="CI334" s="258">
        <f t="shared" si="831"/>
        <v>0</v>
      </c>
      <c r="CJ334" s="113"/>
      <c r="CK334" s="258" t="str">
        <f t="shared" ref="CK334:CN334" si="849">IFERROR(ROUND(BY334*$P334,2),"")</f>
        <v/>
      </c>
      <c r="CL334" s="258" t="str">
        <f t="shared" si="849"/>
        <v/>
      </c>
      <c r="CM334" s="258" t="str">
        <f t="shared" si="849"/>
        <v/>
      </c>
      <c r="CN334" s="258" t="str">
        <f t="shared" si="849"/>
        <v/>
      </c>
      <c r="CO334" s="258">
        <f t="shared" si="816"/>
        <v>0</v>
      </c>
    </row>
    <row r="335" s="258" customFormat="1" ht="17" spans="1:93">
      <c r="A335" s="330"/>
      <c r="B335" s="334">
        <f>_xlfn.XLOOKUP(G335,销售需求表!A:A,销售需求表!C:C)</f>
        <v>0</v>
      </c>
      <c r="C335" s="335" t="str">
        <f t="shared" si="834"/>
        <v/>
      </c>
      <c r="D335" s="362" t="str">
        <f t="shared" si="808"/>
        <v>0寸</v>
      </c>
      <c r="E335" s="339" t="e">
        <f t="shared" si="809"/>
        <v>#VALUE!</v>
      </c>
      <c r="F335" s="339" t="str">
        <f t="shared" si="838"/>
        <v/>
      </c>
      <c r="G335" s="339"/>
      <c r="H335" s="334"/>
      <c r="I335" s="345"/>
      <c r="J335" s="346" t="str">
        <f t="shared" si="820"/>
        <v/>
      </c>
      <c r="K335" s="347">
        <f>_xlfn.XLOOKUP(F335,投产规格!E:E,投产规格!D:D,"未投产")</f>
        <v>0</v>
      </c>
      <c r="L335" s="347" t="str">
        <f>IFERROR(_xlfn.XLOOKUP(F335,硫化工艺!B:B,硫化工艺!C:C),"")</f>
        <v/>
      </c>
      <c r="M335" s="349" t="str">
        <f t="shared" si="821"/>
        <v/>
      </c>
      <c r="N335" s="347" t="str">
        <f t="shared" si="810"/>
        <v>全钢</v>
      </c>
      <c r="O335" s="347">
        <f>IFERROR(_xlfn.XLOOKUP(F335,轮胎重量!J:J,轮胎重量!G:G),"")</f>
        <v>0</v>
      </c>
      <c r="P335" s="350">
        <f t="shared" si="841"/>
        <v>0</v>
      </c>
      <c r="Q335" s="347" t="str">
        <f t="shared" si="811"/>
        <v/>
      </c>
      <c r="R335" s="347"/>
      <c r="S335" s="347"/>
      <c r="T335" s="347"/>
      <c r="U335" s="347"/>
      <c r="V335" s="347"/>
      <c r="W335" s="347"/>
      <c r="X335" s="347"/>
      <c r="Y335" s="347"/>
      <c r="Z335" s="347"/>
      <c r="AA335" s="347"/>
      <c r="AB335" s="347"/>
      <c r="AC335" s="347"/>
      <c r="AD335" s="347"/>
      <c r="AE335" s="347"/>
      <c r="AF335" s="347"/>
      <c r="AG335" s="347"/>
      <c r="AH335" s="347"/>
      <c r="AI335" s="347"/>
      <c r="AJ335" s="347"/>
      <c r="AK335" s="347"/>
      <c r="AL335" s="347"/>
      <c r="AM335" s="347"/>
      <c r="AN335" s="347"/>
      <c r="AO335" s="347"/>
      <c r="AP335" s="347"/>
      <c r="AQ335" s="347"/>
      <c r="AR335" s="347"/>
      <c r="AS335" s="347"/>
      <c r="AT335" s="347"/>
      <c r="AU335" s="347"/>
      <c r="AV335" s="347"/>
      <c r="AW335" s="347" t="str">
        <f t="shared" si="812"/>
        <v/>
      </c>
      <c r="AX335" s="365" t="str">
        <f t="shared" si="813"/>
        <v/>
      </c>
      <c r="AY335" s="365" t="str">
        <f t="shared" si="814"/>
        <v/>
      </c>
      <c r="AZ335" s="366">
        <v>864.55</v>
      </c>
      <c r="BA335" s="368">
        <v>53.34</v>
      </c>
      <c r="BB335" s="368">
        <v>78.72</v>
      </c>
      <c r="BC335" s="368">
        <v>86.44</v>
      </c>
      <c r="BD335" s="330"/>
      <c r="BE335" s="330" t="e">
        <f t="shared" si="822"/>
        <v>#VALUE!</v>
      </c>
      <c r="BF335" s="330" t="e">
        <f t="shared" si="823"/>
        <v>#VALUE!</v>
      </c>
      <c r="BG335" s="330" t="e">
        <f t="shared" si="824"/>
        <v>#VALUE!</v>
      </c>
      <c r="BH335" s="330" t="e">
        <f t="shared" si="825"/>
        <v>#VALUE!</v>
      </c>
      <c r="BI335" s="330"/>
      <c r="BJ335" s="370" cm="1">
        <f t="array" ref="BJ335:BM335">_xlfn.LET(_xlpm.data,$R335:$AV335,_xlpm.starts,{1,8,16,23},_xlpm.lengths,{7,7,8,9},_xlpm.arr,_xlfn.MAP(_xlpm.starts,_xlpm.lengths,_xlfn.LAMBDA(_xlpm.s,_xlpm.l,SUM(INDEX(_xlpm.data,,_xlfn.SEQUENCE(,_xlpm.l,_xlpm.s))))),ROUND(_xlpm.arr*$O335/1000,2))</f>
        <v>0</v>
      </c>
      <c r="BK335" s="330">
        <v>0</v>
      </c>
      <c r="BL335" s="330">
        <v>0</v>
      </c>
      <c r="BM335" s="330">
        <v>0</v>
      </c>
      <c r="BN335" s="258">
        <f t="shared" si="826"/>
        <v>0</v>
      </c>
      <c r="BO335" s="258">
        <v>0</v>
      </c>
      <c r="BP335" s="258">
        <v>0</v>
      </c>
      <c r="BQ335" s="258">
        <v>4.04</v>
      </c>
      <c r="BR335" s="258">
        <v>20.2</v>
      </c>
      <c r="BS335" s="115"/>
      <c r="BT335" s="258" cm="1">
        <f ca="1" t="array" ref="BT335:BW335">_xlfn.HSTACK(SUM(INDEX($R335:$AV335,1,1):INDEX($R335:$AV335,1,7)),SUM(INDEX($R335:$AV335,1,7):INDEX($R335:$AV335,1,13)),SUM(INDEX($R335:$AV335,1,16):INDEX($R335:$AV335,1,23)),SUM(INDEX($R335:$AV335,1,23):INDEX($R335:$AV335,1,31)))</f>
        <v>0</v>
      </c>
      <c r="BU335" s="258">
        <v>0</v>
      </c>
      <c r="BV335" s="258">
        <v>0</v>
      </c>
      <c r="BW335" s="258">
        <v>0</v>
      </c>
      <c r="BY335" s="258">
        <f t="shared" si="843"/>
        <v>0</v>
      </c>
      <c r="BZ335" s="258">
        <f t="shared" si="844"/>
        <v>0</v>
      </c>
      <c r="CA335" s="258">
        <f t="shared" si="845"/>
        <v>0</v>
      </c>
      <c r="CB335" s="258">
        <f t="shared" si="846"/>
        <v>0</v>
      </c>
      <c r="CD335" s="113"/>
      <c r="CE335" s="258">
        <f t="shared" si="827"/>
        <v>0</v>
      </c>
      <c r="CF335" s="258">
        <f t="shared" si="828"/>
        <v>0</v>
      </c>
      <c r="CG335" s="258">
        <f t="shared" si="829"/>
        <v>0</v>
      </c>
      <c r="CH335" s="258">
        <f t="shared" si="830"/>
        <v>0</v>
      </c>
      <c r="CI335" s="258">
        <f t="shared" si="831"/>
        <v>0</v>
      </c>
      <c r="CJ335" s="113"/>
      <c r="CK335" s="258">
        <f t="shared" ref="CK335:CN335" si="850">IFERROR(ROUND(BY335*$P335,2),"")</f>
        <v>0</v>
      </c>
      <c r="CL335" s="258">
        <f t="shared" si="850"/>
        <v>0</v>
      </c>
      <c r="CM335" s="258">
        <f t="shared" si="850"/>
        <v>0</v>
      </c>
      <c r="CN335" s="258">
        <f t="shared" si="850"/>
        <v>0</v>
      </c>
      <c r="CO335" s="258">
        <f t="shared" si="816"/>
        <v>0</v>
      </c>
    </row>
    <row r="336" s="258" customFormat="1" ht="17" spans="1:93">
      <c r="A336" s="330"/>
      <c r="B336" s="334">
        <f>_xlfn.XLOOKUP(G336,销售需求表!A:A,销售需求表!C:C)</f>
        <v>0</v>
      </c>
      <c r="C336" s="335" t="str">
        <f t="shared" si="834"/>
        <v/>
      </c>
      <c r="D336" s="362" t="str">
        <f t="shared" si="808"/>
        <v>0寸</v>
      </c>
      <c r="E336" s="339" t="e">
        <f t="shared" si="809"/>
        <v>#VALUE!</v>
      </c>
      <c r="F336" s="339" t="str">
        <f t="shared" si="838"/>
        <v/>
      </c>
      <c r="G336" s="339"/>
      <c r="H336" s="334"/>
      <c r="I336" s="345"/>
      <c r="J336" s="346" t="str">
        <f t="shared" si="820"/>
        <v/>
      </c>
      <c r="K336" s="347">
        <f>_xlfn.XLOOKUP(F336,投产规格!E:E,投产规格!D:D,"未投产")</f>
        <v>0</v>
      </c>
      <c r="L336" s="347" t="str">
        <f>IFERROR(_xlfn.XLOOKUP(F336,硫化工艺!B:B,硫化工艺!C:C),"")</f>
        <v/>
      </c>
      <c r="M336" s="349" t="str">
        <f t="shared" si="821"/>
        <v/>
      </c>
      <c r="N336" s="347" t="str">
        <f t="shared" si="810"/>
        <v>全钢</v>
      </c>
      <c r="O336" s="347">
        <f>IFERROR(_xlfn.XLOOKUP(F336,轮胎重量!J:J,轮胎重量!G:G),"")</f>
        <v>0</v>
      </c>
      <c r="P336" s="350">
        <f t="shared" si="841"/>
        <v>0</v>
      </c>
      <c r="Q336" s="347" t="str">
        <f t="shared" si="811"/>
        <v/>
      </c>
      <c r="R336" s="347"/>
      <c r="S336" s="347"/>
      <c r="T336" s="347"/>
      <c r="U336" s="347"/>
      <c r="V336" s="347"/>
      <c r="W336" s="347"/>
      <c r="X336" s="347"/>
      <c r="Y336" s="347"/>
      <c r="Z336" s="347"/>
      <c r="AA336" s="347"/>
      <c r="AB336" s="347"/>
      <c r="AC336" s="347"/>
      <c r="AD336" s="347"/>
      <c r="AE336" s="347"/>
      <c r="AF336" s="347"/>
      <c r="AG336" s="347"/>
      <c r="AH336" s="347"/>
      <c r="AI336" s="347"/>
      <c r="AJ336" s="347"/>
      <c r="AK336" s="347"/>
      <c r="AL336" s="347"/>
      <c r="AM336" s="347"/>
      <c r="AN336" s="347"/>
      <c r="AO336" s="347"/>
      <c r="AP336" s="347"/>
      <c r="AQ336" s="347"/>
      <c r="AR336" s="347"/>
      <c r="AS336" s="347"/>
      <c r="AT336" s="347"/>
      <c r="AU336" s="347"/>
      <c r="AV336" s="347"/>
      <c r="AW336" s="347" t="str">
        <f t="shared" si="812"/>
        <v/>
      </c>
      <c r="AX336" s="365" t="str">
        <f t="shared" si="813"/>
        <v/>
      </c>
      <c r="AY336" s="365" t="str">
        <f t="shared" si="814"/>
        <v/>
      </c>
      <c r="AZ336" s="366">
        <v>864.55</v>
      </c>
      <c r="BA336" s="368">
        <v>53.34</v>
      </c>
      <c r="BB336" s="368">
        <v>78.72</v>
      </c>
      <c r="BC336" s="368">
        <v>86.44</v>
      </c>
      <c r="BD336" s="330"/>
      <c r="BE336" s="330" t="e">
        <f t="shared" si="822"/>
        <v>#VALUE!</v>
      </c>
      <c r="BF336" s="330" t="e">
        <f t="shared" si="823"/>
        <v>#VALUE!</v>
      </c>
      <c r="BG336" s="330" t="e">
        <f t="shared" si="824"/>
        <v>#VALUE!</v>
      </c>
      <c r="BH336" s="330" t="e">
        <f t="shared" si="825"/>
        <v>#VALUE!</v>
      </c>
      <c r="BI336" s="330"/>
      <c r="BJ336" s="370" cm="1">
        <f t="array" ref="BJ336:BM336">_xlfn.LET(_xlpm.data,$R336:$AV336,_xlpm.starts,{1,8,16,23},_xlpm.lengths,{7,7,8,9},_xlpm.arr,_xlfn.MAP(_xlpm.starts,_xlpm.lengths,_xlfn.LAMBDA(_xlpm.s,_xlpm.l,SUM(INDEX(_xlpm.data,,_xlfn.SEQUENCE(,_xlpm.l,_xlpm.s))))),ROUND(_xlpm.arr*$O336/1000,2))</f>
        <v>0</v>
      </c>
      <c r="BK336" s="330">
        <v>0</v>
      </c>
      <c r="BL336" s="330">
        <v>0</v>
      </c>
      <c r="BM336" s="330">
        <v>0</v>
      </c>
      <c r="BN336" s="258">
        <f t="shared" si="826"/>
        <v>0</v>
      </c>
      <c r="BO336" s="258">
        <v>0</v>
      </c>
      <c r="BP336" s="258">
        <v>0</v>
      </c>
      <c r="BQ336" s="258">
        <v>0</v>
      </c>
      <c r="BR336" s="258">
        <v>15.99</v>
      </c>
      <c r="BS336" s="115"/>
      <c r="BT336" s="258" cm="1">
        <f ca="1" t="array" ref="BT336:BW336">_xlfn.HSTACK(SUM(INDEX($R336:$AV336,1,1):INDEX($R336:$AV336,1,7)),SUM(INDEX($R336:$AV336,1,7):INDEX($R336:$AV336,1,13)),SUM(INDEX($R336:$AV336,1,16):INDEX($R336:$AV336,1,23)),SUM(INDEX($R336:$AV336,1,23):INDEX($R336:$AV336,1,31)))</f>
        <v>0</v>
      </c>
      <c r="BU336" s="258">
        <v>0</v>
      </c>
      <c r="BV336" s="258">
        <v>0</v>
      </c>
      <c r="BW336" s="258">
        <v>0</v>
      </c>
      <c r="BY336" s="258">
        <f t="shared" si="843"/>
        <v>0</v>
      </c>
      <c r="BZ336" s="258">
        <f t="shared" si="844"/>
        <v>0</v>
      </c>
      <c r="CA336" s="258">
        <f t="shared" si="845"/>
        <v>0</v>
      </c>
      <c r="CB336" s="258">
        <f t="shared" si="846"/>
        <v>0</v>
      </c>
      <c r="CD336" s="113"/>
      <c r="CE336" s="258">
        <f t="shared" si="827"/>
        <v>0</v>
      </c>
      <c r="CF336" s="258">
        <f t="shared" si="828"/>
        <v>0</v>
      </c>
      <c r="CG336" s="258">
        <f t="shared" si="829"/>
        <v>0</v>
      </c>
      <c r="CH336" s="258">
        <f t="shared" si="830"/>
        <v>0</v>
      </c>
      <c r="CI336" s="258">
        <f t="shared" si="831"/>
        <v>0</v>
      </c>
      <c r="CJ336" s="113"/>
      <c r="CK336" s="258">
        <f t="shared" ref="CK336:CN336" si="851">IFERROR(ROUND(BY336*$P336,2),"")</f>
        <v>0</v>
      </c>
      <c r="CL336" s="258">
        <f t="shared" si="851"/>
        <v>0</v>
      </c>
      <c r="CM336" s="258">
        <f t="shared" si="851"/>
        <v>0</v>
      </c>
      <c r="CN336" s="258">
        <f t="shared" si="851"/>
        <v>0</v>
      </c>
      <c r="CO336" s="258">
        <f t="shared" si="816"/>
        <v>0</v>
      </c>
    </row>
    <row r="337" s="258" customFormat="1" ht="17" spans="1:93">
      <c r="A337" s="330"/>
      <c r="B337" s="334">
        <f>_xlfn.XLOOKUP(G337,销售需求表!A:A,销售需求表!C:C)</f>
        <v>0</v>
      </c>
      <c r="C337" s="335" t="str">
        <f t="shared" si="834"/>
        <v/>
      </c>
      <c r="D337" s="362" t="str">
        <f t="shared" si="808"/>
        <v>0寸</v>
      </c>
      <c r="E337" s="339" t="e">
        <f t="shared" si="809"/>
        <v>#VALUE!</v>
      </c>
      <c r="F337" s="339" t="str">
        <f t="shared" si="838"/>
        <v/>
      </c>
      <c r="G337" s="339"/>
      <c r="H337" s="334"/>
      <c r="I337" s="345"/>
      <c r="J337" s="346" t="str">
        <f t="shared" si="820"/>
        <v/>
      </c>
      <c r="K337" s="347">
        <f>_xlfn.XLOOKUP(F337,投产规格!E:E,投产规格!D:D,"未投产")</f>
        <v>0</v>
      </c>
      <c r="L337" s="347" t="str">
        <f>IFERROR(_xlfn.XLOOKUP(F337,硫化工艺!B:B,硫化工艺!C:C),"")</f>
        <v/>
      </c>
      <c r="M337" s="349" t="str">
        <f t="shared" si="821"/>
        <v/>
      </c>
      <c r="N337" s="347" t="str">
        <f t="shared" si="810"/>
        <v>全钢</v>
      </c>
      <c r="O337" s="347">
        <f>IFERROR(_xlfn.XLOOKUP(F337,轮胎重量!J:J,轮胎重量!G:G),"")</f>
        <v>0</v>
      </c>
      <c r="P337" s="350">
        <f t="shared" si="841"/>
        <v>0</v>
      </c>
      <c r="Q337" s="347" t="str">
        <f t="shared" si="811"/>
        <v/>
      </c>
      <c r="R337" s="347"/>
      <c r="S337" s="347"/>
      <c r="T337" s="347"/>
      <c r="U337" s="347"/>
      <c r="V337" s="347"/>
      <c r="W337" s="347"/>
      <c r="X337" s="347"/>
      <c r="Y337" s="347"/>
      <c r="Z337" s="347"/>
      <c r="AA337" s="347"/>
      <c r="AB337" s="347"/>
      <c r="AC337" s="347"/>
      <c r="AD337" s="347"/>
      <c r="AE337" s="347"/>
      <c r="AF337" s="347"/>
      <c r="AG337" s="347"/>
      <c r="AH337" s="347"/>
      <c r="AI337" s="347"/>
      <c r="AJ337" s="347"/>
      <c r="AK337" s="347"/>
      <c r="AL337" s="347"/>
      <c r="AM337" s="347"/>
      <c r="AN337" s="347"/>
      <c r="AO337" s="347"/>
      <c r="AP337" s="347"/>
      <c r="AQ337" s="347"/>
      <c r="AR337" s="347"/>
      <c r="AS337" s="347"/>
      <c r="AT337" s="347"/>
      <c r="AU337" s="347"/>
      <c r="AV337" s="347"/>
      <c r="AW337" s="347" t="str">
        <f t="shared" si="812"/>
        <v/>
      </c>
      <c r="AX337" s="365" t="str">
        <f t="shared" si="813"/>
        <v/>
      </c>
      <c r="AY337" s="365" t="str">
        <f t="shared" si="814"/>
        <v/>
      </c>
      <c r="AZ337" s="366">
        <v>864.55</v>
      </c>
      <c r="BA337" s="368">
        <v>53.34</v>
      </c>
      <c r="BB337" s="368">
        <v>78.72</v>
      </c>
      <c r="BC337" s="368">
        <v>86.44</v>
      </c>
      <c r="BD337" s="330"/>
      <c r="BE337" s="330" t="e">
        <f t="shared" si="822"/>
        <v>#VALUE!</v>
      </c>
      <c r="BF337" s="330" t="e">
        <f t="shared" si="823"/>
        <v>#VALUE!</v>
      </c>
      <c r="BG337" s="330" t="e">
        <f t="shared" si="824"/>
        <v>#VALUE!</v>
      </c>
      <c r="BH337" s="330" t="e">
        <f t="shared" si="825"/>
        <v>#VALUE!</v>
      </c>
      <c r="BI337" s="330"/>
      <c r="BJ337" s="370" cm="1">
        <f t="array" ref="BJ337:BM337">_xlfn.LET(_xlpm.data,$R337:$AV337,_xlpm.starts,{1,8,16,23},_xlpm.lengths,{7,7,8,9},_xlpm.arr,_xlfn.MAP(_xlpm.starts,_xlpm.lengths,_xlfn.LAMBDA(_xlpm.s,_xlpm.l,SUM(INDEX(_xlpm.data,,_xlfn.SEQUENCE(,_xlpm.l,_xlpm.s))))),ROUND(_xlpm.arr*$O337/1000,2))</f>
        <v>0</v>
      </c>
      <c r="BK337" s="330">
        <v>0</v>
      </c>
      <c r="BL337" s="330">
        <v>0</v>
      </c>
      <c r="BM337" s="330">
        <v>0</v>
      </c>
      <c r="BN337" s="258">
        <f t="shared" si="826"/>
        <v>0</v>
      </c>
      <c r="BO337" s="258">
        <v>0</v>
      </c>
      <c r="BP337" s="258">
        <v>0</v>
      </c>
      <c r="BQ337" s="258">
        <v>0</v>
      </c>
      <c r="BR337" s="258">
        <v>0</v>
      </c>
      <c r="BS337" s="115"/>
      <c r="BT337" s="258" cm="1">
        <f ca="1" t="array" ref="BT337:BW337">_xlfn.HSTACK(SUM(INDEX($R337:$AV337,1,1):INDEX($R337:$AV337,1,7)),SUM(INDEX($R337:$AV337,1,7):INDEX($R337:$AV337,1,13)),SUM(INDEX($R337:$AV337,1,16):INDEX($R337:$AV337,1,23)),SUM(INDEX($R337:$AV337,1,23):INDEX($R337:$AV337,1,31)))</f>
        <v>0</v>
      </c>
      <c r="BU337" s="258">
        <v>0</v>
      </c>
      <c r="BV337" s="258">
        <v>0</v>
      </c>
      <c r="BW337" s="258">
        <v>0</v>
      </c>
      <c r="BY337" s="258">
        <f t="shared" si="843"/>
        <v>0</v>
      </c>
      <c r="BZ337" s="258">
        <f t="shared" si="844"/>
        <v>0</v>
      </c>
      <c r="CA337" s="258">
        <f t="shared" si="845"/>
        <v>0</v>
      </c>
      <c r="CB337" s="258">
        <f t="shared" si="846"/>
        <v>0</v>
      </c>
      <c r="CD337" s="113"/>
      <c r="CE337" s="258">
        <f t="shared" si="827"/>
        <v>0</v>
      </c>
      <c r="CF337" s="258">
        <f t="shared" si="828"/>
        <v>0</v>
      </c>
      <c r="CG337" s="258">
        <f t="shared" si="829"/>
        <v>0</v>
      </c>
      <c r="CH337" s="258">
        <f t="shared" si="830"/>
        <v>0</v>
      </c>
      <c r="CI337" s="258">
        <f t="shared" si="831"/>
        <v>0</v>
      </c>
      <c r="CJ337" s="113"/>
      <c r="CK337" s="258">
        <f t="shared" ref="CK337:CN337" si="852">IFERROR(ROUND(BY337*$P337,2),"")</f>
        <v>0</v>
      </c>
      <c r="CL337" s="258">
        <f t="shared" si="852"/>
        <v>0</v>
      </c>
      <c r="CM337" s="258">
        <f t="shared" si="852"/>
        <v>0</v>
      </c>
      <c r="CN337" s="258">
        <f t="shared" si="852"/>
        <v>0</v>
      </c>
      <c r="CO337" s="258">
        <f t="shared" si="816"/>
        <v>0</v>
      </c>
    </row>
    <row r="338" s="258" customFormat="1" ht="17" spans="1:93">
      <c r="A338" s="330"/>
      <c r="B338" s="334">
        <f>_xlfn.XLOOKUP(G338,销售需求表!A:A,销售需求表!C:C)</f>
        <v>0</v>
      </c>
      <c r="C338" s="335" t="str">
        <f t="shared" si="834"/>
        <v/>
      </c>
      <c r="D338" s="362" t="str">
        <f t="shared" si="808"/>
        <v>0寸</v>
      </c>
      <c r="E338" s="339" t="e">
        <f t="shared" si="809"/>
        <v>#VALUE!</v>
      </c>
      <c r="F338" s="339" t="str">
        <f t="shared" si="838"/>
        <v/>
      </c>
      <c r="G338" s="339"/>
      <c r="H338" s="334"/>
      <c r="I338" s="345"/>
      <c r="J338" s="346" t="str">
        <f t="shared" si="820"/>
        <v/>
      </c>
      <c r="K338" s="347">
        <f>_xlfn.XLOOKUP(F338,投产规格!E:E,投产规格!D:D,"未投产")</f>
        <v>0</v>
      </c>
      <c r="L338" s="347" t="str">
        <f>IFERROR(_xlfn.XLOOKUP(F338,硫化工艺!B:B,硫化工艺!C:C),"")</f>
        <v/>
      </c>
      <c r="M338" s="349" t="str">
        <f t="shared" si="821"/>
        <v/>
      </c>
      <c r="N338" s="347" t="str">
        <f t="shared" si="810"/>
        <v>全钢</v>
      </c>
      <c r="O338" s="347">
        <f>IFERROR(_xlfn.XLOOKUP(F338,轮胎重量!J:J,轮胎重量!G:G),"")</f>
        <v>0</v>
      </c>
      <c r="P338" s="347" t="str">
        <f>IFERROR(_xlfn.XLOOKUP(F338,硫化工艺!I:I,硫化工艺!J:J),"")</f>
        <v/>
      </c>
      <c r="Q338" s="347" t="str">
        <f t="shared" si="811"/>
        <v/>
      </c>
      <c r="R338" s="347"/>
      <c r="S338" s="347"/>
      <c r="T338" s="347"/>
      <c r="U338" s="347"/>
      <c r="V338" s="347"/>
      <c r="W338" s="347"/>
      <c r="X338" s="347"/>
      <c r="Y338" s="347"/>
      <c r="Z338" s="347"/>
      <c r="AA338" s="347"/>
      <c r="AB338" s="347"/>
      <c r="AC338" s="347"/>
      <c r="AD338" s="347"/>
      <c r="AE338" s="347"/>
      <c r="AF338" s="347"/>
      <c r="AG338" s="347"/>
      <c r="AH338" s="347"/>
      <c r="AI338" s="347"/>
      <c r="AJ338" s="347"/>
      <c r="AK338" s="347"/>
      <c r="AL338" s="347"/>
      <c r="AM338" s="347"/>
      <c r="AN338" s="347"/>
      <c r="AO338" s="347"/>
      <c r="AP338" s="347"/>
      <c r="AQ338" s="347"/>
      <c r="AR338" s="347"/>
      <c r="AS338" s="347"/>
      <c r="AT338" s="347"/>
      <c r="AU338" s="347"/>
      <c r="AV338" s="347"/>
      <c r="AW338" s="347" t="str">
        <f t="shared" si="812"/>
        <v/>
      </c>
      <c r="AX338" s="365" t="str">
        <f t="shared" si="813"/>
        <v/>
      </c>
      <c r="AY338" s="365" t="str">
        <f t="shared" si="814"/>
        <v/>
      </c>
      <c r="AZ338" s="366">
        <v>864.55</v>
      </c>
      <c r="BA338" s="368">
        <v>53.34</v>
      </c>
      <c r="BB338" s="368">
        <v>78.72</v>
      </c>
      <c r="BC338" s="368">
        <v>86.44</v>
      </c>
      <c r="BD338" s="330"/>
      <c r="BE338" s="330" t="e">
        <f t="shared" si="822"/>
        <v>#VALUE!</v>
      </c>
      <c r="BF338" s="330" t="e">
        <f t="shared" si="823"/>
        <v>#VALUE!</v>
      </c>
      <c r="BG338" s="330" t="e">
        <f t="shared" si="824"/>
        <v>#VALUE!</v>
      </c>
      <c r="BH338" s="330" t="e">
        <f t="shared" si="825"/>
        <v>#VALUE!</v>
      </c>
      <c r="BI338" s="330"/>
      <c r="BJ338" s="370" cm="1">
        <f t="array" ref="BJ338:BM338">_xlfn.LET(_xlpm.data,$R338:$AV338,_xlpm.starts,{1,8,16,23},_xlpm.lengths,{7,7,8,9},_xlpm.arr,_xlfn.MAP(_xlpm.starts,_xlpm.lengths,_xlfn.LAMBDA(_xlpm.s,_xlpm.l,SUM(INDEX(_xlpm.data,,_xlfn.SEQUENCE(,_xlpm.l,_xlpm.s))))),ROUND(_xlpm.arr*$O338/1000,2))</f>
        <v>0</v>
      </c>
      <c r="BK338" s="330">
        <v>0</v>
      </c>
      <c r="BL338" s="330">
        <v>0</v>
      </c>
      <c r="BM338" s="330">
        <v>0</v>
      </c>
      <c r="BN338" s="258">
        <f t="shared" si="826"/>
        <v>0</v>
      </c>
      <c r="BO338" s="258">
        <v>0</v>
      </c>
      <c r="BP338" s="258">
        <v>0</v>
      </c>
      <c r="BQ338" s="258">
        <v>0</v>
      </c>
      <c r="BR338" s="258">
        <v>0</v>
      </c>
      <c r="BS338" s="115"/>
      <c r="BT338" s="258" cm="1">
        <f ca="1" t="array" ref="BT338:BW338">_xlfn.HSTACK(SUM(INDEX($R338:$AV338,1,1):INDEX($R338:$AV338,1,7)),SUM(INDEX($R338:$AV338,1,7):INDEX($R338:$AV338,1,13)),SUM(INDEX($R338:$AV338,1,16):INDEX($R338:$AV338,1,23)),SUM(INDEX($R338:$AV338,1,23):INDEX($R338:$AV338,1,31)))</f>
        <v>0</v>
      </c>
      <c r="BU338" s="258">
        <v>0</v>
      </c>
      <c r="BV338" s="258">
        <v>0</v>
      </c>
      <c r="BW338" s="258">
        <v>0</v>
      </c>
      <c r="BY338" s="258">
        <f t="shared" ref="BY338:BY345" si="853">SUM(R338:X338)</f>
        <v>0</v>
      </c>
      <c r="BZ338" s="258">
        <f t="shared" ref="BZ338:BZ345" si="854">SUM(Y338:AE338)</f>
        <v>0</v>
      </c>
      <c r="CA338" s="258">
        <f t="shared" ref="CA338:CA345" si="855">SUM(AF338:AM338)</f>
        <v>0</v>
      </c>
      <c r="CB338" s="258">
        <f t="shared" ref="CB338:CB345" si="856">SUM(AN338:AV338)</f>
        <v>0</v>
      </c>
      <c r="CD338" s="113"/>
      <c r="CE338" s="258">
        <f t="shared" si="827"/>
        <v>0</v>
      </c>
      <c r="CF338" s="258">
        <f t="shared" si="828"/>
        <v>0</v>
      </c>
      <c r="CG338" s="258">
        <f t="shared" si="829"/>
        <v>0</v>
      </c>
      <c r="CH338" s="258">
        <f t="shared" si="830"/>
        <v>0</v>
      </c>
      <c r="CI338" s="258">
        <f t="shared" si="831"/>
        <v>0</v>
      </c>
      <c r="CJ338" s="113"/>
      <c r="CK338" s="258" t="str">
        <f t="shared" ref="CK338:CN338" si="857">IFERROR(ROUND(BY338*$P338,2),"")</f>
        <v/>
      </c>
      <c r="CL338" s="258" t="str">
        <f t="shared" si="857"/>
        <v/>
      </c>
      <c r="CM338" s="258" t="str">
        <f t="shared" si="857"/>
        <v/>
      </c>
      <c r="CN338" s="258" t="str">
        <f t="shared" si="857"/>
        <v/>
      </c>
      <c r="CO338" s="258">
        <f t="shared" si="816"/>
        <v>0</v>
      </c>
    </row>
    <row r="339" s="258" customFormat="1" ht="17" spans="1:93">
      <c r="A339" s="330"/>
      <c r="B339" s="334">
        <f>_xlfn.XLOOKUP(G339,销售需求表!A:A,销售需求表!C:C)</f>
        <v>0</v>
      </c>
      <c r="C339" s="335" t="str">
        <f t="shared" si="834"/>
        <v/>
      </c>
      <c r="D339" s="362" t="str">
        <f t="shared" si="808"/>
        <v>0寸</v>
      </c>
      <c r="E339" s="339" t="e">
        <f t="shared" si="809"/>
        <v>#VALUE!</v>
      </c>
      <c r="F339" s="339" t="str">
        <f t="shared" si="838"/>
        <v/>
      </c>
      <c r="G339" s="339"/>
      <c r="H339" s="334"/>
      <c r="I339" s="345"/>
      <c r="J339" s="346" t="str">
        <f t="shared" si="820"/>
        <v/>
      </c>
      <c r="K339" s="347">
        <f>_xlfn.XLOOKUP(F339,投产规格!E:E,投产规格!D:D,"未投产")</f>
        <v>0</v>
      </c>
      <c r="L339" s="347" t="str">
        <f>IFERROR(_xlfn.XLOOKUP(F339,硫化工艺!B:B,硫化工艺!C:C),"")</f>
        <v/>
      </c>
      <c r="M339" s="349" t="str">
        <f t="shared" si="821"/>
        <v/>
      </c>
      <c r="N339" s="347" t="str">
        <f t="shared" si="810"/>
        <v>全钢</v>
      </c>
      <c r="O339" s="347">
        <f>IFERROR(_xlfn.XLOOKUP(F339,轮胎重量!J:J,轮胎重量!G:G),"")</f>
        <v>0</v>
      </c>
      <c r="P339" s="350">
        <f>O339*13.9</f>
        <v>0</v>
      </c>
      <c r="Q339" s="347" t="str">
        <f t="shared" si="811"/>
        <v/>
      </c>
      <c r="R339" s="347"/>
      <c r="S339" s="347"/>
      <c r="T339" s="347"/>
      <c r="U339" s="347"/>
      <c r="V339" s="347"/>
      <c r="W339" s="347"/>
      <c r="X339" s="347"/>
      <c r="Y339" s="347"/>
      <c r="Z339" s="347"/>
      <c r="AA339" s="347"/>
      <c r="AB339" s="347"/>
      <c r="AC339" s="347"/>
      <c r="AD339" s="347"/>
      <c r="AE339" s="347"/>
      <c r="AF339" s="347"/>
      <c r="AG339" s="347"/>
      <c r="AH339" s="347"/>
      <c r="AI339" s="347"/>
      <c r="AJ339" s="347"/>
      <c r="AK339" s="347"/>
      <c r="AL339" s="347"/>
      <c r="AM339" s="347"/>
      <c r="AN339" s="347"/>
      <c r="AO339" s="347"/>
      <c r="AP339" s="347"/>
      <c r="AQ339" s="347"/>
      <c r="AR339" s="347"/>
      <c r="AS339" s="347"/>
      <c r="AT339" s="347"/>
      <c r="AU339" s="347"/>
      <c r="AV339" s="347"/>
      <c r="AW339" s="347" t="str">
        <f t="shared" si="812"/>
        <v/>
      </c>
      <c r="AX339" s="365" t="str">
        <f t="shared" si="813"/>
        <v/>
      </c>
      <c r="AY339" s="365" t="str">
        <f t="shared" si="814"/>
        <v/>
      </c>
      <c r="AZ339" s="366">
        <v>864.55</v>
      </c>
      <c r="BA339" s="368">
        <v>53.34</v>
      </c>
      <c r="BB339" s="368">
        <v>78.72</v>
      </c>
      <c r="BC339" s="368">
        <v>86.44</v>
      </c>
      <c r="BD339" s="330"/>
      <c r="BE339" s="330" t="e">
        <f t="shared" si="822"/>
        <v>#VALUE!</v>
      </c>
      <c r="BF339" s="330" t="e">
        <f t="shared" si="823"/>
        <v>#VALUE!</v>
      </c>
      <c r="BG339" s="330" t="e">
        <f t="shared" si="824"/>
        <v>#VALUE!</v>
      </c>
      <c r="BH339" s="330" t="e">
        <f t="shared" si="825"/>
        <v>#VALUE!</v>
      </c>
      <c r="BI339" s="330"/>
      <c r="BJ339" s="370" cm="1">
        <f t="array" ref="BJ339:BM339">_xlfn.LET(_xlpm.data,$R339:$AV339,_xlpm.starts,{1,8,16,23},_xlpm.lengths,{7,7,8,9},_xlpm.arr,_xlfn.MAP(_xlpm.starts,_xlpm.lengths,_xlfn.LAMBDA(_xlpm.s,_xlpm.l,SUM(INDEX(_xlpm.data,,_xlfn.SEQUENCE(,_xlpm.l,_xlpm.s))))),ROUND(_xlpm.arr*$O339/1000,2))</f>
        <v>0</v>
      </c>
      <c r="BK339" s="330">
        <v>0</v>
      </c>
      <c r="BL339" s="330">
        <v>0</v>
      </c>
      <c r="BM339" s="330">
        <v>0</v>
      </c>
      <c r="BN339" s="258">
        <f t="shared" si="826"/>
        <v>0</v>
      </c>
      <c r="BO339" s="258">
        <v>28.66</v>
      </c>
      <c r="BP339" s="258">
        <v>28.66</v>
      </c>
      <c r="BQ339" s="258">
        <v>32.76</v>
      </c>
      <c r="BR339" s="258">
        <v>36.85</v>
      </c>
      <c r="BS339" s="115"/>
      <c r="BT339" s="258" cm="1">
        <f ca="1" t="array" ref="BT339:BW339">_xlfn.HSTACK(SUM(INDEX($R339:$AV339,1,1):INDEX($R339:$AV339,1,7)),SUM(INDEX($R339:$AV339,1,7):INDEX($R339:$AV339,1,13)),SUM(INDEX($R339:$AV339,1,16):INDEX($R339:$AV339,1,23)),SUM(INDEX($R339:$AV339,1,23):INDEX($R339:$AV339,1,31)))</f>
        <v>0</v>
      </c>
      <c r="BU339" s="258">
        <v>0</v>
      </c>
      <c r="BV339" s="258">
        <v>0</v>
      </c>
      <c r="BW339" s="258">
        <v>0</v>
      </c>
      <c r="BY339" s="258">
        <f t="shared" si="853"/>
        <v>0</v>
      </c>
      <c r="BZ339" s="258">
        <f t="shared" si="854"/>
        <v>0</v>
      </c>
      <c r="CA339" s="258">
        <f t="shared" si="855"/>
        <v>0</v>
      </c>
      <c r="CB339" s="258">
        <f t="shared" si="856"/>
        <v>0</v>
      </c>
      <c r="CD339" s="113"/>
      <c r="CE339" s="258">
        <f t="shared" si="827"/>
        <v>0</v>
      </c>
      <c r="CF339" s="258">
        <f t="shared" si="828"/>
        <v>0</v>
      </c>
      <c r="CG339" s="258">
        <f t="shared" si="829"/>
        <v>0</v>
      </c>
      <c r="CH339" s="258">
        <f t="shared" si="830"/>
        <v>0</v>
      </c>
      <c r="CI339" s="258">
        <f t="shared" si="831"/>
        <v>0</v>
      </c>
      <c r="CJ339" s="113"/>
      <c r="CK339" s="258">
        <f t="shared" ref="CK339:CN339" si="858">IFERROR(ROUND(BY339*$P339,2),"")</f>
        <v>0</v>
      </c>
      <c r="CL339" s="258">
        <f t="shared" si="858"/>
        <v>0</v>
      </c>
      <c r="CM339" s="258">
        <f t="shared" si="858"/>
        <v>0</v>
      </c>
      <c r="CN339" s="258">
        <f t="shared" si="858"/>
        <v>0</v>
      </c>
      <c r="CO339" s="258">
        <f t="shared" si="816"/>
        <v>0</v>
      </c>
    </row>
    <row r="340" s="258" customFormat="1" ht="17" spans="1:93">
      <c r="A340" s="330"/>
      <c r="B340" s="334">
        <f>_xlfn.XLOOKUP(G340,销售需求表!A:A,销售需求表!C:C)</f>
        <v>0</v>
      </c>
      <c r="C340" s="335" t="str">
        <f t="shared" si="834"/>
        <v/>
      </c>
      <c r="D340" s="383" t="str">
        <f t="shared" si="808"/>
        <v>0寸</v>
      </c>
      <c r="E340" s="339" t="e">
        <f t="shared" si="809"/>
        <v>#VALUE!</v>
      </c>
      <c r="F340" s="339" t="str">
        <f t="shared" si="838"/>
        <v/>
      </c>
      <c r="G340" s="339"/>
      <c r="H340" s="334"/>
      <c r="I340" s="345"/>
      <c r="J340" s="346" t="str">
        <f t="shared" si="820"/>
        <v/>
      </c>
      <c r="K340" s="347">
        <f>_xlfn.XLOOKUP(F340,投产规格!E:E,投产规格!D:D,"未投产")</f>
        <v>0</v>
      </c>
      <c r="L340" s="347" t="str">
        <f>IFERROR(_xlfn.XLOOKUP(F340,硫化工艺!B:B,硫化工艺!C:C),"")</f>
        <v/>
      </c>
      <c r="M340" s="349" t="str">
        <f t="shared" si="821"/>
        <v/>
      </c>
      <c r="N340" s="347" t="str">
        <f t="shared" si="810"/>
        <v>全钢</v>
      </c>
      <c r="O340" s="347">
        <f>IFERROR(_xlfn.XLOOKUP(F340,轮胎重量!J:J,轮胎重量!G:G),"")</f>
        <v>0</v>
      </c>
      <c r="P340" s="347" t="str">
        <f>IFERROR(_xlfn.XLOOKUP(F340,硫化工艺!I:I,硫化工艺!J:J),"")</f>
        <v/>
      </c>
      <c r="Q340" s="347" t="str">
        <f t="shared" si="811"/>
        <v/>
      </c>
      <c r="R340" s="347"/>
      <c r="S340" s="347"/>
      <c r="T340" s="347"/>
      <c r="U340" s="347"/>
      <c r="V340" s="347"/>
      <c r="W340" s="347"/>
      <c r="X340" s="347"/>
      <c r="Y340" s="347"/>
      <c r="Z340" s="347"/>
      <c r="AA340" s="347"/>
      <c r="AB340" s="347"/>
      <c r="AC340" s="347"/>
      <c r="AD340" s="347"/>
      <c r="AE340" s="347"/>
      <c r="AF340" s="347"/>
      <c r="AG340" s="347"/>
      <c r="AH340" s="347"/>
      <c r="AI340" s="347"/>
      <c r="AJ340" s="347"/>
      <c r="AK340" s="347"/>
      <c r="AL340" s="347"/>
      <c r="AM340" s="347"/>
      <c r="AN340" s="347"/>
      <c r="AO340" s="347"/>
      <c r="AP340" s="347"/>
      <c r="AQ340" s="347"/>
      <c r="AR340" s="347"/>
      <c r="AS340" s="347"/>
      <c r="AT340" s="347"/>
      <c r="AU340" s="347"/>
      <c r="AV340" s="347"/>
      <c r="AW340" s="347" t="str">
        <f t="shared" si="812"/>
        <v/>
      </c>
      <c r="AX340" s="365" t="str">
        <f t="shared" si="813"/>
        <v/>
      </c>
      <c r="AY340" s="365" t="str">
        <f t="shared" si="814"/>
        <v/>
      </c>
      <c r="AZ340" s="366">
        <v>842.39</v>
      </c>
      <c r="BA340" s="368">
        <v>47.68</v>
      </c>
      <c r="BB340" s="368">
        <v>74.78</v>
      </c>
      <c r="BC340" s="368">
        <v>76.28</v>
      </c>
      <c r="BD340" s="330"/>
      <c r="BE340" s="330" t="e">
        <f t="shared" si="822"/>
        <v>#VALUE!</v>
      </c>
      <c r="BF340" s="330" t="e">
        <f t="shared" si="823"/>
        <v>#VALUE!</v>
      </c>
      <c r="BG340" s="330" t="e">
        <f t="shared" si="824"/>
        <v>#VALUE!</v>
      </c>
      <c r="BH340" s="330" t="e">
        <f t="shared" si="825"/>
        <v>#VALUE!</v>
      </c>
      <c r="BI340" s="330"/>
      <c r="BJ340" s="370" cm="1">
        <f t="array" ref="BJ340:BM340">_xlfn.LET(_xlpm.data,$R340:$AV340,_xlpm.starts,{1,8,16,23},_xlpm.lengths,{7,7,8,9},_xlpm.arr,_xlfn.MAP(_xlpm.starts,_xlpm.lengths,_xlfn.LAMBDA(_xlpm.s,_xlpm.l,SUM(INDEX(_xlpm.data,,_xlfn.SEQUENCE(,_xlpm.l,_xlpm.s))))),ROUND(_xlpm.arr*$O340/1000,2))</f>
        <v>0</v>
      </c>
      <c r="BK340" s="330">
        <v>0</v>
      </c>
      <c r="BL340" s="330">
        <v>0</v>
      </c>
      <c r="BM340" s="330">
        <v>0</v>
      </c>
      <c r="BN340" s="258">
        <f t="shared" si="826"/>
        <v>0</v>
      </c>
      <c r="BO340" s="258">
        <v>67.98</v>
      </c>
      <c r="BP340" s="258">
        <v>57.82</v>
      </c>
      <c r="BQ340" s="258">
        <v>0</v>
      </c>
      <c r="BR340" s="258">
        <v>0</v>
      </c>
      <c r="BS340" s="115"/>
      <c r="BT340" s="258" cm="1">
        <f ca="1" t="array" ref="BT340:BW340">_xlfn.HSTACK(SUM(INDEX($R340:$AV340,1,1):INDEX($R340:$AV340,1,7)),SUM(INDEX($R340:$AV340,1,7):INDEX($R340:$AV340,1,13)),SUM(INDEX($R340:$AV340,1,16):INDEX($R340:$AV340,1,23)),SUM(INDEX($R340:$AV340,1,23):INDEX($R340:$AV340,1,31)))</f>
        <v>0</v>
      </c>
      <c r="BU340" s="258">
        <v>0</v>
      </c>
      <c r="BV340" s="258">
        <v>0</v>
      </c>
      <c r="BW340" s="258">
        <v>0</v>
      </c>
      <c r="BY340" s="258">
        <f t="shared" si="853"/>
        <v>0</v>
      </c>
      <c r="BZ340" s="258">
        <f t="shared" si="854"/>
        <v>0</v>
      </c>
      <c r="CA340" s="258">
        <f t="shared" si="855"/>
        <v>0</v>
      </c>
      <c r="CB340" s="258">
        <f t="shared" si="856"/>
        <v>0</v>
      </c>
      <c r="CD340" s="113"/>
      <c r="CE340" s="258">
        <f t="shared" si="827"/>
        <v>0</v>
      </c>
      <c r="CF340" s="258">
        <f t="shared" si="828"/>
        <v>0</v>
      </c>
      <c r="CG340" s="258">
        <f t="shared" si="829"/>
        <v>0</v>
      </c>
      <c r="CH340" s="258">
        <f t="shared" si="830"/>
        <v>0</v>
      </c>
      <c r="CI340" s="258">
        <f t="shared" si="831"/>
        <v>0</v>
      </c>
      <c r="CJ340" s="113"/>
      <c r="CK340" s="258" t="str">
        <f t="shared" ref="CK340:CN340" si="859">IFERROR(ROUND(BY340*$P340,2),"")</f>
        <v/>
      </c>
      <c r="CL340" s="258" t="str">
        <f t="shared" si="859"/>
        <v/>
      </c>
      <c r="CM340" s="258" t="str">
        <f t="shared" si="859"/>
        <v/>
      </c>
      <c r="CN340" s="258" t="str">
        <f t="shared" si="859"/>
        <v/>
      </c>
      <c r="CO340" s="258">
        <f t="shared" si="816"/>
        <v>0</v>
      </c>
    </row>
    <row r="341" s="258" customFormat="1" ht="17" spans="1:93">
      <c r="A341" s="330"/>
      <c r="B341" s="334">
        <f>_xlfn.XLOOKUP(G341,销售需求表!A:A,销售需求表!C:C)</f>
        <v>0</v>
      </c>
      <c r="C341" s="335" t="str">
        <f t="shared" si="834"/>
        <v/>
      </c>
      <c r="D341" s="383" t="str">
        <f t="shared" si="808"/>
        <v>0寸</v>
      </c>
      <c r="E341" s="339" t="e">
        <f t="shared" si="809"/>
        <v>#VALUE!</v>
      </c>
      <c r="F341" s="339" t="str">
        <f t="shared" si="838"/>
        <v/>
      </c>
      <c r="G341" s="339"/>
      <c r="H341" s="334"/>
      <c r="I341" s="345"/>
      <c r="J341" s="346" t="str">
        <f t="shared" si="820"/>
        <v/>
      </c>
      <c r="K341" s="347">
        <f>_xlfn.XLOOKUP(F341,投产规格!E:E,投产规格!D:D,"未投产")</f>
        <v>0</v>
      </c>
      <c r="L341" s="347" t="str">
        <f>IFERROR(_xlfn.XLOOKUP(F341,硫化工艺!B:B,硫化工艺!C:C),"")</f>
        <v/>
      </c>
      <c r="M341" s="349" t="str">
        <f t="shared" si="821"/>
        <v/>
      </c>
      <c r="N341" s="347" t="str">
        <f t="shared" si="810"/>
        <v>全钢</v>
      </c>
      <c r="O341" s="347">
        <f>IFERROR(_xlfn.XLOOKUP(F341,轮胎重量!J:J,轮胎重量!G:G),"")</f>
        <v>0</v>
      </c>
      <c r="P341" s="350">
        <f t="shared" ref="P341:P345" si="860">O341*13.9</f>
        <v>0</v>
      </c>
      <c r="Q341" s="347" t="str">
        <f t="shared" si="811"/>
        <v/>
      </c>
      <c r="R341" s="347"/>
      <c r="S341" s="347"/>
      <c r="T341" s="347"/>
      <c r="U341" s="347"/>
      <c r="V341" s="347"/>
      <c r="W341" s="347"/>
      <c r="X341" s="347"/>
      <c r="Y341" s="347"/>
      <c r="Z341" s="347"/>
      <c r="AA341" s="347"/>
      <c r="AB341" s="347"/>
      <c r="AC341" s="347"/>
      <c r="AD341" s="347"/>
      <c r="AE341" s="347"/>
      <c r="AF341" s="347"/>
      <c r="AG341" s="347"/>
      <c r="AH341" s="347"/>
      <c r="AI341" s="347"/>
      <c r="AJ341" s="347"/>
      <c r="AK341" s="347"/>
      <c r="AL341" s="347"/>
      <c r="AM341" s="347"/>
      <c r="AN341" s="347"/>
      <c r="AO341" s="347"/>
      <c r="AP341" s="347"/>
      <c r="AQ341" s="347"/>
      <c r="AR341" s="347"/>
      <c r="AS341" s="347"/>
      <c r="AT341" s="347"/>
      <c r="AU341" s="347"/>
      <c r="AV341" s="347"/>
      <c r="AW341" s="347" t="str">
        <f t="shared" si="812"/>
        <v/>
      </c>
      <c r="AX341" s="365" t="str">
        <f t="shared" si="813"/>
        <v/>
      </c>
      <c r="AY341" s="365" t="str">
        <f t="shared" si="814"/>
        <v/>
      </c>
      <c r="AZ341" s="366">
        <v>842.39</v>
      </c>
      <c r="BA341" s="368">
        <v>47.68</v>
      </c>
      <c r="BB341" s="368">
        <v>74.78</v>
      </c>
      <c r="BC341" s="368">
        <v>76.28</v>
      </c>
      <c r="BD341" s="330"/>
      <c r="BE341" s="330" t="e">
        <f t="shared" si="822"/>
        <v>#VALUE!</v>
      </c>
      <c r="BF341" s="330" t="e">
        <f t="shared" si="823"/>
        <v>#VALUE!</v>
      </c>
      <c r="BG341" s="330" t="e">
        <f t="shared" si="824"/>
        <v>#VALUE!</v>
      </c>
      <c r="BH341" s="330" t="e">
        <f t="shared" si="825"/>
        <v>#VALUE!</v>
      </c>
      <c r="BI341" s="330"/>
      <c r="BJ341" s="370" cm="1">
        <f t="array" ref="BJ341:BM341">_xlfn.LET(_xlpm.data,$R341:$AV341,_xlpm.starts,{1,8,16,23},_xlpm.lengths,{7,7,8,9},_xlpm.arr,_xlfn.MAP(_xlpm.starts,_xlpm.lengths,_xlfn.LAMBDA(_xlpm.s,_xlpm.l,SUM(INDEX(_xlpm.data,,_xlfn.SEQUENCE(,_xlpm.l,_xlpm.s))))),ROUND(_xlpm.arr*$O341/1000,2))</f>
        <v>0</v>
      </c>
      <c r="BK341" s="330">
        <v>0</v>
      </c>
      <c r="BL341" s="330">
        <v>0</v>
      </c>
      <c r="BM341" s="330">
        <v>0</v>
      </c>
      <c r="BN341" s="258">
        <f t="shared" si="826"/>
        <v>0</v>
      </c>
      <c r="BO341" s="258">
        <v>67.98</v>
      </c>
      <c r="BP341" s="258">
        <v>57.82</v>
      </c>
      <c r="BQ341" s="258">
        <v>0</v>
      </c>
      <c r="BR341" s="258">
        <v>0</v>
      </c>
      <c r="BS341" s="115"/>
      <c r="BT341" s="258" cm="1">
        <f ca="1" t="array" ref="BT341:BW341">_xlfn.HSTACK(SUM(INDEX($R341:$AV341,1,1):INDEX($R341:$AV341,1,7)),SUM(INDEX($R341:$AV341,1,7):INDEX($R341:$AV341,1,13)),SUM(INDEX($R341:$AV341,1,16):INDEX($R341:$AV341,1,23)),SUM(INDEX($R341:$AV341,1,23):INDEX($R341:$AV341,1,31)))</f>
        <v>0</v>
      </c>
      <c r="BU341" s="258">
        <v>0</v>
      </c>
      <c r="BV341" s="258">
        <v>0</v>
      </c>
      <c r="BW341" s="258">
        <v>0</v>
      </c>
      <c r="BY341" s="258">
        <f t="shared" si="853"/>
        <v>0</v>
      </c>
      <c r="BZ341" s="258">
        <f t="shared" si="854"/>
        <v>0</v>
      </c>
      <c r="CA341" s="258">
        <f t="shared" si="855"/>
        <v>0</v>
      </c>
      <c r="CB341" s="258">
        <f t="shared" si="856"/>
        <v>0</v>
      </c>
      <c r="CD341" s="113"/>
      <c r="CE341" s="258">
        <f t="shared" si="827"/>
        <v>0</v>
      </c>
      <c r="CF341" s="258">
        <f t="shared" si="828"/>
        <v>0</v>
      </c>
      <c r="CG341" s="258">
        <f t="shared" si="829"/>
        <v>0</v>
      </c>
      <c r="CH341" s="258">
        <f t="shared" si="830"/>
        <v>0</v>
      </c>
      <c r="CI341" s="258">
        <f t="shared" si="831"/>
        <v>0</v>
      </c>
      <c r="CJ341" s="113"/>
      <c r="CK341" s="258">
        <f t="shared" ref="CK341:CN341" si="861">IFERROR(ROUND(BY341*$P341,2),"")</f>
        <v>0</v>
      </c>
      <c r="CL341" s="258">
        <f t="shared" si="861"/>
        <v>0</v>
      </c>
      <c r="CM341" s="258">
        <f t="shared" si="861"/>
        <v>0</v>
      </c>
      <c r="CN341" s="258">
        <f t="shared" si="861"/>
        <v>0</v>
      </c>
      <c r="CO341" s="258">
        <f t="shared" si="816"/>
        <v>0</v>
      </c>
    </row>
    <row r="342" s="258" customFormat="1" ht="17" spans="1:93">
      <c r="A342" s="330"/>
      <c r="B342" s="334">
        <f>_xlfn.XLOOKUP(G342,销售需求表!A:A,销售需求表!C:C)</f>
        <v>0</v>
      </c>
      <c r="C342" s="335" t="str">
        <f t="shared" si="834"/>
        <v/>
      </c>
      <c r="D342" s="383" t="str">
        <f t="shared" si="808"/>
        <v>0寸</v>
      </c>
      <c r="E342" s="339" t="e">
        <f t="shared" si="809"/>
        <v>#VALUE!</v>
      </c>
      <c r="F342" s="339" t="str">
        <f t="shared" si="838"/>
        <v/>
      </c>
      <c r="G342" s="339"/>
      <c r="H342" s="334"/>
      <c r="I342" s="345"/>
      <c r="J342" s="346" t="str">
        <f t="shared" si="820"/>
        <v/>
      </c>
      <c r="K342" s="347">
        <f>_xlfn.XLOOKUP(F342,投产规格!E:E,投产规格!D:D,"未投产")</f>
        <v>0</v>
      </c>
      <c r="L342" s="347" t="str">
        <f>IFERROR(_xlfn.XLOOKUP(F342,硫化工艺!B:B,硫化工艺!C:C),"")</f>
        <v/>
      </c>
      <c r="M342" s="349" t="str">
        <f t="shared" si="821"/>
        <v/>
      </c>
      <c r="N342" s="347" t="str">
        <f t="shared" si="810"/>
        <v>全钢</v>
      </c>
      <c r="O342" s="347">
        <f>IFERROR(_xlfn.XLOOKUP(F342,轮胎重量!J:J,轮胎重量!G:G),"")</f>
        <v>0</v>
      </c>
      <c r="P342" s="350">
        <f t="shared" si="860"/>
        <v>0</v>
      </c>
      <c r="Q342" s="347" t="str">
        <f t="shared" si="811"/>
        <v/>
      </c>
      <c r="R342" s="347"/>
      <c r="S342" s="347"/>
      <c r="T342" s="347"/>
      <c r="U342" s="347"/>
      <c r="V342" s="347"/>
      <c r="W342" s="347"/>
      <c r="X342" s="347"/>
      <c r="Y342" s="347"/>
      <c r="Z342" s="347"/>
      <c r="AA342" s="347"/>
      <c r="AB342" s="347"/>
      <c r="AC342" s="347"/>
      <c r="AD342" s="347"/>
      <c r="AE342" s="347"/>
      <c r="AF342" s="347"/>
      <c r="AG342" s="347"/>
      <c r="AH342" s="347"/>
      <c r="AI342" s="347"/>
      <c r="AJ342" s="347"/>
      <c r="AK342" s="347"/>
      <c r="AL342" s="347"/>
      <c r="AM342" s="347"/>
      <c r="AN342" s="347"/>
      <c r="AO342" s="347"/>
      <c r="AP342" s="347"/>
      <c r="AQ342" s="347"/>
      <c r="AR342" s="347"/>
      <c r="AS342" s="347"/>
      <c r="AT342" s="347"/>
      <c r="AU342" s="347"/>
      <c r="AV342" s="347"/>
      <c r="AW342" s="347" t="str">
        <f t="shared" si="812"/>
        <v/>
      </c>
      <c r="AX342" s="365" t="str">
        <f t="shared" si="813"/>
        <v/>
      </c>
      <c r="AY342" s="365" t="str">
        <f t="shared" si="814"/>
        <v/>
      </c>
      <c r="AZ342" s="366">
        <v>842.39</v>
      </c>
      <c r="BA342" s="368">
        <v>47.68</v>
      </c>
      <c r="BB342" s="368">
        <v>74.78</v>
      </c>
      <c r="BC342" s="368">
        <v>76.28</v>
      </c>
      <c r="BD342" s="330"/>
      <c r="BE342" s="330" t="e">
        <f t="shared" si="822"/>
        <v>#VALUE!</v>
      </c>
      <c r="BF342" s="330" t="e">
        <f t="shared" si="823"/>
        <v>#VALUE!</v>
      </c>
      <c r="BG342" s="330" t="e">
        <f t="shared" si="824"/>
        <v>#VALUE!</v>
      </c>
      <c r="BH342" s="330" t="e">
        <f t="shared" si="825"/>
        <v>#VALUE!</v>
      </c>
      <c r="BI342" s="330"/>
      <c r="BJ342" s="370" cm="1">
        <f t="array" ref="BJ342:BM342">_xlfn.LET(_xlpm.data,$R342:$AV342,_xlpm.starts,{1,8,16,23},_xlpm.lengths,{7,7,8,9},_xlpm.arr,_xlfn.MAP(_xlpm.starts,_xlpm.lengths,_xlfn.LAMBDA(_xlpm.s,_xlpm.l,SUM(INDEX(_xlpm.data,,_xlfn.SEQUENCE(,_xlpm.l,_xlpm.s))))),ROUND(_xlpm.arr*$O342/1000,2))</f>
        <v>0</v>
      </c>
      <c r="BK342" s="330">
        <v>0</v>
      </c>
      <c r="BL342" s="330">
        <v>0</v>
      </c>
      <c r="BM342" s="330">
        <v>0</v>
      </c>
      <c r="BN342" s="258">
        <f t="shared" si="826"/>
        <v>0</v>
      </c>
      <c r="BO342" s="258">
        <v>67.98</v>
      </c>
      <c r="BP342" s="258">
        <v>57.82</v>
      </c>
      <c r="BQ342" s="258">
        <v>0</v>
      </c>
      <c r="BR342" s="258">
        <v>0</v>
      </c>
      <c r="BS342" s="115"/>
      <c r="BT342" s="258" cm="1">
        <f ca="1" t="array" ref="BT342:BW342">_xlfn.HSTACK(SUM(INDEX($R342:$AV342,1,1):INDEX($R342:$AV342,1,7)),SUM(INDEX($R342:$AV342,1,7):INDEX($R342:$AV342,1,13)),SUM(INDEX($R342:$AV342,1,16):INDEX($R342:$AV342,1,23)),SUM(INDEX($R342:$AV342,1,23):INDEX($R342:$AV342,1,31)))</f>
        <v>0</v>
      </c>
      <c r="BU342" s="258">
        <v>0</v>
      </c>
      <c r="BV342" s="258">
        <v>0</v>
      </c>
      <c r="BW342" s="258">
        <v>0</v>
      </c>
      <c r="BY342" s="258">
        <f t="shared" si="853"/>
        <v>0</v>
      </c>
      <c r="BZ342" s="258">
        <f t="shared" si="854"/>
        <v>0</v>
      </c>
      <c r="CA342" s="258">
        <f t="shared" si="855"/>
        <v>0</v>
      </c>
      <c r="CB342" s="258">
        <f t="shared" si="856"/>
        <v>0</v>
      </c>
      <c r="CD342" s="113"/>
      <c r="CE342" s="258">
        <f t="shared" si="827"/>
        <v>0</v>
      </c>
      <c r="CF342" s="258">
        <f t="shared" si="828"/>
        <v>0</v>
      </c>
      <c r="CG342" s="258">
        <f t="shared" si="829"/>
        <v>0</v>
      </c>
      <c r="CH342" s="258">
        <f t="shared" si="830"/>
        <v>0</v>
      </c>
      <c r="CI342" s="258">
        <f t="shared" si="831"/>
        <v>0</v>
      </c>
      <c r="CJ342" s="113"/>
      <c r="CK342" s="258">
        <f t="shared" ref="CK342:CN342" si="862">IFERROR(ROUND(BY342*$P342,2),"")</f>
        <v>0</v>
      </c>
      <c r="CL342" s="258">
        <f t="shared" si="862"/>
        <v>0</v>
      </c>
      <c r="CM342" s="258">
        <f t="shared" si="862"/>
        <v>0</v>
      </c>
      <c r="CN342" s="258">
        <f t="shared" si="862"/>
        <v>0</v>
      </c>
      <c r="CO342" s="258">
        <f t="shared" si="816"/>
        <v>0</v>
      </c>
    </row>
    <row r="343" s="258" customFormat="1" ht="17" spans="1:93">
      <c r="A343" s="330"/>
      <c r="B343" s="334">
        <f>_xlfn.XLOOKUP(G343,销售需求表!A:A,销售需求表!C:C)</f>
        <v>0</v>
      </c>
      <c r="C343" s="335" t="str">
        <f t="shared" si="834"/>
        <v/>
      </c>
      <c r="D343" s="383" t="str">
        <f t="shared" si="808"/>
        <v>0寸</v>
      </c>
      <c r="E343" s="339" t="e">
        <f t="shared" si="809"/>
        <v>#VALUE!</v>
      </c>
      <c r="F343" s="339" t="str">
        <f t="shared" si="838"/>
        <v/>
      </c>
      <c r="G343" s="339"/>
      <c r="H343" s="334"/>
      <c r="I343" s="345"/>
      <c r="J343" s="346" t="str">
        <f t="shared" si="820"/>
        <v/>
      </c>
      <c r="K343" s="347">
        <f>_xlfn.XLOOKUP(F343,投产规格!E:E,投产规格!D:D,"未投产")</f>
        <v>0</v>
      </c>
      <c r="L343" s="347" t="str">
        <f>IFERROR(_xlfn.XLOOKUP(F343,硫化工艺!B:B,硫化工艺!C:C),"")</f>
        <v/>
      </c>
      <c r="M343" s="349" t="str">
        <f t="shared" si="821"/>
        <v/>
      </c>
      <c r="N343" s="347" t="str">
        <f t="shared" si="810"/>
        <v>全钢</v>
      </c>
      <c r="O343" s="347">
        <f>IFERROR(_xlfn.XLOOKUP(F343,轮胎重量!J:J,轮胎重量!G:G),"")</f>
        <v>0</v>
      </c>
      <c r="P343" s="350">
        <f t="shared" si="860"/>
        <v>0</v>
      </c>
      <c r="Q343" s="347" t="str">
        <f t="shared" si="811"/>
        <v/>
      </c>
      <c r="R343" s="347"/>
      <c r="S343" s="347"/>
      <c r="T343" s="347"/>
      <c r="U343" s="347"/>
      <c r="V343" s="347"/>
      <c r="W343" s="347"/>
      <c r="X343" s="347"/>
      <c r="Y343" s="347"/>
      <c r="Z343" s="347"/>
      <c r="AA343" s="347"/>
      <c r="AB343" s="347"/>
      <c r="AC343" s="347"/>
      <c r="AD343" s="347"/>
      <c r="AE343" s="347"/>
      <c r="AF343" s="347"/>
      <c r="AG343" s="347"/>
      <c r="AH343" s="347"/>
      <c r="AI343" s="347"/>
      <c r="AJ343" s="347"/>
      <c r="AK343" s="347"/>
      <c r="AL343" s="347"/>
      <c r="AM343" s="347"/>
      <c r="AN343" s="347"/>
      <c r="AO343" s="347"/>
      <c r="AP343" s="347"/>
      <c r="AQ343" s="347"/>
      <c r="AR343" s="347"/>
      <c r="AS343" s="347"/>
      <c r="AT343" s="347"/>
      <c r="AU343" s="347"/>
      <c r="AV343" s="347"/>
      <c r="AW343" s="347" t="str">
        <f t="shared" si="812"/>
        <v/>
      </c>
      <c r="AX343" s="365" t="str">
        <f t="shared" si="813"/>
        <v/>
      </c>
      <c r="AY343" s="365" t="str">
        <f t="shared" si="814"/>
        <v/>
      </c>
      <c r="AZ343" s="366">
        <v>834.98</v>
      </c>
      <c r="BA343" s="368">
        <v>49.6</v>
      </c>
      <c r="BB343" s="368">
        <v>76.03</v>
      </c>
      <c r="BC343" s="368">
        <v>81.43</v>
      </c>
      <c r="BD343" s="330"/>
      <c r="BE343" s="330" t="e">
        <f t="shared" si="822"/>
        <v>#VALUE!</v>
      </c>
      <c r="BF343" s="330" t="e">
        <f t="shared" si="823"/>
        <v>#VALUE!</v>
      </c>
      <c r="BG343" s="330" t="e">
        <f t="shared" si="824"/>
        <v>#VALUE!</v>
      </c>
      <c r="BH343" s="330" t="e">
        <f t="shared" si="825"/>
        <v>#VALUE!</v>
      </c>
      <c r="BI343" s="330"/>
      <c r="BJ343" s="370" cm="1">
        <f t="array" ref="BJ343:BM343">_xlfn.LET(_xlpm.data,$R343:$AV343,_xlpm.starts,{1,8,16,23},_xlpm.lengths,{7,7,8,9},_xlpm.arr,_xlfn.MAP(_xlpm.starts,_xlpm.lengths,_xlfn.LAMBDA(_xlpm.s,_xlpm.l,SUM(INDEX(_xlpm.data,,_xlfn.SEQUENCE(,_xlpm.l,_xlpm.s))))),ROUND(_xlpm.arr*$O343/1000,2))</f>
        <v>0</v>
      </c>
      <c r="BK343" s="330">
        <v>0</v>
      </c>
      <c r="BL343" s="330">
        <v>0</v>
      </c>
      <c r="BM343" s="330">
        <v>0</v>
      </c>
      <c r="BN343" s="258">
        <f t="shared" si="826"/>
        <v>0</v>
      </c>
      <c r="BO343" s="258">
        <v>0</v>
      </c>
      <c r="BP343" s="258">
        <v>8.34</v>
      </c>
      <c r="BQ343" s="258">
        <v>66.74</v>
      </c>
      <c r="BR343" s="258">
        <v>75.08</v>
      </c>
      <c r="BS343" s="115"/>
      <c r="BT343" s="258" cm="1">
        <f ca="1" t="array" ref="BT343:BW343">_xlfn.HSTACK(SUM(INDEX($R343:$AV343,1,1):INDEX($R343:$AV343,1,7)),SUM(INDEX($R343:$AV343,1,7):INDEX($R343:$AV343,1,13)),SUM(INDEX($R343:$AV343,1,16):INDEX($R343:$AV343,1,23)),SUM(INDEX($R343:$AV343,1,23):INDEX($R343:$AV343,1,31)))</f>
        <v>0</v>
      </c>
      <c r="BU343" s="258">
        <v>0</v>
      </c>
      <c r="BV343" s="258">
        <v>0</v>
      </c>
      <c r="BW343" s="258">
        <v>0</v>
      </c>
      <c r="BY343" s="258">
        <f t="shared" si="853"/>
        <v>0</v>
      </c>
      <c r="BZ343" s="258">
        <f t="shared" si="854"/>
        <v>0</v>
      </c>
      <c r="CA343" s="258">
        <f t="shared" si="855"/>
        <v>0</v>
      </c>
      <c r="CB343" s="258">
        <f t="shared" si="856"/>
        <v>0</v>
      </c>
      <c r="CD343" s="113"/>
      <c r="CE343" s="258">
        <f t="shared" si="827"/>
        <v>0</v>
      </c>
      <c r="CF343" s="258">
        <f t="shared" si="828"/>
        <v>0</v>
      </c>
      <c r="CG343" s="258">
        <f t="shared" si="829"/>
        <v>0</v>
      </c>
      <c r="CH343" s="258">
        <f t="shared" si="830"/>
        <v>0</v>
      </c>
      <c r="CI343" s="258">
        <f t="shared" si="831"/>
        <v>0</v>
      </c>
      <c r="CJ343" s="113"/>
      <c r="CK343" s="258">
        <f t="shared" ref="CK343:CN343" si="863">IFERROR(ROUND(BY343*$P343,2),"")</f>
        <v>0</v>
      </c>
      <c r="CL343" s="258">
        <f t="shared" si="863"/>
        <v>0</v>
      </c>
      <c r="CM343" s="258">
        <f t="shared" si="863"/>
        <v>0</v>
      </c>
      <c r="CN343" s="258">
        <f t="shared" si="863"/>
        <v>0</v>
      </c>
      <c r="CO343" s="258">
        <f t="shared" si="816"/>
        <v>0</v>
      </c>
    </row>
    <row r="344" s="258" customFormat="1" ht="17" spans="1:93">
      <c r="A344" s="330"/>
      <c r="B344" s="334">
        <f>_xlfn.XLOOKUP(G344,销售需求表!A:A,销售需求表!C:C)</f>
        <v>0</v>
      </c>
      <c r="C344" s="335" t="str">
        <f t="shared" si="834"/>
        <v/>
      </c>
      <c r="D344" s="383" t="str">
        <f t="shared" si="808"/>
        <v>0寸</v>
      </c>
      <c r="E344" s="339" t="e">
        <f t="shared" si="809"/>
        <v>#VALUE!</v>
      </c>
      <c r="F344" s="339" t="str">
        <f t="shared" si="838"/>
        <v/>
      </c>
      <c r="G344" s="339"/>
      <c r="H344" s="334"/>
      <c r="I344" s="345"/>
      <c r="J344" s="346" t="str">
        <f t="shared" si="820"/>
        <v/>
      </c>
      <c r="K344" s="347">
        <f>_xlfn.XLOOKUP(F344,投产规格!E:E,投产规格!D:D,"未投产")</f>
        <v>0</v>
      </c>
      <c r="L344" s="347" t="str">
        <f>IFERROR(_xlfn.XLOOKUP(F344,硫化工艺!B:B,硫化工艺!C:C),"")</f>
        <v/>
      </c>
      <c r="M344" s="349" t="str">
        <f t="shared" si="821"/>
        <v/>
      </c>
      <c r="N344" s="347" t="str">
        <f t="shared" si="810"/>
        <v>全钢</v>
      </c>
      <c r="O344" s="347">
        <f>IFERROR(_xlfn.XLOOKUP(F344,轮胎重量!J:J,轮胎重量!G:G),"")</f>
        <v>0</v>
      </c>
      <c r="P344" s="347" t="str">
        <f>IFERROR(_xlfn.XLOOKUP(F344,硫化工艺!I:I,硫化工艺!J:J),"")</f>
        <v/>
      </c>
      <c r="Q344" s="347" t="str">
        <f t="shared" si="811"/>
        <v/>
      </c>
      <c r="R344" s="347"/>
      <c r="S344" s="347"/>
      <c r="T344" s="347"/>
      <c r="U344" s="347"/>
      <c r="V344" s="347"/>
      <c r="W344" s="347"/>
      <c r="X344" s="347"/>
      <c r="Y344" s="347"/>
      <c r="Z344" s="347"/>
      <c r="AA344" s="347"/>
      <c r="AB344" s="347"/>
      <c r="AC344" s="347"/>
      <c r="AD344" s="347"/>
      <c r="AE344" s="347"/>
      <c r="AF344" s="347"/>
      <c r="AG344" s="347"/>
      <c r="AH344" s="347"/>
      <c r="AI344" s="347"/>
      <c r="AJ344" s="347"/>
      <c r="AK344" s="347"/>
      <c r="AL344" s="347"/>
      <c r="AM344" s="347"/>
      <c r="AN344" s="347"/>
      <c r="AO344" s="347"/>
      <c r="AP344" s="347"/>
      <c r="AQ344" s="347"/>
      <c r="AR344" s="347"/>
      <c r="AS344" s="347"/>
      <c r="AT344" s="347"/>
      <c r="AU344" s="347"/>
      <c r="AV344" s="347"/>
      <c r="AW344" s="347" t="str">
        <f t="shared" si="812"/>
        <v/>
      </c>
      <c r="AX344" s="365" t="str">
        <f t="shared" si="813"/>
        <v/>
      </c>
      <c r="AY344" s="365" t="str">
        <f t="shared" si="814"/>
        <v/>
      </c>
      <c r="AZ344" s="366">
        <v>834.98</v>
      </c>
      <c r="BA344" s="368">
        <v>49.6</v>
      </c>
      <c r="BB344" s="368">
        <v>76.03</v>
      </c>
      <c r="BC344" s="368">
        <v>81.43</v>
      </c>
      <c r="BD344" s="330"/>
      <c r="BE344" s="330" t="e">
        <f t="shared" si="822"/>
        <v>#VALUE!</v>
      </c>
      <c r="BF344" s="330" t="e">
        <f t="shared" si="823"/>
        <v>#VALUE!</v>
      </c>
      <c r="BG344" s="330" t="e">
        <f t="shared" si="824"/>
        <v>#VALUE!</v>
      </c>
      <c r="BH344" s="330" t="e">
        <f t="shared" si="825"/>
        <v>#VALUE!</v>
      </c>
      <c r="BI344" s="330"/>
      <c r="BJ344" s="370" cm="1">
        <f t="array" ref="BJ344:BM344">_xlfn.LET(_xlpm.data,$R344:$AV344,_xlpm.starts,{1,8,16,23},_xlpm.lengths,{7,7,8,9},_xlpm.arr,_xlfn.MAP(_xlpm.starts,_xlpm.lengths,_xlfn.LAMBDA(_xlpm.s,_xlpm.l,SUM(INDEX(_xlpm.data,,_xlfn.SEQUENCE(,_xlpm.l,_xlpm.s))))),ROUND(_xlpm.arr*$O344/1000,2))</f>
        <v>0</v>
      </c>
      <c r="BK344" s="330">
        <v>0</v>
      </c>
      <c r="BL344" s="330">
        <v>0</v>
      </c>
      <c r="BM344" s="330">
        <v>0</v>
      </c>
      <c r="BN344" s="258">
        <f t="shared" si="826"/>
        <v>0</v>
      </c>
      <c r="BO344" s="258">
        <v>0</v>
      </c>
      <c r="BP344" s="258">
        <v>8.34</v>
      </c>
      <c r="BQ344" s="258">
        <v>66.74</v>
      </c>
      <c r="BR344" s="258">
        <v>75.08</v>
      </c>
      <c r="BS344" s="115"/>
      <c r="BT344" s="258" cm="1">
        <f ca="1" t="array" ref="BT344:BW344">_xlfn.HSTACK(SUM(INDEX($R344:$AV344,1,1):INDEX($R344:$AV344,1,7)),SUM(INDEX($R344:$AV344,1,7):INDEX($R344:$AV344,1,13)),SUM(INDEX($R344:$AV344,1,16):INDEX($R344:$AV344,1,23)),SUM(INDEX($R344:$AV344,1,23):INDEX($R344:$AV344,1,31)))</f>
        <v>0</v>
      </c>
      <c r="BU344" s="258">
        <v>0</v>
      </c>
      <c r="BV344" s="258">
        <v>0</v>
      </c>
      <c r="BW344" s="258">
        <v>0</v>
      </c>
      <c r="BY344" s="258">
        <f t="shared" si="853"/>
        <v>0</v>
      </c>
      <c r="BZ344" s="258">
        <f t="shared" si="854"/>
        <v>0</v>
      </c>
      <c r="CA344" s="258">
        <f t="shared" si="855"/>
        <v>0</v>
      </c>
      <c r="CB344" s="258">
        <f t="shared" si="856"/>
        <v>0</v>
      </c>
      <c r="CD344" s="113"/>
      <c r="CE344" s="258">
        <f t="shared" si="827"/>
        <v>0</v>
      </c>
      <c r="CF344" s="258">
        <f t="shared" si="828"/>
        <v>0</v>
      </c>
      <c r="CG344" s="258">
        <f t="shared" si="829"/>
        <v>0</v>
      </c>
      <c r="CH344" s="258">
        <f t="shared" si="830"/>
        <v>0</v>
      </c>
      <c r="CI344" s="258">
        <f t="shared" si="831"/>
        <v>0</v>
      </c>
      <c r="CJ344" s="113"/>
      <c r="CK344" s="258" t="str">
        <f t="shared" ref="CK344:CN344" si="864">IFERROR(ROUND(BY344*$P344,2),"")</f>
        <v/>
      </c>
      <c r="CL344" s="258" t="str">
        <f t="shared" si="864"/>
        <v/>
      </c>
      <c r="CM344" s="258" t="str">
        <f t="shared" si="864"/>
        <v/>
      </c>
      <c r="CN344" s="258" t="str">
        <f t="shared" si="864"/>
        <v/>
      </c>
      <c r="CO344" s="258">
        <f t="shared" si="816"/>
        <v>0</v>
      </c>
    </row>
    <row r="345" s="258" customFormat="1" ht="17" spans="1:93">
      <c r="A345" s="330"/>
      <c r="B345" s="334">
        <f>_xlfn.XLOOKUP(G345,销售需求表!A:A,销售需求表!C:C)</f>
        <v>0</v>
      </c>
      <c r="C345" s="335" t="str">
        <f t="shared" si="834"/>
        <v/>
      </c>
      <c r="D345" s="383" t="str">
        <f t="shared" si="808"/>
        <v>0寸</v>
      </c>
      <c r="E345" s="339" t="e">
        <f t="shared" si="809"/>
        <v>#VALUE!</v>
      </c>
      <c r="F345" s="339" t="str">
        <f t="shared" si="838"/>
        <v/>
      </c>
      <c r="G345" s="339"/>
      <c r="H345" s="334"/>
      <c r="I345" s="345"/>
      <c r="J345" s="346" t="str">
        <f t="shared" si="820"/>
        <v/>
      </c>
      <c r="K345" s="347">
        <f>_xlfn.XLOOKUP(F345,投产规格!E:E,投产规格!D:D,"未投产")</f>
        <v>0</v>
      </c>
      <c r="L345" s="347" t="str">
        <f>IFERROR(_xlfn.XLOOKUP(F345,硫化工艺!B:B,硫化工艺!C:C),"")</f>
        <v/>
      </c>
      <c r="M345" s="349" t="str">
        <f t="shared" si="821"/>
        <v/>
      </c>
      <c r="N345" s="347" t="str">
        <f t="shared" si="810"/>
        <v>全钢</v>
      </c>
      <c r="O345" s="347">
        <f>IFERROR(_xlfn.XLOOKUP(F345,轮胎重量!J:J,轮胎重量!G:G),"")</f>
        <v>0</v>
      </c>
      <c r="P345" s="350">
        <f t="shared" si="860"/>
        <v>0</v>
      </c>
      <c r="Q345" s="347" t="str">
        <f t="shared" si="811"/>
        <v/>
      </c>
      <c r="R345" s="347"/>
      <c r="S345" s="347"/>
      <c r="T345" s="347"/>
      <c r="U345" s="347"/>
      <c r="V345" s="347"/>
      <c r="W345" s="347"/>
      <c r="X345" s="347"/>
      <c r="Y345" s="347"/>
      <c r="Z345" s="347"/>
      <c r="AA345" s="347"/>
      <c r="AB345" s="347"/>
      <c r="AC345" s="347"/>
      <c r="AD345" s="347"/>
      <c r="AE345" s="347"/>
      <c r="AF345" s="347"/>
      <c r="AG345" s="347"/>
      <c r="AH345" s="347"/>
      <c r="AI345" s="347"/>
      <c r="AJ345" s="347"/>
      <c r="AK345" s="347"/>
      <c r="AL345" s="347"/>
      <c r="AM345" s="347"/>
      <c r="AN345" s="347"/>
      <c r="AO345" s="347"/>
      <c r="AP345" s="347"/>
      <c r="AQ345" s="347"/>
      <c r="AR345" s="347"/>
      <c r="AS345" s="347"/>
      <c r="AT345" s="347"/>
      <c r="AU345" s="347"/>
      <c r="AV345" s="347"/>
      <c r="AW345" s="347" t="str">
        <f t="shared" si="812"/>
        <v/>
      </c>
      <c r="AX345" s="365" t="str">
        <f t="shared" si="813"/>
        <v/>
      </c>
      <c r="AY345" s="365" t="str">
        <f t="shared" si="814"/>
        <v/>
      </c>
      <c r="AZ345" s="366">
        <v>811.96</v>
      </c>
      <c r="BA345" s="368">
        <v>46.38</v>
      </c>
      <c r="BB345" s="368">
        <v>73.08</v>
      </c>
      <c r="BC345" s="368">
        <v>75.21</v>
      </c>
      <c r="BD345" s="330"/>
      <c r="BE345" s="330" t="e">
        <f t="shared" si="822"/>
        <v>#VALUE!</v>
      </c>
      <c r="BF345" s="330" t="e">
        <f t="shared" si="823"/>
        <v>#VALUE!</v>
      </c>
      <c r="BG345" s="330" t="e">
        <f t="shared" si="824"/>
        <v>#VALUE!</v>
      </c>
      <c r="BH345" s="330" t="e">
        <f t="shared" si="825"/>
        <v>#VALUE!</v>
      </c>
      <c r="BI345" s="330"/>
      <c r="BJ345" s="370" cm="1">
        <f t="array" ref="BJ345:BM345">_xlfn.LET(_xlpm.data,$R345:$AV345,_xlpm.starts,{1,8,16,23},_xlpm.lengths,{7,7,8,9},_xlpm.arr,_xlfn.MAP(_xlpm.starts,_xlpm.lengths,_xlfn.LAMBDA(_xlpm.s,_xlpm.l,SUM(INDEX(_xlpm.data,,_xlfn.SEQUENCE(,_xlpm.l,_xlpm.s))))),ROUND(_xlpm.arr*$O345/1000,2))</f>
        <v>0</v>
      </c>
      <c r="BK345" s="330">
        <v>0</v>
      </c>
      <c r="BL345" s="330">
        <v>0</v>
      </c>
      <c r="BM345" s="330">
        <v>0</v>
      </c>
      <c r="BN345" s="258">
        <f t="shared" si="826"/>
        <v>0</v>
      </c>
      <c r="BO345" s="258">
        <v>29.92</v>
      </c>
      <c r="BP345" s="258">
        <v>29.92</v>
      </c>
      <c r="BQ345" s="258">
        <v>34.2</v>
      </c>
      <c r="BR345" s="258">
        <v>38.47</v>
      </c>
      <c r="BS345" s="115"/>
      <c r="BT345" s="258" cm="1">
        <f ca="1" t="array" ref="BT345:BW345">_xlfn.HSTACK(SUM(INDEX($R345:$AV345,1,1):INDEX($R345:$AV345,1,7)),SUM(INDEX($R345:$AV345,1,7):INDEX($R345:$AV345,1,13)),SUM(INDEX($R345:$AV345,1,16):INDEX($R345:$AV345,1,23)),SUM(INDEX($R345:$AV345,1,23):INDEX($R345:$AV345,1,31)))</f>
        <v>0</v>
      </c>
      <c r="BU345" s="258">
        <v>0</v>
      </c>
      <c r="BV345" s="258">
        <v>0</v>
      </c>
      <c r="BW345" s="258">
        <v>0</v>
      </c>
      <c r="BY345" s="258">
        <f t="shared" si="853"/>
        <v>0</v>
      </c>
      <c r="BZ345" s="258">
        <f t="shared" si="854"/>
        <v>0</v>
      </c>
      <c r="CA345" s="258">
        <f t="shared" si="855"/>
        <v>0</v>
      </c>
      <c r="CB345" s="258">
        <f t="shared" si="856"/>
        <v>0</v>
      </c>
      <c r="CD345" s="113"/>
      <c r="CE345" s="258">
        <f t="shared" si="827"/>
        <v>0</v>
      </c>
      <c r="CF345" s="258">
        <f t="shared" si="828"/>
        <v>0</v>
      </c>
      <c r="CG345" s="258">
        <f t="shared" si="829"/>
        <v>0</v>
      </c>
      <c r="CH345" s="258">
        <f t="shared" si="830"/>
        <v>0</v>
      </c>
      <c r="CI345" s="258">
        <f t="shared" si="831"/>
        <v>0</v>
      </c>
      <c r="CJ345" s="113"/>
      <c r="CK345" s="258">
        <f t="shared" ref="CK345:CN345" si="865">IFERROR(ROUND(BY345*$P345,2),"")</f>
        <v>0</v>
      </c>
      <c r="CL345" s="258">
        <f t="shared" si="865"/>
        <v>0</v>
      </c>
      <c r="CM345" s="258">
        <f t="shared" si="865"/>
        <v>0</v>
      </c>
      <c r="CN345" s="258">
        <f t="shared" si="865"/>
        <v>0</v>
      </c>
      <c r="CO345" s="258">
        <f t="shared" si="816"/>
        <v>0</v>
      </c>
    </row>
    <row r="346" ht="17" spans="2:93">
      <c r="B346" s="334">
        <f>_xlfn.XLOOKUP(G346,销售需求表!A:A,销售需求表!C:C)</f>
        <v>0</v>
      </c>
      <c r="C346" s="335" t="str">
        <f t="shared" ref="C346:C348" si="866">IFERROR(MID(F346,FIND("R",F346)+1,2),"")</f>
        <v/>
      </c>
      <c r="D346" s="362" t="str">
        <f t="shared" ref="D346:D348" si="867">B346&amp;C346&amp;"寸"</f>
        <v>0寸</v>
      </c>
      <c r="E346" s="339" t="e">
        <f t="shared" ref="E346:E348" si="868">LEFT(REPLACE(G346,1,2,""),FIND("[",REPLACE(G346,1,2,""))-1)&amp;"-"&amp;MID(REPLACE(G346,1,2,""),FIND("[",REPLACE(G346,1,2,""))+1,FIND("]",REPLACE(G346,1,2,""))-FIND("[",REPLACE(G346,1,2,""))-1)</f>
        <v>#VALUE!</v>
      </c>
      <c r="F346" s="339" t="str">
        <f t="shared" ref="F346:F348" si="869">IFERROR(IFERROR(SUBSTITUTE(E346,"("&amp;MID(E346,FIND("(",E346)+1,FIND(")",E346)-FIND("(",E346)-1)&amp;")",""),E346),"")</f>
        <v/>
      </c>
      <c r="G346" s="339"/>
      <c r="H346" s="334"/>
      <c r="I346" s="345"/>
      <c r="J346" s="346" t="str">
        <f t="shared" ref="J346:J348" si="870">IFERROR(LEFT(F346,FIND("-",F346))&amp;MID(F346,FIND("PR",F346,FIND("-",F346))+3,LEN(F346)),F346)</f>
        <v/>
      </c>
      <c r="K346" s="347">
        <f>_xlfn.XLOOKUP(F346,投产规格!E:E,投产规格!D:D,"未投产")</f>
        <v>0</v>
      </c>
      <c r="L346" s="347" t="str">
        <f>IFERROR(_xlfn.XLOOKUP(F346,硫化工艺!B:B,硫化工艺!C:C),"")</f>
        <v/>
      </c>
      <c r="M346" s="349" t="str">
        <f t="shared" ref="M346:M348" si="871">IF(L346="","",L346/(L346+$L$1/60))</f>
        <v/>
      </c>
      <c r="N346" s="347" t="str">
        <f t="shared" ref="N346:N348" si="872">C346&amp;"全钢"</f>
        <v>全钢</v>
      </c>
      <c r="O346" s="347">
        <f>IFERROR(_xlfn.XLOOKUP(F346,轮胎重量!J:J,轮胎重量!G:G),"")</f>
        <v>0</v>
      </c>
      <c r="P346" s="347" t="str">
        <f>IFERROR(_xlfn.XLOOKUP(F346,硫化工艺!I:I,硫化工艺!J:J),"")</f>
        <v/>
      </c>
      <c r="Q346" s="347" t="str">
        <f t="shared" ref="Q346:Q348" si="873">IFERROR(ROUND(1440/L346*(I346)*M346,0),"")</f>
        <v/>
      </c>
      <c r="R346" s="347"/>
      <c r="S346" s="347"/>
      <c r="T346" s="347"/>
      <c r="U346" s="347"/>
      <c r="V346" s="347"/>
      <c r="W346" s="347"/>
      <c r="X346" s="347"/>
      <c r="Y346" s="347"/>
      <c r="Z346" s="347"/>
      <c r="AA346" s="347"/>
      <c r="AB346" s="347"/>
      <c r="AC346" s="347"/>
      <c r="AD346" s="347"/>
      <c r="AE346" s="347"/>
      <c r="AF346" s="347"/>
      <c r="AG346" s="347"/>
      <c r="AH346" s="347"/>
      <c r="AI346" s="347"/>
      <c r="AJ346" s="347"/>
      <c r="AK346" s="347"/>
      <c r="AL346" s="347"/>
      <c r="AM346" s="347"/>
      <c r="AN346" s="347"/>
      <c r="AO346" s="347"/>
      <c r="AP346" s="347"/>
      <c r="AQ346" s="347"/>
      <c r="AR346" s="347"/>
      <c r="AS346" s="347"/>
      <c r="AT346" s="347"/>
      <c r="AU346" s="347"/>
      <c r="AV346" s="347"/>
      <c r="AW346" s="347" t="str">
        <f t="shared" ref="AW346:AW348" si="874">IF(SUM(R346:AV346)=0,"",SUM(R346:AV346))</f>
        <v/>
      </c>
      <c r="AX346" s="365" t="str">
        <f t="shared" ref="AX346:AX348" si="875">IFERROR(AW346*O346/1000,"")</f>
        <v/>
      </c>
      <c r="AY346" s="365" t="str">
        <f t="shared" ref="AY346:AY348" si="876">IFERROR(ROUND(AW346*P346/10000,3),"")</f>
        <v/>
      </c>
      <c r="AZ346" s="367"/>
      <c r="BE346" s="330" t="e">
        <f t="shared" ref="BE346:BE348" si="877">AZ346*AW346</f>
        <v>#VALUE!</v>
      </c>
      <c r="BF346" s="330" t="e">
        <f t="shared" ref="BF346:BF348" si="878">BA346*AW346</f>
        <v>#VALUE!</v>
      </c>
      <c r="BG346" s="330" t="e">
        <f t="shared" ref="BG346:BG348" si="879">BB346*AW346</f>
        <v>#VALUE!</v>
      </c>
      <c r="BH346" s="330" t="e">
        <f t="shared" ref="BH346:BH348" si="880">BC346*AW346</f>
        <v>#VALUE!</v>
      </c>
      <c r="BJ346" s="370" cm="1">
        <f t="array" ref="BJ346:BM346">_xlfn.LET(_xlpm.data,$R346:$AV346,_xlpm.starts,{1,8,16,23},_xlpm.lengths,{7,7,8,9},_xlpm.arr,_xlfn.MAP(_xlpm.starts,_xlpm.lengths,_xlfn.LAMBDA(_xlpm.s,_xlpm.l,SUM(INDEX(_xlpm.data,,_xlfn.SEQUENCE(,_xlpm.l,_xlpm.s))))),ROUND(_xlpm.arr*$O346/1000,2))</f>
        <v>0</v>
      </c>
      <c r="BK346" s="330">
        <v>0</v>
      </c>
      <c r="BL346" s="330">
        <v>0</v>
      </c>
      <c r="BM346" s="330">
        <v>0</v>
      </c>
      <c r="BN346" s="258">
        <f t="shared" ref="BN346:BN348" si="881">SUM(BJ346:BM346)</f>
        <v>0</v>
      </c>
      <c r="BO346" s="258">
        <v>0</v>
      </c>
      <c r="BP346" s="258">
        <v>0</v>
      </c>
      <c r="BQ346" s="258">
        <v>0</v>
      </c>
      <c r="BR346" s="258">
        <v>0</v>
      </c>
      <c r="BS346" s="115">
        <f>SUM(BS326:BS328)/1000</f>
        <v>2.66562</v>
      </c>
      <c r="BT346" s="258" cm="1">
        <f ca="1" t="array" ref="BT346:BW346">_xlfn.HSTACK(SUM(INDEX($R346:$AV346,1,1):INDEX($R346:$AV346,1,7)),SUM(INDEX($R346:$AV346,1,7):INDEX($R346:$AV346,1,13)),SUM(INDEX($R346:$AV346,1,16):INDEX($R346:$AV346,1,23)),SUM(INDEX($R346:$AV346,1,23):INDEX($R346:$AV346,1,31)))</f>
        <v>0</v>
      </c>
      <c r="BU346" s="258">
        <v>0</v>
      </c>
      <c r="BV346" s="258">
        <v>0</v>
      </c>
      <c r="BW346" s="258">
        <v>0</v>
      </c>
      <c r="BY346" s="258">
        <f t="shared" ref="BY346:BY348" si="882">SUM(R346:X346)</f>
        <v>0</v>
      </c>
      <c r="BZ346" s="258">
        <f t="shared" ref="BZ346:BZ348" si="883">SUM(Y346:AE346)</f>
        <v>0</v>
      </c>
      <c r="CA346" s="258">
        <f t="shared" ref="CA346:CA348" si="884">SUM(AF346:AM346)</f>
        <v>0</v>
      </c>
      <c r="CB346" s="258">
        <f t="shared" ref="CB346:CB348" si="885">SUM(AN346:AV346)</f>
        <v>0</v>
      </c>
      <c r="CE346" s="258">
        <f t="shared" ref="CE346:CE348" si="886">ROUND(BY346*$O346/1000,2)</f>
        <v>0</v>
      </c>
      <c r="CF346" s="258">
        <f t="shared" ref="CF346:CF348" si="887">ROUND(BZ346*$O346/1000,2)</f>
        <v>0</v>
      </c>
      <c r="CG346" s="258">
        <f t="shared" ref="CG346:CG348" si="888">ROUND(CA346*$O346/1000,2)</f>
        <v>0</v>
      </c>
      <c r="CH346" s="258">
        <f t="shared" ref="CH346:CH348" si="889">ROUND(CB346*$O346/1000,2)</f>
        <v>0</v>
      </c>
      <c r="CI346" s="258">
        <f t="shared" ref="CI346:CI348" si="890">SUM(CE346:CH346)</f>
        <v>0</v>
      </c>
      <c r="CK346" s="258" t="str">
        <f t="shared" ref="CK346:CN346" si="891">IFERROR(ROUND(BY346*$P346,2),"")</f>
        <v/>
      </c>
      <c r="CL346" s="258" t="str">
        <f t="shared" si="891"/>
        <v/>
      </c>
      <c r="CM346" s="258" t="str">
        <f t="shared" si="891"/>
        <v/>
      </c>
      <c r="CN346" s="258" t="str">
        <f t="shared" si="891"/>
        <v/>
      </c>
      <c r="CO346" s="258">
        <f t="shared" ref="CO346:CO348" si="892">SUM(CK346:CN346)</f>
        <v>0</v>
      </c>
    </row>
    <row r="347" ht="17" spans="2:93">
      <c r="B347" s="334">
        <f>_xlfn.XLOOKUP(G347,销售需求表!A:A,销售需求表!C:C)</f>
        <v>0</v>
      </c>
      <c r="C347" s="335" t="str">
        <f t="shared" si="866"/>
        <v/>
      </c>
      <c r="D347" s="362" t="str">
        <f t="shared" si="867"/>
        <v>0寸</v>
      </c>
      <c r="E347" s="339" t="e">
        <f t="shared" si="868"/>
        <v>#VALUE!</v>
      </c>
      <c r="F347" s="339" t="str">
        <f t="shared" si="869"/>
        <v/>
      </c>
      <c r="G347" s="339"/>
      <c r="H347" s="334"/>
      <c r="I347" s="345"/>
      <c r="J347" s="346" t="str">
        <f t="shared" si="870"/>
        <v/>
      </c>
      <c r="K347" s="347">
        <f>_xlfn.XLOOKUP(F347,投产规格!E:E,投产规格!D:D,"未投产")</f>
        <v>0</v>
      </c>
      <c r="L347" s="347" t="str">
        <f>IFERROR(_xlfn.XLOOKUP(F347,硫化工艺!B:B,硫化工艺!C:C),"")</f>
        <v/>
      </c>
      <c r="M347" s="349" t="str">
        <f t="shared" si="871"/>
        <v/>
      </c>
      <c r="N347" s="347" t="str">
        <f t="shared" si="872"/>
        <v>全钢</v>
      </c>
      <c r="O347" s="347">
        <f>IFERROR(_xlfn.XLOOKUP(F347,轮胎重量!J:J,轮胎重量!G:G),"")</f>
        <v>0</v>
      </c>
      <c r="P347" s="347" t="str">
        <f>IFERROR(_xlfn.XLOOKUP(F347,硫化工艺!I:I,硫化工艺!J:J),"")</f>
        <v/>
      </c>
      <c r="Q347" s="347" t="str">
        <f t="shared" si="873"/>
        <v/>
      </c>
      <c r="R347" s="347"/>
      <c r="S347" s="347"/>
      <c r="T347" s="347"/>
      <c r="U347" s="347"/>
      <c r="V347" s="347"/>
      <c r="W347" s="347"/>
      <c r="X347" s="347"/>
      <c r="Y347" s="347"/>
      <c r="Z347" s="347"/>
      <c r="AA347" s="347"/>
      <c r="AB347" s="347"/>
      <c r="AC347" s="347"/>
      <c r="AD347" s="347"/>
      <c r="AE347" s="347"/>
      <c r="AF347" s="347"/>
      <c r="AG347" s="347"/>
      <c r="AH347" s="347"/>
      <c r="AI347" s="347"/>
      <c r="AJ347" s="347"/>
      <c r="AK347" s="347"/>
      <c r="AL347" s="347"/>
      <c r="AM347" s="347"/>
      <c r="AN347" s="347"/>
      <c r="AO347" s="347"/>
      <c r="AP347" s="347"/>
      <c r="AQ347" s="347"/>
      <c r="AR347" s="347"/>
      <c r="AS347" s="347"/>
      <c r="AT347" s="347"/>
      <c r="AU347" s="347"/>
      <c r="AV347" s="347"/>
      <c r="AW347" s="347" t="str">
        <f t="shared" si="874"/>
        <v/>
      </c>
      <c r="AX347" s="365" t="str">
        <f t="shared" si="875"/>
        <v/>
      </c>
      <c r="AY347" s="365" t="str">
        <f t="shared" si="876"/>
        <v/>
      </c>
      <c r="AZ347" s="366">
        <v>871.58</v>
      </c>
      <c r="BA347" s="368">
        <v>54.12</v>
      </c>
      <c r="BB347" s="368">
        <v>79.6</v>
      </c>
      <c r="BC347" s="368">
        <v>87.22</v>
      </c>
      <c r="BE347" s="330" t="e">
        <f t="shared" si="877"/>
        <v>#VALUE!</v>
      </c>
      <c r="BF347" s="330" t="e">
        <f t="shared" si="878"/>
        <v>#VALUE!</v>
      </c>
      <c r="BG347" s="330" t="e">
        <f t="shared" si="879"/>
        <v>#VALUE!</v>
      </c>
      <c r="BH347" s="330" t="e">
        <f t="shared" si="880"/>
        <v>#VALUE!</v>
      </c>
      <c r="BJ347" s="370" cm="1">
        <f t="array" ref="BJ347:BM347">_xlfn.LET(_xlpm.data,$R347:$AV347,_xlpm.starts,{1,8,16,23},_xlpm.lengths,{7,7,8,9},_xlpm.arr,_xlfn.MAP(_xlpm.starts,_xlpm.lengths,_xlfn.LAMBDA(_xlpm.s,_xlpm.l,SUM(INDEX(_xlpm.data,,_xlfn.SEQUENCE(,_xlpm.l,_xlpm.s))))),ROUND(_xlpm.arr*$O347/1000,2))</f>
        <v>0</v>
      </c>
      <c r="BK347" s="330">
        <v>0</v>
      </c>
      <c r="BL347" s="330">
        <v>0</v>
      </c>
      <c r="BM347" s="330">
        <v>0</v>
      </c>
      <c r="BN347" s="258">
        <f t="shared" si="881"/>
        <v>0</v>
      </c>
      <c r="BO347" s="258">
        <v>145.92</v>
      </c>
      <c r="BP347" s="258">
        <v>145.92</v>
      </c>
      <c r="BQ347" s="258">
        <v>166.76</v>
      </c>
      <c r="BR347" s="258">
        <v>187.61</v>
      </c>
      <c r="BT347" s="258" cm="1">
        <f ca="1" t="array" ref="BT347:BW347">_xlfn.HSTACK(SUM(INDEX($R347:$AV347,1,1):INDEX($R347:$AV347,1,7)),SUM(INDEX($R347:$AV347,1,7):INDEX($R347:$AV347,1,13)),SUM(INDEX($R347:$AV347,1,16):INDEX($R347:$AV347,1,23)),SUM(INDEX($R347:$AV347,1,23):INDEX($R347:$AV347,1,31)))</f>
        <v>0</v>
      </c>
      <c r="BU347" s="258">
        <v>0</v>
      </c>
      <c r="BV347" s="258">
        <v>0</v>
      </c>
      <c r="BW347" s="258">
        <v>0</v>
      </c>
      <c r="BY347" s="258">
        <f t="shared" si="882"/>
        <v>0</v>
      </c>
      <c r="BZ347" s="258">
        <f t="shared" si="883"/>
        <v>0</v>
      </c>
      <c r="CA347" s="258">
        <f t="shared" si="884"/>
        <v>0</v>
      </c>
      <c r="CB347" s="258">
        <f t="shared" si="885"/>
        <v>0</v>
      </c>
      <c r="CE347" s="258">
        <f t="shared" si="886"/>
        <v>0</v>
      </c>
      <c r="CF347" s="258">
        <f t="shared" si="887"/>
        <v>0</v>
      </c>
      <c r="CG347" s="258">
        <f t="shared" si="888"/>
        <v>0</v>
      </c>
      <c r="CH347" s="258">
        <f t="shared" si="889"/>
        <v>0</v>
      </c>
      <c r="CI347" s="258">
        <f t="shared" si="890"/>
        <v>0</v>
      </c>
      <c r="CK347" s="258" t="str">
        <f t="shared" ref="CK347:CN347" si="893">IFERROR(ROUND(BY347*$P347,2),"")</f>
        <v/>
      </c>
      <c r="CL347" s="258" t="str">
        <f t="shared" si="893"/>
        <v/>
      </c>
      <c r="CM347" s="258" t="str">
        <f t="shared" si="893"/>
        <v/>
      </c>
      <c r="CN347" s="258" t="str">
        <f t="shared" si="893"/>
        <v/>
      </c>
      <c r="CO347" s="258">
        <f t="shared" si="892"/>
        <v>0</v>
      </c>
    </row>
    <row r="348" ht="17" spans="2:93">
      <c r="B348" s="334">
        <f>_xlfn.XLOOKUP(G348,销售需求表!A:A,销售需求表!C:C)</f>
        <v>0</v>
      </c>
      <c r="C348" s="335" t="str">
        <f t="shared" si="866"/>
        <v/>
      </c>
      <c r="D348" s="362" t="str">
        <f t="shared" si="867"/>
        <v>0寸</v>
      </c>
      <c r="E348" s="339" t="e">
        <f t="shared" si="868"/>
        <v>#VALUE!</v>
      </c>
      <c r="F348" s="339" t="str">
        <f t="shared" si="869"/>
        <v/>
      </c>
      <c r="G348" s="339"/>
      <c r="H348" s="334"/>
      <c r="I348" s="345"/>
      <c r="J348" s="346" t="str">
        <f t="shared" si="870"/>
        <v/>
      </c>
      <c r="K348" s="347">
        <f>_xlfn.XLOOKUP(F348,投产规格!E:E,投产规格!D:D,"未投产")</f>
        <v>0</v>
      </c>
      <c r="L348" s="347" t="str">
        <f>IFERROR(_xlfn.XLOOKUP(F348,硫化工艺!B:B,硫化工艺!C:C),"")</f>
        <v/>
      </c>
      <c r="M348" s="349" t="str">
        <f t="shared" si="871"/>
        <v/>
      </c>
      <c r="N348" s="347" t="str">
        <f t="shared" si="872"/>
        <v>全钢</v>
      </c>
      <c r="O348" s="347">
        <f>IFERROR(_xlfn.XLOOKUP(F348,轮胎重量!J:J,轮胎重量!G:G),"")</f>
        <v>0</v>
      </c>
      <c r="P348" s="347" t="str">
        <f>IFERROR(_xlfn.XLOOKUP(F348,硫化工艺!I:I,硫化工艺!J:J),"")</f>
        <v/>
      </c>
      <c r="Q348" s="347" t="str">
        <f t="shared" si="873"/>
        <v/>
      </c>
      <c r="R348" s="347"/>
      <c r="S348" s="347"/>
      <c r="T348" s="347"/>
      <c r="U348" s="347"/>
      <c r="V348" s="347"/>
      <c r="W348" s="347"/>
      <c r="X348" s="347"/>
      <c r="Y348" s="347"/>
      <c r="Z348" s="347"/>
      <c r="AA348" s="347"/>
      <c r="AB348" s="347"/>
      <c r="AC348" s="347"/>
      <c r="AD348" s="347"/>
      <c r="AE348" s="347"/>
      <c r="AF348" s="347"/>
      <c r="AG348" s="347"/>
      <c r="AH348" s="347"/>
      <c r="AI348" s="347"/>
      <c r="AJ348" s="347"/>
      <c r="AK348" s="347"/>
      <c r="AL348" s="347"/>
      <c r="AM348" s="347"/>
      <c r="AN348" s="347"/>
      <c r="AO348" s="347"/>
      <c r="AP348" s="347"/>
      <c r="AQ348" s="347"/>
      <c r="AR348" s="347"/>
      <c r="AS348" s="347"/>
      <c r="AT348" s="347"/>
      <c r="AU348" s="347"/>
      <c r="AV348" s="347"/>
      <c r="AW348" s="347" t="str">
        <f t="shared" si="874"/>
        <v/>
      </c>
      <c r="AX348" s="365" t="str">
        <f t="shared" si="875"/>
        <v/>
      </c>
      <c r="AY348" s="365" t="str">
        <f t="shared" si="876"/>
        <v/>
      </c>
      <c r="AZ348" s="366">
        <v>871.58</v>
      </c>
      <c r="BA348" s="368">
        <v>54.12</v>
      </c>
      <c r="BB348" s="368">
        <v>79.6</v>
      </c>
      <c r="BC348" s="368">
        <v>87.22</v>
      </c>
      <c r="BE348" s="330" t="e">
        <f t="shared" si="877"/>
        <v>#VALUE!</v>
      </c>
      <c r="BF348" s="330" t="e">
        <f t="shared" si="878"/>
        <v>#VALUE!</v>
      </c>
      <c r="BG348" s="330" t="e">
        <f t="shared" si="879"/>
        <v>#VALUE!</v>
      </c>
      <c r="BH348" s="330" t="e">
        <f t="shared" si="880"/>
        <v>#VALUE!</v>
      </c>
      <c r="BJ348" s="370" cm="1">
        <f t="array" ref="BJ348:BM348">_xlfn.LET(_xlpm.data,$R348:$AV348,_xlpm.starts,{1,8,16,23},_xlpm.lengths,{7,7,8,9},_xlpm.arr,_xlfn.MAP(_xlpm.starts,_xlpm.lengths,_xlfn.LAMBDA(_xlpm.s,_xlpm.l,SUM(INDEX(_xlpm.data,,_xlfn.SEQUENCE(,_xlpm.l,_xlpm.s))))),ROUND(_xlpm.arr*$O348/1000,2))</f>
        <v>0</v>
      </c>
      <c r="BK348" s="330">
        <v>0</v>
      </c>
      <c r="BL348" s="330">
        <v>0</v>
      </c>
      <c r="BM348" s="330">
        <v>0</v>
      </c>
      <c r="BN348" s="258">
        <f t="shared" si="881"/>
        <v>0</v>
      </c>
      <c r="BO348" s="258">
        <v>84.68</v>
      </c>
      <c r="BP348" s="258">
        <v>84.68</v>
      </c>
      <c r="BQ348" s="258">
        <v>92.69</v>
      </c>
      <c r="BR348" s="258">
        <v>72.03</v>
      </c>
      <c r="BT348" s="258" cm="1">
        <f ca="1" t="array" ref="BT348:BW348">_xlfn.HSTACK(SUM(INDEX($R348:$AV348,1,1):INDEX($R348:$AV348,1,7)),SUM(INDEX($R348:$AV348,1,7):INDEX($R348:$AV348,1,13)),SUM(INDEX($R348:$AV348,1,16):INDEX($R348:$AV348,1,23)),SUM(INDEX($R348:$AV348,1,23):INDEX($R348:$AV348,1,31)))</f>
        <v>0</v>
      </c>
      <c r="BU348" s="258">
        <v>0</v>
      </c>
      <c r="BV348" s="258">
        <v>0</v>
      </c>
      <c r="BW348" s="258">
        <v>0</v>
      </c>
      <c r="BY348" s="258">
        <f t="shared" si="882"/>
        <v>0</v>
      </c>
      <c r="BZ348" s="258">
        <f t="shared" si="883"/>
        <v>0</v>
      </c>
      <c r="CA348" s="258">
        <f t="shared" si="884"/>
        <v>0</v>
      </c>
      <c r="CB348" s="258">
        <f t="shared" si="885"/>
        <v>0</v>
      </c>
      <c r="CE348" s="258">
        <f t="shared" si="886"/>
        <v>0</v>
      </c>
      <c r="CF348" s="258">
        <f t="shared" si="887"/>
        <v>0</v>
      </c>
      <c r="CG348" s="258">
        <f t="shared" si="888"/>
        <v>0</v>
      </c>
      <c r="CH348" s="258">
        <f t="shared" si="889"/>
        <v>0</v>
      </c>
      <c r="CI348" s="258">
        <f t="shared" si="890"/>
        <v>0</v>
      </c>
      <c r="CK348" s="258" t="str">
        <f t="shared" ref="CK348:CN348" si="894">IFERROR(ROUND(BY348*$P348,2),"")</f>
        <v/>
      </c>
      <c r="CL348" s="258" t="str">
        <f t="shared" si="894"/>
        <v/>
      </c>
      <c r="CM348" s="258" t="str">
        <f t="shared" si="894"/>
        <v/>
      </c>
      <c r="CN348" s="258" t="str">
        <f t="shared" si="894"/>
        <v/>
      </c>
      <c r="CO348" s="258">
        <f t="shared" si="892"/>
        <v>0</v>
      </c>
    </row>
    <row r="349" ht="17" spans="2:93">
      <c r="B349" s="334">
        <f>_xlfn.XLOOKUP(G349,销售需求表!A:A,销售需求表!C:C)</f>
        <v>0</v>
      </c>
      <c r="C349" s="335" t="str">
        <f t="shared" ref="C349:C360" si="895">IFERROR(MID(F349,FIND("R",F349)+1,2),"")</f>
        <v/>
      </c>
      <c r="D349" s="362" t="str">
        <f t="shared" ref="D349:D362" si="896">B349&amp;C349&amp;"寸"</f>
        <v>0寸</v>
      </c>
      <c r="E349" s="339" t="e">
        <f t="shared" ref="E349:E375" si="897">LEFT(REPLACE(G349,1,2,""),FIND("[",REPLACE(G349,1,2,""))-1)&amp;"-"&amp;MID(REPLACE(G349,1,2,""),FIND("[",REPLACE(G349,1,2,""))+1,FIND("]",REPLACE(G349,1,2,""))-FIND("[",REPLACE(G349,1,2,""))-1)</f>
        <v>#VALUE!</v>
      </c>
      <c r="F349" s="339" t="str">
        <f t="shared" ref="F349:F375" si="898">IFERROR(IFERROR(SUBSTITUTE(E349,"("&amp;MID(E349,FIND("(",E349)+1,FIND(")",E349)-FIND("(",E349)-1)&amp;")",""),E349),"")</f>
        <v/>
      </c>
      <c r="G349" s="339"/>
      <c r="H349" s="334"/>
      <c r="I349" s="345"/>
      <c r="J349" s="346" t="str">
        <f t="shared" ref="J349:J360" si="899">IFERROR(LEFT(F349,FIND("-",F349))&amp;MID(F349,FIND("PR",F349,FIND("-",F349))+3,LEN(F349)),F349)</f>
        <v/>
      </c>
      <c r="K349" s="347">
        <f>_xlfn.XLOOKUP(F349,投产规格!E:E,投产规格!D:D,"未投产")</f>
        <v>0</v>
      </c>
      <c r="L349" s="347" t="str">
        <f>IFERROR(_xlfn.XLOOKUP(F349,硫化工艺!B:B,硫化工艺!C:C),"")</f>
        <v/>
      </c>
      <c r="M349" s="349" t="str">
        <f t="shared" ref="M349:M360" si="900">IF(L349="","",L349/(L349+$L$1/60))</f>
        <v/>
      </c>
      <c r="N349" s="347" t="str">
        <f t="shared" ref="N349:N372" si="901">C349&amp;"全钢"</f>
        <v>全钢</v>
      </c>
      <c r="O349" s="347">
        <f>IFERROR(_xlfn.XLOOKUP(F349,轮胎重量!J:J,轮胎重量!G:G),"")</f>
        <v>0</v>
      </c>
      <c r="P349" s="347" t="str">
        <f>IFERROR(_xlfn.XLOOKUP(F349,硫化工艺!I:I,硫化工艺!J:J),"")</f>
        <v/>
      </c>
      <c r="Q349" s="347" t="str">
        <f t="shared" ref="Q349:Q376" si="902">IFERROR(ROUND(1440/L349*(I349)*M349,0),"")</f>
        <v/>
      </c>
      <c r="R349" s="347"/>
      <c r="S349" s="347"/>
      <c r="T349" s="347"/>
      <c r="U349" s="347"/>
      <c r="V349" s="347"/>
      <c r="W349" s="347"/>
      <c r="X349" s="347"/>
      <c r="Y349" s="347"/>
      <c r="Z349" s="347"/>
      <c r="AA349" s="347"/>
      <c r="AB349" s="347"/>
      <c r="AC349" s="347"/>
      <c r="AD349" s="347"/>
      <c r="AE349" s="347"/>
      <c r="AF349" s="347"/>
      <c r="AG349" s="347"/>
      <c r="AH349" s="347"/>
      <c r="AI349" s="347"/>
      <c r="AJ349" s="347"/>
      <c r="AK349" s="347"/>
      <c r="AL349" s="347"/>
      <c r="AM349" s="347"/>
      <c r="AN349" s="347"/>
      <c r="AO349" s="347"/>
      <c r="AP349" s="347"/>
      <c r="AQ349" s="347"/>
      <c r="AR349" s="347"/>
      <c r="AS349" s="347"/>
      <c r="AT349" s="347"/>
      <c r="AU349" s="347"/>
      <c r="AV349" s="347"/>
      <c r="AW349" s="347" t="str">
        <f t="shared" ref="AW349:AW362" si="903">IF(SUM(R349:AV349)=0,"",SUM(R349:AV349))</f>
        <v/>
      </c>
      <c r="AX349" s="365" t="str">
        <f t="shared" ref="AX349:AX362" si="904">IFERROR(AW349*O349/1000,"")</f>
        <v/>
      </c>
      <c r="AY349" s="365" t="str">
        <f t="shared" ref="AY349:AY362" si="905">IFERROR(ROUND(AW349*P349/10000,3),"")</f>
        <v/>
      </c>
      <c r="AZ349" s="366">
        <v>871.58</v>
      </c>
      <c r="BA349" s="368">
        <v>54.12</v>
      </c>
      <c r="BB349" s="368">
        <v>79.6</v>
      </c>
      <c r="BC349" s="368">
        <v>87.22</v>
      </c>
      <c r="BE349" s="330" t="e">
        <f t="shared" ref="BE349:BE360" si="906">AZ349*AW349</f>
        <v>#VALUE!</v>
      </c>
      <c r="BF349" s="330" t="e">
        <f t="shared" ref="BF349:BF360" si="907">BA349*AW349</f>
        <v>#VALUE!</v>
      </c>
      <c r="BG349" s="330" t="e">
        <f t="shared" ref="BG349:BG360" si="908">BB349*AW349</f>
        <v>#VALUE!</v>
      </c>
      <c r="BH349" s="330" t="e">
        <f t="shared" ref="BH349:BH360" si="909">BC349*AW349</f>
        <v>#VALUE!</v>
      </c>
      <c r="BJ349" s="370" cm="1">
        <f t="array" ref="BJ349:BM349">_xlfn.LET(_xlpm.data,$R349:$AV349,_xlpm.starts,{1,8,16,23},_xlpm.lengths,{7,7,8,9},_xlpm.arr,_xlfn.MAP(_xlpm.starts,_xlpm.lengths,_xlfn.LAMBDA(_xlpm.s,_xlpm.l,SUM(INDEX(_xlpm.data,,_xlfn.SEQUENCE(,_xlpm.l,_xlpm.s))))),ROUND(_xlpm.arr*$O349/1000,2))</f>
        <v>0</v>
      </c>
      <c r="BK349" s="330">
        <v>0</v>
      </c>
      <c r="BL349" s="330">
        <v>0</v>
      </c>
      <c r="BM349" s="330">
        <v>0</v>
      </c>
      <c r="BN349" s="258">
        <f t="shared" ref="BN349:BN360" si="910">SUM(BJ349:BM349)</f>
        <v>0</v>
      </c>
      <c r="BO349" s="258">
        <v>84.68</v>
      </c>
      <c r="BP349" s="258">
        <v>84.68</v>
      </c>
      <c r="BQ349" s="258">
        <v>92.69</v>
      </c>
      <c r="BR349" s="258">
        <v>72.03</v>
      </c>
      <c r="BT349" s="258" cm="1">
        <f ca="1" t="array" ref="BT349:BW349">_xlfn.HSTACK(SUM(INDEX($R349:$AV349,1,1):INDEX($R349:$AV349,1,7)),SUM(INDEX($R349:$AV349,1,7):INDEX($R349:$AV349,1,13)),SUM(INDEX($R349:$AV349,1,16):INDEX($R349:$AV349,1,23)),SUM(INDEX($R349:$AV349,1,23):INDEX($R349:$AV349,1,31)))</f>
        <v>0</v>
      </c>
      <c r="BU349" s="258">
        <v>0</v>
      </c>
      <c r="BV349" s="258">
        <v>0</v>
      </c>
      <c r="BW349" s="258">
        <v>0</v>
      </c>
      <c r="BY349" s="258">
        <f t="shared" ref="BY349:BY360" si="911">SUM(R349:X349)</f>
        <v>0</v>
      </c>
      <c r="BZ349" s="258">
        <f t="shared" ref="BZ349:BZ360" si="912">SUM(Y349:AE349)</f>
        <v>0</v>
      </c>
      <c r="CA349" s="258">
        <f t="shared" ref="CA349:CA360" si="913">SUM(AF349:AM349)</f>
        <v>0</v>
      </c>
      <c r="CB349" s="258">
        <f t="shared" ref="CB349:CB360" si="914">SUM(AN349:AV349)</f>
        <v>0</v>
      </c>
      <c r="CE349" s="258">
        <f t="shared" ref="CE349:CE360" si="915">ROUND(BY349*$O349/1000,2)</f>
        <v>0</v>
      </c>
      <c r="CF349" s="258">
        <f t="shared" ref="CF349:CF360" si="916">ROUND(BZ349*$O349/1000,2)</f>
        <v>0</v>
      </c>
      <c r="CG349" s="258">
        <f t="shared" ref="CG349:CG360" si="917">ROUND(CA349*$O349/1000,2)</f>
        <v>0</v>
      </c>
      <c r="CH349" s="258">
        <f t="shared" ref="CH349:CH360" si="918">ROUND(CB349*$O349/1000,2)</f>
        <v>0</v>
      </c>
      <c r="CI349" s="258">
        <f t="shared" ref="CI349:CI360" si="919">SUM(CE349:CH349)</f>
        <v>0</v>
      </c>
      <c r="CK349" s="258" t="str">
        <f t="shared" ref="CK349:CN349" si="920">IFERROR(ROUND(BY349*$P349,2),"")</f>
        <v/>
      </c>
      <c r="CL349" s="258" t="str">
        <f t="shared" si="920"/>
        <v/>
      </c>
      <c r="CM349" s="258" t="str">
        <f t="shared" si="920"/>
        <v/>
      </c>
      <c r="CN349" s="258" t="str">
        <f t="shared" si="920"/>
        <v/>
      </c>
      <c r="CO349" s="258">
        <f t="shared" ref="CO349:CO375" si="921">SUM(CK349:CN349)</f>
        <v>0</v>
      </c>
    </row>
    <row r="350" ht="17" spans="2:93">
      <c r="B350" s="334">
        <f>_xlfn.XLOOKUP(G350,销售需求表!A:A,销售需求表!C:C)</f>
        <v>0</v>
      </c>
      <c r="C350" s="335" t="str">
        <f t="shared" si="895"/>
        <v/>
      </c>
      <c r="D350" s="362" t="str">
        <f t="shared" si="896"/>
        <v>0寸</v>
      </c>
      <c r="E350" s="339" t="e">
        <f t="shared" si="897"/>
        <v>#VALUE!</v>
      </c>
      <c r="F350" s="339" t="str">
        <f t="shared" si="898"/>
        <v/>
      </c>
      <c r="G350" s="339"/>
      <c r="H350" s="334"/>
      <c r="I350" s="345"/>
      <c r="J350" s="346" t="str">
        <f t="shared" si="899"/>
        <v/>
      </c>
      <c r="K350" s="347">
        <f>_xlfn.XLOOKUP(F350,投产规格!E:E,投产规格!D:D,"未投产")</f>
        <v>0</v>
      </c>
      <c r="L350" s="347" t="str">
        <f>IFERROR(_xlfn.XLOOKUP(F350,硫化工艺!B:B,硫化工艺!C:C),"")</f>
        <v/>
      </c>
      <c r="M350" s="349" t="str">
        <f t="shared" si="900"/>
        <v/>
      </c>
      <c r="N350" s="347" t="str">
        <f t="shared" si="901"/>
        <v>全钢</v>
      </c>
      <c r="O350" s="347">
        <f>IFERROR(_xlfn.XLOOKUP(F350,轮胎重量!J:J,轮胎重量!G:G),"")</f>
        <v>0</v>
      </c>
      <c r="P350" s="347" t="str">
        <f>IFERROR(_xlfn.XLOOKUP(F350,硫化工艺!I:I,硫化工艺!J:J),"")</f>
        <v/>
      </c>
      <c r="Q350" s="347" t="str">
        <f t="shared" si="902"/>
        <v/>
      </c>
      <c r="R350" s="347"/>
      <c r="S350" s="347"/>
      <c r="T350" s="347"/>
      <c r="U350" s="347"/>
      <c r="V350" s="347"/>
      <c r="W350" s="347"/>
      <c r="X350" s="347"/>
      <c r="Y350" s="347"/>
      <c r="Z350" s="347"/>
      <c r="AA350" s="347"/>
      <c r="AB350" s="347"/>
      <c r="AC350" s="347"/>
      <c r="AD350" s="347"/>
      <c r="AE350" s="347"/>
      <c r="AF350" s="347"/>
      <c r="AG350" s="347"/>
      <c r="AH350" s="347"/>
      <c r="AI350" s="347"/>
      <c r="AJ350" s="347"/>
      <c r="AK350" s="347"/>
      <c r="AL350" s="347"/>
      <c r="AM350" s="347"/>
      <c r="AN350" s="347"/>
      <c r="AO350" s="347"/>
      <c r="AP350" s="347"/>
      <c r="AQ350" s="347"/>
      <c r="AR350" s="347"/>
      <c r="AS350" s="347"/>
      <c r="AT350" s="347"/>
      <c r="AU350" s="347"/>
      <c r="AV350" s="347"/>
      <c r="AW350" s="347" t="str">
        <f t="shared" si="903"/>
        <v/>
      </c>
      <c r="AX350" s="365" t="str">
        <f t="shared" si="904"/>
        <v/>
      </c>
      <c r="AY350" s="365" t="str">
        <f t="shared" si="905"/>
        <v/>
      </c>
      <c r="AZ350" s="366">
        <v>871.58</v>
      </c>
      <c r="BA350" s="368">
        <v>54.12</v>
      </c>
      <c r="BB350" s="368">
        <v>79.6</v>
      </c>
      <c r="BC350" s="368">
        <v>87.22</v>
      </c>
      <c r="BE350" s="330" t="e">
        <f t="shared" si="906"/>
        <v>#VALUE!</v>
      </c>
      <c r="BF350" s="330" t="e">
        <f t="shared" si="907"/>
        <v>#VALUE!</v>
      </c>
      <c r="BG350" s="330" t="e">
        <f t="shared" si="908"/>
        <v>#VALUE!</v>
      </c>
      <c r="BH350" s="330" t="e">
        <f t="shared" si="909"/>
        <v>#VALUE!</v>
      </c>
      <c r="BJ350" s="370" cm="1">
        <f t="array" ref="BJ350:BM350">_xlfn.LET(_xlpm.data,$R350:$AV350,_xlpm.starts,{1,8,16,23},_xlpm.lengths,{7,7,8,9},_xlpm.arr,_xlfn.MAP(_xlpm.starts,_xlpm.lengths,_xlfn.LAMBDA(_xlpm.s,_xlpm.l,SUM(INDEX(_xlpm.data,,_xlfn.SEQUENCE(,_xlpm.l,_xlpm.s))))),ROUND(_xlpm.arr*$O350/1000,2))</f>
        <v>0</v>
      </c>
      <c r="BK350" s="330">
        <v>0</v>
      </c>
      <c r="BL350" s="330">
        <v>0</v>
      </c>
      <c r="BM350" s="330">
        <v>0</v>
      </c>
      <c r="BN350" s="258">
        <f t="shared" si="910"/>
        <v>0</v>
      </c>
      <c r="BO350" s="258">
        <v>26.69</v>
      </c>
      <c r="BP350" s="258">
        <v>26.69</v>
      </c>
      <c r="BQ350" s="258">
        <v>30.5</v>
      </c>
      <c r="BR350" s="258">
        <v>34.31</v>
      </c>
      <c r="BT350" s="258" cm="1">
        <f ca="1" t="array" ref="BT350:BW350">_xlfn.HSTACK(SUM(INDEX($R350:$AV350,1,1):INDEX($R350:$AV350,1,7)),SUM(INDEX($R350:$AV350,1,7):INDEX($R350:$AV350,1,13)),SUM(INDEX($R350:$AV350,1,16):INDEX($R350:$AV350,1,23)),SUM(INDEX($R350:$AV350,1,23):INDEX($R350:$AV350,1,31)))</f>
        <v>0</v>
      </c>
      <c r="BU350" s="258">
        <v>0</v>
      </c>
      <c r="BV350" s="258">
        <v>0</v>
      </c>
      <c r="BW350" s="258">
        <v>0</v>
      </c>
      <c r="BY350" s="258">
        <f t="shared" si="911"/>
        <v>0</v>
      </c>
      <c r="BZ350" s="258">
        <f t="shared" si="912"/>
        <v>0</v>
      </c>
      <c r="CA350" s="258">
        <f t="shared" si="913"/>
        <v>0</v>
      </c>
      <c r="CB350" s="258">
        <f t="shared" si="914"/>
        <v>0</v>
      </c>
      <c r="CE350" s="258">
        <f t="shared" si="915"/>
        <v>0</v>
      </c>
      <c r="CF350" s="258">
        <f t="shared" si="916"/>
        <v>0</v>
      </c>
      <c r="CG350" s="258">
        <f t="shared" si="917"/>
        <v>0</v>
      </c>
      <c r="CH350" s="258">
        <f t="shared" si="918"/>
        <v>0</v>
      </c>
      <c r="CI350" s="258">
        <f t="shared" si="919"/>
        <v>0</v>
      </c>
      <c r="CK350" s="258" t="str">
        <f t="shared" ref="CK350:CN350" si="922">IFERROR(ROUND(BY350*$P350,2),"")</f>
        <v/>
      </c>
      <c r="CL350" s="258" t="str">
        <f t="shared" si="922"/>
        <v/>
      </c>
      <c r="CM350" s="258" t="str">
        <f t="shared" si="922"/>
        <v/>
      </c>
      <c r="CN350" s="258" t="str">
        <f t="shared" si="922"/>
        <v/>
      </c>
      <c r="CO350" s="258">
        <f t="shared" si="921"/>
        <v>0</v>
      </c>
    </row>
    <row r="351" ht="17" spans="2:93">
      <c r="B351" s="334">
        <f>_xlfn.XLOOKUP(G351,销售需求表!A:A,销售需求表!C:C)</f>
        <v>0</v>
      </c>
      <c r="C351" s="335" t="str">
        <f t="shared" si="895"/>
        <v/>
      </c>
      <c r="D351" s="362" t="str">
        <f t="shared" si="896"/>
        <v>0寸</v>
      </c>
      <c r="E351" s="339" t="e">
        <f t="shared" si="897"/>
        <v>#VALUE!</v>
      </c>
      <c r="F351" s="339" t="str">
        <f t="shared" si="898"/>
        <v/>
      </c>
      <c r="G351" s="339"/>
      <c r="H351" s="334"/>
      <c r="I351" s="345"/>
      <c r="J351" s="346" t="str">
        <f t="shared" si="899"/>
        <v/>
      </c>
      <c r="K351" s="347">
        <f>_xlfn.XLOOKUP(F351,投产规格!E:E,投产规格!D:D,"未投产")</f>
        <v>0</v>
      </c>
      <c r="L351" s="347" t="str">
        <f>IFERROR(_xlfn.XLOOKUP(F351,硫化工艺!B:B,硫化工艺!C:C),"")</f>
        <v/>
      </c>
      <c r="M351" s="349" t="str">
        <f t="shared" si="900"/>
        <v/>
      </c>
      <c r="N351" s="347" t="str">
        <f t="shared" si="901"/>
        <v>全钢</v>
      </c>
      <c r="O351" s="347">
        <f>IFERROR(_xlfn.XLOOKUP(F351,轮胎重量!J:J,轮胎重量!G:G),"")</f>
        <v>0</v>
      </c>
      <c r="P351" s="347" t="str">
        <f>IFERROR(_xlfn.XLOOKUP(F351,硫化工艺!I:I,硫化工艺!J:J),"")</f>
        <v/>
      </c>
      <c r="Q351" s="347" t="str">
        <f t="shared" si="902"/>
        <v/>
      </c>
      <c r="R351" s="347"/>
      <c r="S351" s="347"/>
      <c r="T351" s="347"/>
      <c r="U351" s="347"/>
      <c r="V351" s="347"/>
      <c r="W351" s="347"/>
      <c r="X351" s="347"/>
      <c r="Y351" s="347"/>
      <c r="Z351" s="347"/>
      <c r="AA351" s="347"/>
      <c r="AB351" s="347"/>
      <c r="AC351" s="347"/>
      <c r="AD351" s="347"/>
      <c r="AE351" s="347"/>
      <c r="AF351" s="347"/>
      <c r="AG351" s="347"/>
      <c r="AH351" s="347"/>
      <c r="AI351" s="347"/>
      <c r="AJ351" s="347"/>
      <c r="AK351" s="347"/>
      <c r="AL351" s="347"/>
      <c r="AM351" s="347"/>
      <c r="AN351" s="347"/>
      <c r="AO351" s="347"/>
      <c r="AP351" s="347"/>
      <c r="AQ351" s="347"/>
      <c r="AR351" s="347"/>
      <c r="AS351" s="347"/>
      <c r="AT351" s="347"/>
      <c r="AU351" s="347"/>
      <c r="AV351" s="347"/>
      <c r="AW351" s="347" t="str">
        <f t="shared" si="903"/>
        <v/>
      </c>
      <c r="AX351" s="365" t="str">
        <f t="shared" si="904"/>
        <v/>
      </c>
      <c r="AY351" s="365" t="str">
        <f t="shared" si="905"/>
        <v/>
      </c>
      <c r="AZ351" s="366">
        <v>861.64</v>
      </c>
      <c r="BA351" s="368">
        <v>52.93</v>
      </c>
      <c r="BB351" s="368">
        <v>78.33</v>
      </c>
      <c r="BC351" s="368">
        <v>85.7</v>
      </c>
      <c r="BE351" s="330" t="e">
        <f t="shared" si="906"/>
        <v>#VALUE!</v>
      </c>
      <c r="BF351" s="330" t="e">
        <f t="shared" si="907"/>
        <v>#VALUE!</v>
      </c>
      <c r="BG351" s="330" t="e">
        <f t="shared" si="908"/>
        <v>#VALUE!</v>
      </c>
      <c r="BH351" s="330" t="e">
        <f t="shared" si="909"/>
        <v>#VALUE!</v>
      </c>
      <c r="BJ351" s="370" cm="1">
        <f t="array" ref="BJ351:BM351">_xlfn.LET(_xlpm.data,$R351:$AV351,_xlpm.starts,{1,8,16,23},_xlpm.lengths,{7,7,8,9},_xlpm.arr,_xlfn.MAP(_xlpm.starts,_xlpm.lengths,_xlfn.LAMBDA(_xlpm.s,_xlpm.l,SUM(INDEX(_xlpm.data,,_xlfn.SEQUENCE(,_xlpm.l,_xlpm.s))))),ROUND(_xlpm.arr*$O351/1000,2))</f>
        <v>0</v>
      </c>
      <c r="BK351" s="330">
        <v>0</v>
      </c>
      <c r="BL351" s="330">
        <v>0</v>
      </c>
      <c r="BM351" s="330">
        <v>0</v>
      </c>
      <c r="BN351" s="258">
        <f t="shared" si="910"/>
        <v>0</v>
      </c>
      <c r="BO351" s="258">
        <v>0</v>
      </c>
      <c r="BP351" s="258">
        <v>0</v>
      </c>
      <c r="BQ351" s="258">
        <v>0</v>
      </c>
      <c r="BR351" s="258">
        <v>0</v>
      </c>
      <c r="BT351" s="258" cm="1">
        <f ca="1" t="array" ref="BT351:BW351">_xlfn.HSTACK(SUM(INDEX($R351:$AV351,1,1):INDEX($R351:$AV351,1,7)),SUM(INDEX($R351:$AV351,1,7):INDEX($R351:$AV351,1,13)),SUM(INDEX($R351:$AV351,1,16):INDEX($R351:$AV351,1,23)),SUM(INDEX($R351:$AV351,1,23):INDEX($R351:$AV351,1,31)))</f>
        <v>0</v>
      </c>
      <c r="BU351" s="258">
        <v>0</v>
      </c>
      <c r="BV351" s="258">
        <v>0</v>
      </c>
      <c r="BW351" s="258">
        <v>0</v>
      </c>
      <c r="BY351" s="258">
        <f t="shared" si="911"/>
        <v>0</v>
      </c>
      <c r="BZ351" s="258">
        <f t="shared" si="912"/>
        <v>0</v>
      </c>
      <c r="CA351" s="258">
        <f t="shared" si="913"/>
        <v>0</v>
      </c>
      <c r="CB351" s="258">
        <f t="shared" si="914"/>
        <v>0</v>
      </c>
      <c r="CE351" s="258">
        <f t="shared" si="915"/>
        <v>0</v>
      </c>
      <c r="CF351" s="258">
        <f t="shared" si="916"/>
        <v>0</v>
      </c>
      <c r="CG351" s="258">
        <f t="shared" si="917"/>
        <v>0</v>
      </c>
      <c r="CH351" s="258">
        <f t="shared" si="918"/>
        <v>0</v>
      </c>
      <c r="CI351" s="258">
        <f t="shared" si="919"/>
        <v>0</v>
      </c>
      <c r="CK351" s="258" t="str">
        <f t="shared" ref="CK351:CN351" si="923">IFERROR(ROUND(BY351*$P351,2),"")</f>
        <v/>
      </c>
      <c r="CL351" s="258" t="str">
        <f t="shared" si="923"/>
        <v/>
      </c>
      <c r="CM351" s="258" t="str">
        <f t="shared" si="923"/>
        <v/>
      </c>
      <c r="CN351" s="258" t="str">
        <f t="shared" si="923"/>
        <v/>
      </c>
      <c r="CO351" s="258">
        <f t="shared" si="921"/>
        <v>0</v>
      </c>
    </row>
    <row r="352" s="258" customFormat="1" ht="17" spans="1:93">
      <c r="A352" s="330"/>
      <c r="B352" s="334">
        <f>_xlfn.XLOOKUP(G352,销售需求表!A:A,销售需求表!C:C)</f>
        <v>0</v>
      </c>
      <c r="C352" s="335" t="str">
        <f t="shared" si="895"/>
        <v/>
      </c>
      <c r="D352" s="362" t="str">
        <f t="shared" si="896"/>
        <v>0寸</v>
      </c>
      <c r="E352" s="339" t="e">
        <f t="shared" si="897"/>
        <v>#VALUE!</v>
      </c>
      <c r="F352" s="339" t="str">
        <f t="shared" si="898"/>
        <v/>
      </c>
      <c r="G352" s="339"/>
      <c r="H352" s="334"/>
      <c r="I352" s="345"/>
      <c r="J352" s="346" t="str">
        <f t="shared" si="899"/>
        <v/>
      </c>
      <c r="K352" s="347">
        <f>_xlfn.XLOOKUP(F352,投产规格!E:E,投产规格!D:D,"未投产")</f>
        <v>0</v>
      </c>
      <c r="L352" s="347" t="str">
        <f>IFERROR(_xlfn.XLOOKUP(F352,硫化工艺!B:B,硫化工艺!C:C),"")</f>
        <v/>
      </c>
      <c r="M352" s="349" t="str">
        <f t="shared" si="900"/>
        <v/>
      </c>
      <c r="N352" s="347" t="str">
        <f t="shared" si="901"/>
        <v>全钢</v>
      </c>
      <c r="O352" s="347">
        <f>IFERROR(_xlfn.XLOOKUP(F352,轮胎重量!J:J,轮胎重量!G:G),"")</f>
        <v>0</v>
      </c>
      <c r="P352" s="350">
        <f>O352*13.9</f>
        <v>0</v>
      </c>
      <c r="Q352" s="347" t="str">
        <f t="shared" si="902"/>
        <v/>
      </c>
      <c r="R352" s="347"/>
      <c r="S352" s="347"/>
      <c r="T352" s="347"/>
      <c r="U352" s="347"/>
      <c r="V352" s="347"/>
      <c r="W352" s="347"/>
      <c r="X352" s="347"/>
      <c r="Y352" s="347"/>
      <c r="Z352" s="347"/>
      <c r="AA352" s="347"/>
      <c r="AB352" s="347"/>
      <c r="AC352" s="347"/>
      <c r="AD352" s="347"/>
      <c r="AE352" s="347"/>
      <c r="AF352" s="347"/>
      <c r="AG352" s="347"/>
      <c r="AH352" s="347"/>
      <c r="AI352" s="347"/>
      <c r="AJ352" s="347"/>
      <c r="AK352" s="347"/>
      <c r="AL352" s="347"/>
      <c r="AM352" s="347"/>
      <c r="AN352" s="347"/>
      <c r="AO352" s="347"/>
      <c r="AP352" s="347"/>
      <c r="AQ352" s="347"/>
      <c r="AR352" s="347"/>
      <c r="AS352" s="347"/>
      <c r="AT352" s="347"/>
      <c r="AU352" s="347"/>
      <c r="AV352" s="347"/>
      <c r="AW352" s="347" t="str">
        <f t="shared" si="903"/>
        <v/>
      </c>
      <c r="AX352" s="365" t="str">
        <f t="shared" si="904"/>
        <v/>
      </c>
      <c r="AY352" s="365" t="str">
        <f t="shared" si="905"/>
        <v/>
      </c>
      <c r="AZ352" s="366">
        <v>828.4</v>
      </c>
      <c r="BA352" s="368">
        <v>50.66</v>
      </c>
      <c r="BB352" s="368">
        <v>75.77</v>
      </c>
      <c r="BC352" s="368">
        <v>82.47</v>
      </c>
      <c r="BD352" s="330"/>
      <c r="BE352" s="330" t="e">
        <f t="shared" si="906"/>
        <v>#VALUE!</v>
      </c>
      <c r="BF352" s="330" t="e">
        <f t="shared" si="907"/>
        <v>#VALUE!</v>
      </c>
      <c r="BG352" s="330" t="e">
        <f t="shared" si="908"/>
        <v>#VALUE!</v>
      </c>
      <c r="BH352" s="330" t="e">
        <f t="shared" si="909"/>
        <v>#VALUE!</v>
      </c>
      <c r="BI352" s="330"/>
      <c r="BJ352" s="370" cm="1">
        <f t="array" ref="BJ352:BM352">_xlfn.LET(_xlpm.data,$R352:$AV352,_xlpm.starts,{1,8,16,23},_xlpm.lengths,{7,7,8,9},_xlpm.arr,_xlfn.MAP(_xlpm.starts,_xlpm.lengths,_xlfn.LAMBDA(_xlpm.s,_xlpm.l,SUM(INDEX(_xlpm.data,,_xlfn.SEQUENCE(,_xlpm.l,_xlpm.s))))),ROUND(_xlpm.arr*$O352/1000,2))</f>
        <v>0</v>
      </c>
      <c r="BK352" s="330">
        <v>0</v>
      </c>
      <c r="BL352" s="330">
        <v>0</v>
      </c>
      <c r="BM352" s="330">
        <v>0</v>
      </c>
      <c r="BN352" s="258">
        <f t="shared" si="910"/>
        <v>0</v>
      </c>
      <c r="BO352" s="258">
        <v>0</v>
      </c>
      <c r="BP352" s="258">
        <v>0</v>
      </c>
      <c r="BQ352" s="258">
        <v>0</v>
      </c>
      <c r="BR352" s="258">
        <v>16.09</v>
      </c>
      <c r="BS352" s="115" t="e">
        <f>Q352*O352</f>
        <v>#VALUE!</v>
      </c>
      <c r="BT352" s="258" cm="1">
        <f ca="1" t="array" ref="BT352:BW352">_xlfn.HSTACK(SUM(INDEX($R352:$AV352,1,1):INDEX($R352:$AV352,1,7)),SUM(INDEX($R352:$AV352,1,7):INDEX($R352:$AV352,1,13)),SUM(INDEX($R352:$AV352,1,16):INDEX($R352:$AV352,1,23)),SUM(INDEX($R352:$AV352,1,23):INDEX($R352:$AV352,1,31)))</f>
        <v>0</v>
      </c>
      <c r="BU352" s="258">
        <v>0</v>
      </c>
      <c r="BV352" s="258">
        <v>0</v>
      </c>
      <c r="BW352" s="258">
        <v>0</v>
      </c>
      <c r="BY352" s="258">
        <f t="shared" si="911"/>
        <v>0</v>
      </c>
      <c r="BZ352" s="258">
        <f t="shared" si="912"/>
        <v>0</v>
      </c>
      <c r="CA352" s="258">
        <f t="shared" si="913"/>
        <v>0</v>
      </c>
      <c r="CB352" s="258">
        <f t="shared" si="914"/>
        <v>0</v>
      </c>
      <c r="CD352" s="113"/>
      <c r="CE352" s="258">
        <f t="shared" si="915"/>
        <v>0</v>
      </c>
      <c r="CF352" s="258">
        <f t="shared" si="916"/>
        <v>0</v>
      </c>
      <c r="CG352" s="258">
        <f t="shared" si="917"/>
        <v>0</v>
      </c>
      <c r="CH352" s="258">
        <f t="shared" si="918"/>
        <v>0</v>
      </c>
      <c r="CI352" s="258">
        <f t="shared" si="919"/>
        <v>0</v>
      </c>
      <c r="CJ352" s="113"/>
      <c r="CK352" s="258">
        <f t="shared" ref="CK352:CN352" si="924">IFERROR(ROUND(BY352*$P352,2),"")</f>
        <v>0</v>
      </c>
      <c r="CL352" s="258">
        <f t="shared" si="924"/>
        <v>0</v>
      </c>
      <c r="CM352" s="258">
        <f t="shared" si="924"/>
        <v>0</v>
      </c>
      <c r="CN352" s="258">
        <f t="shared" si="924"/>
        <v>0</v>
      </c>
      <c r="CO352" s="258">
        <f t="shared" si="921"/>
        <v>0</v>
      </c>
    </row>
    <row r="353" ht="17" spans="2:93">
      <c r="B353" s="334">
        <f>_xlfn.XLOOKUP(G353,销售需求表!A:A,销售需求表!C:C)</f>
        <v>0</v>
      </c>
      <c r="C353" s="335" t="str">
        <f t="shared" si="895"/>
        <v/>
      </c>
      <c r="D353" s="362" t="str">
        <f t="shared" si="896"/>
        <v>0寸</v>
      </c>
      <c r="E353" s="339" t="e">
        <f t="shared" si="897"/>
        <v>#VALUE!</v>
      </c>
      <c r="F353" s="339" t="str">
        <f t="shared" si="898"/>
        <v/>
      </c>
      <c r="G353" s="339"/>
      <c r="H353" s="334"/>
      <c r="I353" s="345"/>
      <c r="J353" s="346" t="str">
        <f t="shared" si="899"/>
        <v/>
      </c>
      <c r="K353" s="347">
        <f>_xlfn.XLOOKUP(F353,投产规格!E:E,投产规格!D:D,"未投产")</f>
        <v>0</v>
      </c>
      <c r="L353" s="347" t="str">
        <f>IFERROR(_xlfn.XLOOKUP(F353,硫化工艺!B:B,硫化工艺!C:C),"")</f>
        <v/>
      </c>
      <c r="M353" s="349" t="str">
        <f t="shared" si="900"/>
        <v/>
      </c>
      <c r="N353" s="347" t="str">
        <f t="shared" si="901"/>
        <v>全钢</v>
      </c>
      <c r="O353" s="347">
        <f>IFERROR(_xlfn.XLOOKUP(F353,轮胎重量!J:J,轮胎重量!G:G),"")</f>
        <v>0</v>
      </c>
      <c r="P353" s="350">
        <f>O353*13.9</f>
        <v>0</v>
      </c>
      <c r="Q353" s="347" t="str">
        <f t="shared" si="902"/>
        <v/>
      </c>
      <c r="R353" s="347"/>
      <c r="S353" s="347"/>
      <c r="T353" s="347"/>
      <c r="U353" s="347"/>
      <c r="V353" s="347"/>
      <c r="W353" s="347"/>
      <c r="X353" s="347"/>
      <c r="Y353" s="347"/>
      <c r="Z353" s="347"/>
      <c r="AA353" s="347"/>
      <c r="AB353" s="347"/>
      <c r="AC353" s="347"/>
      <c r="AD353" s="347"/>
      <c r="AE353" s="347"/>
      <c r="AF353" s="347"/>
      <c r="AG353" s="347"/>
      <c r="AH353" s="347"/>
      <c r="AI353" s="347"/>
      <c r="AJ353" s="347"/>
      <c r="AK353" s="347"/>
      <c r="AL353" s="347"/>
      <c r="AM353" s="347"/>
      <c r="AN353" s="347"/>
      <c r="AO353" s="347"/>
      <c r="AP353" s="347"/>
      <c r="AQ353" s="347"/>
      <c r="AR353" s="347"/>
      <c r="AS353" s="347"/>
      <c r="AT353" s="347"/>
      <c r="AU353" s="347"/>
      <c r="AV353" s="347"/>
      <c r="AW353" s="347" t="str">
        <f t="shared" si="903"/>
        <v/>
      </c>
      <c r="AX353" s="365" t="str">
        <f t="shared" si="904"/>
        <v/>
      </c>
      <c r="AY353" s="365" t="str">
        <f t="shared" si="905"/>
        <v/>
      </c>
      <c r="AZ353" s="366">
        <v>864.55</v>
      </c>
      <c r="BA353" s="368">
        <v>53.34</v>
      </c>
      <c r="BB353" s="368">
        <v>78.72</v>
      </c>
      <c r="BC353" s="368">
        <v>86.44</v>
      </c>
      <c r="BE353" s="330" t="e">
        <f t="shared" si="906"/>
        <v>#VALUE!</v>
      </c>
      <c r="BF353" s="330" t="e">
        <f t="shared" si="907"/>
        <v>#VALUE!</v>
      </c>
      <c r="BG353" s="330" t="e">
        <f t="shared" si="908"/>
        <v>#VALUE!</v>
      </c>
      <c r="BH353" s="330" t="e">
        <f t="shared" si="909"/>
        <v>#VALUE!</v>
      </c>
      <c r="BJ353" s="370" cm="1">
        <f t="array" ref="BJ353:BM353">_xlfn.LET(_xlpm.data,$R353:$AV353,_xlpm.starts,{1,8,16,23},_xlpm.lengths,{7,7,8,9},_xlpm.arr,_xlfn.MAP(_xlpm.starts,_xlpm.lengths,_xlfn.LAMBDA(_xlpm.s,_xlpm.l,SUM(INDEX(_xlpm.data,,_xlfn.SEQUENCE(,_xlpm.l,_xlpm.s))))),ROUND(_xlpm.arr*$O353/1000,2))</f>
        <v>0</v>
      </c>
      <c r="BK353" s="330">
        <v>0</v>
      </c>
      <c r="BL353" s="330">
        <v>0</v>
      </c>
      <c r="BM353" s="330">
        <v>0</v>
      </c>
      <c r="BN353" s="258">
        <f t="shared" si="910"/>
        <v>0</v>
      </c>
      <c r="BO353" s="258">
        <v>0</v>
      </c>
      <c r="BP353" s="258">
        <v>0</v>
      </c>
      <c r="BQ353" s="258">
        <v>4.04</v>
      </c>
      <c r="BR353" s="258">
        <v>20.2</v>
      </c>
      <c r="BT353" s="258" cm="1">
        <f ca="1" t="array" ref="BT353:BW353">_xlfn.HSTACK(SUM(INDEX($R353:$AV353,1,1):INDEX($R353:$AV353,1,7)),SUM(INDEX($R353:$AV353,1,7):INDEX($R353:$AV353,1,13)),SUM(INDEX($R353:$AV353,1,16):INDEX($R353:$AV353,1,23)),SUM(INDEX($R353:$AV353,1,23):INDEX($R353:$AV353,1,31)))</f>
        <v>0</v>
      </c>
      <c r="BU353" s="258">
        <v>0</v>
      </c>
      <c r="BV353" s="258">
        <v>0</v>
      </c>
      <c r="BW353" s="258">
        <v>0</v>
      </c>
      <c r="BY353" s="258">
        <f t="shared" si="911"/>
        <v>0</v>
      </c>
      <c r="BZ353" s="258">
        <f t="shared" si="912"/>
        <v>0</v>
      </c>
      <c r="CA353" s="258">
        <f t="shared" si="913"/>
        <v>0</v>
      </c>
      <c r="CB353" s="258">
        <f t="shared" si="914"/>
        <v>0</v>
      </c>
      <c r="CE353" s="258">
        <f t="shared" si="915"/>
        <v>0</v>
      </c>
      <c r="CF353" s="258">
        <f t="shared" si="916"/>
        <v>0</v>
      </c>
      <c r="CG353" s="258">
        <f t="shared" si="917"/>
        <v>0</v>
      </c>
      <c r="CH353" s="258">
        <f t="shared" si="918"/>
        <v>0</v>
      </c>
      <c r="CI353" s="258">
        <f t="shared" si="919"/>
        <v>0</v>
      </c>
      <c r="CK353" s="258">
        <f t="shared" ref="CK353:CN353" si="925">IFERROR(ROUND(BY353*$P353,2),"")</f>
        <v>0</v>
      </c>
      <c r="CL353" s="258">
        <f t="shared" si="925"/>
        <v>0</v>
      </c>
      <c r="CM353" s="258">
        <f t="shared" si="925"/>
        <v>0</v>
      </c>
      <c r="CN353" s="258">
        <f t="shared" si="925"/>
        <v>0</v>
      </c>
      <c r="CO353" s="258">
        <f t="shared" si="921"/>
        <v>0</v>
      </c>
    </row>
    <row r="354" s="258" customFormat="1" ht="17" spans="1:93">
      <c r="A354" s="330"/>
      <c r="B354" s="334">
        <f>_xlfn.XLOOKUP(G354,销售需求表!A:A,销售需求表!C:C)</f>
        <v>0</v>
      </c>
      <c r="C354" s="335" t="str">
        <f t="shared" si="895"/>
        <v/>
      </c>
      <c r="D354" s="362" t="str">
        <f t="shared" si="896"/>
        <v>0寸</v>
      </c>
      <c r="E354" s="339" t="e">
        <f t="shared" si="897"/>
        <v>#VALUE!</v>
      </c>
      <c r="F354" s="339" t="str">
        <f t="shared" si="898"/>
        <v/>
      </c>
      <c r="G354" s="339"/>
      <c r="H354" s="334"/>
      <c r="I354" s="345"/>
      <c r="J354" s="346" t="str">
        <f t="shared" si="899"/>
        <v/>
      </c>
      <c r="K354" s="347">
        <f>_xlfn.XLOOKUP(F354,投产规格!E:E,投产规格!D:D,"未投产")</f>
        <v>0</v>
      </c>
      <c r="L354" s="347" t="str">
        <f>IFERROR(_xlfn.XLOOKUP(F354,硫化工艺!B:B,硫化工艺!C:C),"")</f>
        <v/>
      </c>
      <c r="M354" s="349" t="str">
        <f t="shared" si="900"/>
        <v/>
      </c>
      <c r="N354" s="347" t="str">
        <f t="shared" si="901"/>
        <v>全钢</v>
      </c>
      <c r="O354" s="347">
        <f>IFERROR(_xlfn.XLOOKUP(F354,轮胎重量!J:J,轮胎重量!G:G),"")</f>
        <v>0</v>
      </c>
      <c r="P354" s="347" t="str">
        <f>IFERROR(_xlfn.XLOOKUP(F354,硫化工艺!I:I,硫化工艺!J:J),"")</f>
        <v/>
      </c>
      <c r="Q354" s="347" t="str">
        <f t="shared" si="902"/>
        <v/>
      </c>
      <c r="R354" s="347"/>
      <c r="S354" s="347"/>
      <c r="T354" s="347"/>
      <c r="U354" s="347"/>
      <c r="V354" s="347"/>
      <c r="W354" s="347"/>
      <c r="X354" s="347"/>
      <c r="Y354" s="347"/>
      <c r="Z354" s="347"/>
      <c r="AA354" s="347"/>
      <c r="AB354" s="347"/>
      <c r="AC354" s="347"/>
      <c r="AD354" s="347"/>
      <c r="AE354" s="347"/>
      <c r="AF354" s="347"/>
      <c r="AG354" s="347"/>
      <c r="AH354" s="347"/>
      <c r="AI354" s="347"/>
      <c r="AJ354" s="347"/>
      <c r="AK354" s="347"/>
      <c r="AL354" s="347"/>
      <c r="AM354" s="347"/>
      <c r="AN354" s="347"/>
      <c r="AO354" s="347"/>
      <c r="AP354" s="347"/>
      <c r="AQ354" s="347"/>
      <c r="AR354" s="347"/>
      <c r="AS354" s="347"/>
      <c r="AT354" s="347"/>
      <c r="AU354" s="347"/>
      <c r="AV354" s="347"/>
      <c r="AW354" s="347" t="str">
        <f t="shared" si="903"/>
        <v/>
      </c>
      <c r="AX354" s="365" t="str">
        <f t="shared" si="904"/>
        <v/>
      </c>
      <c r="AY354" s="365" t="str">
        <f t="shared" si="905"/>
        <v/>
      </c>
      <c r="AZ354" s="366">
        <v>864.55</v>
      </c>
      <c r="BA354" s="368">
        <v>53.34</v>
      </c>
      <c r="BB354" s="368">
        <v>78.72</v>
      </c>
      <c r="BC354" s="368">
        <v>86.44</v>
      </c>
      <c r="BD354" s="330"/>
      <c r="BE354" s="330" t="e">
        <f t="shared" si="906"/>
        <v>#VALUE!</v>
      </c>
      <c r="BF354" s="330" t="e">
        <f t="shared" si="907"/>
        <v>#VALUE!</v>
      </c>
      <c r="BG354" s="330" t="e">
        <f t="shared" si="908"/>
        <v>#VALUE!</v>
      </c>
      <c r="BH354" s="330" t="e">
        <f t="shared" si="909"/>
        <v>#VALUE!</v>
      </c>
      <c r="BI354" s="330"/>
      <c r="BJ354" s="370" cm="1">
        <f t="array" ref="BJ354:BM354">_xlfn.LET(_xlpm.data,$R354:$AV354,_xlpm.starts,{1,8,16,23},_xlpm.lengths,{7,7,8,9},_xlpm.arr,_xlfn.MAP(_xlpm.starts,_xlpm.lengths,_xlfn.LAMBDA(_xlpm.s,_xlpm.l,SUM(INDEX(_xlpm.data,,_xlfn.SEQUENCE(,_xlpm.l,_xlpm.s))))),ROUND(_xlpm.arr*$O354/1000,2))</f>
        <v>0</v>
      </c>
      <c r="BK354" s="330">
        <v>0</v>
      </c>
      <c r="BL354" s="330">
        <v>0</v>
      </c>
      <c r="BM354" s="330">
        <v>0</v>
      </c>
      <c r="BN354" s="258">
        <f t="shared" si="910"/>
        <v>0</v>
      </c>
      <c r="BO354" s="258">
        <v>0</v>
      </c>
      <c r="BP354" s="258">
        <v>0</v>
      </c>
      <c r="BQ354" s="258">
        <v>0</v>
      </c>
      <c r="BR354" s="258">
        <v>15.99</v>
      </c>
      <c r="BS354" s="115"/>
      <c r="BT354" s="258" cm="1">
        <f ca="1" t="array" ref="BT354:BW354">_xlfn.HSTACK(SUM(INDEX($R354:$AV354,1,1):INDEX($R354:$AV354,1,7)),SUM(INDEX($R354:$AV354,1,7):INDEX($R354:$AV354,1,13)),SUM(INDEX($R354:$AV354,1,16):INDEX($R354:$AV354,1,23)),SUM(INDEX($R354:$AV354,1,23):INDEX($R354:$AV354,1,31)))</f>
        <v>0</v>
      </c>
      <c r="BU354" s="258">
        <v>0</v>
      </c>
      <c r="BV354" s="258">
        <v>0</v>
      </c>
      <c r="BW354" s="258">
        <v>0</v>
      </c>
      <c r="BY354" s="258">
        <f t="shared" si="911"/>
        <v>0</v>
      </c>
      <c r="BZ354" s="258">
        <f t="shared" si="912"/>
        <v>0</v>
      </c>
      <c r="CA354" s="258">
        <f t="shared" si="913"/>
        <v>0</v>
      </c>
      <c r="CB354" s="258">
        <f t="shared" si="914"/>
        <v>0</v>
      </c>
      <c r="CD354" s="113"/>
      <c r="CE354" s="258">
        <f t="shared" si="915"/>
        <v>0</v>
      </c>
      <c r="CF354" s="258">
        <f t="shared" si="916"/>
        <v>0</v>
      </c>
      <c r="CG354" s="258">
        <f t="shared" si="917"/>
        <v>0</v>
      </c>
      <c r="CH354" s="258">
        <f t="shared" si="918"/>
        <v>0</v>
      </c>
      <c r="CI354" s="258">
        <f t="shared" si="919"/>
        <v>0</v>
      </c>
      <c r="CJ354" s="113"/>
      <c r="CK354" s="258" t="str">
        <f t="shared" ref="CK354:CN354" si="926">IFERROR(ROUND(BY354*$P354,2),"")</f>
        <v/>
      </c>
      <c r="CL354" s="258" t="str">
        <f t="shared" si="926"/>
        <v/>
      </c>
      <c r="CM354" s="258" t="str">
        <f t="shared" si="926"/>
        <v/>
      </c>
      <c r="CN354" s="258" t="str">
        <f t="shared" si="926"/>
        <v/>
      </c>
      <c r="CO354" s="258">
        <f t="shared" si="921"/>
        <v>0</v>
      </c>
    </row>
    <row r="355" s="258" customFormat="1" ht="17" spans="1:93">
      <c r="A355" s="330"/>
      <c r="B355" s="334">
        <f>_xlfn.XLOOKUP(G355,销售需求表!A:A,销售需求表!C:C)</f>
        <v>0</v>
      </c>
      <c r="C355" s="335" t="str">
        <f t="shared" si="895"/>
        <v/>
      </c>
      <c r="D355" s="362" t="str">
        <f t="shared" si="896"/>
        <v>0寸</v>
      </c>
      <c r="E355" s="339" t="e">
        <f t="shared" si="897"/>
        <v>#VALUE!</v>
      </c>
      <c r="F355" s="339" t="str">
        <f t="shared" si="898"/>
        <v/>
      </c>
      <c r="G355" s="339"/>
      <c r="H355" s="334"/>
      <c r="I355" s="345"/>
      <c r="J355" s="346" t="str">
        <f t="shared" si="899"/>
        <v/>
      </c>
      <c r="K355" s="347">
        <f>_xlfn.XLOOKUP(F355,投产规格!E:E,投产规格!D:D,"未投产")</f>
        <v>0</v>
      </c>
      <c r="L355" s="347" t="str">
        <f>IFERROR(_xlfn.XLOOKUP(F355,硫化工艺!B:B,硫化工艺!C:C),"")</f>
        <v/>
      </c>
      <c r="M355" s="349" t="str">
        <f t="shared" si="900"/>
        <v/>
      </c>
      <c r="N355" s="347" t="str">
        <f t="shared" si="901"/>
        <v>全钢</v>
      </c>
      <c r="O355" s="347">
        <f>IFERROR(_xlfn.XLOOKUP(F355,轮胎重量!J:J,轮胎重量!G:G),"")</f>
        <v>0</v>
      </c>
      <c r="P355" s="347" t="str">
        <f>IFERROR(_xlfn.XLOOKUP(F355,硫化工艺!I:I,硫化工艺!J:J),"")</f>
        <v/>
      </c>
      <c r="Q355" s="347" t="str">
        <f t="shared" si="902"/>
        <v/>
      </c>
      <c r="R355" s="347"/>
      <c r="S355" s="347"/>
      <c r="T355" s="347"/>
      <c r="U355" s="347"/>
      <c r="V355" s="347"/>
      <c r="W355" s="347"/>
      <c r="X355" s="347"/>
      <c r="Y355" s="347"/>
      <c r="Z355" s="347"/>
      <c r="AA355" s="347"/>
      <c r="AB355" s="347"/>
      <c r="AC355" s="347"/>
      <c r="AD355" s="347"/>
      <c r="AE355" s="347"/>
      <c r="AF355" s="347"/>
      <c r="AG355" s="347"/>
      <c r="AH355" s="347"/>
      <c r="AI355" s="347"/>
      <c r="AJ355" s="347"/>
      <c r="AK355" s="347"/>
      <c r="AL355" s="347"/>
      <c r="AM355" s="347"/>
      <c r="AN355" s="347"/>
      <c r="AO355" s="347"/>
      <c r="AP355" s="347"/>
      <c r="AQ355" s="347"/>
      <c r="AR355" s="347"/>
      <c r="AS355" s="347"/>
      <c r="AT355" s="347"/>
      <c r="AU355" s="347"/>
      <c r="AV355" s="347"/>
      <c r="AW355" s="347" t="str">
        <f t="shared" si="903"/>
        <v/>
      </c>
      <c r="AX355" s="365" t="str">
        <f t="shared" si="904"/>
        <v/>
      </c>
      <c r="AY355" s="365" t="str">
        <f t="shared" si="905"/>
        <v/>
      </c>
      <c r="AZ355" s="366">
        <v>864.55</v>
      </c>
      <c r="BA355" s="368">
        <v>53.34</v>
      </c>
      <c r="BB355" s="368">
        <v>78.72</v>
      </c>
      <c r="BC355" s="368">
        <v>86.44</v>
      </c>
      <c r="BD355" s="330"/>
      <c r="BE355" s="330" t="e">
        <f t="shared" si="906"/>
        <v>#VALUE!</v>
      </c>
      <c r="BF355" s="330" t="e">
        <f t="shared" si="907"/>
        <v>#VALUE!</v>
      </c>
      <c r="BG355" s="330" t="e">
        <f t="shared" si="908"/>
        <v>#VALUE!</v>
      </c>
      <c r="BH355" s="330" t="e">
        <f t="shared" si="909"/>
        <v>#VALUE!</v>
      </c>
      <c r="BI355" s="330"/>
      <c r="BJ355" s="370" cm="1">
        <f t="array" ref="BJ355:BM355">_xlfn.LET(_xlpm.data,$R355:$AV355,_xlpm.starts,{1,8,16,23},_xlpm.lengths,{7,7,8,9},_xlpm.arr,_xlfn.MAP(_xlpm.starts,_xlpm.lengths,_xlfn.LAMBDA(_xlpm.s,_xlpm.l,SUM(INDEX(_xlpm.data,,_xlfn.SEQUENCE(,_xlpm.l,_xlpm.s))))),ROUND(_xlpm.arr*$O355/1000,2))</f>
        <v>0</v>
      </c>
      <c r="BK355" s="330">
        <v>0</v>
      </c>
      <c r="BL355" s="330">
        <v>0</v>
      </c>
      <c r="BM355" s="330">
        <v>0</v>
      </c>
      <c r="BN355" s="258">
        <f t="shared" si="910"/>
        <v>0</v>
      </c>
      <c r="BO355" s="258">
        <v>0</v>
      </c>
      <c r="BP355" s="258">
        <v>0</v>
      </c>
      <c r="BQ355" s="258">
        <v>0</v>
      </c>
      <c r="BR355" s="258">
        <v>0</v>
      </c>
      <c r="BS355" s="115"/>
      <c r="BT355" s="258" cm="1">
        <f ca="1" t="array" ref="BT355:BW355">_xlfn.HSTACK(SUM(INDEX($R355:$AV355,1,1):INDEX($R355:$AV355,1,7)),SUM(INDEX($R355:$AV355,1,7):INDEX($R355:$AV355,1,13)),SUM(INDEX($R355:$AV355,1,16):INDEX($R355:$AV355,1,23)),SUM(INDEX($R355:$AV355,1,23):INDEX($R355:$AV355,1,31)))</f>
        <v>0</v>
      </c>
      <c r="BU355" s="258">
        <v>0</v>
      </c>
      <c r="BV355" s="258">
        <v>0</v>
      </c>
      <c r="BW355" s="258">
        <v>0</v>
      </c>
      <c r="BY355" s="258">
        <f t="shared" si="911"/>
        <v>0</v>
      </c>
      <c r="BZ355" s="258">
        <f t="shared" si="912"/>
        <v>0</v>
      </c>
      <c r="CA355" s="258">
        <f t="shared" si="913"/>
        <v>0</v>
      </c>
      <c r="CB355" s="258">
        <f t="shared" si="914"/>
        <v>0</v>
      </c>
      <c r="CD355" s="113"/>
      <c r="CE355" s="258">
        <f t="shared" si="915"/>
        <v>0</v>
      </c>
      <c r="CF355" s="258">
        <f t="shared" si="916"/>
        <v>0</v>
      </c>
      <c r="CG355" s="258">
        <f t="shared" si="917"/>
        <v>0</v>
      </c>
      <c r="CH355" s="258">
        <f t="shared" si="918"/>
        <v>0</v>
      </c>
      <c r="CI355" s="258">
        <f t="shared" si="919"/>
        <v>0</v>
      </c>
      <c r="CJ355" s="113"/>
      <c r="CK355" s="258" t="str">
        <f t="shared" ref="CK355:CN355" si="927">IFERROR(ROUND(BY355*$P355,2),"")</f>
        <v/>
      </c>
      <c r="CL355" s="258" t="str">
        <f t="shared" si="927"/>
        <v/>
      </c>
      <c r="CM355" s="258" t="str">
        <f t="shared" si="927"/>
        <v/>
      </c>
      <c r="CN355" s="258" t="str">
        <f t="shared" si="927"/>
        <v/>
      </c>
      <c r="CO355" s="258">
        <f t="shared" si="921"/>
        <v>0</v>
      </c>
    </row>
    <row r="356" s="258" customFormat="1" ht="17" spans="1:93">
      <c r="A356" s="330"/>
      <c r="B356" s="334">
        <f>_xlfn.XLOOKUP(G356,销售需求表!A:A,销售需求表!C:C)</f>
        <v>0</v>
      </c>
      <c r="C356" s="335" t="str">
        <f t="shared" si="895"/>
        <v/>
      </c>
      <c r="D356" s="362" t="str">
        <f t="shared" si="896"/>
        <v>0寸</v>
      </c>
      <c r="E356" s="339" t="e">
        <f t="shared" si="897"/>
        <v>#VALUE!</v>
      </c>
      <c r="F356" s="339" t="str">
        <f t="shared" si="898"/>
        <v/>
      </c>
      <c r="G356" s="339"/>
      <c r="H356" s="334"/>
      <c r="I356" s="345"/>
      <c r="J356" s="346" t="str">
        <f t="shared" si="899"/>
        <v/>
      </c>
      <c r="K356" s="347">
        <f>_xlfn.XLOOKUP(F356,投产规格!E:E,投产规格!D:D,"未投产")</f>
        <v>0</v>
      </c>
      <c r="L356" s="347" t="str">
        <f>IFERROR(_xlfn.XLOOKUP(F356,硫化工艺!B:B,硫化工艺!C:C),"")</f>
        <v/>
      </c>
      <c r="M356" s="349" t="str">
        <f t="shared" si="900"/>
        <v/>
      </c>
      <c r="N356" s="347" t="str">
        <f t="shared" si="901"/>
        <v>全钢</v>
      </c>
      <c r="O356" s="347">
        <f>IFERROR(_xlfn.XLOOKUP(F356,轮胎重量!J:J,轮胎重量!G:G),"")</f>
        <v>0</v>
      </c>
      <c r="P356" s="347" t="str">
        <f>IFERROR(_xlfn.XLOOKUP(F356,硫化工艺!I:I,硫化工艺!J:J),"")</f>
        <v/>
      </c>
      <c r="Q356" s="347" t="str">
        <f t="shared" si="902"/>
        <v/>
      </c>
      <c r="R356" s="347"/>
      <c r="S356" s="347"/>
      <c r="T356" s="347"/>
      <c r="U356" s="347"/>
      <c r="V356" s="347"/>
      <c r="W356" s="347"/>
      <c r="X356" s="347"/>
      <c r="Y356" s="347"/>
      <c r="Z356" s="347"/>
      <c r="AA356" s="347"/>
      <c r="AB356" s="347"/>
      <c r="AC356" s="347"/>
      <c r="AD356" s="347"/>
      <c r="AE356" s="347"/>
      <c r="AF356" s="347"/>
      <c r="AG356" s="347"/>
      <c r="AH356" s="347"/>
      <c r="AI356" s="347"/>
      <c r="AJ356" s="347"/>
      <c r="AK356" s="347"/>
      <c r="AL356" s="347"/>
      <c r="AM356" s="347"/>
      <c r="AN356" s="347"/>
      <c r="AO356" s="347"/>
      <c r="AP356" s="347"/>
      <c r="AQ356" s="347"/>
      <c r="AR356" s="347"/>
      <c r="AS356" s="347"/>
      <c r="AT356" s="347"/>
      <c r="AU356" s="347"/>
      <c r="AV356" s="347"/>
      <c r="AW356" s="347" t="str">
        <f t="shared" si="903"/>
        <v/>
      </c>
      <c r="AX356" s="365" t="str">
        <f t="shared" si="904"/>
        <v/>
      </c>
      <c r="AY356" s="365" t="str">
        <f t="shared" si="905"/>
        <v/>
      </c>
      <c r="AZ356" s="366">
        <v>864.55</v>
      </c>
      <c r="BA356" s="368">
        <v>53.34</v>
      </c>
      <c r="BB356" s="368">
        <v>78.72</v>
      </c>
      <c r="BC356" s="368">
        <v>86.44</v>
      </c>
      <c r="BD356" s="330"/>
      <c r="BE356" s="330" t="e">
        <f t="shared" si="906"/>
        <v>#VALUE!</v>
      </c>
      <c r="BF356" s="330" t="e">
        <f t="shared" si="907"/>
        <v>#VALUE!</v>
      </c>
      <c r="BG356" s="330" t="e">
        <f t="shared" si="908"/>
        <v>#VALUE!</v>
      </c>
      <c r="BH356" s="330" t="e">
        <f t="shared" si="909"/>
        <v>#VALUE!</v>
      </c>
      <c r="BI356" s="330"/>
      <c r="BJ356" s="370" cm="1">
        <f t="array" ref="BJ356:BM356">_xlfn.LET(_xlpm.data,$R356:$AV356,_xlpm.starts,{1,8,16,23},_xlpm.lengths,{7,7,8,9},_xlpm.arr,_xlfn.MAP(_xlpm.starts,_xlpm.lengths,_xlfn.LAMBDA(_xlpm.s,_xlpm.l,SUM(INDEX(_xlpm.data,,_xlfn.SEQUENCE(,_xlpm.l,_xlpm.s))))),ROUND(_xlpm.arr*$O356/1000,2))</f>
        <v>0</v>
      </c>
      <c r="BK356" s="330">
        <v>0</v>
      </c>
      <c r="BL356" s="330">
        <v>0</v>
      </c>
      <c r="BM356" s="330">
        <v>0</v>
      </c>
      <c r="BN356" s="258">
        <f t="shared" si="910"/>
        <v>0</v>
      </c>
      <c r="BO356" s="258">
        <v>28.66</v>
      </c>
      <c r="BP356" s="258">
        <v>28.66</v>
      </c>
      <c r="BQ356" s="258">
        <v>32.76</v>
      </c>
      <c r="BR356" s="258">
        <v>36.85</v>
      </c>
      <c r="BS356" s="115"/>
      <c r="BT356" s="258" cm="1">
        <f ca="1" t="array" ref="BT356:BW356">_xlfn.HSTACK(SUM(INDEX($R356:$AV356,1,1):INDEX($R356:$AV356,1,7)),SUM(INDEX($R356:$AV356,1,7):INDEX($R356:$AV356,1,13)),SUM(INDEX($R356:$AV356,1,16):INDEX($R356:$AV356,1,23)),SUM(INDEX($R356:$AV356,1,23):INDEX($R356:$AV356,1,31)))</f>
        <v>0</v>
      </c>
      <c r="BU356" s="258">
        <v>0</v>
      </c>
      <c r="BV356" s="258">
        <v>0</v>
      </c>
      <c r="BW356" s="258">
        <v>0</v>
      </c>
      <c r="BY356" s="258">
        <f t="shared" si="911"/>
        <v>0</v>
      </c>
      <c r="BZ356" s="258">
        <f t="shared" si="912"/>
        <v>0</v>
      </c>
      <c r="CA356" s="258">
        <f t="shared" si="913"/>
        <v>0</v>
      </c>
      <c r="CB356" s="258">
        <f t="shared" si="914"/>
        <v>0</v>
      </c>
      <c r="CD356" s="113"/>
      <c r="CE356" s="258">
        <f t="shared" si="915"/>
        <v>0</v>
      </c>
      <c r="CF356" s="258">
        <f t="shared" si="916"/>
        <v>0</v>
      </c>
      <c r="CG356" s="258">
        <f t="shared" si="917"/>
        <v>0</v>
      </c>
      <c r="CH356" s="258">
        <f t="shared" si="918"/>
        <v>0</v>
      </c>
      <c r="CI356" s="258">
        <f t="shared" si="919"/>
        <v>0</v>
      </c>
      <c r="CJ356" s="113"/>
      <c r="CK356" s="258" t="str">
        <f t="shared" ref="CK356:CN356" si="928">IFERROR(ROUND(BY356*$P356,2),"")</f>
        <v/>
      </c>
      <c r="CL356" s="258" t="str">
        <f t="shared" si="928"/>
        <v/>
      </c>
      <c r="CM356" s="258" t="str">
        <f t="shared" si="928"/>
        <v/>
      </c>
      <c r="CN356" s="258" t="str">
        <f t="shared" si="928"/>
        <v/>
      </c>
      <c r="CO356" s="258">
        <f t="shared" si="921"/>
        <v>0</v>
      </c>
    </row>
    <row r="357" ht="17" spans="2:93">
      <c r="B357" s="334">
        <f>_xlfn.XLOOKUP(G357,销售需求表!A:A,销售需求表!C:C)</f>
        <v>0</v>
      </c>
      <c r="C357" s="335" t="str">
        <f t="shared" si="895"/>
        <v/>
      </c>
      <c r="D357" s="383" t="str">
        <f t="shared" si="896"/>
        <v>0寸</v>
      </c>
      <c r="E357" s="339" t="e">
        <f t="shared" si="897"/>
        <v>#VALUE!</v>
      </c>
      <c r="F357" s="339" t="str">
        <f t="shared" si="898"/>
        <v/>
      </c>
      <c r="G357" s="339"/>
      <c r="H357" s="334"/>
      <c r="I357" s="345"/>
      <c r="J357" s="346" t="str">
        <f t="shared" si="899"/>
        <v/>
      </c>
      <c r="K357" s="347">
        <f>_xlfn.XLOOKUP(F357,投产规格!E:E,投产规格!D:D,"未投产")</f>
        <v>0</v>
      </c>
      <c r="L357" s="347" t="str">
        <f>IFERROR(_xlfn.XLOOKUP(F357,硫化工艺!B:B,硫化工艺!C:C),"")</f>
        <v/>
      </c>
      <c r="M357" s="349" t="str">
        <f t="shared" si="900"/>
        <v/>
      </c>
      <c r="N357" s="347" t="str">
        <f t="shared" si="901"/>
        <v>全钢</v>
      </c>
      <c r="O357" s="347">
        <f>IFERROR(_xlfn.XLOOKUP(F357,轮胎重量!J:J,轮胎重量!G:G),"")</f>
        <v>0</v>
      </c>
      <c r="P357" s="347" t="str">
        <f>IFERROR(_xlfn.XLOOKUP(F357,硫化工艺!I:I,硫化工艺!J:J),"")</f>
        <v/>
      </c>
      <c r="Q357" s="347" t="str">
        <f t="shared" si="902"/>
        <v/>
      </c>
      <c r="R357" s="347"/>
      <c r="S357" s="347"/>
      <c r="T357" s="347"/>
      <c r="U357" s="347"/>
      <c r="V357" s="347"/>
      <c r="W357" s="347"/>
      <c r="X357" s="347"/>
      <c r="Y357" s="347"/>
      <c r="Z357" s="347"/>
      <c r="AA357" s="347"/>
      <c r="AB357" s="347"/>
      <c r="AC357" s="347"/>
      <c r="AD357" s="347"/>
      <c r="AE357" s="347"/>
      <c r="AF357" s="347"/>
      <c r="AG357" s="347"/>
      <c r="AH357" s="347"/>
      <c r="AI357" s="347"/>
      <c r="AJ357" s="347"/>
      <c r="AK357" s="347"/>
      <c r="AL357" s="347"/>
      <c r="AM357" s="347"/>
      <c r="AN357" s="347"/>
      <c r="AO357" s="347"/>
      <c r="AP357" s="347"/>
      <c r="AQ357" s="347"/>
      <c r="AR357" s="347"/>
      <c r="AS357" s="347"/>
      <c r="AT357" s="347"/>
      <c r="AU357" s="347"/>
      <c r="AV357" s="347"/>
      <c r="AW357" s="347" t="str">
        <f t="shared" si="903"/>
        <v/>
      </c>
      <c r="AX357" s="365" t="str">
        <f t="shared" si="904"/>
        <v/>
      </c>
      <c r="AY357" s="365" t="str">
        <f t="shared" si="905"/>
        <v/>
      </c>
      <c r="AZ357" s="366">
        <v>842.39</v>
      </c>
      <c r="BA357" s="368">
        <v>47.68</v>
      </c>
      <c r="BB357" s="368">
        <v>74.78</v>
      </c>
      <c r="BC357" s="368">
        <v>76.28</v>
      </c>
      <c r="BE357" s="330" t="e">
        <f t="shared" si="906"/>
        <v>#VALUE!</v>
      </c>
      <c r="BF357" s="330" t="e">
        <f t="shared" si="907"/>
        <v>#VALUE!</v>
      </c>
      <c r="BG357" s="330" t="e">
        <f t="shared" si="908"/>
        <v>#VALUE!</v>
      </c>
      <c r="BH357" s="330" t="e">
        <f t="shared" si="909"/>
        <v>#VALUE!</v>
      </c>
      <c r="BJ357" s="370" cm="1">
        <f t="array" ref="BJ357:BM357">_xlfn.LET(_xlpm.data,$R357:$AV357,_xlpm.starts,{1,8,16,23},_xlpm.lengths,{7,7,8,9},_xlpm.arr,_xlfn.MAP(_xlpm.starts,_xlpm.lengths,_xlfn.LAMBDA(_xlpm.s,_xlpm.l,SUM(INDEX(_xlpm.data,,_xlfn.SEQUENCE(,_xlpm.l,_xlpm.s))))),ROUND(_xlpm.arr*$O357/1000,2))</f>
        <v>0</v>
      </c>
      <c r="BK357" s="330">
        <v>0</v>
      </c>
      <c r="BL357" s="330">
        <v>0</v>
      </c>
      <c r="BM357" s="330">
        <v>0</v>
      </c>
      <c r="BN357" s="258">
        <f t="shared" si="910"/>
        <v>0</v>
      </c>
      <c r="BO357" s="258">
        <v>67.98</v>
      </c>
      <c r="BP357" s="258">
        <v>57.82</v>
      </c>
      <c r="BQ357" s="258">
        <v>0</v>
      </c>
      <c r="BR357" s="258">
        <v>0</v>
      </c>
      <c r="BT357" s="258" cm="1">
        <f ca="1" t="array" ref="BT357:BW357">_xlfn.HSTACK(SUM(INDEX($R357:$AV357,1,1):INDEX($R357:$AV357,1,7)),SUM(INDEX($R357:$AV357,1,7):INDEX($R357:$AV357,1,13)),SUM(INDEX($R357:$AV357,1,16):INDEX($R357:$AV357,1,23)),SUM(INDEX($R357:$AV357,1,23):INDEX($R357:$AV357,1,31)))</f>
        <v>0</v>
      </c>
      <c r="BU357" s="258">
        <v>0</v>
      </c>
      <c r="BV357" s="258">
        <v>0</v>
      </c>
      <c r="BW357" s="258">
        <v>0</v>
      </c>
      <c r="BY357" s="258">
        <f t="shared" si="911"/>
        <v>0</v>
      </c>
      <c r="BZ357" s="258">
        <f t="shared" si="912"/>
        <v>0</v>
      </c>
      <c r="CA357" s="258">
        <f t="shared" si="913"/>
        <v>0</v>
      </c>
      <c r="CB357" s="258">
        <f t="shared" si="914"/>
        <v>0</v>
      </c>
      <c r="CE357" s="258">
        <f t="shared" si="915"/>
        <v>0</v>
      </c>
      <c r="CF357" s="258">
        <f t="shared" si="916"/>
        <v>0</v>
      </c>
      <c r="CG357" s="258">
        <f t="shared" si="917"/>
        <v>0</v>
      </c>
      <c r="CH357" s="258">
        <f t="shared" si="918"/>
        <v>0</v>
      </c>
      <c r="CI357" s="258">
        <f t="shared" si="919"/>
        <v>0</v>
      </c>
      <c r="CK357" s="258" t="str">
        <f t="shared" ref="CK357:CN357" si="929">IFERROR(ROUND(BY357*$P357,2),"")</f>
        <v/>
      </c>
      <c r="CL357" s="258" t="str">
        <f t="shared" si="929"/>
        <v/>
      </c>
      <c r="CM357" s="258" t="str">
        <f t="shared" si="929"/>
        <v/>
      </c>
      <c r="CN357" s="258" t="str">
        <f t="shared" si="929"/>
        <v/>
      </c>
      <c r="CO357" s="258">
        <f t="shared" si="921"/>
        <v>0</v>
      </c>
    </row>
    <row r="358" ht="17" spans="2:93">
      <c r="B358" s="334">
        <f>_xlfn.XLOOKUP(G358,销售需求表!A:A,销售需求表!C:C)</f>
        <v>0</v>
      </c>
      <c r="C358" s="335" t="str">
        <f t="shared" si="895"/>
        <v/>
      </c>
      <c r="D358" s="383" t="str">
        <f t="shared" si="896"/>
        <v>0寸</v>
      </c>
      <c r="E358" s="339" t="e">
        <f t="shared" si="897"/>
        <v>#VALUE!</v>
      </c>
      <c r="F358" s="339" t="str">
        <f t="shared" si="898"/>
        <v/>
      </c>
      <c r="G358" s="339"/>
      <c r="H358" s="334"/>
      <c r="I358" s="345"/>
      <c r="J358" s="346" t="str">
        <f t="shared" si="899"/>
        <v/>
      </c>
      <c r="K358" s="347">
        <f>_xlfn.XLOOKUP(F358,投产规格!E:E,投产规格!D:D,"未投产")</f>
        <v>0</v>
      </c>
      <c r="L358" s="347" t="str">
        <f>IFERROR(_xlfn.XLOOKUP(F358,硫化工艺!B:B,硫化工艺!C:C),"")</f>
        <v/>
      </c>
      <c r="M358" s="349" t="str">
        <f t="shared" si="900"/>
        <v/>
      </c>
      <c r="N358" s="347" t="str">
        <f t="shared" si="901"/>
        <v>全钢</v>
      </c>
      <c r="O358" s="347">
        <f>IFERROR(_xlfn.XLOOKUP(F358,轮胎重量!J:J,轮胎重量!G:G),"")</f>
        <v>0</v>
      </c>
      <c r="P358" s="350">
        <f>O358*13.9</f>
        <v>0</v>
      </c>
      <c r="Q358" s="347" t="str">
        <f t="shared" si="902"/>
        <v/>
      </c>
      <c r="R358" s="347"/>
      <c r="S358" s="347"/>
      <c r="T358" s="347"/>
      <c r="U358" s="347"/>
      <c r="V358" s="347"/>
      <c r="W358" s="347"/>
      <c r="X358" s="347"/>
      <c r="Y358" s="347"/>
      <c r="Z358" s="347"/>
      <c r="AA358" s="347"/>
      <c r="AB358" s="347"/>
      <c r="AC358" s="347"/>
      <c r="AD358" s="347"/>
      <c r="AE358" s="347"/>
      <c r="AF358" s="347"/>
      <c r="AG358" s="347"/>
      <c r="AH358" s="347"/>
      <c r="AI358" s="347"/>
      <c r="AJ358" s="347"/>
      <c r="AK358" s="347"/>
      <c r="AL358" s="347"/>
      <c r="AM358" s="347"/>
      <c r="AN358" s="347"/>
      <c r="AO358" s="347"/>
      <c r="AP358" s="347"/>
      <c r="AQ358" s="347"/>
      <c r="AR358" s="347"/>
      <c r="AS358" s="347"/>
      <c r="AT358" s="347"/>
      <c r="AU358" s="347"/>
      <c r="AV358" s="347"/>
      <c r="AW358" s="347" t="str">
        <f t="shared" si="903"/>
        <v/>
      </c>
      <c r="AX358" s="365" t="str">
        <f t="shared" si="904"/>
        <v/>
      </c>
      <c r="AY358" s="365" t="str">
        <f t="shared" si="905"/>
        <v/>
      </c>
      <c r="AZ358" s="366">
        <v>842.39</v>
      </c>
      <c r="BA358" s="368">
        <v>47.68</v>
      </c>
      <c r="BB358" s="368">
        <v>74.78</v>
      </c>
      <c r="BC358" s="368">
        <v>76.28</v>
      </c>
      <c r="BE358" s="330" t="e">
        <f t="shared" si="906"/>
        <v>#VALUE!</v>
      </c>
      <c r="BF358" s="330" t="e">
        <f t="shared" si="907"/>
        <v>#VALUE!</v>
      </c>
      <c r="BG358" s="330" t="e">
        <f t="shared" si="908"/>
        <v>#VALUE!</v>
      </c>
      <c r="BH358" s="330" t="e">
        <f t="shared" si="909"/>
        <v>#VALUE!</v>
      </c>
      <c r="BJ358" s="370" cm="1">
        <f t="array" ref="BJ358:BM358">_xlfn.LET(_xlpm.data,$R358:$AV358,_xlpm.starts,{1,8,16,23},_xlpm.lengths,{7,7,8,9},_xlpm.arr,_xlfn.MAP(_xlpm.starts,_xlpm.lengths,_xlfn.LAMBDA(_xlpm.s,_xlpm.l,SUM(INDEX(_xlpm.data,,_xlfn.SEQUENCE(,_xlpm.l,_xlpm.s))))),ROUND(_xlpm.arr*$O358/1000,2))</f>
        <v>0</v>
      </c>
      <c r="BK358" s="330">
        <v>0</v>
      </c>
      <c r="BL358" s="330">
        <v>0</v>
      </c>
      <c r="BM358" s="330">
        <v>0</v>
      </c>
      <c r="BN358" s="258">
        <f t="shared" si="910"/>
        <v>0</v>
      </c>
      <c r="BO358" s="258">
        <v>67.98</v>
      </c>
      <c r="BP358" s="258">
        <v>57.82</v>
      </c>
      <c r="BQ358" s="258">
        <v>0</v>
      </c>
      <c r="BR358" s="258">
        <v>0</v>
      </c>
      <c r="BT358" s="258" cm="1">
        <f ca="1" t="array" ref="BT358:BW358">_xlfn.HSTACK(SUM(INDEX($R358:$AV358,1,1):INDEX($R358:$AV358,1,7)),SUM(INDEX($R358:$AV358,1,7):INDEX($R358:$AV358,1,13)),SUM(INDEX($R358:$AV358,1,16):INDEX($R358:$AV358,1,23)),SUM(INDEX($R358:$AV358,1,23):INDEX($R358:$AV358,1,31)))</f>
        <v>0</v>
      </c>
      <c r="BU358" s="258">
        <v>0</v>
      </c>
      <c r="BV358" s="258">
        <v>0</v>
      </c>
      <c r="BW358" s="258">
        <v>0</v>
      </c>
      <c r="BY358" s="258">
        <f t="shared" si="911"/>
        <v>0</v>
      </c>
      <c r="BZ358" s="258">
        <f t="shared" si="912"/>
        <v>0</v>
      </c>
      <c r="CA358" s="258">
        <f t="shared" si="913"/>
        <v>0</v>
      </c>
      <c r="CB358" s="258">
        <f t="shared" si="914"/>
        <v>0</v>
      </c>
      <c r="CE358" s="258">
        <f t="shared" si="915"/>
        <v>0</v>
      </c>
      <c r="CF358" s="258">
        <f t="shared" si="916"/>
        <v>0</v>
      </c>
      <c r="CG358" s="258">
        <f t="shared" si="917"/>
        <v>0</v>
      </c>
      <c r="CH358" s="258">
        <f t="shared" si="918"/>
        <v>0</v>
      </c>
      <c r="CI358" s="258">
        <f t="shared" si="919"/>
        <v>0</v>
      </c>
      <c r="CK358" s="258">
        <f t="shared" ref="CK358:CN358" si="930">IFERROR(ROUND(BY358*$P358,2),"")</f>
        <v>0</v>
      </c>
      <c r="CL358" s="258">
        <f t="shared" si="930"/>
        <v>0</v>
      </c>
      <c r="CM358" s="258">
        <f t="shared" si="930"/>
        <v>0</v>
      </c>
      <c r="CN358" s="258">
        <f t="shared" si="930"/>
        <v>0</v>
      </c>
      <c r="CO358" s="258">
        <f t="shared" si="921"/>
        <v>0</v>
      </c>
    </row>
    <row r="359" ht="17" spans="2:93">
      <c r="B359" s="334">
        <f>_xlfn.XLOOKUP(G359,销售需求表!A:A,销售需求表!C:C)</f>
        <v>0</v>
      </c>
      <c r="C359" s="335" t="str">
        <f t="shared" si="895"/>
        <v/>
      </c>
      <c r="D359" s="383" t="str">
        <f t="shared" si="896"/>
        <v>0寸</v>
      </c>
      <c r="E359" s="339" t="e">
        <f t="shared" si="897"/>
        <v>#VALUE!</v>
      </c>
      <c r="F359" s="339" t="str">
        <f t="shared" si="898"/>
        <v/>
      </c>
      <c r="G359" s="339"/>
      <c r="H359" s="334"/>
      <c r="I359" s="345"/>
      <c r="J359" s="346" t="str">
        <f t="shared" si="899"/>
        <v/>
      </c>
      <c r="K359" s="347">
        <f>_xlfn.XLOOKUP(F359,投产规格!E:E,投产规格!D:D,"未投产")</f>
        <v>0</v>
      </c>
      <c r="L359" s="347" t="str">
        <f>IFERROR(_xlfn.XLOOKUP(F359,硫化工艺!B:B,硫化工艺!C:C),"")</f>
        <v/>
      </c>
      <c r="M359" s="349" t="str">
        <f t="shared" si="900"/>
        <v/>
      </c>
      <c r="N359" s="347" t="str">
        <f t="shared" si="901"/>
        <v>全钢</v>
      </c>
      <c r="O359" s="347">
        <f>IFERROR(_xlfn.XLOOKUP(F359,轮胎重量!J:J,轮胎重量!G:G),"")</f>
        <v>0</v>
      </c>
      <c r="P359" s="347" t="str">
        <f>IFERROR(_xlfn.XLOOKUP(F359,硫化工艺!I:I,硫化工艺!J:J),"")</f>
        <v/>
      </c>
      <c r="Q359" s="347" t="str">
        <f t="shared" si="902"/>
        <v/>
      </c>
      <c r="R359" s="347"/>
      <c r="S359" s="347"/>
      <c r="T359" s="347"/>
      <c r="U359" s="347"/>
      <c r="V359" s="347"/>
      <c r="W359" s="347"/>
      <c r="X359" s="347"/>
      <c r="Y359" s="347"/>
      <c r="Z359" s="347"/>
      <c r="AA359" s="347"/>
      <c r="AB359" s="347"/>
      <c r="AC359" s="347"/>
      <c r="AD359" s="347"/>
      <c r="AE359" s="347"/>
      <c r="AF359" s="347"/>
      <c r="AG359" s="347"/>
      <c r="AH359" s="347"/>
      <c r="AI359" s="347"/>
      <c r="AJ359" s="347"/>
      <c r="AK359" s="347"/>
      <c r="AL359" s="347"/>
      <c r="AM359" s="347"/>
      <c r="AN359" s="347"/>
      <c r="AO359" s="347"/>
      <c r="AP359" s="347"/>
      <c r="AQ359" s="347"/>
      <c r="AR359" s="347"/>
      <c r="AS359" s="347"/>
      <c r="AT359" s="347"/>
      <c r="AU359" s="347"/>
      <c r="AV359" s="347"/>
      <c r="AW359" s="347" t="str">
        <f t="shared" si="903"/>
        <v/>
      </c>
      <c r="AX359" s="365" t="str">
        <f t="shared" si="904"/>
        <v/>
      </c>
      <c r="AY359" s="365" t="str">
        <f t="shared" si="905"/>
        <v/>
      </c>
      <c r="AZ359" s="366">
        <v>842.39</v>
      </c>
      <c r="BA359" s="368">
        <v>47.68</v>
      </c>
      <c r="BB359" s="368">
        <v>74.78</v>
      </c>
      <c r="BC359" s="368">
        <v>76.28</v>
      </c>
      <c r="BE359" s="330" t="e">
        <f t="shared" si="906"/>
        <v>#VALUE!</v>
      </c>
      <c r="BF359" s="330" t="e">
        <f t="shared" si="907"/>
        <v>#VALUE!</v>
      </c>
      <c r="BG359" s="330" t="e">
        <f t="shared" si="908"/>
        <v>#VALUE!</v>
      </c>
      <c r="BH359" s="330" t="e">
        <f t="shared" si="909"/>
        <v>#VALUE!</v>
      </c>
      <c r="BJ359" s="370" cm="1">
        <f t="array" ref="BJ359:BM359">_xlfn.LET(_xlpm.data,$R359:$AV359,_xlpm.starts,{1,8,16,23},_xlpm.lengths,{7,7,8,9},_xlpm.arr,_xlfn.MAP(_xlpm.starts,_xlpm.lengths,_xlfn.LAMBDA(_xlpm.s,_xlpm.l,SUM(INDEX(_xlpm.data,,_xlfn.SEQUENCE(,_xlpm.l,_xlpm.s))))),ROUND(_xlpm.arr*$O359/1000,2))</f>
        <v>0</v>
      </c>
      <c r="BK359" s="330">
        <v>0</v>
      </c>
      <c r="BL359" s="330">
        <v>0</v>
      </c>
      <c r="BM359" s="330">
        <v>0</v>
      </c>
      <c r="BN359" s="258">
        <f t="shared" si="910"/>
        <v>0</v>
      </c>
      <c r="BO359" s="258">
        <v>67.98</v>
      </c>
      <c r="BP359" s="258">
        <v>57.82</v>
      </c>
      <c r="BQ359" s="258">
        <v>0</v>
      </c>
      <c r="BR359" s="258">
        <v>0</v>
      </c>
      <c r="BT359" s="258" cm="1">
        <f ca="1" t="array" ref="BT359:BW359">_xlfn.HSTACK(SUM(INDEX($R359:$AV359,1,1):INDEX($R359:$AV359,1,7)),SUM(INDEX($R359:$AV359,1,7):INDEX($R359:$AV359,1,13)),SUM(INDEX($R359:$AV359,1,16):INDEX($R359:$AV359,1,23)),SUM(INDEX($R359:$AV359,1,23):INDEX($R359:$AV359,1,31)))</f>
        <v>0</v>
      </c>
      <c r="BU359" s="258">
        <v>0</v>
      </c>
      <c r="BV359" s="258">
        <v>0</v>
      </c>
      <c r="BW359" s="258">
        <v>0</v>
      </c>
      <c r="BY359" s="258">
        <f t="shared" si="911"/>
        <v>0</v>
      </c>
      <c r="BZ359" s="258">
        <f t="shared" si="912"/>
        <v>0</v>
      </c>
      <c r="CA359" s="258">
        <f t="shared" si="913"/>
        <v>0</v>
      </c>
      <c r="CB359" s="258">
        <f t="shared" si="914"/>
        <v>0</v>
      </c>
      <c r="CE359" s="258">
        <f t="shared" si="915"/>
        <v>0</v>
      </c>
      <c r="CF359" s="258">
        <f t="shared" si="916"/>
        <v>0</v>
      </c>
      <c r="CG359" s="258">
        <f t="shared" si="917"/>
        <v>0</v>
      </c>
      <c r="CH359" s="258">
        <f t="shared" si="918"/>
        <v>0</v>
      </c>
      <c r="CI359" s="258">
        <f t="shared" si="919"/>
        <v>0</v>
      </c>
      <c r="CK359" s="258" t="str">
        <f t="shared" ref="CK359:CN359" si="931">IFERROR(ROUND(BY359*$P359,2),"")</f>
        <v/>
      </c>
      <c r="CL359" s="258" t="str">
        <f t="shared" si="931"/>
        <v/>
      </c>
      <c r="CM359" s="258" t="str">
        <f t="shared" si="931"/>
        <v/>
      </c>
      <c r="CN359" s="258" t="str">
        <f t="shared" si="931"/>
        <v/>
      </c>
      <c r="CO359" s="258">
        <f t="shared" si="921"/>
        <v>0</v>
      </c>
    </row>
    <row r="360" ht="17" spans="2:93">
      <c r="B360" s="334">
        <f>_xlfn.XLOOKUP(G360,销售需求表!A:A,销售需求表!C:C)</f>
        <v>0</v>
      </c>
      <c r="C360" s="335" t="str">
        <f t="shared" si="895"/>
        <v/>
      </c>
      <c r="D360" s="383" t="str">
        <f t="shared" si="896"/>
        <v>0寸</v>
      </c>
      <c r="E360" s="339" t="e">
        <f t="shared" si="897"/>
        <v>#VALUE!</v>
      </c>
      <c r="F360" s="339" t="str">
        <f t="shared" si="898"/>
        <v/>
      </c>
      <c r="G360" s="339"/>
      <c r="H360" s="334"/>
      <c r="I360" s="345"/>
      <c r="J360" s="346" t="str">
        <f t="shared" si="899"/>
        <v/>
      </c>
      <c r="K360" s="347">
        <f>_xlfn.XLOOKUP(F360,投产规格!E:E,投产规格!D:D,"未投产")</f>
        <v>0</v>
      </c>
      <c r="L360" s="347" t="str">
        <f>IFERROR(_xlfn.XLOOKUP(F360,硫化工艺!B:B,硫化工艺!C:C),"")</f>
        <v/>
      </c>
      <c r="M360" s="349" t="str">
        <f t="shared" si="900"/>
        <v/>
      </c>
      <c r="N360" s="347" t="str">
        <f t="shared" si="901"/>
        <v>全钢</v>
      </c>
      <c r="O360" s="347">
        <f>IFERROR(_xlfn.XLOOKUP(F360,轮胎重量!J:J,轮胎重量!G:G),"")</f>
        <v>0</v>
      </c>
      <c r="P360" s="350">
        <f>O360*13.9</f>
        <v>0</v>
      </c>
      <c r="Q360" s="347" t="str">
        <f t="shared" si="902"/>
        <v/>
      </c>
      <c r="R360" s="347"/>
      <c r="S360" s="347"/>
      <c r="T360" s="347"/>
      <c r="U360" s="347"/>
      <c r="V360" s="347"/>
      <c r="W360" s="347"/>
      <c r="X360" s="347"/>
      <c r="Y360" s="347"/>
      <c r="Z360" s="347"/>
      <c r="AA360" s="347"/>
      <c r="AB360" s="347"/>
      <c r="AC360" s="347"/>
      <c r="AD360" s="347"/>
      <c r="AE360" s="347"/>
      <c r="AF360" s="347"/>
      <c r="AG360" s="347"/>
      <c r="AH360" s="347"/>
      <c r="AI360" s="347"/>
      <c r="AJ360" s="347"/>
      <c r="AK360" s="347"/>
      <c r="AL360" s="347"/>
      <c r="AM360" s="347"/>
      <c r="AN360" s="347"/>
      <c r="AO360" s="347"/>
      <c r="AP360" s="347"/>
      <c r="AQ360" s="347"/>
      <c r="AR360" s="347"/>
      <c r="AS360" s="347"/>
      <c r="AT360" s="347"/>
      <c r="AU360" s="347"/>
      <c r="AV360" s="347"/>
      <c r="AW360" s="347" t="str">
        <f t="shared" si="903"/>
        <v/>
      </c>
      <c r="AX360" s="365" t="str">
        <f t="shared" si="904"/>
        <v/>
      </c>
      <c r="AY360" s="365" t="str">
        <f t="shared" si="905"/>
        <v/>
      </c>
      <c r="AZ360" s="366">
        <v>834.98</v>
      </c>
      <c r="BA360" s="368">
        <v>49.6</v>
      </c>
      <c r="BB360" s="368">
        <v>76.03</v>
      </c>
      <c r="BC360" s="368">
        <v>81.43</v>
      </c>
      <c r="BE360" s="330" t="e">
        <f t="shared" si="906"/>
        <v>#VALUE!</v>
      </c>
      <c r="BF360" s="330" t="e">
        <f t="shared" si="907"/>
        <v>#VALUE!</v>
      </c>
      <c r="BG360" s="330" t="e">
        <f t="shared" si="908"/>
        <v>#VALUE!</v>
      </c>
      <c r="BH360" s="330" t="e">
        <f t="shared" si="909"/>
        <v>#VALUE!</v>
      </c>
      <c r="BJ360" s="370" cm="1">
        <f t="array" ref="BJ360:BM360">_xlfn.LET(_xlpm.data,$R360:$AV360,_xlpm.starts,{1,8,16,23},_xlpm.lengths,{7,7,8,9},_xlpm.arr,_xlfn.MAP(_xlpm.starts,_xlpm.lengths,_xlfn.LAMBDA(_xlpm.s,_xlpm.l,SUM(INDEX(_xlpm.data,,_xlfn.SEQUENCE(,_xlpm.l,_xlpm.s))))),ROUND(_xlpm.arr*$O360/1000,2))</f>
        <v>0</v>
      </c>
      <c r="BK360" s="330">
        <v>0</v>
      </c>
      <c r="BL360" s="330">
        <v>0</v>
      </c>
      <c r="BM360" s="330">
        <v>0</v>
      </c>
      <c r="BN360" s="258">
        <f t="shared" si="910"/>
        <v>0</v>
      </c>
      <c r="BO360" s="258">
        <v>0</v>
      </c>
      <c r="BP360" s="258">
        <v>8.34</v>
      </c>
      <c r="BQ360" s="258">
        <v>66.74</v>
      </c>
      <c r="BR360" s="258">
        <v>75.08</v>
      </c>
      <c r="BT360" s="258" cm="1">
        <f ca="1" t="array" ref="BT360:BW360">_xlfn.HSTACK(SUM(INDEX($R360:$AV360,1,1):INDEX($R360:$AV360,1,7)),SUM(INDEX($R360:$AV360,1,7):INDEX($R360:$AV360,1,13)),SUM(INDEX($R360:$AV360,1,16):INDEX($R360:$AV360,1,23)),SUM(INDEX($R360:$AV360,1,23):INDEX($R360:$AV360,1,31)))</f>
        <v>0</v>
      </c>
      <c r="BU360" s="258">
        <v>0</v>
      </c>
      <c r="BV360" s="258">
        <v>0</v>
      </c>
      <c r="BW360" s="258">
        <v>0</v>
      </c>
      <c r="BY360" s="258">
        <f t="shared" si="911"/>
        <v>0</v>
      </c>
      <c r="BZ360" s="258">
        <f t="shared" si="912"/>
        <v>0</v>
      </c>
      <c r="CA360" s="258">
        <f t="shared" si="913"/>
        <v>0</v>
      </c>
      <c r="CB360" s="258">
        <f t="shared" si="914"/>
        <v>0</v>
      </c>
      <c r="CE360" s="258">
        <f t="shared" si="915"/>
        <v>0</v>
      </c>
      <c r="CF360" s="258">
        <f t="shared" si="916"/>
        <v>0</v>
      </c>
      <c r="CG360" s="258">
        <f t="shared" si="917"/>
        <v>0</v>
      </c>
      <c r="CH360" s="258">
        <f t="shared" si="918"/>
        <v>0</v>
      </c>
      <c r="CI360" s="258">
        <f t="shared" si="919"/>
        <v>0</v>
      </c>
      <c r="CK360" s="258">
        <f t="shared" ref="CK360:CN360" si="932">IFERROR(ROUND(BY360*$P360,2),"")</f>
        <v>0</v>
      </c>
      <c r="CL360" s="258">
        <f t="shared" si="932"/>
        <v>0</v>
      </c>
      <c r="CM360" s="258">
        <f t="shared" si="932"/>
        <v>0</v>
      </c>
      <c r="CN360" s="258">
        <f t="shared" si="932"/>
        <v>0</v>
      </c>
      <c r="CO360" s="258">
        <f t="shared" si="921"/>
        <v>0</v>
      </c>
    </row>
    <row r="361" ht="17" spans="2:93">
      <c r="B361" s="334">
        <f>_xlfn.XLOOKUP(G361,销售需求表!A:A,销售需求表!C:C)</f>
        <v>0</v>
      </c>
      <c r="C361" s="335" t="str">
        <f t="shared" ref="C361:C371" si="933">IFERROR(MID(F361,FIND("R",F361)+1,2),"")</f>
        <v/>
      </c>
      <c r="D361" s="362" t="str">
        <f t="shared" si="896"/>
        <v>0寸</v>
      </c>
      <c r="E361" s="339" t="e">
        <f t="shared" si="897"/>
        <v>#VALUE!</v>
      </c>
      <c r="F361" s="339" t="str">
        <f t="shared" si="898"/>
        <v/>
      </c>
      <c r="G361" s="339"/>
      <c r="H361" s="334"/>
      <c r="I361" s="345"/>
      <c r="J361" s="346" t="str">
        <f t="shared" ref="J361:J373" si="934">IFERROR(LEFT(F361,FIND("-",F361))&amp;MID(F361,FIND("PR",F361,FIND("-",F361))+3,LEN(F361)),F361)</f>
        <v/>
      </c>
      <c r="K361" s="347">
        <f>_xlfn.XLOOKUP(F361,投产规格!E:E,投产规格!D:D,"未投产")</f>
        <v>0</v>
      </c>
      <c r="L361" s="347" t="str">
        <f>IFERROR(_xlfn.XLOOKUP(F361,硫化工艺!B:B,硫化工艺!C:C),"")</f>
        <v/>
      </c>
      <c r="M361" s="349" t="str">
        <f t="shared" ref="M361:M375" si="935">IF(L361="","",L361/(L361+$L$1/60))</f>
        <v/>
      </c>
      <c r="N361" s="347" t="str">
        <f t="shared" si="901"/>
        <v>全钢</v>
      </c>
      <c r="O361" s="347">
        <f>IFERROR(_xlfn.XLOOKUP(F361,轮胎重量!J:J,轮胎重量!G:G),"")</f>
        <v>0</v>
      </c>
      <c r="P361" s="347" t="str">
        <f>IFERROR(_xlfn.XLOOKUP(F361,硫化工艺!I:I,硫化工艺!J:J),"")</f>
        <v/>
      </c>
      <c r="Q361" s="347" t="str">
        <f t="shared" si="902"/>
        <v/>
      </c>
      <c r="R361" s="347"/>
      <c r="S361" s="347"/>
      <c r="T361" s="347"/>
      <c r="U361" s="347"/>
      <c r="V361" s="347"/>
      <c r="W361" s="347"/>
      <c r="X361" s="347"/>
      <c r="Y361" s="347"/>
      <c r="Z361" s="347"/>
      <c r="AA361" s="347"/>
      <c r="AB361" s="347"/>
      <c r="AC361" s="347"/>
      <c r="AD361" s="347"/>
      <c r="AE361" s="347"/>
      <c r="AF361" s="347"/>
      <c r="AG361" s="347"/>
      <c r="AH361" s="347"/>
      <c r="AI361" s="347"/>
      <c r="AJ361" s="347"/>
      <c r="AK361" s="347"/>
      <c r="AL361" s="347"/>
      <c r="AM361" s="347"/>
      <c r="AN361" s="347"/>
      <c r="AO361" s="347"/>
      <c r="AP361" s="347"/>
      <c r="AQ361" s="347"/>
      <c r="AR361" s="347"/>
      <c r="AS361" s="347"/>
      <c r="AT361" s="347"/>
      <c r="AU361" s="347"/>
      <c r="AV361" s="347"/>
      <c r="AW361" s="347" t="str">
        <f t="shared" si="903"/>
        <v/>
      </c>
      <c r="AX361" s="365" t="str">
        <f t="shared" si="904"/>
        <v/>
      </c>
      <c r="AY361" s="365" t="str">
        <f t="shared" si="905"/>
        <v/>
      </c>
      <c r="AZ361" s="366">
        <v>861.64</v>
      </c>
      <c r="BA361" s="368">
        <v>52.93</v>
      </c>
      <c r="BB361" s="368">
        <v>78.33</v>
      </c>
      <c r="BC361" s="368">
        <v>85.7</v>
      </c>
      <c r="BE361" s="330" t="e">
        <f t="shared" ref="BE361:BE376" si="936">AZ361*AW361</f>
        <v>#VALUE!</v>
      </c>
      <c r="BF361" s="330" t="e">
        <f t="shared" ref="BF361:BF376" si="937">BA361*AW361</f>
        <v>#VALUE!</v>
      </c>
      <c r="BG361" s="330" t="e">
        <f t="shared" ref="BG361:BG376" si="938">BB361*AW361</f>
        <v>#VALUE!</v>
      </c>
      <c r="BH361" s="330" t="e">
        <f t="shared" ref="BH361:BH376" si="939">BC361*AW361</f>
        <v>#VALUE!</v>
      </c>
      <c r="BJ361" s="370" cm="1">
        <f t="array" ref="BJ361:BM361">_xlfn.LET(_xlpm.data,$R361:$AV361,_xlpm.starts,{1,8,16,23},_xlpm.lengths,{7,7,8,9},_xlpm.arr,_xlfn.MAP(_xlpm.starts,_xlpm.lengths,_xlfn.LAMBDA(_xlpm.s,_xlpm.l,SUM(INDEX(_xlpm.data,,_xlfn.SEQUENCE(,_xlpm.l,_xlpm.s))))),ROUND(_xlpm.arr*$O361/1000,2))</f>
        <v>0</v>
      </c>
      <c r="BK361" s="330">
        <v>0</v>
      </c>
      <c r="BL361" s="330">
        <v>0</v>
      </c>
      <c r="BM361" s="330">
        <v>0</v>
      </c>
      <c r="BN361" s="258">
        <f t="shared" ref="BN361:BN375" si="940">SUM(BJ361:BM361)</f>
        <v>0</v>
      </c>
      <c r="BO361" s="258">
        <v>0</v>
      </c>
      <c r="BP361" s="258">
        <v>0</v>
      </c>
      <c r="BQ361" s="258">
        <v>0</v>
      </c>
      <c r="BR361" s="258">
        <v>0</v>
      </c>
      <c r="BT361" s="258" cm="1">
        <f ca="1" t="array" ref="BT361:BW361">_xlfn.HSTACK(SUM(INDEX($R361:$AV361,1,1):INDEX($R361:$AV361,1,7)),SUM(INDEX($R361:$AV361,1,7):INDEX($R361:$AV361,1,13)),SUM(INDEX($R361:$AV361,1,16):INDEX($R361:$AV361,1,23)),SUM(INDEX($R361:$AV361,1,23):INDEX($R361:$AV361,1,31)))</f>
        <v>0</v>
      </c>
      <c r="BU361" s="258">
        <v>0</v>
      </c>
      <c r="BV361" s="258">
        <v>0</v>
      </c>
      <c r="BW361" s="258">
        <v>0</v>
      </c>
      <c r="BY361" s="258">
        <f t="shared" ref="BY361:BY376" si="941">SUM(R361:X361)</f>
        <v>0</v>
      </c>
      <c r="BZ361" s="258">
        <f t="shared" ref="BZ361:BZ376" si="942">SUM(Y361:AE361)</f>
        <v>0</v>
      </c>
      <c r="CA361" s="258">
        <f t="shared" ref="CA361:CA376" si="943">SUM(AF361:AM361)</f>
        <v>0</v>
      </c>
      <c r="CB361" s="258">
        <f t="shared" ref="CB361:CB376" si="944">SUM(AN361:AV361)</f>
        <v>0</v>
      </c>
      <c r="CE361" s="258">
        <f t="shared" ref="CE361:CE375" si="945">ROUND(BY361*$O361/1000,2)</f>
        <v>0</v>
      </c>
      <c r="CF361" s="258">
        <f t="shared" ref="CF361:CF375" si="946">ROUND(BZ361*$O361/1000,2)</f>
        <v>0</v>
      </c>
      <c r="CG361" s="258">
        <f t="shared" ref="CG361:CG375" si="947">ROUND(CA361*$O361/1000,2)</f>
        <v>0</v>
      </c>
      <c r="CH361" s="258">
        <f t="shared" ref="CH361:CH375" si="948">ROUND(CB361*$O361/1000,2)</f>
        <v>0</v>
      </c>
      <c r="CI361" s="258">
        <f t="shared" ref="CI361:CI375" si="949">SUM(CE361:CH361)</f>
        <v>0</v>
      </c>
      <c r="CK361" s="258" t="str">
        <f t="shared" ref="CK361:CN361" si="950">IFERROR(ROUND(BY361*$P361,2),"")</f>
        <v/>
      </c>
      <c r="CL361" s="258" t="str">
        <f t="shared" si="950"/>
        <v/>
      </c>
      <c r="CM361" s="258" t="str">
        <f t="shared" si="950"/>
        <v/>
      </c>
      <c r="CN361" s="258" t="str">
        <f t="shared" si="950"/>
        <v/>
      </c>
      <c r="CO361" s="258">
        <f t="shared" si="921"/>
        <v>0</v>
      </c>
    </row>
    <row r="362" s="258" customFormat="1" ht="17" spans="1:93">
      <c r="A362" s="330"/>
      <c r="B362" s="334">
        <f>_xlfn.XLOOKUP(G362,销售需求表!A:A,销售需求表!C:C)</f>
        <v>0</v>
      </c>
      <c r="C362" s="335" t="str">
        <f t="shared" si="933"/>
        <v/>
      </c>
      <c r="D362" s="362" t="str">
        <f t="shared" si="896"/>
        <v>0寸</v>
      </c>
      <c r="E362" s="339" t="e">
        <f t="shared" si="897"/>
        <v>#VALUE!</v>
      </c>
      <c r="F362" s="339" t="str">
        <f t="shared" si="898"/>
        <v/>
      </c>
      <c r="G362" s="339"/>
      <c r="H362" s="334"/>
      <c r="I362" s="345"/>
      <c r="J362" s="346" t="str">
        <f t="shared" si="934"/>
        <v/>
      </c>
      <c r="K362" s="347">
        <f>_xlfn.XLOOKUP(F362,投产规格!E:E,投产规格!D:D,"未投产")</f>
        <v>0</v>
      </c>
      <c r="L362" s="347" t="str">
        <f>IFERROR(_xlfn.XLOOKUP(F362,硫化工艺!B:B,硫化工艺!C:C),"")</f>
        <v/>
      </c>
      <c r="M362" s="349" t="str">
        <f t="shared" si="935"/>
        <v/>
      </c>
      <c r="N362" s="347" t="str">
        <f t="shared" si="901"/>
        <v>全钢</v>
      </c>
      <c r="O362" s="347">
        <f>IFERROR(_xlfn.XLOOKUP(F362,轮胎重量!J:J,轮胎重量!G:G),"")</f>
        <v>0</v>
      </c>
      <c r="P362" s="347" t="str">
        <f>IFERROR(_xlfn.XLOOKUP(F362,硫化工艺!I:I,硫化工艺!J:J),"")</f>
        <v/>
      </c>
      <c r="Q362" s="347" t="str">
        <f t="shared" si="902"/>
        <v/>
      </c>
      <c r="R362" s="347"/>
      <c r="S362" s="347"/>
      <c r="T362" s="347"/>
      <c r="U362" s="347"/>
      <c r="V362" s="347"/>
      <c r="W362" s="347"/>
      <c r="X362" s="347"/>
      <c r="Y362" s="347"/>
      <c r="Z362" s="347"/>
      <c r="AA362" s="347"/>
      <c r="AB362" s="347"/>
      <c r="AC362" s="347"/>
      <c r="AD362" s="347"/>
      <c r="AE362" s="347"/>
      <c r="AF362" s="347"/>
      <c r="AG362" s="347"/>
      <c r="AH362" s="347"/>
      <c r="AI362" s="347"/>
      <c r="AJ362" s="347"/>
      <c r="AK362" s="347"/>
      <c r="AL362" s="347"/>
      <c r="AM362" s="347"/>
      <c r="AN362" s="347"/>
      <c r="AO362" s="347"/>
      <c r="AP362" s="347"/>
      <c r="AQ362" s="347"/>
      <c r="AR362" s="347"/>
      <c r="AS362" s="347"/>
      <c r="AT362" s="347"/>
      <c r="AU362" s="347"/>
      <c r="AV362" s="347"/>
      <c r="AW362" s="347" t="str">
        <f t="shared" si="903"/>
        <v/>
      </c>
      <c r="AX362" s="365" t="str">
        <f t="shared" si="904"/>
        <v/>
      </c>
      <c r="AY362" s="365" t="str">
        <f t="shared" si="905"/>
        <v/>
      </c>
      <c r="AZ362" s="366">
        <v>828.4</v>
      </c>
      <c r="BA362" s="368">
        <v>50.66</v>
      </c>
      <c r="BB362" s="368">
        <v>75.77</v>
      </c>
      <c r="BC362" s="368">
        <v>82.47</v>
      </c>
      <c r="BD362" s="330"/>
      <c r="BE362" s="330" t="e">
        <f t="shared" si="936"/>
        <v>#VALUE!</v>
      </c>
      <c r="BF362" s="330" t="e">
        <f t="shared" si="937"/>
        <v>#VALUE!</v>
      </c>
      <c r="BG362" s="330" t="e">
        <f t="shared" si="938"/>
        <v>#VALUE!</v>
      </c>
      <c r="BH362" s="330" t="e">
        <f t="shared" si="939"/>
        <v>#VALUE!</v>
      </c>
      <c r="BI362" s="330"/>
      <c r="BJ362" s="370" cm="1">
        <f t="array" ref="BJ362:BM362">_xlfn.LET(_xlpm.data,$R362:$AV362,_xlpm.starts,{1,8,16,23},_xlpm.lengths,{7,7,8,9},_xlpm.arr,_xlfn.MAP(_xlpm.starts,_xlpm.lengths,_xlfn.LAMBDA(_xlpm.s,_xlpm.l,SUM(INDEX(_xlpm.data,,_xlfn.SEQUENCE(,_xlpm.l,_xlpm.s))))),ROUND(_xlpm.arr*$O362/1000,2))</f>
        <v>0</v>
      </c>
      <c r="BK362" s="330">
        <v>0</v>
      </c>
      <c r="BL362" s="330">
        <v>0</v>
      </c>
      <c r="BM362" s="330">
        <v>0</v>
      </c>
      <c r="BN362" s="258">
        <f t="shared" si="940"/>
        <v>0</v>
      </c>
      <c r="BO362" s="258">
        <v>0</v>
      </c>
      <c r="BP362" s="258">
        <v>0</v>
      </c>
      <c r="BQ362" s="258">
        <v>0</v>
      </c>
      <c r="BR362" s="258">
        <v>16.09</v>
      </c>
      <c r="BS362" s="115" t="e">
        <f>Q362*O362</f>
        <v>#VALUE!</v>
      </c>
      <c r="BT362" s="258" cm="1">
        <f ca="1" t="array" ref="BT362:BW362">_xlfn.HSTACK(SUM(INDEX($R362:$AV362,1,1):INDEX($R362:$AV362,1,7)),SUM(INDEX($R362:$AV362,1,7):INDEX($R362:$AV362,1,13)),SUM(INDEX($R362:$AV362,1,16):INDEX($R362:$AV362,1,23)),SUM(INDEX($R362:$AV362,1,23):INDEX($R362:$AV362,1,31)))</f>
        <v>0</v>
      </c>
      <c r="BU362" s="258">
        <v>0</v>
      </c>
      <c r="BV362" s="258">
        <v>0</v>
      </c>
      <c r="BW362" s="258">
        <v>0</v>
      </c>
      <c r="BY362" s="258">
        <f t="shared" si="941"/>
        <v>0</v>
      </c>
      <c r="BZ362" s="258">
        <f t="shared" si="942"/>
        <v>0</v>
      </c>
      <c r="CA362" s="258">
        <f t="shared" si="943"/>
        <v>0</v>
      </c>
      <c r="CB362" s="258">
        <f t="shared" si="944"/>
        <v>0</v>
      </c>
      <c r="CD362" s="113"/>
      <c r="CE362" s="258">
        <f t="shared" si="945"/>
        <v>0</v>
      </c>
      <c r="CF362" s="258">
        <f t="shared" si="946"/>
        <v>0</v>
      </c>
      <c r="CG362" s="258">
        <f t="shared" si="947"/>
        <v>0</v>
      </c>
      <c r="CH362" s="258">
        <f t="shared" si="948"/>
        <v>0</v>
      </c>
      <c r="CI362" s="258">
        <f t="shared" si="949"/>
        <v>0</v>
      </c>
      <c r="CJ362" s="113"/>
      <c r="CK362" s="258" t="str">
        <f t="shared" ref="CK362:CN362" si="951">IFERROR(ROUND(BY362*$P362,2),"")</f>
        <v/>
      </c>
      <c r="CL362" s="258" t="str">
        <f t="shared" si="951"/>
        <v/>
      </c>
      <c r="CM362" s="258" t="str">
        <f t="shared" si="951"/>
        <v/>
      </c>
      <c r="CN362" s="258" t="str">
        <f t="shared" si="951"/>
        <v/>
      </c>
      <c r="CO362" s="258">
        <f t="shared" si="921"/>
        <v>0</v>
      </c>
    </row>
    <row r="363" ht="17" spans="2:93">
      <c r="B363" s="334">
        <f>_xlfn.XLOOKUP(G363,销售需求表!A:A,销售需求表!C:C)</f>
        <v>0</v>
      </c>
      <c r="C363" s="335" t="str">
        <f t="shared" si="933"/>
        <v/>
      </c>
      <c r="D363" s="362" t="str">
        <f t="shared" ref="D363:D375" si="952">B363&amp;C363&amp;"寸"</f>
        <v>0寸</v>
      </c>
      <c r="E363" s="339" t="e">
        <f t="shared" si="897"/>
        <v>#VALUE!</v>
      </c>
      <c r="F363" s="339" t="str">
        <f t="shared" si="898"/>
        <v/>
      </c>
      <c r="G363" s="339"/>
      <c r="H363" s="334"/>
      <c r="I363" s="345"/>
      <c r="J363" s="346" t="str">
        <f t="shared" si="934"/>
        <v/>
      </c>
      <c r="K363" s="347">
        <f>_xlfn.XLOOKUP(F363,投产规格!E:E,投产规格!D:D,"未投产")</f>
        <v>0</v>
      </c>
      <c r="L363" s="347" t="str">
        <f>IFERROR(_xlfn.XLOOKUP(F363,硫化工艺!B:B,硫化工艺!C:C),"")</f>
        <v/>
      </c>
      <c r="M363" s="349" t="str">
        <f t="shared" si="935"/>
        <v/>
      </c>
      <c r="N363" s="347" t="str">
        <f t="shared" si="901"/>
        <v>全钢</v>
      </c>
      <c r="O363" s="347">
        <f>IFERROR(_xlfn.XLOOKUP(F363,轮胎重量!J:J,轮胎重量!G:G),"")</f>
        <v>0</v>
      </c>
      <c r="P363" s="350">
        <f>O363*13.9</f>
        <v>0</v>
      </c>
      <c r="Q363" s="347" t="str">
        <f t="shared" si="902"/>
        <v/>
      </c>
      <c r="R363" s="347"/>
      <c r="S363" s="347"/>
      <c r="T363" s="347"/>
      <c r="U363" s="347"/>
      <c r="V363" s="347"/>
      <c r="W363" s="347"/>
      <c r="X363" s="347"/>
      <c r="Y363" s="347"/>
      <c r="Z363" s="347"/>
      <c r="AA363" s="347"/>
      <c r="AB363" s="347"/>
      <c r="AC363" s="347"/>
      <c r="AD363" s="347"/>
      <c r="AE363" s="347"/>
      <c r="AF363" s="347"/>
      <c r="AG363" s="347"/>
      <c r="AH363" s="347"/>
      <c r="AI363" s="347"/>
      <c r="AJ363" s="347"/>
      <c r="AK363" s="347"/>
      <c r="AL363" s="347"/>
      <c r="AM363" s="347"/>
      <c r="AN363" s="347"/>
      <c r="AO363" s="347"/>
      <c r="AP363" s="347"/>
      <c r="AQ363" s="347"/>
      <c r="AR363" s="347"/>
      <c r="AS363" s="347"/>
      <c r="AT363" s="347"/>
      <c r="AU363" s="347"/>
      <c r="AV363" s="347"/>
      <c r="AW363" s="347" t="str">
        <f t="shared" ref="AW363:AW369" si="953">IF(SUM(R363:AV363)=0,"",SUM(R363:AV363))</f>
        <v/>
      </c>
      <c r="AX363" s="365" t="str">
        <f t="shared" ref="AX363:AX369" si="954">IFERROR(AW363*O363/1000,"")</f>
        <v/>
      </c>
      <c r="AY363" s="365" t="str">
        <f t="shared" ref="AY363:AY369" si="955">IFERROR(ROUND(AW363*P363/10000,3),"")</f>
        <v/>
      </c>
      <c r="AZ363" s="366">
        <v>864.55</v>
      </c>
      <c r="BA363" s="368">
        <v>53.34</v>
      </c>
      <c r="BB363" s="368">
        <v>78.72</v>
      </c>
      <c r="BC363" s="368">
        <v>86.44</v>
      </c>
      <c r="BE363" s="330" t="e">
        <f t="shared" si="936"/>
        <v>#VALUE!</v>
      </c>
      <c r="BF363" s="330" t="e">
        <f t="shared" si="937"/>
        <v>#VALUE!</v>
      </c>
      <c r="BG363" s="330" t="e">
        <f t="shared" si="938"/>
        <v>#VALUE!</v>
      </c>
      <c r="BH363" s="330" t="e">
        <f t="shared" si="939"/>
        <v>#VALUE!</v>
      </c>
      <c r="BJ363" s="370" cm="1">
        <f t="array" ref="BJ363:BM363">_xlfn.LET(_xlpm.data,$R363:$AV363,_xlpm.starts,{1,8,16,23},_xlpm.lengths,{7,7,8,9},_xlpm.arr,_xlfn.MAP(_xlpm.starts,_xlpm.lengths,_xlfn.LAMBDA(_xlpm.s,_xlpm.l,SUM(INDEX(_xlpm.data,,_xlfn.SEQUENCE(,_xlpm.l,_xlpm.s))))),ROUND(_xlpm.arr*$O363/1000,2))</f>
        <v>0</v>
      </c>
      <c r="BK363" s="330">
        <v>0</v>
      </c>
      <c r="BL363" s="330">
        <v>0</v>
      </c>
      <c r="BM363" s="330">
        <v>0</v>
      </c>
      <c r="BN363" s="258">
        <f t="shared" si="940"/>
        <v>0</v>
      </c>
      <c r="BO363" s="258">
        <v>0</v>
      </c>
      <c r="BP363" s="258">
        <v>0</v>
      </c>
      <c r="BQ363" s="258">
        <v>4.04</v>
      </c>
      <c r="BR363" s="258">
        <v>20.2</v>
      </c>
      <c r="BT363" s="258" cm="1">
        <f ca="1" t="array" ref="BT363:BW363">_xlfn.HSTACK(SUM(INDEX($R363:$AV363,1,1):INDEX($R363:$AV363,1,7)),SUM(INDEX($R363:$AV363,1,7):INDEX($R363:$AV363,1,13)),SUM(INDEX($R363:$AV363,1,16):INDEX($R363:$AV363,1,23)),SUM(INDEX($R363:$AV363,1,23):INDEX($R363:$AV363,1,31)))</f>
        <v>0</v>
      </c>
      <c r="BU363" s="258">
        <v>0</v>
      </c>
      <c r="BV363" s="258">
        <v>0</v>
      </c>
      <c r="BW363" s="258">
        <v>0</v>
      </c>
      <c r="BY363" s="258">
        <f t="shared" si="941"/>
        <v>0</v>
      </c>
      <c r="BZ363" s="258">
        <f t="shared" si="942"/>
        <v>0</v>
      </c>
      <c r="CA363" s="258">
        <f t="shared" si="943"/>
        <v>0</v>
      </c>
      <c r="CB363" s="258">
        <f t="shared" si="944"/>
        <v>0</v>
      </c>
      <c r="CE363" s="258">
        <f t="shared" si="945"/>
        <v>0</v>
      </c>
      <c r="CF363" s="258">
        <f t="shared" si="946"/>
        <v>0</v>
      </c>
      <c r="CG363" s="258">
        <f t="shared" si="947"/>
        <v>0</v>
      </c>
      <c r="CH363" s="258">
        <f t="shared" si="948"/>
        <v>0</v>
      </c>
      <c r="CI363" s="258">
        <f t="shared" si="949"/>
        <v>0</v>
      </c>
      <c r="CK363" s="258">
        <f t="shared" ref="CK363:CN363" si="956">IFERROR(ROUND(BY363*$P363,2),"")</f>
        <v>0</v>
      </c>
      <c r="CL363" s="258">
        <f t="shared" si="956"/>
        <v>0</v>
      </c>
      <c r="CM363" s="258">
        <f t="shared" si="956"/>
        <v>0</v>
      </c>
      <c r="CN363" s="258">
        <f t="shared" si="956"/>
        <v>0</v>
      </c>
      <c r="CO363" s="258">
        <f t="shared" si="921"/>
        <v>0</v>
      </c>
    </row>
    <row r="364" s="258" customFormat="1" ht="17" spans="1:93">
      <c r="A364" s="330"/>
      <c r="B364" s="334">
        <f>_xlfn.XLOOKUP(G364,销售需求表!A:A,销售需求表!C:C)</f>
        <v>0</v>
      </c>
      <c r="C364" s="335" t="str">
        <f t="shared" si="933"/>
        <v/>
      </c>
      <c r="D364" s="362" t="str">
        <f t="shared" si="952"/>
        <v>0寸</v>
      </c>
      <c r="E364" s="339" t="e">
        <f t="shared" si="897"/>
        <v>#VALUE!</v>
      </c>
      <c r="F364" s="339" t="str">
        <f t="shared" si="898"/>
        <v/>
      </c>
      <c r="G364" s="339"/>
      <c r="H364" s="334"/>
      <c r="I364" s="345"/>
      <c r="J364" s="346" t="str">
        <f t="shared" si="934"/>
        <v/>
      </c>
      <c r="K364" s="347">
        <f>_xlfn.XLOOKUP(F364,投产规格!E:E,投产规格!D:D,"未投产")</f>
        <v>0</v>
      </c>
      <c r="L364" s="347" t="str">
        <f>IFERROR(_xlfn.XLOOKUP(F364,硫化工艺!B:B,硫化工艺!C:C),"")</f>
        <v/>
      </c>
      <c r="M364" s="349" t="str">
        <f t="shared" si="935"/>
        <v/>
      </c>
      <c r="N364" s="347" t="str">
        <f t="shared" si="901"/>
        <v>全钢</v>
      </c>
      <c r="O364" s="347">
        <f>IFERROR(_xlfn.XLOOKUP(F364,轮胎重量!J:J,轮胎重量!G:G),"")</f>
        <v>0</v>
      </c>
      <c r="P364" s="347" t="str">
        <f>IFERROR(_xlfn.XLOOKUP(F364,硫化工艺!I:I,硫化工艺!J:J),"")</f>
        <v/>
      </c>
      <c r="Q364" s="347" t="str">
        <f t="shared" si="902"/>
        <v/>
      </c>
      <c r="R364" s="347"/>
      <c r="S364" s="347"/>
      <c r="T364" s="347"/>
      <c r="U364" s="347"/>
      <c r="V364" s="347"/>
      <c r="W364" s="347"/>
      <c r="X364" s="347"/>
      <c r="Y364" s="347"/>
      <c r="Z364" s="347"/>
      <c r="AA364" s="347"/>
      <c r="AB364" s="347"/>
      <c r="AC364" s="347"/>
      <c r="AD364" s="347"/>
      <c r="AE364" s="347"/>
      <c r="AF364" s="347"/>
      <c r="AG364" s="347"/>
      <c r="AH364" s="347"/>
      <c r="AI364" s="347"/>
      <c r="AJ364" s="347"/>
      <c r="AK364" s="347"/>
      <c r="AL364" s="347"/>
      <c r="AM364" s="347"/>
      <c r="AN364" s="347"/>
      <c r="AO364" s="347"/>
      <c r="AP364" s="347"/>
      <c r="AQ364" s="347"/>
      <c r="AR364" s="347"/>
      <c r="AS364" s="347"/>
      <c r="AT364" s="347"/>
      <c r="AU364" s="347"/>
      <c r="AV364" s="347"/>
      <c r="AW364" s="347" t="str">
        <f t="shared" si="953"/>
        <v/>
      </c>
      <c r="AX364" s="365" t="str">
        <f t="shared" si="954"/>
        <v/>
      </c>
      <c r="AY364" s="365" t="str">
        <f t="shared" si="955"/>
        <v/>
      </c>
      <c r="AZ364" s="366">
        <v>864.55</v>
      </c>
      <c r="BA364" s="368">
        <v>53.34</v>
      </c>
      <c r="BB364" s="368">
        <v>78.72</v>
      </c>
      <c r="BC364" s="368">
        <v>86.44</v>
      </c>
      <c r="BD364" s="330"/>
      <c r="BE364" s="330" t="e">
        <f t="shared" si="936"/>
        <v>#VALUE!</v>
      </c>
      <c r="BF364" s="330" t="e">
        <f t="shared" si="937"/>
        <v>#VALUE!</v>
      </c>
      <c r="BG364" s="330" t="e">
        <f t="shared" si="938"/>
        <v>#VALUE!</v>
      </c>
      <c r="BH364" s="330" t="e">
        <f t="shared" si="939"/>
        <v>#VALUE!</v>
      </c>
      <c r="BI364" s="330"/>
      <c r="BJ364" s="370" cm="1">
        <f t="array" ref="BJ364:BM364">_xlfn.LET(_xlpm.data,$R364:$AV364,_xlpm.starts,{1,8,16,23},_xlpm.lengths,{7,7,8,9},_xlpm.arr,_xlfn.MAP(_xlpm.starts,_xlpm.lengths,_xlfn.LAMBDA(_xlpm.s,_xlpm.l,SUM(INDEX(_xlpm.data,,_xlfn.SEQUENCE(,_xlpm.l,_xlpm.s))))),ROUND(_xlpm.arr*$O364/1000,2))</f>
        <v>0</v>
      </c>
      <c r="BK364" s="330">
        <v>0</v>
      </c>
      <c r="BL364" s="330">
        <v>0</v>
      </c>
      <c r="BM364" s="330">
        <v>0</v>
      </c>
      <c r="BN364" s="258">
        <f t="shared" si="940"/>
        <v>0</v>
      </c>
      <c r="BO364" s="258">
        <v>0</v>
      </c>
      <c r="BP364" s="258">
        <v>0</v>
      </c>
      <c r="BQ364" s="258">
        <v>0</v>
      </c>
      <c r="BR364" s="258">
        <v>15.99</v>
      </c>
      <c r="BS364" s="115"/>
      <c r="BT364" s="258" cm="1">
        <f ca="1" t="array" ref="BT364:BW364">_xlfn.HSTACK(SUM(INDEX($R364:$AV364,1,1):INDEX($R364:$AV364,1,7)),SUM(INDEX($R364:$AV364,1,7):INDEX($R364:$AV364,1,13)),SUM(INDEX($R364:$AV364,1,16):INDEX($R364:$AV364,1,23)),SUM(INDEX($R364:$AV364,1,23):INDEX($R364:$AV364,1,31)))</f>
        <v>0</v>
      </c>
      <c r="BU364" s="258">
        <v>0</v>
      </c>
      <c r="BV364" s="258">
        <v>0</v>
      </c>
      <c r="BW364" s="258">
        <v>0</v>
      </c>
      <c r="BY364" s="258">
        <f t="shared" si="941"/>
        <v>0</v>
      </c>
      <c r="BZ364" s="258">
        <f t="shared" si="942"/>
        <v>0</v>
      </c>
      <c r="CA364" s="258">
        <f t="shared" si="943"/>
        <v>0</v>
      </c>
      <c r="CB364" s="258">
        <f t="shared" si="944"/>
        <v>0</v>
      </c>
      <c r="CD364" s="113"/>
      <c r="CE364" s="258">
        <f t="shared" si="945"/>
        <v>0</v>
      </c>
      <c r="CF364" s="258">
        <f t="shared" si="946"/>
        <v>0</v>
      </c>
      <c r="CG364" s="258">
        <f t="shared" si="947"/>
        <v>0</v>
      </c>
      <c r="CH364" s="258">
        <f t="shared" si="948"/>
        <v>0</v>
      </c>
      <c r="CI364" s="258">
        <f t="shared" si="949"/>
        <v>0</v>
      </c>
      <c r="CJ364" s="113"/>
      <c r="CK364" s="258" t="str">
        <f t="shared" ref="CK364:CN364" si="957">IFERROR(ROUND(BY364*$P364,2),"")</f>
        <v/>
      </c>
      <c r="CL364" s="258" t="str">
        <f t="shared" si="957"/>
        <v/>
      </c>
      <c r="CM364" s="258" t="str">
        <f t="shared" si="957"/>
        <v/>
      </c>
      <c r="CN364" s="258" t="str">
        <f t="shared" si="957"/>
        <v/>
      </c>
      <c r="CO364" s="258">
        <f t="shared" si="921"/>
        <v>0</v>
      </c>
    </row>
    <row r="365" s="258" customFormat="1" ht="17" spans="1:93">
      <c r="A365" s="330"/>
      <c r="B365" s="334">
        <f>_xlfn.XLOOKUP(G365,销售需求表!A:A,销售需求表!C:C)</f>
        <v>0</v>
      </c>
      <c r="C365" s="335" t="str">
        <f t="shared" si="933"/>
        <v/>
      </c>
      <c r="D365" s="362" t="str">
        <f t="shared" si="952"/>
        <v>0寸</v>
      </c>
      <c r="E365" s="339" t="e">
        <f t="shared" si="897"/>
        <v>#VALUE!</v>
      </c>
      <c r="F365" s="339" t="str">
        <f t="shared" si="898"/>
        <v/>
      </c>
      <c r="G365" s="339"/>
      <c r="H365" s="334"/>
      <c r="I365" s="345"/>
      <c r="J365" s="346" t="str">
        <f t="shared" si="934"/>
        <v/>
      </c>
      <c r="K365" s="347">
        <f>_xlfn.XLOOKUP(F365,投产规格!E:E,投产规格!D:D,"未投产")</f>
        <v>0</v>
      </c>
      <c r="L365" s="347" t="str">
        <f>IFERROR(_xlfn.XLOOKUP(F365,硫化工艺!B:B,硫化工艺!C:C),"")</f>
        <v/>
      </c>
      <c r="M365" s="349" t="str">
        <f t="shared" si="935"/>
        <v/>
      </c>
      <c r="N365" s="347" t="str">
        <f t="shared" si="901"/>
        <v>全钢</v>
      </c>
      <c r="O365" s="347">
        <f>IFERROR(_xlfn.XLOOKUP(F365,轮胎重量!J:J,轮胎重量!G:G),"")</f>
        <v>0</v>
      </c>
      <c r="P365" s="347" t="str">
        <f>IFERROR(_xlfn.XLOOKUP(F365,硫化工艺!I:I,硫化工艺!J:J),"")</f>
        <v/>
      </c>
      <c r="Q365" s="347" t="str">
        <f t="shared" si="902"/>
        <v/>
      </c>
      <c r="R365" s="347"/>
      <c r="S365" s="347"/>
      <c r="T365" s="347"/>
      <c r="U365" s="347"/>
      <c r="V365" s="347"/>
      <c r="W365" s="347"/>
      <c r="X365" s="347"/>
      <c r="Y365" s="347"/>
      <c r="Z365" s="347"/>
      <c r="AA365" s="347"/>
      <c r="AB365" s="347"/>
      <c r="AC365" s="347"/>
      <c r="AD365" s="347"/>
      <c r="AE365" s="347"/>
      <c r="AF365" s="347"/>
      <c r="AG365" s="347"/>
      <c r="AH365" s="347"/>
      <c r="AI365" s="347"/>
      <c r="AJ365" s="347"/>
      <c r="AK365" s="347"/>
      <c r="AL365" s="347"/>
      <c r="AM365" s="347"/>
      <c r="AN365" s="347"/>
      <c r="AO365" s="347"/>
      <c r="AP365" s="347"/>
      <c r="AQ365" s="347"/>
      <c r="AR365" s="347"/>
      <c r="AS365" s="347"/>
      <c r="AT365" s="347"/>
      <c r="AU365" s="347"/>
      <c r="AV365" s="347"/>
      <c r="AW365" s="347" t="str">
        <f t="shared" si="953"/>
        <v/>
      </c>
      <c r="AX365" s="365" t="str">
        <f t="shared" si="954"/>
        <v/>
      </c>
      <c r="AY365" s="365" t="str">
        <f t="shared" si="955"/>
        <v/>
      </c>
      <c r="AZ365" s="366">
        <v>864.55</v>
      </c>
      <c r="BA365" s="368">
        <v>53.34</v>
      </c>
      <c r="BB365" s="368">
        <v>78.72</v>
      </c>
      <c r="BC365" s="368">
        <v>86.44</v>
      </c>
      <c r="BD365" s="330"/>
      <c r="BE365" s="330" t="e">
        <f t="shared" si="936"/>
        <v>#VALUE!</v>
      </c>
      <c r="BF365" s="330" t="e">
        <f t="shared" si="937"/>
        <v>#VALUE!</v>
      </c>
      <c r="BG365" s="330" t="e">
        <f t="shared" si="938"/>
        <v>#VALUE!</v>
      </c>
      <c r="BH365" s="330" t="e">
        <f t="shared" si="939"/>
        <v>#VALUE!</v>
      </c>
      <c r="BI365" s="330"/>
      <c r="BJ365" s="370" cm="1">
        <f t="array" ref="BJ365:BM365">_xlfn.LET(_xlpm.data,$R365:$AV365,_xlpm.starts,{1,8,16,23},_xlpm.lengths,{7,7,8,9},_xlpm.arr,_xlfn.MAP(_xlpm.starts,_xlpm.lengths,_xlfn.LAMBDA(_xlpm.s,_xlpm.l,SUM(INDEX(_xlpm.data,,_xlfn.SEQUENCE(,_xlpm.l,_xlpm.s))))),ROUND(_xlpm.arr*$O365/1000,2))</f>
        <v>0</v>
      </c>
      <c r="BK365" s="330">
        <v>0</v>
      </c>
      <c r="BL365" s="330">
        <v>0</v>
      </c>
      <c r="BM365" s="330">
        <v>0</v>
      </c>
      <c r="BN365" s="258">
        <f t="shared" si="940"/>
        <v>0</v>
      </c>
      <c r="BO365" s="258">
        <v>0</v>
      </c>
      <c r="BP365" s="258">
        <v>0</v>
      </c>
      <c r="BQ365" s="258">
        <v>0</v>
      </c>
      <c r="BR365" s="258">
        <v>0</v>
      </c>
      <c r="BS365" s="115"/>
      <c r="BT365" s="258" cm="1">
        <f ca="1" t="array" ref="BT365:BW365">_xlfn.HSTACK(SUM(INDEX($R365:$AV365,1,1):INDEX($R365:$AV365,1,7)),SUM(INDEX($R365:$AV365,1,7):INDEX($R365:$AV365,1,13)),SUM(INDEX($R365:$AV365,1,16):INDEX($R365:$AV365,1,23)),SUM(INDEX($R365:$AV365,1,23):INDEX($R365:$AV365,1,31)))</f>
        <v>0</v>
      </c>
      <c r="BU365" s="258">
        <v>0</v>
      </c>
      <c r="BV365" s="258">
        <v>0</v>
      </c>
      <c r="BW365" s="258">
        <v>0</v>
      </c>
      <c r="BY365" s="258">
        <f t="shared" si="941"/>
        <v>0</v>
      </c>
      <c r="BZ365" s="258">
        <f t="shared" si="942"/>
        <v>0</v>
      </c>
      <c r="CA365" s="258">
        <f t="shared" si="943"/>
        <v>0</v>
      </c>
      <c r="CB365" s="258">
        <f t="shared" si="944"/>
        <v>0</v>
      </c>
      <c r="CD365" s="113"/>
      <c r="CE365" s="258">
        <f t="shared" si="945"/>
        <v>0</v>
      </c>
      <c r="CF365" s="258">
        <f t="shared" si="946"/>
        <v>0</v>
      </c>
      <c r="CG365" s="258">
        <f t="shared" si="947"/>
        <v>0</v>
      </c>
      <c r="CH365" s="258">
        <f t="shared" si="948"/>
        <v>0</v>
      </c>
      <c r="CI365" s="258">
        <f t="shared" si="949"/>
        <v>0</v>
      </c>
      <c r="CJ365" s="113"/>
      <c r="CK365" s="258" t="str">
        <f t="shared" ref="CK365:CN365" si="958">IFERROR(ROUND(BY365*$P365,2),"")</f>
        <v/>
      </c>
      <c r="CL365" s="258" t="str">
        <f t="shared" si="958"/>
        <v/>
      </c>
      <c r="CM365" s="258" t="str">
        <f t="shared" si="958"/>
        <v/>
      </c>
      <c r="CN365" s="258" t="str">
        <f t="shared" si="958"/>
        <v/>
      </c>
      <c r="CO365" s="258">
        <f t="shared" si="921"/>
        <v>0</v>
      </c>
    </row>
    <row r="366" s="258" customFormat="1" ht="17" spans="1:93">
      <c r="A366" s="330"/>
      <c r="B366" s="334">
        <f>_xlfn.XLOOKUP(G366,销售需求表!A:A,销售需求表!C:C)</f>
        <v>0</v>
      </c>
      <c r="C366" s="335" t="str">
        <f t="shared" si="933"/>
        <v/>
      </c>
      <c r="D366" s="362" t="str">
        <f t="shared" si="952"/>
        <v>0寸</v>
      </c>
      <c r="E366" s="339" t="e">
        <f t="shared" si="897"/>
        <v>#VALUE!</v>
      </c>
      <c r="F366" s="339" t="str">
        <f t="shared" si="898"/>
        <v/>
      </c>
      <c r="G366" s="339"/>
      <c r="H366" s="334"/>
      <c r="I366" s="345"/>
      <c r="J366" s="346" t="str">
        <f t="shared" si="934"/>
        <v/>
      </c>
      <c r="K366" s="347">
        <f>_xlfn.XLOOKUP(F366,投产规格!E:E,投产规格!D:D,"未投产")</f>
        <v>0</v>
      </c>
      <c r="L366" s="347" t="str">
        <f>IFERROR(_xlfn.XLOOKUP(F366,硫化工艺!B:B,硫化工艺!C:C),"")</f>
        <v/>
      </c>
      <c r="M366" s="349" t="str">
        <f t="shared" si="935"/>
        <v/>
      </c>
      <c r="N366" s="347" t="str">
        <f t="shared" si="901"/>
        <v>全钢</v>
      </c>
      <c r="O366" s="347">
        <f>IFERROR(_xlfn.XLOOKUP(F366,轮胎重量!J:J,轮胎重量!G:G),"")</f>
        <v>0</v>
      </c>
      <c r="P366" s="347" t="str">
        <f>IFERROR(_xlfn.XLOOKUP(F366,硫化工艺!I:I,硫化工艺!J:J),"")</f>
        <v/>
      </c>
      <c r="Q366" s="347" t="str">
        <f t="shared" si="902"/>
        <v/>
      </c>
      <c r="R366" s="347"/>
      <c r="S366" s="347"/>
      <c r="T366" s="347"/>
      <c r="U366" s="347"/>
      <c r="V366" s="347"/>
      <c r="W366" s="347"/>
      <c r="X366" s="347"/>
      <c r="Y366" s="347"/>
      <c r="Z366" s="347"/>
      <c r="AA366" s="347"/>
      <c r="AB366" s="347"/>
      <c r="AC366" s="347"/>
      <c r="AD366" s="347"/>
      <c r="AE366" s="347"/>
      <c r="AF366" s="347"/>
      <c r="AG366" s="347"/>
      <c r="AH366" s="347"/>
      <c r="AI366" s="347"/>
      <c r="AJ366" s="347"/>
      <c r="AK366" s="347"/>
      <c r="AL366" s="347"/>
      <c r="AM366" s="347"/>
      <c r="AN366" s="347"/>
      <c r="AO366" s="347"/>
      <c r="AP366" s="347"/>
      <c r="AQ366" s="347"/>
      <c r="AR366" s="347"/>
      <c r="AS366" s="347"/>
      <c r="AT366" s="347"/>
      <c r="AU366" s="347"/>
      <c r="AV366" s="347"/>
      <c r="AW366" s="347" t="str">
        <f t="shared" si="953"/>
        <v/>
      </c>
      <c r="AX366" s="365" t="str">
        <f t="shared" si="954"/>
        <v/>
      </c>
      <c r="AY366" s="365" t="str">
        <f t="shared" si="955"/>
        <v/>
      </c>
      <c r="AZ366" s="366">
        <v>864.55</v>
      </c>
      <c r="BA366" s="368">
        <v>53.34</v>
      </c>
      <c r="BB366" s="368">
        <v>78.72</v>
      </c>
      <c r="BC366" s="368">
        <v>86.44</v>
      </c>
      <c r="BD366" s="330"/>
      <c r="BE366" s="330" t="e">
        <f t="shared" si="936"/>
        <v>#VALUE!</v>
      </c>
      <c r="BF366" s="330" t="e">
        <f t="shared" si="937"/>
        <v>#VALUE!</v>
      </c>
      <c r="BG366" s="330" t="e">
        <f t="shared" si="938"/>
        <v>#VALUE!</v>
      </c>
      <c r="BH366" s="330" t="e">
        <f t="shared" si="939"/>
        <v>#VALUE!</v>
      </c>
      <c r="BI366" s="330"/>
      <c r="BJ366" s="370" cm="1">
        <f t="array" ref="BJ366:BM366">_xlfn.LET(_xlpm.data,$R366:$AV366,_xlpm.starts,{1,8,16,23},_xlpm.lengths,{7,7,8,9},_xlpm.arr,_xlfn.MAP(_xlpm.starts,_xlpm.lengths,_xlfn.LAMBDA(_xlpm.s,_xlpm.l,SUM(INDEX(_xlpm.data,,_xlfn.SEQUENCE(,_xlpm.l,_xlpm.s))))),ROUND(_xlpm.arr*$O366/1000,2))</f>
        <v>0</v>
      </c>
      <c r="BK366" s="330">
        <v>0</v>
      </c>
      <c r="BL366" s="330">
        <v>0</v>
      </c>
      <c r="BM366" s="330">
        <v>0</v>
      </c>
      <c r="BN366" s="258">
        <f t="shared" si="940"/>
        <v>0</v>
      </c>
      <c r="BO366" s="258">
        <v>28.66</v>
      </c>
      <c r="BP366" s="258">
        <v>28.66</v>
      </c>
      <c r="BQ366" s="258">
        <v>32.76</v>
      </c>
      <c r="BR366" s="258">
        <v>36.85</v>
      </c>
      <c r="BS366" s="115"/>
      <c r="BT366" s="258" cm="1">
        <f ca="1" t="array" ref="BT366:BW366">_xlfn.HSTACK(SUM(INDEX($R366:$AV366,1,1):INDEX($R366:$AV366,1,7)),SUM(INDEX($R366:$AV366,1,7):INDEX($R366:$AV366,1,13)),SUM(INDEX($R366:$AV366,1,16):INDEX($R366:$AV366,1,23)),SUM(INDEX($R366:$AV366,1,23):INDEX($R366:$AV366,1,31)))</f>
        <v>0</v>
      </c>
      <c r="BU366" s="258">
        <v>0</v>
      </c>
      <c r="BV366" s="258">
        <v>0</v>
      </c>
      <c r="BW366" s="258">
        <v>0</v>
      </c>
      <c r="BY366" s="258">
        <f t="shared" si="941"/>
        <v>0</v>
      </c>
      <c r="BZ366" s="258">
        <f t="shared" si="942"/>
        <v>0</v>
      </c>
      <c r="CA366" s="258">
        <f t="shared" si="943"/>
        <v>0</v>
      </c>
      <c r="CB366" s="258">
        <f t="shared" si="944"/>
        <v>0</v>
      </c>
      <c r="CD366" s="113"/>
      <c r="CE366" s="258">
        <f t="shared" si="945"/>
        <v>0</v>
      </c>
      <c r="CF366" s="258">
        <f t="shared" si="946"/>
        <v>0</v>
      </c>
      <c r="CG366" s="258">
        <f t="shared" si="947"/>
        <v>0</v>
      </c>
      <c r="CH366" s="258">
        <f t="shared" si="948"/>
        <v>0</v>
      </c>
      <c r="CI366" s="258">
        <f t="shared" si="949"/>
        <v>0</v>
      </c>
      <c r="CJ366" s="113"/>
      <c r="CK366" s="258" t="str">
        <f t="shared" ref="CK366:CN366" si="959">IFERROR(ROUND(BY366*$P366,2),"")</f>
        <v/>
      </c>
      <c r="CL366" s="258" t="str">
        <f t="shared" si="959"/>
        <v/>
      </c>
      <c r="CM366" s="258" t="str">
        <f t="shared" si="959"/>
        <v/>
      </c>
      <c r="CN366" s="258" t="str">
        <f t="shared" si="959"/>
        <v/>
      </c>
      <c r="CO366" s="258">
        <f t="shared" si="921"/>
        <v>0</v>
      </c>
    </row>
    <row r="367" ht="17" spans="2:93">
      <c r="B367" s="334">
        <f>_xlfn.XLOOKUP(G367,销售需求表!A:A,销售需求表!C:C)</f>
        <v>0</v>
      </c>
      <c r="C367" s="335" t="str">
        <f t="shared" si="933"/>
        <v/>
      </c>
      <c r="D367" s="383" t="str">
        <f t="shared" si="952"/>
        <v>0寸</v>
      </c>
      <c r="E367" s="339" t="e">
        <f t="shared" si="897"/>
        <v>#VALUE!</v>
      </c>
      <c r="F367" s="339" t="str">
        <f t="shared" si="898"/>
        <v/>
      </c>
      <c r="G367" s="339"/>
      <c r="H367" s="334"/>
      <c r="I367" s="345"/>
      <c r="J367" s="346" t="str">
        <f t="shared" si="934"/>
        <v/>
      </c>
      <c r="K367" s="347">
        <f>_xlfn.XLOOKUP(F367,投产规格!E:E,投产规格!D:D,"未投产")</f>
        <v>0</v>
      </c>
      <c r="L367" s="347" t="str">
        <f>IFERROR(_xlfn.XLOOKUP(F367,硫化工艺!B:B,硫化工艺!C:C),"")</f>
        <v/>
      </c>
      <c r="M367" s="349" t="str">
        <f t="shared" si="935"/>
        <v/>
      </c>
      <c r="N367" s="347" t="str">
        <f t="shared" si="901"/>
        <v>全钢</v>
      </c>
      <c r="O367" s="347">
        <f>IFERROR(_xlfn.XLOOKUP(F367,轮胎重量!J:J,轮胎重量!G:G),"")</f>
        <v>0</v>
      </c>
      <c r="P367" s="347" t="str">
        <f>IFERROR(_xlfn.XLOOKUP(F367,硫化工艺!I:I,硫化工艺!J:J),"")</f>
        <v/>
      </c>
      <c r="Q367" s="347" t="str">
        <f t="shared" si="902"/>
        <v/>
      </c>
      <c r="R367" s="347"/>
      <c r="S367" s="347"/>
      <c r="T367" s="347"/>
      <c r="U367" s="347"/>
      <c r="V367" s="347"/>
      <c r="W367" s="347"/>
      <c r="X367" s="347"/>
      <c r="Y367" s="347"/>
      <c r="Z367" s="347"/>
      <c r="AA367" s="347"/>
      <c r="AB367" s="347"/>
      <c r="AC367" s="347"/>
      <c r="AD367" s="347"/>
      <c r="AE367" s="347"/>
      <c r="AF367" s="347"/>
      <c r="AG367" s="347"/>
      <c r="AH367" s="347"/>
      <c r="AI367" s="347"/>
      <c r="AJ367" s="347"/>
      <c r="AK367" s="347"/>
      <c r="AL367" s="347"/>
      <c r="AM367" s="347"/>
      <c r="AN367" s="347"/>
      <c r="AO367" s="347"/>
      <c r="AP367" s="347"/>
      <c r="AQ367" s="347"/>
      <c r="AR367" s="347"/>
      <c r="AS367" s="347"/>
      <c r="AT367" s="347"/>
      <c r="AU367" s="347"/>
      <c r="AV367" s="347"/>
      <c r="AW367" s="347" t="str">
        <f t="shared" si="953"/>
        <v/>
      </c>
      <c r="AX367" s="365" t="str">
        <f t="shared" si="954"/>
        <v/>
      </c>
      <c r="AY367" s="365" t="str">
        <f t="shared" si="955"/>
        <v/>
      </c>
      <c r="AZ367" s="366">
        <v>842.39</v>
      </c>
      <c r="BA367" s="368">
        <v>47.68</v>
      </c>
      <c r="BB367" s="368">
        <v>74.78</v>
      </c>
      <c r="BC367" s="368">
        <v>76.28</v>
      </c>
      <c r="BE367" s="330" t="e">
        <f t="shared" si="936"/>
        <v>#VALUE!</v>
      </c>
      <c r="BF367" s="330" t="e">
        <f t="shared" si="937"/>
        <v>#VALUE!</v>
      </c>
      <c r="BG367" s="330" t="e">
        <f t="shared" si="938"/>
        <v>#VALUE!</v>
      </c>
      <c r="BH367" s="330" t="e">
        <f t="shared" si="939"/>
        <v>#VALUE!</v>
      </c>
      <c r="BJ367" s="370" cm="1">
        <f t="array" ref="BJ367:BM367">_xlfn.LET(_xlpm.data,$R367:$AV367,_xlpm.starts,{1,8,16,23},_xlpm.lengths,{7,7,8,9},_xlpm.arr,_xlfn.MAP(_xlpm.starts,_xlpm.lengths,_xlfn.LAMBDA(_xlpm.s,_xlpm.l,SUM(INDEX(_xlpm.data,,_xlfn.SEQUENCE(,_xlpm.l,_xlpm.s))))),ROUND(_xlpm.arr*$O367/1000,2))</f>
        <v>0</v>
      </c>
      <c r="BK367" s="330">
        <v>0</v>
      </c>
      <c r="BL367" s="330">
        <v>0</v>
      </c>
      <c r="BM367" s="330">
        <v>0</v>
      </c>
      <c r="BN367" s="258">
        <f t="shared" si="940"/>
        <v>0</v>
      </c>
      <c r="BO367" s="258">
        <v>67.98</v>
      </c>
      <c r="BP367" s="258">
        <v>57.82</v>
      </c>
      <c r="BQ367" s="258">
        <v>0</v>
      </c>
      <c r="BR367" s="258">
        <v>0</v>
      </c>
      <c r="BT367" s="258" cm="1">
        <f ca="1" t="array" ref="BT367:BW367">_xlfn.HSTACK(SUM(INDEX($R367:$AV367,1,1):INDEX($R367:$AV367,1,7)),SUM(INDEX($R367:$AV367,1,7):INDEX($R367:$AV367,1,13)),SUM(INDEX($R367:$AV367,1,16):INDEX($R367:$AV367,1,23)),SUM(INDEX($R367:$AV367,1,23):INDEX($R367:$AV367,1,31)))</f>
        <v>0</v>
      </c>
      <c r="BU367" s="258">
        <v>0</v>
      </c>
      <c r="BV367" s="258">
        <v>0</v>
      </c>
      <c r="BW367" s="258">
        <v>0</v>
      </c>
      <c r="BY367" s="258">
        <f t="shared" si="941"/>
        <v>0</v>
      </c>
      <c r="BZ367" s="258">
        <f t="shared" si="942"/>
        <v>0</v>
      </c>
      <c r="CA367" s="258">
        <f t="shared" si="943"/>
        <v>0</v>
      </c>
      <c r="CB367" s="258">
        <f t="shared" si="944"/>
        <v>0</v>
      </c>
      <c r="CE367" s="258">
        <f t="shared" si="945"/>
        <v>0</v>
      </c>
      <c r="CF367" s="258">
        <f t="shared" si="946"/>
        <v>0</v>
      </c>
      <c r="CG367" s="258">
        <f t="shared" si="947"/>
        <v>0</v>
      </c>
      <c r="CH367" s="258">
        <f t="shared" si="948"/>
        <v>0</v>
      </c>
      <c r="CI367" s="258">
        <f t="shared" si="949"/>
        <v>0</v>
      </c>
      <c r="CK367" s="258" t="str">
        <f t="shared" ref="CK367:CN367" si="960">IFERROR(ROUND(BY367*$P367,2),"")</f>
        <v/>
      </c>
      <c r="CL367" s="258" t="str">
        <f t="shared" si="960"/>
        <v/>
      </c>
      <c r="CM367" s="258" t="str">
        <f t="shared" si="960"/>
        <v/>
      </c>
      <c r="CN367" s="258" t="str">
        <f t="shared" si="960"/>
        <v/>
      </c>
      <c r="CO367" s="258">
        <f t="shared" si="921"/>
        <v>0</v>
      </c>
    </row>
    <row r="368" ht="17" spans="2:93">
      <c r="B368" s="334">
        <f>_xlfn.XLOOKUP(G368,销售需求表!A:A,销售需求表!C:C)</f>
        <v>0</v>
      </c>
      <c r="C368" s="335" t="str">
        <f t="shared" si="933"/>
        <v/>
      </c>
      <c r="D368" s="383" t="str">
        <f t="shared" si="952"/>
        <v>0寸</v>
      </c>
      <c r="E368" s="339" t="e">
        <f t="shared" si="897"/>
        <v>#VALUE!</v>
      </c>
      <c r="F368" s="339" t="str">
        <f t="shared" si="898"/>
        <v/>
      </c>
      <c r="G368" s="339"/>
      <c r="H368" s="334"/>
      <c r="I368" s="345"/>
      <c r="J368" s="346" t="str">
        <f t="shared" si="934"/>
        <v/>
      </c>
      <c r="K368" s="347">
        <f>_xlfn.XLOOKUP(F368,投产规格!E:E,投产规格!D:D,"未投产")</f>
        <v>0</v>
      </c>
      <c r="L368" s="347" t="str">
        <f>IFERROR(_xlfn.XLOOKUP(F368,硫化工艺!B:B,硫化工艺!C:C),"")</f>
        <v/>
      </c>
      <c r="M368" s="349" t="str">
        <f t="shared" si="935"/>
        <v/>
      </c>
      <c r="N368" s="347" t="str">
        <f t="shared" si="901"/>
        <v>全钢</v>
      </c>
      <c r="O368" s="347">
        <f>IFERROR(_xlfn.XLOOKUP(F368,轮胎重量!J:J,轮胎重量!G:G),"")</f>
        <v>0</v>
      </c>
      <c r="P368" s="350">
        <f>O368*13.9</f>
        <v>0</v>
      </c>
      <c r="Q368" s="347" t="str">
        <f t="shared" si="902"/>
        <v/>
      </c>
      <c r="R368" s="347"/>
      <c r="S368" s="347"/>
      <c r="T368" s="347"/>
      <c r="U368" s="347"/>
      <c r="V368" s="347"/>
      <c r="W368" s="347"/>
      <c r="X368" s="347"/>
      <c r="Y368" s="347"/>
      <c r="Z368" s="347"/>
      <c r="AA368" s="347"/>
      <c r="AB368" s="347"/>
      <c r="AC368" s="347"/>
      <c r="AD368" s="347"/>
      <c r="AE368" s="347"/>
      <c r="AF368" s="347"/>
      <c r="AG368" s="347"/>
      <c r="AH368" s="347"/>
      <c r="AI368" s="347"/>
      <c r="AJ368" s="347"/>
      <c r="AK368" s="347"/>
      <c r="AL368" s="347"/>
      <c r="AM368" s="347"/>
      <c r="AN368" s="347"/>
      <c r="AO368" s="347"/>
      <c r="AP368" s="347"/>
      <c r="AQ368" s="347"/>
      <c r="AR368" s="347"/>
      <c r="AS368" s="347"/>
      <c r="AT368" s="347"/>
      <c r="AU368" s="347"/>
      <c r="AV368" s="347"/>
      <c r="AW368" s="347" t="str">
        <f t="shared" si="953"/>
        <v/>
      </c>
      <c r="AX368" s="365" t="str">
        <f t="shared" si="954"/>
        <v/>
      </c>
      <c r="AY368" s="365" t="str">
        <f t="shared" si="955"/>
        <v/>
      </c>
      <c r="AZ368" s="366">
        <v>842.39</v>
      </c>
      <c r="BA368" s="368">
        <v>47.68</v>
      </c>
      <c r="BB368" s="368">
        <v>74.78</v>
      </c>
      <c r="BC368" s="368">
        <v>76.28</v>
      </c>
      <c r="BE368" s="330" t="e">
        <f t="shared" si="936"/>
        <v>#VALUE!</v>
      </c>
      <c r="BF368" s="330" t="e">
        <f t="shared" si="937"/>
        <v>#VALUE!</v>
      </c>
      <c r="BG368" s="330" t="e">
        <f t="shared" si="938"/>
        <v>#VALUE!</v>
      </c>
      <c r="BH368" s="330" t="e">
        <f t="shared" si="939"/>
        <v>#VALUE!</v>
      </c>
      <c r="BJ368" s="370" cm="1">
        <f t="array" ref="BJ368:BM368">_xlfn.LET(_xlpm.data,$R368:$AV368,_xlpm.starts,{1,8,16,23},_xlpm.lengths,{7,7,8,9},_xlpm.arr,_xlfn.MAP(_xlpm.starts,_xlpm.lengths,_xlfn.LAMBDA(_xlpm.s,_xlpm.l,SUM(INDEX(_xlpm.data,,_xlfn.SEQUENCE(,_xlpm.l,_xlpm.s))))),ROUND(_xlpm.arr*$O368/1000,2))</f>
        <v>0</v>
      </c>
      <c r="BK368" s="330">
        <v>0</v>
      </c>
      <c r="BL368" s="330">
        <v>0</v>
      </c>
      <c r="BM368" s="330">
        <v>0</v>
      </c>
      <c r="BN368" s="258">
        <f t="shared" si="940"/>
        <v>0</v>
      </c>
      <c r="BO368" s="258">
        <v>67.98</v>
      </c>
      <c r="BP368" s="258">
        <v>57.82</v>
      </c>
      <c r="BQ368" s="258">
        <v>0</v>
      </c>
      <c r="BR368" s="258">
        <v>0</v>
      </c>
      <c r="BT368" s="258" cm="1">
        <f ca="1" t="array" ref="BT368:BW368">_xlfn.HSTACK(SUM(INDEX($R368:$AV368,1,1):INDEX($R368:$AV368,1,7)),SUM(INDEX($R368:$AV368,1,7):INDEX($R368:$AV368,1,13)),SUM(INDEX($R368:$AV368,1,16):INDEX($R368:$AV368,1,23)),SUM(INDEX($R368:$AV368,1,23):INDEX($R368:$AV368,1,31)))</f>
        <v>0</v>
      </c>
      <c r="BU368" s="258">
        <v>0</v>
      </c>
      <c r="BV368" s="258">
        <v>0</v>
      </c>
      <c r="BW368" s="258">
        <v>0</v>
      </c>
      <c r="BY368" s="258">
        <f t="shared" si="941"/>
        <v>0</v>
      </c>
      <c r="BZ368" s="258">
        <f t="shared" si="942"/>
        <v>0</v>
      </c>
      <c r="CA368" s="258">
        <f t="shared" si="943"/>
        <v>0</v>
      </c>
      <c r="CB368" s="258">
        <f t="shared" si="944"/>
        <v>0</v>
      </c>
      <c r="CE368" s="258">
        <f t="shared" si="945"/>
        <v>0</v>
      </c>
      <c r="CF368" s="258">
        <f t="shared" si="946"/>
        <v>0</v>
      </c>
      <c r="CG368" s="258">
        <f t="shared" si="947"/>
        <v>0</v>
      </c>
      <c r="CH368" s="258">
        <f t="shared" si="948"/>
        <v>0</v>
      </c>
      <c r="CI368" s="258">
        <f t="shared" si="949"/>
        <v>0</v>
      </c>
      <c r="CK368" s="258">
        <f t="shared" ref="CK368:CN368" si="961">IFERROR(ROUND(BY368*$P368,2),"")</f>
        <v>0</v>
      </c>
      <c r="CL368" s="258">
        <f t="shared" si="961"/>
        <v>0</v>
      </c>
      <c r="CM368" s="258">
        <f t="shared" si="961"/>
        <v>0</v>
      </c>
      <c r="CN368" s="258">
        <f t="shared" si="961"/>
        <v>0</v>
      </c>
      <c r="CO368" s="258">
        <f t="shared" si="921"/>
        <v>0</v>
      </c>
    </row>
    <row r="369" ht="17" spans="2:93">
      <c r="B369" s="334">
        <f>_xlfn.XLOOKUP(G369,销售需求表!A:A,销售需求表!C:C)</f>
        <v>0</v>
      </c>
      <c r="C369" s="335" t="str">
        <f t="shared" ref="C369:C375" si="962">IFERROR(MID(F369,FIND("R",F369)+1,2),"")</f>
        <v/>
      </c>
      <c r="D369" s="383" t="str">
        <f t="shared" si="952"/>
        <v>0寸</v>
      </c>
      <c r="E369" s="339" t="e">
        <f t="shared" si="897"/>
        <v>#VALUE!</v>
      </c>
      <c r="F369" s="339" t="str">
        <f t="shared" si="898"/>
        <v/>
      </c>
      <c r="G369" s="339"/>
      <c r="H369" s="334"/>
      <c r="I369" s="345"/>
      <c r="J369" s="346" t="str">
        <f t="shared" si="934"/>
        <v/>
      </c>
      <c r="K369" s="347">
        <f>_xlfn.XLOOKUP(F369,投产规格!E:E,投产规格!D:D,"未投产")</f>
        <v>0</v>
      </c>
      <c r="L369" s="347" t="str">
        <f>IFERROR(_xlfn.XLOOKUP(F369,硫化工艺!B:B,硫化工艺!C:C),"")</f>
        <v/>
      </c>
      <c r="M369" s="349" t="str">
        <f t="shared" si="935"/>
        <v/>
      </c>
      <c r="N369" s="347" t="str">
        <f t="shared" si="901"/>
        <v>全钢</v>
      </c>
      <c r="O369" s="347">
        <f>IFERROR(_xlfn.XLOOKUP(F369,轮胎重量!J:J,轮胎重量!G:G),"")</f>
        <v>0</v>
      </c>
      <c r="P369" s="347" t="str">
        <f>IFERROR(_xlfn.XLOOKUP(F369,硫化工艺!I:I,硫化工艺!J:J),"")</f>
        <v/>
      </c>
      <c r="Q369" s="347" t="str">
        <f t="shared" si="902"/>
        <v/>
      </c>
      <c r="R369" s="347"/>
      <c r="S369" s="347"/>
      <c r="T369" s="347"/>
      <c r="U369" s="347"/>
      <c r="V369" s="347"/>
      <c r="W369" s="347"/>
      <c r="X369" s="347"/>
      <c r="Y369" s="347"/>
      <c r="Z369" s="347"/>
      <c r="AA369" s="347"/>
      <c r="AB369" s="347"/>
      <c r="AC369" s="347"/>
      <c r="AD369" s="347"/>
      <c r="AE369" s="347"/>
      <c r="AF369" s="347"/>
      <c r="AG369" s="347"/>
      <c r="AH369" s="347"/>
      <c r="AI369" s="347"/>
      <c r="AJ369" s="347"/>
      <c r="AK369" s="347"/>
      <c r="AL369" s="347"/>
      <c r="AM369" s="347"/>
      <c r="AN369" s="347"/>
      <c r="AO369" s="347"/>
      <c r="AP369" s="347"/>
      <c r="AQ369" s="347"/>
      <c r="AR369" s="347"/>
      <c r="AS369" s="347"/>
      <c r="AT369" s="347"/>
      <c r="AU369" s="347"/>
      <c r="AV369" s="347"/>
      <c r="AW369" s="347" t="str">
        <f t="shared" si="953"/>
        <v/>
      </c>
      <c r="AX369" s="365" t="str">
        <f t="shared" si="954"/>
        <v/>
      </c>
      <c r="AY369" s="365" t="str">
        <f t="shared" si="955"/>
        <v/>
      </c>
      <c r="AZ369" s="366">
        <v>842.39</v>
      </c>
      <c r="BA369" s="368">
        <v>47.68</v>
      </c>
      <c r="BB369" s="368">
        <v>74.78</v>
      </c>
      <c r="BC369" s="368">
        <v>76.28</v>
      </c>
      <c r="BE369" s="330" t="e">
        <f t="shared" si="936"/>
        <v>#VALUE!</v>
      </c>
      <c r="BF369" s="330" t="e">
        <f t="shared" si="937"/>
        <v>#VALUE!</v>
      </c>
      <c r="BG369" s="330" t="e">
        <f t="shared" si="938"/>
        <v>#VALUE!</v>
      </c>
      <c r="BH369" s="330" t="e">
        <f t="shared" si="939"/>
        <v>#VALUE!</v>
      </c>
      <c r="BJ369" s="370" cm="1">
        <f t="array" ref="BJ369:BM369">_xlfn.LET(_xlpm.data,$R369:$AV369,_xlpm.starts,{1,8,16,23},_xlpm.lengths,{7,7,8,9},_xlpm.arr,_xlfn.MAP(_xlpm.starts,_xlpm.lengths,_xlfn.LAMBDA(_xlpm.s,_xlpm.l,SUM(INDEX(_xlpm.data,,_xlfn.SEQUENCE(,_xlpm.l,_xlpm.s))))),ROUND(_xlpm.arr*$O369/1000,2))</f>
        <v>0</v>
      </c>
      <c r="BK369" s="330">
        <v>0</v>
      </c>
      <c r="BL369" s="330">
        <v>0</v>
      </c>
      <c r="BM369" s="330">
        <v>0</v>
      </c>
      <c r="BN369" s="258">
        <f t="shared" si="940"/>
        <v>0</v>
      </c>
      <c r="BO369" s="258">
        <v>67.98</v>
      </c>
      <c r="BP369" s="258">
        <v>57.82</v>
      </c>
      <c r="BQ369" s="258">
        <v>0</v>
      </c>
      <c r="BR369" s="258">
        <v>0</v>
      </c>
      <c r="BT369" s="258" cm="1">
        <f ca="1" t="array" ref="BT369:BW369">_xlfn.HSTACK(SUM(INDEX($R369:$AV369,1,1):INDEX($R369:$AV369,1,7)),SUM(INDEX($R369:$AV369,1,7):INDEX($R369:$AV369,1,13)),SUM(INDEX($R369:$AV369,1,16):INDEX($R369:$AV369,1,23)),SUM(INDEX($R369:$AV369,1,23):INDEX($R369:$AV369,1,31)))</f>
        <v>0</v>
      </c>
      <c r="BU369" s="258">
        <v>0</v>
      </c>
      <c r="BV369" s="258">
        <v>0</v>
      </c>
      <c r="BW369" s="258">
        <v>0</v>
      </c>
      <c r="BY369" s="258">
        <f t="shared" si="941"/>
        <v>0</v>
      </c>
      <c r="BZ369" s="258">
        <f t="shared" si="942"/>
        <v>0</v>
      </c>
      <c r="CA369" s="258">
        <f t="shared" si="943"/>
        <v>0</v>
      </c>
      <c r="CB369" s="258">
        <f t="shared" si="944"/>
        <v>0</v>
      </c>
      <c r="CE369" s="258">
        <f t="shared" si="945"/>
        <v>0</v>
      </c>
      <c r="CF369" s="258">
        <f t="shared" si="946"/>
        <v>0</v>
      </c>
      <c r="CG369" s="258">
        <f t="shared" si="947"/>
        <v>0</v>
      </c>
      <c r="CH369" s="258">
        <f t="shared" si="948"/>
        <v>0</v>
      </c>
      <c r="CI369" s="258">
        <f t="shared" si="949"/>
        <v>0</v>
      </c>
      <c r="CK369" s="258" t="str">
        <f t="shared" ref="CK369:CN369" si="963">IFERROR(ROUND(BY369*$P369,2),"")</f>
        <v/>
      </c>
      <c r="CL369" s="258" t="str">
        <f t="shared" si="963"/>
        <v/>
      </c>
      <c r="CM369" s="258" t="str">
        <f t="shared" si="963"/>
        <v/>
      </c>
      <c r="CN369" s="258" t="str">
        <f t="shared" si="963"/>
        <v/>
      </c>
      <c r="CO369" s="258">
        <f t="shared" si="921"/>
        <v>0</v>
      </c>
    </row>
    <row r="370" ht="17" spans="2:93">
      <c r="B370" s="334">
        <f>_xlfn.XLOOKUP(G370,销售需求表!A:A,销售需求表!C:C)</f>
        <v>0</v>
      </c>
      <c r="C370" s="335" t="str">
        <f t="shared" si="962"/>
        <v/>
      </c>
      <c r="D370" s="383" t="str">
        <f t="shared" si="952"/>
        <v>0寸</v>
      </c>
      <c r="E370" s="339" t="e">
        <f t="shared" si="897"/>
        <v>#VALUE!</v>
      </c>
      <c r="F370" s="339" t="str">
        <f t="shared" si="898"/>
        <v/>
      </c>
      <c r="G370" s="339"/>
      <c r="H370" s="334"/>
      <c r="I370" s="345"/>
      <c r="J370" s="346" t="str">
        <f t="shared" si="934"/>
        <v/>
      </c>
      <c r="K370" s="347">
        <f>_xlfn.XLOOKUP(F370,投产规格!E:E,投产规格!D:D,"未投产")</f>
        <v>0</v>
      </c>
      <c r="L370" s="347" t="str">
        <f>IFERROR(_xlfn.XLOOKUP(F370,硫化工艺!B:B,硫化工艺!C:C),"")</f>
        <v/>
      </c>
      <c r="M370" s="349" t="str">
        <f t="shared" si="935"/>
        <v/>
      </c>
      <c r="N370" s="347" t="str">
        <f t="shared" si="901"/>
        <v>全钢</v>
      </c>
      <c r="O370" s="347">
        <f>IFERROR(_xlfn.XLOOKUP(F370,轮胎重量!J:J,轮胎重量!G:G),"")</f>
        <v>0</v>
      </c>
      <c r="P370" s="350">
        <f>O370*13.9</f>
        <v>0</v>
      </c>
      <c r="Q370" s="347" t="str">
        <f t="shared" si="902"/>
        <v/>
      </c>
      <c r="R370" s="347"/>
      <c r="S370" s="347"/>
      <c r="T370" s="347"/>
      <c r="U370" s="347"/>
      <c r="V370" s="347"/>
      <c r="W370" s="347"/>
      <c r="X370" s="347"/>
      <c r="Y370" s="347"/>
      <c r="Z370" s="347"/>
      <c r="AA370" s="347"/>
      <c r="AB370" s="347"/>
      <c r="AC370" s="347"/>
      <c r="AD370" s="347"/>
      <c r="AE370" s="347"/>
      <c r="AF370" s="347"/>
      <c r="AG370" s="347"/>
      <c r="AH370" s="347"/>
      <c r="AI370" s="347"/>
      <c r="AJ370" s="347"/>
      <c r="AK370" s="347"/>
      <c r="AL370" s="347"/>
      <c r="AM370" s="347"/>
      <c r="AN370" s="347"/>
      <c r="AO370" s="347"/>
      <c r="AP370" s="347"/>
      <c r="AQ370" s="347"/>
      <c r="AR370" s="347"/>
      <c r="AS370" s="347"/>
      <c r="AT370" s="347"/>
      <c r="AU370" s="347"/>
      <c r="AV370" s="347"/>
      <c r="AW370" s="347" t="str">
        <f t="shared" ref="AW370:AW376" si="964">IF(SUM(R370:AV370)=0,"",SUM(R370:AV370))</f>
        <v/>
      </c>
      <c r="AX370" s="365" t="str">
        <f t="shared" ref="AX370:AX376" si="965">IFERROR(AW370*O370/1000,"")</f>
        <v/>
      </c>
      <c r="AY370" s="365" t="str">
        <f t="shared" ref="AY370:AY376" si="966">IFERROR(ROUND(AW370*P370/10000,3),"")</f>
        <v/>
      </c>
      <c r="AZ370" s="366">
        <v>834.98</v>
      </c>
      <c r="BA370" s="368">
        <v>49.6</v>
      </c>
      <c r="BB370" s="368">
        <v>76.03</v>
      </c>
      <c r="BC370" s="368">
        <v>81.43</v>
      </c>
      <c r="BE370" s="330" t="e">
        <f t="shared" si="936"/>
        <v>#VALUE!</v>
      </c>
      <c r="BF370" s="330" t="e">
        <f t="shared" si="937"/>
        <v>#VALUE!</v>
      </c>
      <c r="BG370" s="330" t="e">
        <f t="shared" si="938"/>
        <v>#VALUE!</v>
      </c>
      <c r="BH370" s="330" t="e">
        <f t="shared" si="939"/>
        <v>#VALUE!</v>
      </c>
      <c r="BJ370" s="370" cm="1">
        <f t="array" ref="BJ370:BM370">_xlfn.LET(_xlpm.data,$R370:$AV370,_xlpm.starts,{1,8,16,23},_xlpm.lengths,{7,7,8,9},_xlpm.arr,_xlfn.MAP(_xlpm.starts,_xlpm.lengths,_xlfn.LAMBDA(_xlpm.s,_xlpm.l,SUM(INDEX(_xlpm.data,,_xlfn.SEQUENCE(,_xlpm.l,_xlpm.s))))),ROUND(_xlpm.arr*$O370/1000,2))</f>
        <v>0</v>
      </c>
      <c r="BK370" s="330">
        <v>0</v>
      </c>
      <c r="BL370" s="330">
        <v>0</v>
      </c>
      <c r="BM370" s="330">
        <v>0</v>
      </c>
      <c r="BN370" s="258">
        <f t="shared" si="940"/>
        <v>0</v>
      </c>
      <c r="BO370" s="258">
        <v>0</v>
      </c>
      <c r="BP370" s="258">
        <v>8.34</v>
      </c>
      <c r="BQ370" s="258">
        <v>66.74</v>
      </c>
      <c r="BR370" s="258">
        <v>75.08</v>
      </c>
      <c r="BT370" s="258" cm="1">
        <f ca="1" t="array" ref="BT370:BW370">_xlfn.HSTACK(SUM(INDEX($R370:$AV370,1,1):INDEX($R370:$AV370,1,7)),SUM(INDEX($R370:$AV370,1,7):INDEX($R370:$AV370,1,13)),SUM(INDEX($R370:$AV370,1,16):INDEX($R370:$AV370,1,23)),SUM(INDEX($R370:$AV370,1,23):INDEX($R370:$AV370,1,31)))</f>
        <v>0</v>
      </c>
      <c r="BU370" s="258">
        <v>0</v>
      </c>
      <c r="BV370" s="258">
        <v>0</v>
      </c>
      <c r="BW370" s="258">
        <v>0</v>
      </c>
      <c r="BY370" s="258">
        <f t="shared" si="941"/>
        <v>0</v>
      </c>
      <c r="BZ370" s="258">
        <f t="shared" si="942"/>
        <v>0</v>
      </c>
      <c r="CA370" s="258">
        <f t="shared" si="943"/>
        <v>0</v>
      </c>
      <c r="CB370" s="258">
        <f t="shared" si="944"/>
        <v>0</v>
      </c>
      <c r="CE370" s="258">
        <f t="shared" si="945"/>
        <v>0</v>
      </c>
      <c r="CF370" s="258">
        <f t="shared" si="946"/>
        <v>0</v>
      </c>
      <c r="CG370" s="258">
        <f t="shared" si="947"/>
        <v>0</v>
      </c>
      <c r="CH370" s="258">
        <f t="shared" si="948"/>
        <v>0</v>
      </c>
      <c r="CI370" s="258">
        <f t="shared" si="949"/>
        <v>0</v>
      </c>
      <c r="CK370" s="258">
        <f t="shared" ref="CK370:CN370" si="967">IFERROR(ROUND(BY370*$P370,2),"")</f>
        <v>0</v>
      </c>
      <c r="CL370" s="258">
        <f t="shared" si="967"/>
        <v>0</v>
      </c>
      <c r="CM370" s="258">
        <f t="shared" si="967"/>
        <v>0</v>
      </c>
      <c r="CN370" s="258">
        <f t="shared" si="967"/>
        <v>0</v>
      </c>
      <c r="CO370" s="258">
        <f t="shared" si="921"/>
        <v>0</v>
      </c>
    </row>
    <row r="371" ht="17" spans="2:93">
      <c r="B371" s="334">
        <f>_xlfn.XLOOKUP(G371,销售需求表!A:A,销售需求表!C:C)</f>
        <v>0</v>
      </c>
      <c r="C371" s="335" t="str">
        <f t="shared" si="962"/>
        <v/>
      </c>
      <c r="D371" s="383" t="str">
        <f t="shared" si="952"/>
        <v>0寸</v>
      </c>
      <c r="E371" s="339" t="e">
        <f t="shared" si="897"/>
        <v>#VALUE!</v>
      </c>
      <c r="F371" s="339" t="str">
        <f t="shared" si="898"/>
        <v/>
      </c>
      <c r="G371" s="339"/>
      <c r="H371" s="334"/>
      <c r="I371" s="345"/>
      <c r="J371" s="346" t="str">
        <f t="shared" si="934"/>
        <v/>
      </c>
      <c r="K371" s="347">
        <f>_xlfn.XLOOKUP(F371,投产规格!E:E,投产规格!D:D,"未投产")</f>
        <v>0</v>
      </c>
      <c r="L371" s="347" t="str">
        <f>IFERROR(_xlfn.XLOOKUP(F371,硫化工艺!B:B,硫化工艺!C:C),"")</f>
        <v/>
      </c>
      <c r="M371" s="349" t="str">
        <f t="shared" si="935"/>
        <v/>
      </c>
      <c r="N371" s="347" t="str">
        <f t="shared" si="901"/>
        <v>全钢</v>
      </c>
      <c r="O371" s="347">
        <f>IFERROR(_xlfn.XLOOKUP(F371,轮胎重量!J:J,轮胎重量!G:G),"")</f>
        <v>0</v>
      </c>
      <c r="P371" s="347" t="str">
        <f>IFERROR(_xlfn.XLOOKUP(F371,硫化工艺!I:I,硫化工艺!J:J),"")</f>
        <v/>
      </c>
      <c r="Q371" s="347" t="str">
        <f t="shared" si="902"/>
        <v/>
      </c>
      <c r="R371" s="347"/>
      <c r="S371" s="347"/>
      <c r="T371" s="347"/>
      <c r="U371" s="347"/>
      <c r="V371" s="347"/>
      <c r="W371" s="347"/>
      <c r="X371" s="347"/>
      <c r="Y371" s="347"/>
      <c r="Z371" s="347"/>
      <c r="AA371" s="347"/>
      <c r="AB371" s="347"/>
      <c r="AC371" s="347"/>
      <c r="AD371" s="347"/>
      <c r="AE371" s="347"/>
      <c r="AF371" s="347"/>
      <c r="AG371" s="347"/>
      <c r="AH371" s="347"/>
      <c r="AI371" s="347"/>
      <c r="AJ371" s="347"/>
      <c r="AK371" s="347"/>
      <c r="AL371" s="347"/>
      <c r="AM371" s="347"/>
      <c r="AN371" s="347"/>
      <c r="AO371" s="347"/>
      <c r="AP371" s="347"/>
      <c r="AQ371" s="347"/>
      <c r="AR371" s="347"/>
      <c r="AS371" s="347"/>
      <c r="AT371" s="347"/>
      <c r="AU371" s="347"/>
      <c r="AV371" s="347"/>
      <c r="AW371" s="347" t="str">
        <f t="shared" si="964"/>
        <v/>
      </c>
      <c r="AX371" s="365" t="str">
        <f t="shared" si="965"/>
        <v/>
      </c>
      <c r="AY371" s="365" t="str">
        <f t="shared" si="966"/>
        <v/>
      </c>
      <c r="AZ371" s="366">
        <v>834.98</v>
      </c>
      <c r="BA371" s="368">
        <v>49.6</v>
      </c>
      <c r="BB371" s="368">
        <v>76.03</v>
      </c>
      <c r="BC371" s="368">
        <v>81.43</v>
      </c>
      <c r="BE371" s="330" t="e">
        <f t="shared" si="936"/>
        <v>#VALUE!</v>
      </c>
      <c r="BF371" s="330" t="e">
        <f t="shared" si="937"/>
        <v>#VALUE!</v>
      </c>
      <c r="BG371" s="330" t="e">
        <f t="shared" si="938"/>
        <v>#VALUE!</v>
      </c>
      <c r="BH371" s="330" t="e">
        <f t="shared" si="939"/>
        <v>#VALUE!</v>
      </c>
      <c r="BJ371" s="370" cm="1">
        <f t="array" ref="BJ371:BM371">_xlfn.LET(_xlpm.data,$R371:$AV371,_xlpm.starts,{1,8,16,23},_xlpm.lengths,{7,7,8,9},_xlpm.arr,_xlfn.MAP(_xlpm.starts,_xlpm.lengths,_xlfn.LAMBDA(_xlpm.s,_xlpm.l,SUM(INDEX(_xlpm.data,,_xlfn.SEQUENCE(,_xlpm.l,_xlpm.s))))),ROUND(_xlpm.arr*$O371/1000,2))</f>
        <v>0</v>
      </c>
      <c r="BK371" s="330">
        <v>0</v>
      </c>
      <c r="BL371" s="330">
        <v>0</v>
      </c>
      <c r="BM371" s="330">
        <v>0</v>
      </c>
      <c r="BN371" s="258">
        <f t="shared" si="940"/>
        <v>0</v>
      </c>
      <c r="BO371" s="258">
        <v>0</v>
      </c>
      <c r="BP371" s="258">
        <v>8.34</v>
      </c>
      <c r="BQ371" s="258">
        <v>66.74</v>
      </c>
      <c r="BR371" s="258">
        <v>75.08</v>
      </c>
      <c r="BT371" s="258" cm="1">
        <f ca="1" t="array" ref="BT371:BW371">_xlfn.HSTACK(SUM(INDEX($R371:$AV371,1,1):INDEX($R371:$AV371,1,7)),SUM(INDEX($R371:$AV371,1,7):INDEX($R371:$AV371,1,13)),SUM(INDEX($R371:$AV371,1,16):INDEX($R371:$AV371,1,23)),SUM(INDEX($R371:$AV371,1,23):INDEX($R371:$AV371,1,31)))</f>
        <v>0</v>
      </c>
      <c r="BU371" s="258">
        <v>0</v>
      </c>
      <c r="BV371" s="258">
        <v>0</v>
      </c>
      <c r="BW371" s="258">
        <v>0</v>
      </c>
      <c r="BY371" s="258">
        <f t="shared" si="941"/>
        <v>0</v>
      </c>
      <c r="BZ371" s="258">
        <f t="shared" si="942"/>
        <v>0</v>
      </c>
      <c r="CA371" s="258">
        <f t="shared" si="943"/>
        <v>0</v>
      </c>
      <c r="CB371" s="258">
        <f t="shared" si="944"/>
        <v>0</v>
      </c>
      <c r="CE371" s="258">
        <f t="shared" si="945"/>
        <v>0</v>
      </c>
      <c r="CF371" s="258">
        <f t="shared" si="946"/>
        <v>0</v>
      </c>
      <c r="CG371" s="258">
        <f t="shared" si="947"/>
        <v>0</v>
      </c>
      <c r="CH371" s="258">
        <f t="shared" si="948"/>
        <v>0</v>
      </c>
      <c r="CI371" s="258">
        <f t="shared" si="949"/>
        <v>0</v>
      </c>
      <c r="CK371" s="258" t="str">
        <f t="shared" ref="CK371:CN371" si="968">IFERROR(ROUND(BY371*$P371,2),"")</f>
        <v/>
      </c>
      <c r="CL371" s="258" t="str">
        <f t="shared" si="968"/>
        <v/>
      </c>
      <c r="CM371" s="258" t="str">
        <f t="shared" si="968"/>
        <v/>
      </c>
      <c r="CN371" s="258" t="str">
        <f t="shared" si="968"/>
        <v/>
      </c>
      <c r="CO371" s="258">
        <f t="shared" si="921"/>
        <v>0</v>
      </c>
    </row>
    <row r="372" ht="17" spans="2:93">
      <c r="B372" s="334">
        <f>_xlfn.XLOOKUP(G372,销售需求表!A:A,销售需求表!C:C)</f>
        <v>0</v>
      </c>
      <c r="C372" s="335" t="str">
        <f t="shared" si="962"/>
        <v/>
      </c>
      <c r="D372" s="383" t="str">
        <f t="shared" si="952"/>
        <v>0寸</v>
      </c>
      <c r="E372" s="339" t="e">
        <f t="shared" si="897"/>
        <v>#VALUE!</v>
      </c>
      <c r="F372" s="339" t="str">
        <f t="shared" si="898"/>
        <v/>
      </c>
      <c r="G372" s="339"/>
      <c r="H372" s="334"/>
      <c r="I372" s="345"/>
      <c r="J372" s="346" t="str">
        <f t="shared" si="934"/>
        <v/>
      </c>
      <c r="K372" s="347">
        <f>_xlfn.XLOOKUP(F372,投产规格!E:E,投产规格!D:D,"未投产")</f>
        <v>0</v>
      </c>
      <c r="L372" s="347" t="str">
        <f>IFERROR(_xlfn.XLOOKUP(F372,硫化工艺!B:B,硫化工艺!C:C),"")</f>
        <v/>
      </c>
      <c r="M372" s="349" t="str">
        <f t="shared" si="935"/>
        <v/>
      </c>
      <c r="N372" s="347" t="str">
        <f t="shared" si="901"/>
        <v>全钢</v>
      </c>
      <c r="O372" s="347">
        <f>IFERROR(_xlfn.XLOOKUP(F372,轮胎重量!J:J,轮胎重量!G:G),"")</f>
        <v>0</v>
      </c>
      <c r="P372" s="350">
        <f t="shared" ref="P372:P374" si="969">O372*13.9</f>
        <v>0</v>
      </c>
      <c r="Q372" s="347" t="str">
        <f t="shared" si="902"/>
        <v/>
      </c>
      <c r="R372" s="347"/>
      <c r="S372" s="347"/>
      <c r="T372" s="347"/>
      <c r="U372" s="347"/>
      <c r="V372" s="347"/>
      <c r="W372" s="347"/>
      <c r="X372" s="347"/>
      <c r="Y372" s="347"/>
      <c r="Z372" s="347"/>
      <c r="AA372" s="347"/>
      <c r="AB372" s="347"/>
      <c r="AC372" s="347"/>
      <c r="AD372" s="347"/>
      <c r="AE372" s="347"/>
      <c r="AF372" s="347"/>
      <c r="AG372" s="347"/>
      <c r="AH372" s="347"/>
      <c r="AI372" s="347"/>
      <c r="AJ372" s="347"/>
      <c r="AK372" s="347"/>
      <c r="AL372" s="347"/>
      <c r="AM372" s="347"/>
      <c r="AN372" s="347"/>
      <c r="AO372" s="347"/>
      <c r="AP372" s="347"/>
      <c r="AQ372" s="347"/>
      <c r="AR372" s="347"/>
      <c r="AS372" s="347"/>
      <c r="AT372" s="347"/>
      <c r="AU372" s="347"/>
      <c r="AV372" s="347"/>
      <c r="AW372" s="347" t="str">
        <f t="shared" si="964"/>
        <v/>
      </c>
      <c r="AX372" s="365" t="str">
        <f t="shared" si="965"/>
        <v/>
      </c>
      <c r="AY372" s="365" t="str">
        <f t="shared" si="966"/>
        <v/>
      </c>
      <c r="AZ372" s="366">
        <v>811.96</v>
      </c>
      <c r="BA372" s="368">
        <v>46.38</v>
      </c>
      <c r="BB372" s="368">
        <v>73.08</v>
      </c>
      <c r="BC372" s="368">
        <v>75.21</v>
      </c>
      <c r="BE372" s="330" t="e">
        <f t="shared" si="936"/>
        <v>#VALUE!</v>
      </c>
      <c r="BF372" s="330" t="e">
        <f t="shared" si="937"/>
        <v>#VALUE!</v>
      </c>
      <c r="BG372" s="330" t="e">
        <f t="shared" si="938"/>
        <v>#VALUE!</v>
      </c>
      <c r="BH372" s="330" t="e">
        <f t="shared" si="939"/>
        <v>#VALUE!</v>
      </c>
      <c r="BJ372" s="370" cm="1">
        <f t="array" ref="BJ372:BM372">_xlfn.LET(_xlpm.data,$R372:$AV372,_xlpm.starts,{1,8,16,23},_xlpm.lengths,{7,7,8,9},_xlpm.arr,_xlfn.MAP(_xlpm.starts,_xlpm.lengths,_xlfn.LAMBDA(_xlpm.s,_xlpm.l,SUM(INDEX(_xlpm.data,,_xlfn.SEQUENCE(,_xlpm.l,_xlpm.s))))),ROUND(_xlpm.arr*$O372/1000,2))</f>
        <v>0</v>
      </c>
      <c r="BK372" s="330">
        <v>0</v>
      </c>
      <c r="BL372" s="330">
        <v>0</v>
      </c>
      <c r="BM372" s="330">
        <v>0</v>
      </c>
      <c r="BN372" s="258">
        <f t="shared" si="940"/>
        <v>0</v>
      </c>
      <c r="BO372" s="258">
        <v>29.92</v>
      </c>
      <c r="BP372" s="258">
        <v>29.92</v>
      </c>
      <c r="BQ372" s="258">
        <v>34.2</v>
      </c>
      <c r="BR372" s="258">
        <v>38.47</v>
      </c>
      <c r="BT372" s="258" cm="1">
        <f ca="1" t="array" ref="BT372:BW372">_xlfn.HSTACK(SUM(INDEX($R372:$AV372,1,1):INDEX($R372:$AV372,1,7)),SUM(INDEX($R372:$AV372,1,7):INDEX($R372:$AV372,1,13)),SUM(INDEX($R372:$AV372,1,16):INDEX($R372:$AV372,1,23)),SUM(INDEX($R372:$AV372,1,23):INDEX($R372:$AV372,1,31)))</f>
        <v>0</v>
      </c>
      <c r="BU372" s="258">
        <v>0</v>
      </c>
      <c r="BV372" s="258">
        <v>0</v>
      </c>
      <c r="BW372" s="258">
        <v>0</v>
      </c>
      <c r="BY372" s="258">
        <f t="shared" si="941"/>
        <v>0</v>
      </c>
      <c r="BZ372" s="258">
        <f t="shared" si="942"/>
        <v>0</v>
      </c>
      <c r="CA372" s="258">
        <f t="shared" si="943"/>
        <v>0</v>
      </c>
      <c r="CB372" s="258">
        <f t="shared" si="944"/>
        <v>0</v>
      </c>
      <c r="CE372" s="258">
        <f t="shared" si="945"/>
        <v>0</v>
      </c>
      <c r="CF372" s="258">
        <f t="shared" si="946"/>
        <v>0</v>
      </c>
      <c r="CG372" s="258">
        <f t="shared" si="947"/>
        <v>0</v>
      </c>
      <c r="CH372" s="258">
        <f t="shared" si="948"/>
        <v>0</v>
      </c>
      <c r="CI372" s="258">
        <f t="shared" si="949"/>
        <v>0</v>
      </c>
      <c r="CK372" s="258">
        <f t="shared" ref="CK372:CN372" si="970">IFERROR(ROUND(BY372*$P372,2),"")</f>
        <v>0</v>
      </c>
      <c r="CL372" s="258">
        <f t="shared" si="970"/>
        <v>0</v>
      </c>
      <c r="CM372" s="258">
        <f t="shared" si="970"/>
        <v>0</v>
      </c>
      <c r="CN372" s="258">
        <f t="shared" si="970"/>
        <v>0</v>
      </c>
      <c r="CO372" s="258">
        <f t="shared" si="921"/>
        <v>0</v>
      </c>
    </row>
    <row r="373" ht="17" spans="2:93">
      <c r="B373" s="383"/>
      <c r="C373" s="335" t="str">
        <f t="shared" si="962"/>
        <v/>
      </c>
      <c r="D373" s="383" t="str">
        <f t="shared" si="952"/>
        <v>寸</v>
      </c>
      <c r="E373" s="339" t="e">
        <f t="shared" si="897"/>
        <v>#VALUE!</v>
      </c>
      <c r="F373" s="339" t="str">
        <f t="shared" si="898"/>
        <v/>
      </c>
      <c r="G373" s="339"/>
      <c r="H373" s="334"/>
      <c r="I373" s="345"/>
      <c r="J373" s="346" t="str">
        <f t="shared" si="934"/>
        <v/>
      </c>
      <c r="K373" s="386"/>
      <c r="L373" s="347" t="str">
        <f>IFERROR(_xlfn.XLOOKUP(F373,硫化工艺!B:B,硫化工艺!C:C),"")</f>
        <v/>
      </c>
      <c r="M373" s="349" t="str">
        <f t="shared" si="935"/>
        <v/>
      </c>
      <c r="N373" s="347"/>
      <c r="O373" s="347">
        <f>IFERROR(_xlfn.XLOOKUP(F373,轮胎重量!J:J,轮胎重量!G:G),"")</f>
        <v>0</v>
      </c>
      <c r="P373" s="350">
        <f t="shared" si="969"/>
        <v>0</v>
      </c>
      <c r="Q373" s="347" t="str">
        <f t="shared" si="902"/>
        <v/>
      </c>
      <c r="R373" s="347"/>
      <c r="S373" s="347"/>
      <c r="T373" s="347"/>
      <c r="U373" s="347"/>
      <c r="V373" s="347"/>
      <c r="W373" s="347"/>
      <c r="X373" s="347"/>
      <c r="Y373" s="347"/>
      <c r="Z373" s="347"/>
      <c r="AA373" s="347"/>
      <c r="AB373" s="347"/>
      <c r="AC373" s="347"/>
      <c r="AD373" s="347"/>
      <c r="AE373" s="347"/>
      <c r="AF373" s="347"/>
      <c r="AG373" s="347"/>
      <c r="AH373" s="347"/>
      <c r="AI373" s="347"/>
      <c r="AJ373" s="347"/>
      <c r="AK373" s="347"/>
      <c r="AL373" s="347"/>
      <c r="AM373" s="347"/>
      <c r="AN373" s="347"/>
      <c r="AO373" s="347"/>
      <c r="AP373" s="347"/>
      <c r="AQ373" s="347"/>
      <c r="AR373" s="347"/>
      <c r="AS373" s="347"/>
      <c r="AT373" s="347"/>
      <c r="AU373" s="347"/>
      <c r="AV373" s="347"/>
      <c r="AW373" s="347" t="str">
        <f t="shared" si="964"/>
        <v/>
      </c>
      <c r="AX373" s="365" t="str">
        <f t="shared" si="965"/>
        <v/>
      </c>
      <c r="AY373" s="365" t="str">
        <f t="shared" si="966"/>
        <v/>
      </c>
      <c r="AZ373" s="366">
        <v>799.29</v>
      </c>
      <c r="BA373" s="368">
        <v>45.16</v>
      </c>
      <c r="BB373" s="368">
        <v>71.84</v>
      </c>
      <c r="BC373" s="368">
        <v>72.93</v>
      </c>
      <c r="BE373" s="330" t="e">
        <f t="shared" si="936"/>
        <v>#VALUE!</v>
      </c>
      <c r="BF373" s="330" t="e">
        <f t="shared" si="937"/>
        <v>#VALUE!</v>
      </c>
      <c r="BG373" s="330" t="e">
        <f t="shared" si="938"/>
        <v>#VALUE!</v>
      </c>
      <c r="BH373" s="330" t="e">
        <f t="shared" si="939"/>
        <v>#VALUE!</v>
      </c>
      <c r="BJ373" s="370" cm="1">
        <f t="array" ref="BJ373:BM373">_xlfn.LET(_xlpm.data,$R373:$AV373,_xlpm.starts,{1,8,16,23},_xlpm.lengths,{7,7,8,9},_xlpm.arr,_xlfn.MAP(_xlpm.starts,_xlpm.lengths,_xlfn.LAMBDA(_xlpm.s,_xlpm.l,SUM(INDEX(_xlpm.data,,_xlfn.SEQUENCE(,_xlpm.l,_xlpm.s))))),ROUND(_xlpm.arr*$O373/1000,2))</f>
        <v>0</v>
      </c>
      <c r="BK373" s="330">
        <v>0</v>
      </c>
      <c r="BL373" s="330">
        <v>0</v>
      </c>
      <c r="BM373" s="330">
        <v>0</v>
      </c>
      <c r="BN373" s="258">
        <f t="shared" si="940"/>
        <v>0</v>
      </c>
      <c r="BO373" s="258">
        <v>34.3</v>
      </c>
      <c r="BP373" s="258">
        <v>34.3</v>
      </c>
      <c r="BQ373" s="258">
        <v>39.2</v>
      </c>
      <c r="BR373" s="258">
        <v>44.1</v>
      </c>
      <c r="BT373" s="258" cm="1">
        <f ca="1" t="array" ref="BT373:BW373">_xlfn.HSTACK(SUM(INDEX($R373:$AV373,1,1):INDEX($R373:$AV373,1,7)),SUM(INDEX($R373:$AV373,1,7):INDEX($R373:$AV373,1,13)),SUM(INDEX($R373:$AV373,1,16):INDEX($R373:$AV373,1,23)),SUM(INDEX($R373:$AV373,1,23):INDEX($R373:$AV373,1,31)))</f>
        <v>0</v>
      </c>
      <c r="BU373" s="258">
        <v>0</v>
      </c>
      <c r="BV373" s="258">
        <v>0</v>
      </c>
      <c r="BW373" s="258">
        <v>0</v>
      </c>
      <c r="BY373" s="258">
        <f t="shared" si="941"/>
        <v>0</v>
      </c>
      <c r="BZ373" s="258">
        <f t="shared" si="942"/>
        <v>0</v>
      </c>
      <c r="CA373" s="258">
        <f t="shared" si="943"/>
        <v>0</v>
      </c>
      <c r="CB373" s="258">
        <f t="shared" si="944"/>
        <v>0</v>
      </c>
      <c r="CE373" s="258">
        <f t="shared" si="945"/>
        <v>0</v>
      </c>
      <c r="CF373" s="258">
        <f t="shared" si="946"/>
        <v>0</v>
      </c>
      <c r="CG373" s="258">
        <f t="shared" si="947"/>
        <v>0</v>
      </c>
      <c r="CH373" s="258">
        <f t="shared" si="948"/>
        <v>0</v>
      </c>
      <c r="CI373" s="258">
        <f t="shared" si="949"/>
        <v>0</v>
      </c>
      <c r="CK373" s="258">
        <f t="shared" ref="CK373:CN373" si="971">IFERROR(ROUND(BY373*$P373,2),"")</f>
        <v>0</v>
      </c>
      <c r="CL373" s="258">
        <f t="shared" si="971"/>
        <v>0</v>
      </c>
      <c r="CM373" s="258">
        <f t="shared" si="971"/>
        <v>0</v>
      </c>
      <c r="CN373" s="258">
        <f t="shared" si="971"/>
        <v>0</v>
      </c>
      <c r="CO373" s="258">
        <f t="shared" si="921"/>
        <v>0</v>
      </c>
    </row>
    <row r="374" s="258" customFormat="1" ht="17" spans="1:93">
      <c r="A374" s="330"/>
      <c r="B374" s="362"/>
      <c r="C374" s="335" t="str">
        <f t="shared" si="962"/>
        <v/>
      </c>
      <c r="D374" s="383" t="str">
        <f t="shared" si="952"/>
        <v>寸</v>
      </c>
      <c r="E374" s="339" t="e">
        <f t="shared" si="897"/>
        <v>#VALUE!</v>
      </c>
      <c r="F374" s="339" t="str">
        <f t="shared" si="898"/>
        <v/>
      </c>
      <c r="G374" s="339"/>
      <c r="H374" s="334"/>
      <c r="I374" s="345"/>
      <c r="J374" s="346"/>
      <c r="K374" s="386"/>
      <c r="L374" s="347" t="str">
        <f>IFERROR(_xlfn.XLOOKUP(F374,硫化工艺!B:B,硫化工艺!C:C),"")</f>
        <v/>
      </c>
      <c r="M374" s="349" t="str">
        <f t="shared" si="935"/>
        <v/>
      </c>
      <c r="N374" s="347"/>
      <c r="O374" s="347">
        <f>IFERROR(_xlfn.XLOOKUP(F374,轮胎重量!J:J,轮胎重量!G:G),"")</f>
        <v>0</v>
      </c>
      <c r="P374" s="350">
        <f t="shared" si="969"/>
        <v>0</v>
      </c>
      <c r="Q374" s="347" t="str">
        <f t="shared" si="902"/>
        <v/>
      </c>
      <c r="R374" s="347"/>
      <c r="S374" s="347"/>
      <c r="T374" s="347"/>
      <c r="U374" s="347"/>
      <c r="V374" s="347"/>
      <c r="W374" s="347"/>
      <c r="X374" s="347"/>
      <c r="Y374" s="347"/>
      <c r="Z374" s="347"/>
      <c r="AA374" s="347"/>
      <c r="AB374" s="347"/>
      <c r="AC374" s="347"/>
      <c r="AD374" s="347"/>
      <c r="AE374" s="347"/>
      <c r="AF374" s="347"/>
      <c r="AG374" s="347"/>
      <c r="AH374" s="347"/>
      <c r="AI374" s="347"/>
      <c r="AJ374" s="347"/>
      <c r="AK374" s="347"/>
      <c r="AL374" s="347"/>
      <c r="AM374" s="347"/>
      <c r="AN374" s="347"/>
      <c r="AO374" s="347"/>
      <c r="AP374" s="347"/>
      <c r="AQ374" s="347"/>
      <c r="AR374" s="347"/>
      <c r="AS374" s="347"/>
      <c r="AT374" s="347"/>
      <c r="AU374" s="347"/>
      <c r="AV374" s="347"/>
      <c r="AW374" s="347" t="str">
        <f t="shared" si="964"/>
        <v/>
      </c>
      <c r="AX374" s="365" t="str">
        <f t="shared" si="965"/>
        <v/>
      </c>
      <c r="AY374" s="365" t="str">
        <f t="shared" si="966"/>
        <v/>
      </c>
      <c r="AZ374" s="366"/>
      <c r="BA374" s="368"/>
      <c r="BB374" s="368"/>
      <c r="BC374" s="368"/>
      <c r="BD374" s="330"/>
      <c r="BE374" s="330" t="e">
        <f t="shared" si="936"/>
        <v>#VALUE!</v>
      </c>
      <c r="BF374" s="330" t="e">
        <f t="shared" si="937"/>
        <v>#VALUE!</v>
      </c>
      <c r="BG374" s="330" t="e">
        <f t="shared" si="938"/>
        <v>#VALUE!</v>
      </c>
      <c r="BH374" s="330" t="e">
        <f t="shared" si="939"/>
        <v>#VALUE!</v>
      </c>
      <c r="BI374" s="330"/>
      <c r="BJ374" s="370" cm="1">
        <f t="array" ref="BJ374:BM374">_xlfn.LET(_xlpm.data,$R374:$AV374,_xlpm.starts,{1,8,16,23},_xlpm.lengths,{7,7,8,9},_xlpm.arr,_xlfn.MAP(_xlpm.starts,_xlpm.lengths,_xlfn.LAMBDA(_xlpm.s,_xlpm.l,SUM(INDEX(_xlpm.data,,_xlfn.SEQUENCE(,_xlpm.l,_xlpm.s))))),ROUND(_xlpm.arr*$O374/1000,2))</f>
        <v>0</v>
      </c>
      <c r="BK374" s="330">
        <v>0</v>
      </c>
      <c r="BL374" s="330">
        <v>0</v>
      </c>
      <c r="BM374" s="330">
        <v>0</v>
      </c>
      <c r="BN374" s="258">
        <f t="shared" si="940"/>
        <v>0</v>
      </c>
      <c r="BO374" s="258">
        <v>69.93</v>
      </c>
      <c r="BP374" s="258">
        <v>69.93</v>
      </c>
      <c r="BQ374" s="258">
        <v>79.92</v>
      </c>
      <c r="BR374" s="258">
        <v>89.91</v>
      </c>
      <c r="BS374" s="115"/>
      <c r="BT374" s="258" cm="1">
        <f ca="1" t="array" ref="BT374:BW374">_xlfn.HSTACK(SUM(INDEX($R374:$AV374,1,1):INDEX($R374:$AV374,1,7)),SUM(INDEX($R374:$AV374,1,7):INDEX($R374:$AV374,1,13)),SUM(INDEX($R374:$AV374,1,16):INDEX($R374:$AV374,1,23)),SUM(INDEX($R374:$AV374,1,23):INDEX($R374:$AV374,1,31)))</f>
        <v>0</v>
      </c>
      <c r="BU374" s="258">
        <v>0</v>
      </c>
      <c r="BV374" s="258">
        <v>0</v>
      </c>
      <c r="BW374" s="258">
        <v>0</v>
      </c>
      <c r="BY374" s="258">
        <f t="shared" si="941"/>
        <v>0</v>
      </c>
      <c r="BZ374" s="258">
        <f t="shared" si="942"/>
        <v>0</v>
      </c>
      <c r="CA374" s="258">
        <f t="shared" si="943"/>
        <v>0</v>
      </c>
      <c r="CB374" s="258">
        <f t="shared" si="944"/>
        <v>0</v>
      </c>
      <c r="CD374" s="113"/>
      <c r="CE374" s="258">
        <f t="shared" si="945"/>
        <v>0</v>
      </c>
      <c r="CF374" s="258">
        <f t="shared" si="946"/>
        <v>0</v>
      </c>
      <c r="CG374" s="258">
        <f t="shared" si="947"/>
        <v>0</v>
      </c>
      <c r="CH374" s="258">
        <f t="shared" si="948"/>
        <v>0</v>
      </c>
      <c r="CI374" s="258">
        <f t="shared" si="949"/>
        <v>0</v>
      </c>
      <c r="CJ374" s="113"/>
      <c r="CK374" s="258">
        <f t="shared" ref="CK374:CN374" si="972">IFERROR(ROUND(BY374*$P374,2),"")</f>
        <v>0</v>
      </c>
      <c r="CL374" s="258">
        <f t="shared" si="972"/>
        <v>0</v>
      </c>
      <c r="CM374" s="258">
        <f t="shared" si="972"/>
        <v>0</v>
      </c>
      <c r="CN374" s="258">
        <f t="shared" si="972"/>
        <v>0</v>
      </c>
      <c r="CO374" s="258">
        <f t="shared" si="921"/>
        <v>0</v>
      </c>
    </row>
    <row r="375" s="258" customFormat="1" ht="17" spans="1:93">
      <c r="A375" s="330"/>
      <c r="B375" s="383"/>
      <c r="C375" s="335" t="str">
        <f t="shared" si="962"/>
        <v/>
      </c>
      <c r="D375" s="383" t="str">
        <f t="shared" si="952"/>
        <v>寸</v>
      </c>
      <c r="E375" s="339" t="e">
        <f t="shared" si="897"/>
        <v>#VALUE!</v>
      </c>
      <c r="F375" s="339" t="str">
        <f t="shared" si="898"/>
        <v/>
      </c>
      <c r="G375" s="339"/>
      <c r="H375" s="334"/>
      <c r="I375" s="345"/>
      <c r="J375" s="386"/>
      <c r="K375" s="386"/>
      <c r="L375" s="347" t="str">
        <f>IFERROR(_xlfn.XLOOKUP(F375,硫化工艺!B:B,硫化工艺!C:C),"")</f>
        <v/>
      </c>
      <c r="M375" s="349" t="str">
        <f t="shared" si="935"/>
        <v/>
      </c>
      <c r="N375" s="347"/>
      <c r="O375" s="347">
        <f>IFERROR(_xlfn.XLOOKUP(F375,轮胎重量!J:J,轮胎重量!G:G),"")</f>
        <v>0</v>
      </c>
      <c r="P375" s="350">
        <f>O375*15.11</f>
        <v>0</v>
      </c>
      <c r="Q375" s="347" t="str">
        <f t="shared" si="902"/>
        <v/>
      </c>
      <c r="R375" s="347"/>
      <c r="S375" s="347"/>
      <c r="T375" s="347"/>
      <c r="U375" s="347"/>
      <c r="V375" s="347"/>
      <c r="W375" s="347"/>
      <c r="X375" s="347"/>
      <c r="Y375" s="347"/>
      <c r="Z375" s="347"/>
      <c r="AA375" s="347"/>
      <c r="AB375" s="347"/>
      <c r="AC375" s="347"/>
      <c r="AD375" s="347"/>
      <c r="AE375" s="347"/>
      <c r="AF375" s="347"/>
      <c r="AG375" s="347"/>
      <c r="AH375" s="347"/>
      <c r="AI375" s="347"/>
      <c r="AJ375" s="347"/>
      <c r="AK375" s="347"/>
      <c r="AL375" s="347"/>
      <c r="AM375" s="347"/>
      <c r="AN375" s="347"/>
      <c r="AO375" s="347"/>
      <c r="AP375" s="347"/>
      <c r="AQ375" s="347"/>
      <c r="AR375" s="347"/>
      <c r="AS375" s="347"/>
      <c r="AT375" s="347"/>
      <c r="AU375" s="347"/>
      <c r="AV375" s="347"/>
      <c r="AW375" s="347" t="str">
        <f t="shared" si="964"/>
        <v/>
      </c>
      <c r="AX375" s="365" t="str">
        <f t="shared" si="965"/>
        <v/>
      </c>
      <c r="AY375" s="365" t="str">
        <f t="shared" si="966"/>
        <v/>
      </c>
      <c r="AZ375" s="366"/>
      <c r="BA375" s="368"/>
      <c r="BB375" s="368"/>
      <c r="BC375" s="368"/>
      <c r="BD375" s="330"/>
      <c r="BE375" s="330" t="e">
        <f t="shared" si="936"/>
        <v>#VALUE!</v>
      </c>
      <c r="BF375" s="330" t="e">
        <f t="shared" si="937"/>
        <v>#VALUE!</v>
      </c>
      <c r="BG375" s="330" t="e">
        <f t="shared" si="938"/>
        <v>#VALUE!</v>
      </c>
      <c r="BH375" s="330" t="e">
        <f t="shared" si="939"/>
        <v>#VALUE!</v>
      </c>
      <c r="BI375" s="330"/>
      <c r="BJ375" s="370" cm="1">
        <f t="array" ref="BJ375:BM375">_xlfn.LET(_xlpm.data,$R375:$AV375,_xlpm.starts,{1,8,16,23},_xlpm.lengths,{7,7,8,9},_xlpm.arr,_xlfn.MAP(_xlpm.starts,_xlpm.lengths,_xlfn.LAMBDA(_xlpm.s,_xlpm.l,SUM(INDEX(_xlpm.data,,_xlfn.SEQUENCE(,_xlpm.l,_xlpm.s))))),ROUND(_xlpm.arr*$O375/1000,2))</f>
        <v>0</v>
      </c>
      <c r="BK375" s="330">
        <v>0</v>
      </c>
      <c r="BL375" s="330">
        <v>0</v>
      </c>
      <c r="BM375" s="330">
        <v>0</v>
      </c>
      <c r="BN375" s="258">
        <f t="shared" si="940"/>
        <v>0</v>
      </c>
      <c r="BO375" s="258">
        <v>66.94</v>
      </c>
      <c r="BP375" s="258">
        <v>66.94</v>
      </c>
      <c r="BQ375" s="258">
        <v>76.5</v>
      </c>
      <c r="BR375" s="258">
        <v>86.07</v>
      </c>
      <c r="BS375" s="115"/>
      <c r="BT375" s="258" cm="1">
        <f ca="1" t="array" ref="BT375:BW375">_xlfn.HSTACK(SUM(INDEX($R375:$AV375,1,1):INDEX($R375:$AV375,1,7)),SUM(INDEX($R375:$AV375,1,7):INDEX($R375:$AV375,1,13)),SUM(INDEX($R375:$AV375,1,16):INDEX($R375:$AV375,1,23)),SUM(INDEX($R375:$AV375,1,23):INDEX($R375:$AV375,1,31)))</f>
        <v>0</v>
      </c>
      <c r="BU375" s="258">
        <v>0</v>
      </c>
      <c r="BV375" s="258">
        <v>0</v>
      </c>
      <c r="BW375" s="258">
        <v>0</v>
      </c>
      <c r="BY375" s="258">
        <f t="shared" si="941"/>
        <v>0</v>
      </c>
      <c r="BZ375" s="258">
        <f t="shared" si="942"/>
        <v>0</v>
      </c>
      <c r="CA375" s="258">
        <f t="shared" si="943"/>
        <v>0</v>
      </c>
      <c r="CB375" s="258">
        <f t="shared" si="944"/>
        <v>0</v>
      </c>
      <c r="CD375" s="113"/>
      <c r="CE375" s="258">
        <f t="shared" si="945"/>
        <v>0</v>
      </c>
      <c r="CF375" s="258">
        <f t="shared" si="946"/>
        <v>0</v>
      </c>
      <c r="CG375" s="258">
        <f t="shared" si="947"/>
        <v>0</v>
      </c>
      <c r="CH375" s="258">
        <f t="shared" si="948"/>
        <v>0</v>
      </c>
      <c r="CI375" s="258">
        <f t="shared" si="949"/>
        <v>0</v>
      </c>
      <c r="CJ375" s="113"/>
      <c r="CK375" s="258">
        <f t="shared" ref="CK375:CN375" si="973">IFERROR(ROUND(BY375*$P375,2),"")</f>
        <v>0</v>
      </c>
      <c r="CL375" s="258">
        <f t="shared" si="973"/>
        <v>0</v>
      </c>
      <c r="CM375" s="258">
        <f t="shared" si="973"/>
        <v>0</v>
      </c>
      <c r="CN375" s="258">
        <f t="shared" si="973"/>
        <v>0</v>
      </c>
      <c r="CO375" s="258">
        <f t="shared" si="921"/>
        <v>0</v>
      </c>
    </row>
    <row r="376" spans="2:80">
      <c r="B376" s="383"/>
      <c r="C376" s="383"/>
      <c r="D376" s="383"/>
      <c r="E376" s="384"/>
      <c r="F376" s="384"/>
      <c r="G376" s="384"/>
      <c r="H376" s="383"/>
      <c r="I376" s="345"/>
      <c r="J376" s="386"/>
      <c r="K376" s="386"/>
      <c r="L376" s="347"/>
      <c r="M376" s="349"/>
      <c r="N376" s="347"/>
      <c r="O376" s="347">
        <f>IFERROR(_xlfn.XLOOKUP(E376,轮胎重量!J:J,轮胎重量!F:F),"")</f>
        <v>0</v>
      </c>
      <c r="P376" s="347">
        <f>IFERROR(_xlfn.XLOOKUP(F376,硫化工艺!I:I,硫化工艺!J:J),"")</f>
        <v>0</v>
      </c>
      <c r="Q376" s="347" t="str">
        <f t="shared" si="902"/>
        <v/>
      </c>
      <c r="R376" s="347"/>
      <c r="S376" s="347"/>
      <c r="T376" s="347"/>
      <c r="U376" s="347"/>
      <c r="V376" s="347"/>
      <c r="W376" s="347"/>
      <c r="X376" s="347"/>
      <c r="Y376" s="347"/>
      <c r="Z376" s="347"/>
      <c r="AA376" s="347"/>
      <c r="AB376" s="347"/>
      <c r="AC376" s="347"/>
      <c r="AD376" s="347"/>
      <c r="AE376" s="347"/>
      <c r="AF376" s="347"/>
      <c r="AG376" s="347"/>
      <c r="AH376" s="347"/>
      <c r="AI376" s="347"/>
      <c r="AJ376" s="347"/>
      <c r="AK376" s="347"/>
      <c r="AL376" s="347"/>
      <c r="AM376" s="347"/>
      <c r="AN376" s="347"/>
      <c r="AO376" s="347"/>
      <c r="AP376" s="347"/>
      <c r="AQ376" s="347"/>
      <c r="AR376" s="347"/>
      <c r="AS376" s="347"/>
      <c r="AT376" s="347"/>
      <c r="AU376" s="347"/>
      <c r="AV376" s="347"/>
      <c r="AW376" s="347" t="str">
        <f t="shared" si="964"/>
        <v/>
      </c>
      <c r="AX376" s="365" t="str">
        <f t="shared" si="965"/>
        <v/>
      </c>
      <c r="AY376" s="365" t="str">
        <f t="shared" si="966"/>
        <v/>
      </c>
      <c r="AZ376" s="366"/>
      <c r="BA376" s="368"/>
      <c r="BB376" s="368"/>
      <c r="BC376" s="368"/>
      <c r="BE376" s="330" t="e">
        <f t="shared" si="936"/>
        <v>#VALUE!</v>
      </c>
      <c r="BF376" s="330" t="e">
        <f t="shared" si="937"/>
        <v>#VALUE!</v>
      </c>
      <c r="BG376" s="330" t="e">
        <f t="shared" si="938"/>
        <v>#VALUE!</v>
      </c>
      <c r="BH376" s="330" t="e">
        <f t="shared" si="939"/>
        <v>#VALUE!</v>
      </c>
      <c r="BT376" s="258" cm="1">
        <f ca="1" t="array" ref="BT376:BW376">_xlfn.HSTACK(SUM(INDEX($R376:$AV376,1,1):INDEX($R376:$AV376,1,7)),SUM(INDEX($R376:$AV376,1,7):INDEX($R376:$AV376,1,13)),SUM(INDEX($R376:$AV376,1,16):INDEX($R376:$AV376,1,23)),SUM(INDEX($R376:$AV376,1,23):INDEX($R376:$AV376,1,31)))</f>
        <v>0</v>
      </c>
      <c r="BU376" s="258">
        <v>0</v>
      </c>
      <c r="BV376" s="258">
        <v>0</v>
      </c>
      <c r="BW376" s="258">
        <v>0</v>
      </c>
      <c r="BY376" s="258">
        <f t="shared" si="941"/>
        <v>0</v>
      </c>
      <c r="BZ376" s="258">
        <f t="shared" si="942"/>
        <v>0</v>
      </c>
      <c r="CA376" s="258">
        <f t="shared" si="943"/>
        <v>0</v>
      </c>
      <c r="CB376" s="258">
        <f t="shared" si="944"/>
        <v>0</v>
      </c>
    </row>
    <row r="377" ht="17" spans="53:80">
      <c r="BA377" s="258" t="e">
        <f>#REF!/#REF!*4000</f>
        <v>#REF!</v>
      </c>
      <c r="BT377" s="258" cm="1">
        <f ca="1" t="array" ref="BT377">SUMPRODUCT(IF(ISNUMBER(BT219:BT363),BT219:BT363,0),IF(ISERROR(BT219:BT363),0,1))</f>
        <v>17066</v>
      </c>
      <c r="BU377" s="258" cm="1">
        <f ca="1" t="array" ref="BU377">SUMPRODUCT(IF(ISNUMBER(BU219:BU363),BU219:BU363,0),IF(ISERROR(BU219:BU363),0,1))</f>
        <v>19638</v>
      </c>
      <c r="BV377" s="258" cm="1">
        <f ca="1" t="array" ref="BV377">SUMPRODUCT(IF(ISNUMBER(BV219:BV363),BV219:BV363,0),IF(ISERROR(BV219:BV363),0,1))</f>
        <v>23922</v>
      </c>
      <c r="BW377" s="258" cm="1">
        <f ca="1" t="array" ref="BW377">SUMPRODUCT(IF(ISNUMBER(BW219:BW363),BW219:BW363,0),IF(ISERROR(BW219:BW363),0,1))</f>
        <v>26676</v>
      </c>
      <c r="BX377" s="371" t="s">
        <v>690</v>
      </c>
      <c r="BY377" s="258" cm="1">
        <f t="array" ref="BY377">SUMPRODUCT(IF(ISNUMBER(BY219:BY363),BY219:BY363,0),IF(ISERROR(BY219:BY363),0,1))</f>
        <v>17066</v>
      </c>
      <c r="BZ377" s="258" cm="1">
        <f t="array" ref="BZ377">SUMPRODUCT(IF(ISNUMBER(BZ219:BZ363),BZ219:BZ363,0),IF(ISERROR(BZ219:BZ363),0,1))</f>
        <v>20154</v>
      </c>
      <c r="CA377" s="258" cm="1">
        <f t="array" ref="CA377">SUMPRODUCT(IF(ISNUMBER(CA219:CA363),CA219:CA363,0),IF(ISERROR(CA219:CA363),0,1))</f>
        <v>23952</v>
      </c>
      <c r="CB377" s="258" cm="1">
        <f t="array" ref="CB377">SUMPRODUCT(IF(ISNUMBER(CB219:CB363),CB219:CB363,0),IF(ISERROR(CB219:CB363),0,1))</f>
        <v>26676</v>
      </c>
    </row>
    <row r="378" ht="17" spans="10:80">
      <c r="J378" s="331">
        <v>500</v>
      </c>
      <c r="K378" s="387"/>
      <c r="L378" s="388"/>
      <c r="M378" s="388"/>
      <c r="N378" s="330"/>
      <c r="S378" s="331"/>
      <c r="T378" s="331"/>
      <c r="BT378" s="258" cm="1">
        <f ca="1" t="array" ref="BT378">SUMPRODUCT(IF(ISNUMBER(BT367:BT376),BT367:BT376,0),IF(ISERROR(BT367:BT376),0,1))</f>
        <v>0</v>
      </c>
      <c r="BU378" s="258" cm="1">
        <f ca="1" t="array" ref="BU378">SUMPRODUCT(IF(ISNUMBER(BU367:BU376),BU367:BU376,0),IF(ISERROR(BU367:BU376),0,1))</f>
        <v>0</v>
      </c>
      <c r="BV378" s="258" cm="1">
        <f ca="1" t="array" ref="BV378">SUMPRODUCT(IF(ISNUMBER(BV367:BV376),BV367:BV376,0),IF(ISERROR(BV367:BV376),0,1))</f>
        <v>0</v>
      </c>
      <c r="BW378" s="258" cm="1">
        <f ca="1" t="array" ref="BW378">SUMPRODUCT(IF(ISNUMBER(BW367:BW376),BW367:BW376,0),IF(ISERROR(BW367:BW376),0,1))</f>
        <v>0</v>
      </c>
      <c r="BX378" s="371" t="s">
        <v>690</v>
      </c>
      <c r="BY378" s="258" cm="1">
        <f t="array" ref="BY378">SUMPRODUCT(IF(ISNUMBER(BY367:BY376),BY367:BY376,0),IF(ISERROR(BY367:BY376),0,1))</f>
        <v>0</v>
      </c>
      <c r="BZ378" s="258" cm="1">
        <f t="array" ref="BZ378">SUMPRODUCT(IF(ISNUMBER(BZ367:BZ376),BZ367:BZ376,0),IF(ISERROR(BZ367:BZ376),0,1))</f>
        <v>0</v>
      </c>
      <c r="CA378" s="258" cm="1">
        <f t="array" ref="CA378">SUMPRODUCT(IF(ISNUMBER(CA367:CA376),CA367:CA376,0),IF(ISERROR(CA367:CA376),0,1))</f>
        <v>0</v>
      </c>
      <c r="CB378" s="258" cm="1">
        <f t="array" ref="CB378">SUMPRODUCT(IF(ISNUMBER(CB367:CB376),CB367:CB376,0),IF(ISERROR(CB367:CB376),0,1))</f>
        <v>0</v>
      </c>
    </row>
    <row r="379" ht="36" spans="2:95">
      <c r="B379" s="333" t="s">
        <v>669</v>
      </c>
      <c r="C379" s="333" t="s">
        <v>670</v>
      </c>
      <c r="D379" s="333"/>
      <c r="E379" s="336" t="s">
        <v>671</v>
      </c>
      <c r="F379" s="336"/>
      <c r="G379" s="337" t="s">
        <v>696</v>
      </c>
      <c r="H379" s="333"/>
      <c r="I379" s="333" t="s">
        <v>674</v>
      </c>
      <c r="J379" s="344" t="s">
        <v>677</v>
      </c>
      <c r="K379" s="333" t="s">
        <v>676</v>
      </c>
      <c r="L379" s="333"/>
      <c r="M379" s="333"/>
      <c r="N379" s="333" t="s">
        <v>697</v>
      </c>
      <c r="O379" s="333" t="s">
        <v>680</v>
      </c>
      <c r="P379" s="333" t="s">
        <v>681</v>
      </c>
      <c r="Q379" s="344" t="s">
        <v>682</v>
      </c>
      <c r="R379" s="333">
        <v>1</v>
      </c>
      <c r="S379" s="333">
        <v>2</v>
      </c>
      <c r="T379" s="333">
        <v>3</v>
      </c>
      <c r="U379" s="333">
        <v>4</v>
      </c>
      <c r="V379" s="333">
        <v>5</v>
      </c>
      <c r="W379" s="333">
        <v>6</v>
      </c>
      <c r="X379" s="333">
        <v>7</v>
      </c>
      <c r="Y379" s="333">
        <v>8</v>
      </c>
      <c r="Z379" s="333">
        <v>9</v>
      </c>
      <c r="AA379" s="333">
        <v>10</v>
      </c>
      <c r="AB379" s="333">
        <v>11</v>
      </c>
      <c r="AC379" s="333">
        <v>12</v>
      </c>
      <c r="AD379" s="333">
        <v>13</v>
      </c>
      <c r="AE379" s="333">
        <v>14</v>
      </c>
      <c r="AF379" s="333">
        <v>15</v>
      </c>
      <c r="AG379" s="333">
        <v>16</v>
      </c>
      <c r="AH379" s="333">
        <v>17</v>
      </c>
      <c r="AI379" s="333">
        <v>18</v>
      </c>
      <c r="AJ379" s="333">
        <v>19</v>
      </c>
      <c r="AK379" s="333">
        <v>20</v>
      </c>
      <c r="AL379" s="333">
        <v>21</v>
      </c>
      <c r="AM379" s="333">
        <v>22</v>
      </c>
      <c r="AN379" s="333">
        <v>23</v>
      </c>
      <c r="AO379" s="333">
        <v>24</v>
      </c>
      <c r="AP379" s="333">
        <v>25</v>
      </c>
      <c r="AQ379" s="333">
        <v>26</v>
      </c>
      <c r="AR379" s="333">
        <v>27</v>
      </c>
      <c r="AS379" s="333">
        <v>28</v>
      </c>
      <c r="AT379" s="333">
        <v>29</v>
      </c>
      <c r="AU379" s="333">
        <v>30</v>
      </c>
      <c r="AV379" s="333">
        <v>31</v>
      </c>
      <c r="AW379" s="347" t="s">
        <v>683</v>
      </c>
      <c r="AX379" s="363" t="s">
        <v>684</v>
      </c>
      <c r="AY379" s="363" t="s">
        <v>698</v>
      </c>
      <c r="BY379" s="258">
        <f>SUM(BY377:BY378)</f>
        <v>17066</v>
      </c>
      <c r="BZ379" s="258">
        <f>SUM(BZ377:BZ378)</f>
        <v>20154</v>
      </c>
      <c r="CA379" s="258">
        <f>SUM(CA377:CA378)</f>
        <v>23952</v>
      </c>
      <c r="CB379" s="258">
        <f>SUM(CB377:CB378)</f>
        <v>26676</v>
      </c>
      <c r="CJ379" s="391"/>
      <c r="CP379" s="258" t="e">
        <f>VLOOKUP(G379,[2]Sheet1!$C$3:$G$310,5,0)</f>
        <v>#N/A</v>
      </c>
      <c r="CQ379" s="258" t="e">
        <f>VLOOKUP(G379,[3]KCBB0101!$C$3:$F$691,4,0)</f>
        <v>#N/A</v>
      </c>
    </row>
    <row r="380" s="258" customFormat="1" ht="17" spans="1:95">
      <c r="A380" s="330"/>
      <c r="B380" s="347" t="s">
        <v>695</v>
      </c>
      <c r="C380" s="347" t="str">
        <f>IFERROR(MID(E380,FIND("-",E380)+1,2),"")</f>
        <v>15</v>
      </c>
      <c r="D380" s="347" t="str">
        <f t="shared" ref="D380:D385" si="974">"轻卡"&amp;C380&amp;"寸"</f>
        <v>轻卡15寸</v>
      </c>
      <c r="E380" s="385" t="str">
        <f t="shared" ref="E380:E397" si="975">IFERROR(LEFT(REPLACE(G380,1,2,""),FIND("[",REPLACE(G380,1,2,""))-1)&amp;"-"&amp;MID(REPLACE(G380,1,2,""),FIND("[",REPLACE(G380,1,2,""))+1,FIND("]",REPLACE(G380,1,2,""))-FIND("[",REPLACE(G380,1,2,""))-1),"")</f>
        <v>7.50-15-12PR-R8037</v>
      </c>
      <c r="F380" s="385"/>
      <c r="G380" s="385" t="s">
        <v>342</v>
      </c>
      <c r="H380" s="347">
        <v>800</v>
      </c>
      <c r="I380" s="347"/>
      <c r="J380" s="347">
        <v>38.2</v>
      </c>
      <c r="K380" s="367"/>
      <c r="L380" s="349">
        <f t="shared" ref="L380:L387" si="976">IF(J380="","",J380/(J380+$J$378/60))</f>
        <v>0.820916905444126</v>
      </c>
      <c r="M380" s="349"/>
      <c r="N380" s="347"/>
      <c r="O380" s="347">
        <f>IFERROR(_xlfn.XLOOKUP(E380,轮胎重量!S:S,轮胎重量!P:P),IFERROR(_xlfn.XLOOKUP(E380,轮胎重量!AB:AB,轮胎重量!Y:Y),IFERROR(_xlfn.XLOOKUP(E380,轮胎重量!AK:AK,轮胎重量!AH:AH),IFERROR(_xlfn.XLOOKUP(E380,轮胎重量!AT:AT,轮胎重量!AQ:AQ),""))))</f>
        <v>19.45</v>
      </c>
      <c r="P380" s="347">
        <f>IFERROR(_xlfn.XLOOKUP(E380,硫化工艺!I:I,硫化工艺!J:J),"")</f>
        <v>293.710683</v>
      </c>
      <c r="Q380" s="347">
        <f>IFERROR(ROUND(1440/J380*I380*L383,0),"")</f>
        <v>0</v>
      </c>
      <c r="R380" s="347">
        <v>66</v>
      </c>
      <c r="S380" s="347">
        <v>66</v>
      </c>
      <c r="T380" s="347">
        <v>66</v>
      </c>
      <c r="U380" s="347">
        <v>66</v>
      </c>
      <c r="V380" s="347">
        <v>66</v>
      </c>
      <c r="W380" s="347">
        <v>66</v>
      </c>
      <c r="X380" s="347">
        <v>66</v>
      </c>
      <c r="Y380" s="347">
        <v>66</v>
      </c>
      <c r="Z380" s="347">
        <v>66</v>
      </c>
      <c r="AA380" s="347">
        <v>66</v>
      </c>
      <c r="AB380" s="347">
        <v>66</v>
      </c>
      <c r="AC380" s="347">
        <v>66</v>
      </c>
      <c r="AD380" s="347">
        <v>66</v>
      </c>
      <c r="AE380" s="347"/>
      <c r="AF380" s="347"/>
      <c r="AG380" s="347"/>
      <c r="AH380" s="347"/>
      <c r="AI380" s="347"/>
      <c r="AJ380" s="347"/>
      <c r="AK380" s="347"/>
      <c r="AL380" s="347"/>
      <c r="AM380" s="347"/>
      <c r="AN380" s="347"/>
      <c r="AO380" s="347"/>
      <c r="AP380" s="347"/>
      <c r="AQ380" s="347"/>
      <c r="AR380" s="347"/>
      <c r="AS380" s="347"/>
      <c r="AT380" s="347"/>
      <c r="AU380" s="347"/>
      <c r="AV380" s="347"/>
      <c r="AW380" s="347">
        <f t="shared" ref="AW380:AW391" si="977">IF(SUM(R380:AV380)=0,"",SUM(R380:AV380))</f>
        <v>858</v>
      </c>
      <c r="AX380" s="365">
        <f t="shared" ref="AX380:AX391" si="978">IFERROR(AW380*O380/1000,"")</f>
        <v>16.6881</v>
      </c>
      <c r="AY380" s="365">
        <f t="shared" ref="AY380:AY391" si="979">IFERROR(ROUND(AW380*P380/10000,3),"")</f>
        <v>25.2</v>
      </c>
      <c r="BC380" s="330"/>
      <c r="BD380" s="330"/>
      <c r="BE380" s="330">
        <f t="shared" ref="BE380:BE385" si="980">AZ380*AW380</f>
        <v>0</v>
      </c>
      <c r="BF380" s="330">
        <f t="shared" ref="BF380:BF385" si="981">BA380*AW380</f>
        <v>0</v>
      </c>
      <c r="BG380" s="330">
        <f t="shared" ref="BG380:BG385" si="982">BB380*AW380</f>
        <v>0</v>
      </c>
      <c r="BH380" s="330">
        <f t="shared" ref="BH380:BH385" si="983">BC380*AW380</f>
        <v>0</v>
      </c>
      <c r="BI380" s="330"/>
      <c r="BJ380" s="370" cm="1">
        <f t="array" ref="BJ380:BM380">_xlfn.LET(_xlpm.data,$R380:$AV380,_xlpm.starts,{1,8,16,23},_xlpm.lengths,{7,7,8,9},_xlpm.arr,_xlfn.MAP(_xlpm.starts,_xlpm.lengths,_xlfn.LAMBDA(_xlpm.s,_xlpm.l,SUM(INDEX(_xlpm.data,,_xlfn.SEQUENCE(,_xlpm.l,_xlpm.s))))),ROUND(_xlpm.arr*$O380/1000,2))</f>
        <v>8.99</v>
      </c>
      <c r="BK380" s="330">
        <v>7.7</v>
      </c>
      <c r="BL380" s="330">
        <v>0</v>
      </c>
      <c r="BM380" s="330">
        <v>0</v>
      </c>
      <c r="BN380" s="258">
        <f>SUM(BJ380:BM380)</f>
        <v>16.69</v>
      </c>
      <c r="BO380" s="258">
        <v>10.37</v>
      </c>
      <c r="BP380" s="258">
        <v>0</v>
      </c>
      <c r="BQ380" s="258">
        <v>0</v>
      </c>
      <c r="BR380" s="258">
        <v>0</v>
      </c>
      <c r="BS380" s="382" t="s">
        <v>343</v>
      </c>
      <c r="BX380" s="371" t="s">
        <v>343</v>
      </c>
      <c r="BY380" s="258">
        <f t="shared" ref="BY380:BY385" si="984">SUM(R380:X380)</f>
        <v>462</v>
      </c>
      <c r="BZ380" s="258">
        <f t="shared" ref="BZ380:BZ385" si="985">SUM(Y380:AE380)</f>
        <v>396</v>
      </c>
      <c r="CA380" s="258">
        <f t="shared" ref="CA380:CA385" si="986">SUM(AF380:AM380)</f>
        <v>0</v>
      </c>
      <c r="CB380" s="258">
        <f t="shared" ref="CB380:CB385" si="987">SUM(AN380:AV380)</f>
        <v>0</v>
      </c>
      <c r="CD380" s="225" t="s">
        <v>699</v>
      </c>
      <c r="CE380" s="389">
        <f t="shared" ref="CE380:CH380" si="988">ROUND(BY380*$O380/1000,2)</f>
        <v>8.99</v>
      </c>
      <c r="CF380" s="389">
        <f t="shared" si="988"/>
        <v>7.7</v>
      </c>
      <c r="CG380" s="389">
        <f t="shared" si="988"/>
        <v>0</v>
      </c>
      <c r="CH380" s="389">
        <f t="shared" si="988"/>
        <v>0</v>
      </c>
      <c r="CI380" s="258">
        <f t="shared" ref="CI380:CI385" si="989">SUM(CE380:CH380)</f>
        <v>16.69</v>
      </c>
      <c r="CJ380" s="113"/>
      <c r="CP380" s="258" t="e">
        <f>VLOOKUP(G380,[2]Sheet1!$C$3:$G$310,5,0)</f>
        <v>#N/A</v>
      </c>
      <c r="CQ380" s="258">
        <f>VLOOKUP(G380,[3]KCBB0101!$C$3:$F$691,4,0)</f>
        <v>4555</v>
      </c>
    </row>
    <row r="381" s="258" customFormat="1" ht="17" spans="1:95">
      <c r="A381" s="330"/>
      <c r="B381" s="347" t="s">
        <v>695</v>
      </c>
      <c r="C381" s="347" t="str">
        <f t="shared" ref="C381:C386" si="990">IFERROR(MID(E381,FIND("-",E381)+1,2),"")</f>
        <v>16</v>
      </c>
      <c r="D381" s="347" t="str">
        <f t="shared" si="974"/>
        <v>轻卡16寸</v>
      </c>
      <c r="E381" s="385" t="str">
        <f t="shared" si="975"/>
        <v>7.50-16-14PR-AB111</v>
      </c>
      <c r="F381" s="385"/>
      <c r="G381" s="385" t="s">
        <v>344</v>
      </c>
      <c r="H381" s="347">
        <v>850</v>
      </c>
      <c r="I381" s="347"/>
      <c r="J381" s="347">
        <v>38.2</v>
      </c>
      <c r="K381" s="367"/>
      <c r="L381" s="349">
        <f t="shared" si="976"/>
        <v>0.820916905444126</v>
      </c>
      <c r="M381" s="349"/>
      <c r="N381" s="347"/>
      <c r="O381" s="347">
        <f>IFERROR(_xlfn.XLOOKUP(E381,轮胎重量!S:S,轮胎重量!P:P),IFERROR(_xlfn.XLOOKUP(E381,轮胎重量!AB:AB,轮胎重量!Y:Y),IFERROR(_xlfn.XLOOKUP(E381,轮胎重量!AK:AK,轮胎重量!AH:AH),IFERROR(_xlfn.XLOOKUP(E381,轮胎重量!AT:AT,轮胎重量!AQ:AQ),""))))</f>
        <v>24.45</v>
      </c>
      <c r="P381" s="350">
        <f t="shared" ref="P381:P384" si="991">O381*14.76</f>
        <v>360.882</v>
      </c>
      <c r="Q381" s="347">
        <f>IFERROR(ROUND(1440/J381*I381*L384,0),"")</f>
        <v>0</v>
      </c>
      <c r="R381" s="347">
        <v>60</v>
      </c>
      <c r="S381" s="347">
        <v>60</v>
      </c>
      <c r="T381" s="347">
        <v>60</v>
      </c>
      <c r="U381" s="347">
        <v>60</v>
      </c>
      <c r="V381" s="347">
        <v>60</v>
      </c>
      <c r="W381" s="347">
        <v>60</v>
      </c>
      <c r="X381" s="347">
        <v>60</v>
      </c>
      <c r="Y381" s="347">
        <v>60</v>
      </c>
      <c r="Z381" s="347">
        <v>60</v>
      </c>
      <c r="AA381" s="347">
        <v>60</v>
      </c>
      <c r="AB381" s="347">
        <v>60</v>
      </c>
      <c r="AC381" s="347">
        <v>60</v>
      </c>
      <c r="AD381" s="347">
        <v>60</v>
      </c>
      <c r="AE381" s="347">
        <v>62</v>
      </c>
      <c r="AF381" s="347">
        <v>62</v>
      </c>
      <c r="AG381" s="347"/>
      <c r="AH381" s="347"/>
      <c r="AI381" s="347"/>
      <c r="AJ381" s="347"/>
      <c r="AK381" s="347"/>
      <c r="AL381" s="347"/>
      <c r="AM381" s="347"/>
      <c r="AN381" s="347"/>
      <c r="AO381" s="347"/>
      <c r="AP381" s="347"/>
      <c r="AQ381" s="347"/>
      <c r="AR381" s="347"/>
      <c r="AS381" s="347"/>
      <c r="AT381" s="347"/>
      <c r="AU381" s="347"/>
      <c r="AV381" s="347"/>
      <c r="AW381" s="347">
        <f t="shared" si="977"/>
        <v>904</v>
      </c>
      <c r="AX381" s="365">
        <f t="shared" si="978"/>
        <v>22.1028</v>
      </c>
      <c r="AY381" s="365">
        <f t="shared" si="979"/>
        <v>32.624</v>
      </c>
      <c r="BC381" s="330"/>
      <c r="BD381" s="330"/>
      <c r="BE381" s="330">
        <f t="shared" si="980"/>
        <v>0</v>
      </c>
      <c r="BF381" s="330">
        <f t="shared" si="981"/>
        <v>0</v>
      </c>
      <c r="BG381" s="330">
        <f t="shared" si="982"/>
        <v>0</v>
      </c>
      <c r="BH381" s="330">
        <f t="shared" si="983"/>
        <v>0</v>
      </c>
      <c r="BI381" s="330"/>
      <c r="BJ381" s="370" cm="1">
        <f t="array" ref="BJ381:BM381">_xlfn.LET(_xlpm.data,$R381:$AV381,_xlpm.starts,{1,8,16,23},_xlpm.lengths,{7,7,8,9},_xlpm.arr,_xlfn.MAP(_xlpm.starts,_xlpm.lengths,_xlfn.LAMBDA(_xlpm.s,_xlpm.l,SUM(INDEX(_xlpm.data,,_xlfn.SEQUENCE(,_xlpm.l,_xlpm.s))))),ROUND(_xlpm.arr*$O381/1000,2))</f>
        <v>10.27</v>
      </c>
      <c r="BK381" s="330">
        <v>10.32</v>
      </c>
      <c r="BL381" s="330">
        <v>0</v>
      </c>
      <c r="BM381" s="330">
        <v>0</v>
      </c>
      <c r="BN381" s="258">
        <f>SUM(BJ381:BM381)</f>
        <v>20.59</v>
      </c>
      <c r="BO381" s="258">
        <v>10.37</v>
      </c>
      <c r="BP381" s="258">
        <v>0</v>
      </c>
      <c r="BQ381" s="258">
        <v>0</v>
      </c>
      <c r="BR381" s="258">
        <v>0</v>
      </c>
      <c r="BS381" s="382" t="s">
        <v>343</v>
      </c>
      <c r="BX381" s="371" t="s">
        <v>343</v>
      </c>
      <c r="BY381" s="258">
        <f t="shared" si="984"/>
        <v>420</v>
      </c>
      <c r="BZ381" s="258">
        <f t="shared" si="985"/>
        <v>422</v>
      </c>
      <c r="CA381" s="258">
        <f t="shared" si="986"/>
        <v>62</v>
      </c>
      <c r="CB381" s="258">
        <f t="shared" si="987"/>
        <v>0</v>
      </c>
      <c r="CD381" s="225" t="s">
        <v>699</v>
      </c>
      <c r="CE381" s="389">
        <f>ROUND(BY381*$O381/1000,2)</f>
        <v>10.27</v>
      </c>
      <c r="CF381" s="389">
        <f>ROUND(BZ381*$O381/1000,2)</f>
        <v>10.32</v>
      </c>
      <c r="CG381" s="389">
        <f>ROUND(CA381*$O381/1000,2)</f>
        <v>1.52</v>
      </c>
      <c r="CH381" s="389">
        <f>ROUND(CB381*$O381/1000,2)</f>
        <v>0</v>
      </c>
      <c r="CI381" s="258">
        <f t="shared" si="989"/>
        <v>22.11</v>
      </c>
      <c r="CJ381" s="113"/>
      <c r="CK381" s="258">
        <f t="shared" ref="CK381:CN381" si="992">IFERROR(ROUND(BY381*$P381,2),"")</f>
        <v>151570.44</v>
      </c>
      <c r="CL381" s="258">
        <f t="shared" si="992"/>
        <v>152292.2</v>
      </c>
      <c r="CM381" s="258">
        <f t="shared" si="992"/>
        <v>22374.68</v>
      </c>
      <c r="CN381" s="258">
        <f t="shared" si="992"/>
        <v>0</v>
      </c>
      <c r="CO381" s="258">
        <f>SUM(CK381:CN381)</f>
        <v>326237.32</v>
      </c>
      <c r="CP381" s="258" t="e">
        <f>VLOOKUP(G381,[2]Sheet1!$C$3:$G$310,5,0)</f>
        <v>#N/A</v>
      </c>
      <c r="CQ381" s="258">
        <f>VLOOKUP(G381,[3]KCBB0101!$C$3:$F$691,4,0)</f>
        <v>4013</v>
      </c>
    </row>
    <row r="382" s="258" customFormat="1" ht="15" customHeight="1" spans="1:93">
      <c r="A382" s="330"/>
      <c r="B382" s="347" t="s">
        <v>695</v>
      </c>
      <c r="C382" s="347" t="str">
        <f t="shared" si="990"/>
        <v>16</v>
      </c>
      <c r="D382" s="347" t="str">
        <f t="shared" si="974"/>
        <v>轻卡16寸</v>
      </c>
      <c r="E382" s="385" t="str">
        <f t="shared" si="975"/>
        <v>7.50-16-14PR-L8056</v>
      </c>
      <c r="F382" s="385"/>
      <c r="G382" s="385" t="s">
        <v>345</v>
      </c>
      <c r="H382" s="347">
        <v>500</v>
      </c>
      <c r="I382" s="347"/>
      <c r="J382" s="347">
        <v>38.2</v>
      </c>
      <c r="K382" s="347"/>
      <c r="L382" s="349">
        <f t="shared" si="976"/>
        <v>0.820916905444126</v>
      </c>
      <c r="M382" s="349"/>
      <c r="N382" s="347"/>
      <c r="O382" s="347">
        <f>IFERROR(_xlfn.XLOOKUP(E382,轮胎重量!S:S,轮胎重量!P:P),IFERROR(_xlfn.XLOOKUP(E382,轮胎重量!AB:AB,轮胎重量!Y:Y),IFERROR(_xlfn.XLOOKUP(E382,轮胎重量!AK:AK,轮胎重量!AH:AH),IFERROR(_xlfn.XLOOKUP(E382,轮胎重量!AT:AT,轮胎重量!AQ:AQ),""))))</f>
        <v>24.81</v>
      </c>
      <c r="P382" s="350">
        <f t="shared" si="991"/>
        <v>366.1956</v>
      </c>
      <c r="Q382" s="347">
        <f>IFERROR(ROUND(1440/J382*I382*L383,0),"")</f>
        <v>0</v>
      </c>
      <c r="R382" s="347"/>
      <c r="S382" s="347"/>
      <c r="T382" s="347"/>
      <c r="U382" s="347"/>
      <c r="V382" s="347"/>
      <c r="W382" s="347"/>
      <c r="X382" s="347"/>
      <c r="Y382" s="347"/>
      <c r="Z382" s="347"/>
      <c r="AA382" s="347"/>
      <c r="AB382" s="347"/>
      <c r="AC382" s="347"/>
      <c r="AD382" s="347"/>
      <c r="AE382" s="347"/>
      <c r="AF382" s="347"/>
      <c r="AG382" s="347"/>
      <c r="AH382" s="347"/>
      <c r="AI382" s="347"/>
      <c r="AJ382" s="347"/>
      <c r="AK382" s="347"/>
      <c r="AL382" s="347"/>
      <c r="AM382" s="347"/>
      <c r="AN382" s="347"/>
      <c r="AO382" s="347"/>
      <c r="AP382" s="347"/>
      <c r="AQ382" s="347"/>
      <c r="AR382" s="347"/>
      <c r="AS382" s="347"/>
      <c r="AT382" s="347"/>
      <c r="AU382" s="347"/>
      <c r="AV382" s="347"/>
      <c r="AW382" s="347" t="str">
        <f t="shared" si="977"/>
        <v/>
      </c>
      <c r="AX382" s="365" t="str">
        <f t="shared" si="978"/>
        <v/>
      </c>
      <c r="AY382" s="365" t="str">
        <f t="shared" si="979"/>
        <v/>
      </c>
      <c r="BC382" s="330"/>
      <c r="BD382" s="330"/>
      <c r="BE382" s="330" t="e">
        <f t="shared" si="980"/>
        <v>#VALUE!</v>
      </c>
      <c r="BF382" s="330" t="e">
        <f t="shared" si="981"/>
        <v>#VALUE!</v>
      </c>
      <c r="BG382" s="330" t="e">
        <f t="shared" si="982"/>
        <v>#VALUE!</v>
      </c>
      <c r="BH382" s="330" t="e">
        <f t="shared" si="983"/>
        <v>#VALUE!</v>
      </c>
      <c r="BI382" s="330"/>
      <c r="BJ382" s="370" cm="1">
        <f t="array" ref="BJ382:BM382">_xlfn.LET(_xlpm.data,$R382:$AV382,_xlpm.starts,{1,8,16,23},_xlpm.lengths,{7,7,8,9},_xlpm.arr,_xlfn.MAP(_xlpm.starts,_xlpm.lengths,_xlfn.LAMBDA(_xlpm.s,_xlpm.l,SUM(INDEX(_xlpm.data,,_xlfn.SEQUENCE(,_xlpm.l,_xlpm.s))))),ROUND(_xlpm.arr*$O382/1000,2))</f>
        <v>0</v>
      </c>
      <c r="BK382" s="330">
        <v>0</v>
      </c>
      <c r="BL382" s="330">
        <v>0</v>
      </c>
      <c r="BM382" s="330">
        <v>0</v>
      </c>
      <c r="BO382" s="258">
        <v>21.77</v>
      </c>
      <c r="BP382" s="258">
        <v>21.77</v>
      </c>
      <c r="BQ382" s="258">
        <v>24.88</v>
      </c>
      <c r="BR382" s="258">
        <v>27.99</v>
      </c>
      <c r="BS382" s="382" t="s">
        <v>343</v>
      </c>
      <c r="BX382" s="371" t="s">
        <v>343</v>
      </c>
      <c r="BY382" s="258">
        <f t="shared" si="984"/>
        <v>0</v>
      </c>
      <c r="BZ382" s="258">
        <f t="shared" si="985"/>
        <v>0</v>
      </c>
      <c r="CA382" s="258">
        <f t="shared" si="986"/>
        <v>0</v>
      </c>
      <c r="CB382" s="258">
        <f t="shared" si="987"/>
        <v>0</v>
      </c>
      <c r="CD382" s="113">
        <f>24.71</f>
        <v>24.71</v>
      </c>
      <c r="CE382" s="390">
        <f t="shared" ref="CE382:CH382" si="993">ROUND(BY382*$O382/1000,2)</f>
        <v>0</v>
      </c>
      <c r="CF382" s="389">
        <f t="shared" si="993"/>
        <v>0</v>
      </c>
      <c r="CG382" s="389">
        <f t="shared" si="993"/>
        <v>0</v>
      </c>
      <c r="CH382" s="389">
        <f t="shared" si="993"/>
        <v>0</v>
      </c>
      <c r="CI382" s="258">
        <f t="shared" si="989"/>
        <v>0</v>
      </c>
      <c r="CJ382" s="113">
        <v>424</v>
      </c>
      <c r="CK382" s="258">
        <f t="shared" ref="CK382:CN382" si="994">IFERROR(ROUND(BY382*$P382,2),"")</f>
        <v>0</v>
      </c>
      <c r="CL382" s="258">
        <f t="shared" si="994"/>
        <v>0</v>
      </c>
      <c r="CM382" s="258">
        <f t="shared" si="994"/>
        <v>0</v>
      </c>
      <c r="CN382" s="258">
        <f t="shared" si="994"/>
        <v>0</v>
      </c>
      <c r="CO382" s="258">
        <f>SUM(CK382:CN382)</f>
        <v>0</v>
      </c>
    </row>
    <row r="383" s="258" customFormat="1" ht="15" customHeight="1" spans="1:95">
      <c r="A383" s="330"/>
      <c r="B383" s="347" t="s">
        <v>695</v>
      </c>
      <c r="C383" s="347" t="str">
        <f t="shared" si="990"/>
        <v>16</v>
      </c>
      <c r="D383" s="347" t="str">
        <f t="shared" si="974"/>
        <v>轻卡16寸</v>
      </c>
      <c r="E383" s="385" t="str">
        <f t="shared" si="975"/>
        <v>7.50-16-14PR-M8087</v>
      </c>
      <c r="F383" s="385"/>
      <c r="G383" s="385" t="s">
        <v>346</v>
      </c>
      <c r="H383" s="347">
        <v>3000</v>
      </c>
      <c r="I383" s="347"/>
      <c r="J383" s="347">
        <v>38.2</v>
      </c>
      <c r="K383" s="347"/>
      <c r="L383" s="349">
        <f t="shared" si="976"/>
        <v>0.820916905444126</v>
      </c>
      <c r="M383" s="349"/>
      <c r="N383" s="347"/>
      <c r="O383" s="347">
        <f>IFERROR(_xlfn.XLOOKUP(E383,轮胎重量!S:S,轮胎重量!P:P),IFERROR(_xlfn.XLOOKUP(E383,轮胎重量!AB:AB,轮胎重量!Y:Y),IFERROR(_xlfn.XLOOKUP(E383,轮胎重量!AK:AK,轮胎重量!AH:AH),IFERROR(_xlfn.XLOOKUP(E383,轮胎重量!AT:AT,轮胎重量!AQ:AQ),""))))</f>
        <v>25.23</v>
      </c>
      <c r="P383" s="347">
        <f>IFERROR(_xlfn.XLOOKUP(E383,硫化工艺!I:I,硫化工艺!J:J),"")</f>
        <v>442.8823</v>
      </c>
      <c r="Q383" s="347">
        <f>IFERROR(ROUND(1440/J383*I383*L384,0),"")</f>
        <v>0</v>
      </c>
      <c r="R383" s="347">
        <v>56</v>
      </c>
      <c r="S383" s="347">
        <v>56</v>
      </c>
      <c r="T383" s="347">
        <v>56</v>
      </c>
      <c r="U383" s="347">
        <v>56</v>
      </c>
      <c r="V383" s="347">
        <v>56</v>
      </c>
      <c r="W383" s="347">
        <v>56</v>
      </c>
      <c r="X383" s="347">
        <v>56</v>
      </c>
      <c r="Y383" s="347">
        <v>56</v>
      </c>
      <c r="Z383" s="347">
        <v>56</v>
      </c>
      <c r="AA383" s="347">
        <v>56</v>
      </c>
      <c r="AB383" s="347">
        <v>56</v>
      </c>
      <c r="AC383" s="347">
        <v>56</v>
      </c>
      <c r="AD383" s="347">
        <v>56</v>
      </c>
      <c r="AE383" s="347">
        <v>56</v>
      </c>
      <c r="AF383" s="347">
        <v>56</v>
      </c>
      <c r="AG383" s="347">
        <v>56</v>
      </c>
      <c r="AH383" s="347">
        <v>56</v>
      </c>
      <c r="AI383" s="347">
        <v>56</v>
      </c>
      <c r="AJ383" s="347">
        <v>56</v>
      </c>
      <c r="AK383" s="347">
        <v>56</v>
      </c>
      <c r="AL383" s="347">
        <v>56</v>
      </c>
      <c r="AM383" s="347">
        <v>56</v>
      </c>
      <c r="AN383" s="347">
        <v>112</v>
      </c>
      <c r="AO383" s="347">
        <v>112</v>
      </c>
      <c r="AP383" s="347">
        <v>112</v>
      </c>
      <c r="AQ383" s="347">
        <v>112</v>
      </c>
      <c r="AR383" s="347">
        <v>112</v>
      </c>
      <c r="AS383" s="347">
        <v>112</v>
      </c>
      <c r="AT383" s="347">
        <v>112</v>
      </c>
      <c r="AU383" s="347">
        <v>112</v>
      </c>
      <c r="AV383" s="347">
        <v>112</v>
      </c>
      <c r="AW383" s="347">
        <f t="shared" si="977"/>
        <v>2240</v>
      </c>
      <c r="AX383" s="365">
        <f t="shared" si="978"/>
        <v>56.5152</v>
      </c>
      <c r="AY383" s="365">
        <f t="shared" si="979"/>
        <v>99.206</v>
      </c>
      <c r="BC383" s="330"/>
      <c r="BD383" s="330"/>
      <c r="BE383" s="330">
        <f t="shared" si="980"/>
        <v>0</v>
      </c>
      <c r="BF383" s="330">
        <f t="shared" si="981"/>
        <v>0</v>
      </c>
      <c r="BG383" s="330">
        <f t="shared" si="982"/>
        <v>0</v>
      </c>
      <c r="BH383" s="330">
        <f t="shared" si="983"/>
        <v>0</v>
      </c>
      <c r="BI383" s="330"/>
      <c r="BJ383" s="370" cm="1">
        <f t="array" ref="BJ383:BM383">_xlfn.LET(_xlpm.data,$R383:$AV383,_xlpm.starts,{1,8,16,23},_xlpm.lengths,{7,7,8,9},_xlpm.arr,_xlfn.MAP(_xlpm.starts,_xlpm.lengths,_xlfn.LAMBDA(_xlpm.s,_xlpm.l,SUM(INDEX(_xlpm.data,,_xlfn.SEQUENCE(,_xlpm.l,_xlpm.s))))),ROUND(_xlpm.arr*$O383/1000,2))</f>
        <v>9.89</v>
      </c>
      <c r="BK383" s="330">
        <v>9.89</v>
      </c>
      <c r="BL383" s="330">
        <v>12.72</v>
      </c>
      <c r="BM383" s="330">
        <v>25.43</v>
      </c>
      <c r="BO383" s="258">
        <v>21.77</v>
      </c>
      <c r="BP383" s="258">
        <v>21.77</v>
      </c>
      <c r="BQ383" s="258">
        <v>24.88</v>
      </c>
      <c r="BR383" s="258">
        <v>27.99</v>
      </c>
      <c r="BS383" s="382" t="s">
        <v>343</v>
      </c>
      <c r="BX383" s="371" t="s">
        <v>343</v>
      </c>
      <c r="BY383" s="258">
        <f t="shared" si="984"/>
        <v>392</v>
      </c>
      <c r="BZ383" s="258">
        <f t="shared" si="985"/>
        <v>392</v>
      </c>
      <c r="CA383" s="258">
        <f t="shared" si="986"/>
        <v>448</v>
      </c>
      <c r="CB383" s="258">
        <f t="shared" si="987"/>
        <v>1008</v>
      </c>
      <c r="CD383" s="113">
        <f>24.71</f>
        <v>24.71</v>
      </c>
      <c r="CE383" s="390">
        <f t="shared" ref="CE383:CH383" si="995">ROUND(BY383*$O383/1000,2)</f>
        <v>9.89</v>
      </c>
      <c r="CF383" s="389">
        <f t="shared" si="995"/>
        <v>9.89</v>
      </c>
      <c r="CG383" s="389">
        <f t="shared" si="995"/>
        <v>11.3</v>
      </c>
      <c r="CH383" s="389">
        <f t="shared" si="995"/>
        <v>25.43</v>
      </c>
      <c r="CI383" s="258">
        <f t="shared" si="989"/>
        <v>56.51</v>
      </c>
      <c r="CJ383" s="113">
        <v>424</v>
      </c>
      <c r="CK383" s="258">
        <f t="shared" ref="CK383:CN383" si="996">IFERROR(ROUND(BY383*$P383,2),"")</f>
        <v>173609.86</v>
      </c>
      <c r="CL383" s="258">
        <f t="shared" si="996"/>
        <v>173609.86</v>
      </c>
      <c r="CM383" s="258">
        <f t="shared" si="996"/>
        <v>198411.27</v>
      </c>
      <c r="CN383" s="258">
        <f t="shared" si="996"/>
        <v>446425.36</v>
      </c>
      <c r="CO383" s="258">
        <f>SUM(CK383:CN383)</f>
        <v>992056.35</v>
      </c>
      <c r="CP383" s="258" t="e">
        <f>VLOOKUP(G383,[2]Sheet1!$C$3:$G$310,5,0)</f>
        <v>#N/A</v>
      </c>
      <c r="CQ383" s="258">
        <f>VLOOKUP(G383,[3]KCBB0101!$C$3:$F$691,4,0)</f>
        <v>8982</v>
      </c>
    </row>
    <row r="384" s="258" customFormat="1" ht="15" customHeight="1" spans="1:110">
      <c r="A384" s="330"/>
      <c r="B384" s="347" t="s">
        <v>695</v>
      </c>
      <c r="C384" s="347" t="str">
        <f t="shared" si="990"/>
        <v>16</v>
      </c>
      <c r="D384" s="347" t="str">
        <f t="shared" si="974"/>
        <v>轻卡16寸</v>
      </c>
      <c r="E384" s="385" t="str">
        <f t="shared" si="975"/>
        <v>7.50-16-14PR-M8087</v>
      </c>
      <c r="F384" s="385"/>
      <c r="G384" s="385" t="s">
        <v>347</v>
      </c>
      <c r="H384" s="347">
        <v>3000</v>
      </c>
      <c r="I384" s="347"/>
      <c r="J384" s="347">
        <v>38.2</v>
      </c>
      <c r="K384" s="347"/>
      <c r="L384" s="349">
        <f t="shared" si="976"/>
        <v>0.820916905444126</v>
      </c>
      <c r="M384" s="349"/>
      <c r="N384" s="347"/>
      <c r="O384" s="347">
        <f>IFERROR(_xlfn.XLOOKUP(E384,轮胎重量!S:S,轮胎重量!P:P),IFERROR(_xlfn.XLOOKUP(E384,轮胎重量!AB:AB,轮胎重量!Y:Y),IFERROR(_xlfn.XLOOKUP(E384,轮胎重量!AK:AK,轮胎重量!AH:AH),IFERROR(_xlfn.XLOOKUP(E384,轮胎重量!AT:AT,轮胎重量!AQ:AQ),""))))</f>
        <v>25.23</v>
      </c>
      <c r="P384" s="350">
        <f t="shared" si="991"/>
        <v>372.3948</v>
      </c>
      <c r="Q384" s="347">
        <f>IFERROR(ROUND(1440/J384*I384*L385,0),"")</f>
        <v>0</v>
      </c>
      <c r="R384" s="347">
        <v>112</v>
      </c>
      <c r="S384" s="347">
        <v>112</v>
      </c>
      <c r="T384" s="347">
        <v>112</v>
      </c>
      <c r="U384" s="347">
        <v>112</v>
      </c>
      <c r="V384" s="347">
        <v>112</v>
      </c>
      <c r="W384" s="347">
        <v>112</v>
      </c>
      <c r="X384" s="347">
        <v>112</v>
      </c>
      <c r="Y384" s="347">
        <v>112</v>
      </c>
      <c r="Z384" s="347">
        <v>112</v>
      </c>
      <c r="AA384" s="347">
        <v>112</v>
      </c>
      <c r="AB384" s="347">
        <v>112</v>
      </c>
      <c r="AC384" s="347">
        <v>112</v>
      </c>
      <c r="AD384" s="347">
        <v>112</v>
      </c>
      <c r="AE384" s="347">
        <v>112</v>
      </c>
      <c r="AF384" s="347">
        <v>112</v>
      </c>
      <c r="AG384" s="347">
        <v>112</v>
      </c>
      <c r="AH384" s="347">
        <v>112</v>
      </c>
      <c r="AI384" s="347">
        <v>112</v>
      </c>
      <c r="AJ384" s="347">
        <v>112</v>
      </c>
      <c r="AK384" s="347">
        <v>112</v>
      </c>
      <c r="AL384" s="347">
        <v>112</v>
      </c>
      <c r="AM384" s="347">
        <v>112</v>
      </c>
      <c r="AN384" s="347">
        <v>112</v>
      </c>
      <c r="AO384" s="347">
        <v>112</v>
      </c>
      <c r="AP384" s="347">
        <v>112</v>
      </c>
      <c r="AQ384" s="347"/>
      <c r="AR384" s="347"/>
      <c r="AS384" s="347"/>
      <c r="AT384" s="347"/>
      <c r="AU384" s="347"/>
      <c r="AV384" s="347"/>
      <c r="AW384" s="347">
        <f t="shared" si="977"/>
        <v>2800</v>
      </c>
      <c r="AX384" s="365">
        <f t="shared" si="978"/>
        <v>70.644</v>
      </c>
      <c r="AY384" s="365">
        <f t="shared" si="979"/>
        <v>104.271</v>
      </c>
      <c r="AZ384" s="347"/>
      <c r="BA384" s="347"/>
      <c r="BB384" s="347"/>
      <c r="BC384" s="347"/>
      <c r="BD384" s="347"/>
      <c r="BE384" s="347">
        <f t="shared" si="980"/>
        <v>0</v>
      </c>
      <c r="BF384" s="347">
        <f t="shared" si="981"/>
        <v>0</v>
      </c>
      <c r="BG384" s="347">
        <f t="shared" si="982"/>
        <v>0</v>
      </c>
      <c r="BH384" s="347">
        <f t="shared" si="983"/>
        <v>0</v>
      </c>
      <c r="BI384" s="347"/>
      <c r="BJ384" s="347" cm="1">
        <f t="array" ref="BJ384:BM384">_xlfn.LET(_xlpm.data,$R384:$AV384,_xlpm.starts,{1,8,16,23},_xlpm.lengths,{7,7,8,9},_xlpm.arr,_xlfn.MAP(_xlpm.starts,_xlpm.lengths,_xlfn.LAMBDA(_xlpm.s,_xlpm.l,SUM(INDEX(_xlpm.data,,_xlfn.SEQUENCE(,_xlpm.l,_xlpm.s))))),ROUND(_xlpm.arr*$O384/1000,2))</f>
        <v>19.78</v>
      </c>
      <c r="BK384" s="347">
        <v>19.78</v>
      </c>
      <c r="BL384" s="347">
        <v>22.61</v>
      </c>
      <c r="BM384" s="347">
        <v>8.48</v>
      </c>
      <c r="BN384" s="347"/>
      <c r="BO384" s="347">
        <v>21.77</v>
      </c>
      <c r="BP384" s="347">
        <v>21.77</v>
      </c>
      <c r="BQ384" s="347">
        <v>24.88</v>
      </c>
      <c r="BR384" s="347">
        <v>27.99</v>
      </c>
      <c r="BS384" s="347" t="s">
        <v>343</v>
      </c>
      <c r="BT384" s="365"/>
      <c r="BU384" s="365"/>
      <c r="BV384" s="366"/>
      <c r="BW384" s="368"/>
      <c r="BX384" s="368" t="s">
        <v>343</v>
      </c>
      <c r="BY384" s="258">
        <f t="shared" si="984"/>
        <v>784</v>
      </c>
      <c r="BZ384" s="258">
        <f t="shared" si="985"/>
        <v>784</v>
      </c>
      <c r="CA384" s="258">
        <f t="shared" si="986"/>
        <v>896</v>
      </c>
      <c r="CB384" s="258">
        <f t="shared" si="987"/>
        <v>336</v>
      </c>
      <c r="CC384" s="330"/>
      <c r="CD384" s="330">
        <f>24.71</f>
        <v>24.71</v>
      </c>
      <c r="CE384" s="330">
        <f>ROUND(BY384*$O384/1000,2)</f>
        <v>19.78</v>
      </c>
      <c r="CF384" s="370">
        <f>ROUND(BZ384*$O384/1000,2)</f>
        <v>19.78</v>
      </c>
      <c r="CG384" s="330">
        <f>ROUND(CA384*$O384/1000,2)</f>
        <v>22.61</v>
      </c>
      <c r="CH384" s="330">
        <f>ROUND(CB384*$O384/1000,2)</f>
        <v>8.48</v>
      </c>
      <c r="CI384" s="330">
        <f t="shared" si="989"/>
        <v>70.65</v>
      </c>
      <c r="CJ384" s="258">
        <v>424</v>
      </c>
      <c r="CK384" s="258">
        <f t="shared" ref="CK384:CN384" si="997">IFERROR(ROUND(BY384*$P384,2),"")</f>
        <v>291957.52</v>
      </c>
      <c r="CL384" s="258">
        <f t="shared" si="997"/>
        <v>291957.52</v>
      </c>
      <c r="CM384" s="258">
        <f t="shared" si="997"/>
        <v>333665.74</v>
      </c>
      <c r="CN384" s="258">
        <f t="shared" si="997"/>
        <v>125124.65</v>
      </c>
      <c r="CO384" s="115">
        <f>SUM(CK384:CN384)</f>
        <v>1042705.43</v>
      </c>
      <c r="CP384" s="258" t="e">
        <f>VLOOKUP(G384,[2]Sheet1!$C$3:$G$310,5,0)</f>
        <v>#N/A</v>
      </c>
      <c r="CQ384" s="258">
        <f>VLOOKUP(G384,[3]KCBB0101!$C$3:$F$691,4,0)</f>
        <v>5292</v>
      </c>
      <c r="CZ384" s="113"/>
      <c r="DA384" s="258"/>
      <c r="DB384" s="258"/>
      <c r="DC384" s="258"/>
      <c r="DD384" s="258"/>
      <c r="DE384" s="258"/>
      <c r="DF384" s="113"/>
    </row>
    <row r="385" s="258" customFormat="1" ht="15" customHeight="1" spans="1:110">
      <c r="A385" s="330"/>
      <c r="B385" s="347" t="s">
        <v>695</v>
      </c>
      <c r="C385" s="347" t="str">
        <f t="shared" si="990"/>
        <v>16</v>
      </c>
      <c r="D385" s="347" t="str">
        <f t="shared" si="974"/>
        <v>轻卡16寸</v>
      </c>
      <c r="E385" s="385" t="str">
        <f t="shared" si="975"/>
        <v>7.50-16-14PR-M8087</v>
      </c>
      <c r="F385" s="385"/>
      <c r="G385" s="385" t="s">
        <v>348</v>
      </c>
      <c r="H385" s="347">
        <v>4000</v>
      </c>
      <c r="I385" s="347">
        <v>2</v>
      </c>
      <c r="J385" s="347">
        <v>38.2</v>
      </c>
      <c r="K385" s="347"/>
      <c r="L385" s="349">
        <f t="shared" si="976"/>
        <v>0.820916905444126</v>
      </c>
      <c r="M385" s="349"/>
      <c r="N385" s="347"/>
      <c r="O385" s="347">
        <f>IFERROR(_xlfn.XLOOKUP(E385,轮胎重量!S:S,轮胎重量!P:P),IFERROR(_xlfn.XLOOKUP(E385,轮胎重量!AB:AB,轮胎重量!Y:Y),IFERROR(_xlfn.XLOOKUP(E385,轮胎重量!AK:AK,轮胎重量!AH:AH),IFERROR(_xlfn.XLOOKUP(E385,轮胎重量!AT:AT,轮胎重量!AQ:AQ),""))))</f>
        <v>25.23</v>
      </c>
      <c r="P385" s="347">
        <f>IFERROR(_xlfn.XLOOKUP(E385,硫化工艺!I:I,硫化工艺!J:J),"")</f>
        <v>442.8823</v>
      </c>
      <c r="Q385" s="347">
        <f>IFERROR(ROUND(1440/J385*I385*L386,0),"")</f>
        <v>62</v>
      </c>
      <c r="R385" s="347">
        <v>56</v>
      </c>
      <c r="S385" s="347">
        <v>56</v>
      </c>
      <c r="T385" s="347">
        <v>56</v>
      </c>
      <c r="U385" s="347">
        <v>56</v>
      </c>
      <c r="V385" s="347">
        <v>56</v>
      </c>
      <c r="W385" s="347">
        <v>56</v>
      </c>
      <c r="X385" s="347">
        <v>56</v>
      </c>
      <c r="Y385" s="347">
        <v>56</v>
      </c>
      <c r="Z385" s="347">
        <v>56</v>
      </c>
      <c r="AA385" s="347">
        <v>56</v>
      </c>
      <c r="AB385" s="347">
        <v>56</v>
      </c>
      <c r="AC385" s="347">
        <v>56</v>
      </c>
      <c r="AD385" s="347">
        <v>56</v>
      </c>
      <c r="AE385" s="347">
        <v>56</v>
      </c>
      <c r="AF385" s="347">
        <v>56</v>
      </c>
      <c r="AG385" s="347">
        <v>56</v>
      </c>
      <c r="AH385" s="347">
        <v>56</v>
      </c>
      <c r="AI385" s="347">
        <v>56</v>
      </c>
      <c r="AJ385" s="347">
        <v>56</v>
      </c>
      <c r="AK385" s="347">
        <v>56</v>
      </c>
      <c r="AL385" s="347">
        <v>56</v>
      </c>
      <c r="AM385" s="347">
        <v>56</v>
      </c>
      <c r="AN385" s="347">
        <v>56</v>
      </c>
      <c r="AO385" s="347">
        <v>56</v>
      </c>
      <c r="AP385" s="347">
        <v>56</v>
      </c>
      <c r="AQ385" s="347">
        <v>168</v>
      </c>
      <c r="AR385" s="347">
        <v>168</v>
      </c>
      <c r="AS385" s="347">
        <v>168</v>
      </c>
      <c r="AT385" s="347">
        <v>168</v>
      </c>
      <c r="AU385" s="347">
        <v>168</v>
      </c>
      <c r="AV385" s="347">
        <v>168</v>
      </c>
      <c r="AW385" s="347">
        <f t="shared" si="977"/>
        <v>2408</v>
      </c>
      <c r="AX385" s="365">
        <f t="shared" si="978"/>
        <v>60.75384</v>
      </c>
      <c r="AY385" s="365">
        <f t="shared" si="979"/>
        <v>106.646</v>
      </c>
      <c r="AZ385" s="347"/>
      <c r="BA385" s="347"/>
      <c r="BB385" s="347"/>
      <c r="BC385" s="347"/>
      <c r="BD385" s="347"/>
      <c r="BE385" s="347">
        <f t="shared" si="980"/>
        <v>0</v>
      </c>
      <c r="BF385" s="347">
        <f t="shared" si="981"/>
        <v>0</v>
      </c>
      <c r="BG385" s="347">
        <f t="shared" si="982"/>
        <v>0</v>
      </c>
      <c r="BH385" s="347">
        <f t="shared" si="983"/>
        <v>0</v>
      </c>
      <c r="BI385" s="347"/>
      <c r="BJ385" s="347" cm="1">
        <f t="array" ref="BJ385:BM385">_xlfn.LET(_xlpm.data,$R385:$AV385,_xlpm.starts,{1,8,16,23},_xlpm.lengths,{7,7,8,9},_xlpm.arr,_xlfn.MAP(_xlpm.starts,_xlpm.lengths,_xlfn.LAMBDA(_xlpm.s,_xlpm.l,SUM(INDEX(_xlpm.data,,_xlfn.SEQUENCE(,_xlpm.l,_xlpm.s))))),ROUND(_xlpm.arr*$O385/1000,2))</f>
        <v>9.89</v>
      </c>
      <c r="BK385" s="347">
        <v>9.89</v>
      </c>
      <c r="BL385" s="347">
        <v>11.3</v>
      </c>
      <c r="BM385" s="347">
        <v>29.67</v>
      </c>
      <c r="BN385" s="347"/>
      <c r="BO385" s="347">
        <v>21.77</v>
      </c>
      <c r="BP385" s="347">
        <v>21.77</v>
      </c>
      <c r="BQ385" s="347">
        <v>24.88</v>
      </c>
      <c r="BR385" s="347">
        <v>27.99</v>
      </c>
      <c r="BS385" s="347" t="s">
        <v>343</v>
      </c>
      <c r="BT385" s="365"/>
      <c r="BU385" s="365"/>
      <c r="BV385" s="366"/>
      <c r="BW385" s="368"/>
      <c r="BX385" s="368" t="s">
        <v>343</v>
      </c>
      <c r="BY385" s="258">
        <f t="shared" si="984"/>
        <v>392</v>
      </c>
      <c r="BZ385" s="258">
        <f t="shared" si="985"/>
        <v>392</v>
      </c>
      <c r="CA385" s="258">
        <f t="shared" si="986"/>
        <v>448</v>
      </c>
      <c r="CB385" s="258">
        <f t="shared" si="987"/>
        <v>1176</v>
      </c>
      <c r="CC385" s="330"/>
      <c r="CD385" s="330">
        <f>24.71</f>
        <v>24.71</v>
      </c>
      <c r="CE385" s="330">
        <f>ROUND(BY385*$O385/1000,2)</f>
        <v>9.89</v>
      </c>
      <c r="CF385" s="370">
        <f>ROUND(BZ385*$O385/1000,2)</f>
        <v>9.89</v>
      </c>
      <c r="CG385" s="330">
        <f>ROUND(CA385*$O385/1000,2)</f>
        <v>11.3</v>
      </c>
      <c r="CH385" s="330">
        <f>ROUND(CB385*$O385/1000,2)</f>
        <v>29.67</v>
      </c>
      <c r="CI385" s="330">
        <f t="shared" si="989"/>
        <v>60.75</v>
      </c>
      <c r="CK385" s="258">
        <f t="shared" ref="CK385:CN385" si="998">IFERROR(ROUND(BY385*$P385,2),"")</f>
        <v>173609.86</v>
      </c>
      <c r="CL385" s="258">
        <f t="shared" si="998"/>
        <v>173609.86</v>
      </c>
      <c r="CM385" s="258">
        <f t="shared" si="998"/>
        <v>198411.27</v>
      </c>
      <c r="CN385" s="258">
        <f t="shared" si="998"/>
        <v>520829.58</v>
      </c>
      <c r="CO385" s="115">
        <f>SUM(CK385:CN385)</f>
        <v>1066460.57</v>
      </c>
      <c r="CP385" s="258" t="e">
        <f>VLOOKUP(G385,[2]Sheet1!$C$3:$G$310,5,0)</f>
        <v>#N/A</v>
      </c>
      <c r="CQ385" s="258">
        <f>VLOOKUP(G385,[3]KCBB0101!$C$3:$F$691,4,0)</f>
        <v>5274</v>
      </c>
      <c r="CZ385" s="113"/>
      <c r="DA385" s="258"/>
      <c r="DB385" s="258"/>
      <c r="DC385" s="258"/>
      <c r="DD385" s="258"/>
      <c r="DE385" s="258"/>
      <c r="DF385" s="113"/>
    </row>
    <row r="386" s="258" customFormat="1" spans="1:110">
      <c r="A386" s="330"/>
      <c r="B386" s="347" t="s">
        <v>695</v>
      </c>
      <c r="C386" s="347" t="str">
        <f t="shared" si="990"/>
        <v>16</v>
      </c>
      <c r="D386" s="347" t="str">
        <f t="shared" ref="D386:D397" si="999">"轻卡"&amp;C386&amp;"寸"</f>
        <v>轻卡16寸</v>
      </c>
      <c r="E386" s="385" t="str">
        <f t="shared" si="975"/>
        <v>7.50-16-14PR-M8087</v>
      </c>
      <c r="F386" s="385"/>
      <c r="G386" s="385" t="s">
        <v>349</v>
      </c>
      <c r="H386" s="347">
        <v>1300</v>
      </c>
      <c r="I386" s="347">
        <v>6</v>
      </c>
      <c r="J386" s="347">
        <v>38.2</v>
      </c>
      <c r="K386" s="347"/>
      <c r="L386" s="349">
        <f t="shared" si="976"/>
        <v>0.820916905444126</v>
      </c>
      <c r="M386" s="349"/>
      <c r="N386" s="347"/>
      <c r="O386" s="347">
        <f>IFERROR(_xlfn.XLOOKUP(E386,轮胎重量!S:S,轮胎重量!P:P),IFERROR(_xlfn.XLOOKUP(E386,轮胎重量!AB:AB,轮胎重量!Y:Y),IFERROR(_xlfn.XLOOKUP(E386,轮胎重量!AK:AK,轮胎重量!AH:AH),IFERROR(_xlfn.XLOOKUP(E386,轮胎重量!AT:AT,轮胎重量!AQ:AQ),""))))</f>
        <v>25.23</v>
      </c>
      <c r="P386" s="347">
        <f>IFERROR(_xlfn.XLOOKUP(E386,硫化工艺!I:I,硫化工艺!J:J),"")</f>
        <v>442.8823</v>
      </c>
      <c r="Q386" s="347">
        <f>IFERROR(ROUND(1440/J386*I386*L386,0),"")</f>
        <v>186</v>
      </c>
      <c r="R386" s="347">
        <v>56</v>
      </c>
      <c r="S386" s="347">
        <v>56</v>
      </c>
      <c r="T386" s="347">
        <v>56</v>
      </c>
      <c r="U386" s="347">
        <v>56</v>
      </c>
      <c r="V386" s="347">
        <v>56</v>
      </c>
      <c r="W386" s="347">
        <v>56</v>
      </c>
      <c r="X386" s="347">
        <v>56</v>
      </c>
      <c r="Y386" s="347">
        <v>56</v>
      </c>
      <c r="Z386" s="347">
        <v>56</v>
      </c>
      <c r="AA386" s="347">
        <v>56</v>
      </c>
      <c r="AB386" s="347">
        <v>56</v>
      </c>
      <c r="AC386" s="347">
        <v>56</v>
      </c>
      <c r="AD386" s="347">
        <v>56</v>
      </c>
      <c r="AE386" s="347">
        <v>56</v>
      </c>
      <c r="AF386" s="347">
        <v>56</v>
      </c>
      <c r="AG386" s="347">
        <v>56</v>
      </c>
      <c r="AH386" s="347">
        <v>56</v>
      </c>
      <c r="AI386" s="347">
        <v>56</v>
      </c>
      <c r="AJ386" s="347">
        <v>56</v>
      </c>
      <c r="AK386" s="347">
        <v>56</v>
      </c>
      <c r="AL386" s="347">
        <v>56</v>
      </c>
      <c r="AM386" s="347">
        <v>56</v>
      </c>
      <c r="AN386" s="347"/>
      <c r="AO386" s="347"/>
      <c r="AP386" s="347"/>
      <c r="AQ386" s="347"/>
      <c r="AR386" s="347"/>
      <c r="AS386" s="347"/>
      <c r="AT386" s="347"/>
      <c r="AU386" s="347"/>
      <c r="AV386" s="347"/>
      <c r="AW386" s="347">
        <f t="shared" si="977"/>
        <v>1232</v>
      </c>
      <c r="AX386" s="365">
        <f t="shared" si="978"/>
        <v>31.08336</v>
      </c>
      <c r="AY386" s="365">
        <f t="shared" si="979"/>
        <v>54.563</v>
      </c>
      <c r="AZ386" s="347"/>
      <c r="BA386" s="347"/>
      <c r="BB386" s="347"/>
      <c r="BC386" s="347"/>
      <c r="BD386" s="347"/>
      <c r="BE386" s="347">
        <f t="shared" ref="BE386:BE392" si="1000">AZ386*AW386</f>
        <v>0</v>
      </c>
      <c r="BF386" s="347">
        <f t="shared" ref="BF386:BF392" si="1001">BA386*AW386</f>
        <v>0</v>
      </c>
      <c r="BG386" s="347">
        <f t="shared" ref="BG386:BG392" si="1002">BB386*AW386</f>
        <v>0</v>
      </c>
      <c r="BH386" s="347">
        <f t="shared" ref="BH386:BH392" si="1003">BC386*AW386</f>
        <v>0</v>
      </c>
      <c r="BI386" s="347"/>
      <c r="BJ386" s="347" cm="1">
        <f t="array" ref="BJ386:BM386">_xlfn.LET(_xlpm.data,$R386:$AV386,_xlpm.starts,{1,8,16,23},_xlpm.lengths,{7,7,8,9},_xlpm.arr,_xlfn.MAP(_xlpm.starts,_xlpm.lengths,_xlfn.LAMBDA(_xlpm.s,_xlpm.l,SUM(INDEX(_xlpm.data,,_xlfn.SEQUENCE(,_xlpm.l,_xlpm.s))))),ROUND(_xlpm.arr*$O386/1000,2))</f>
        <v>9.89</v>
      </c>
      <c r="BK386" s="347">
        <v>9.89</v>
      </c>
      <c r="BL386" s="347">
        <v>9.89</v>
      </c>
      <c r="BM386" s="347">
        <v>0</v>
      </c>
      <c r="BN386" s="347">
        <f t="shared" ref="BN386:BN392" si="1004">SUM(BJ386:BM386)</f>
        <v>29.67</v>
      </c>
      <c r="BO386" s="347">
        <v>0</v>
      </c>
      <c r="BP386" s="347">
        <v>0</v>
      </c>
      <c r="BQ386" s="347">
        <v>0</v>
      </c>
      <c r="BR386" s="347">
        <v>0</v>
      </c>
      <c r="BS386" s="347" t="s">
        <v>343</v>
      </c>
      <c r="BT386" s="365"/>
      <c r="BU386" s="365"/>
      <c r="BV386" s="366"/>
      <c r="BW386" s="368"/>
      <c r="BX386" s="368" t="s">
        <v>343</v>
      </c>
      <c r="BY386" s="258">
        <f t="shared" ref="BY386:BY391" si="1005">SUM(R386:X386)</f>
        <v>392</v>
      </c>
      <c r="BZ386" s="258">
        <f t="shared" ref="BZ386:BZ391" si="1006">SUM(Y386:AE386)</f>
        <v>392</v>
      </c>
      <c r="CA386" s="258">
        <f t="shared" ref="CA386:CA391" si="1007">SUM(AF386:AM386)</f>
        <v>448</v>
      </c>
      <c r="CB386" s="258">
        <f t="shared" ref="CB386:CB391" si="1008">SUM(AN386:AV386)</f>
        <v>0</v>
      </c>
      <c r="CC386" s="330"/>
      <c r="CD386" s="330" t="s">
        <v>700</v>
      </c>
      <c r="CE386" s="330">
        <f>ROUND(BY386*$O386/1000,2)</f>
        <v>9.89</v>
      </c>
      <c r="CF386" s="370">
        <f>ROUND(BZ386*$O386/1000,2)</f>
        <v>9.89</v>
      </c>
      <c r="CG386" s="330">
        <f>ROUND(CA386*$O386/1000,2)</f>
        <v>11.3</v>
      </c>
      <c r="CH386" s="330">
        <f>ROUND(CB386*$O386/1000,2)</f>
        <v>0</v>
      </c>
      <c r="CI386" s="330">
        <f t="shared" ref="CI386:CI392" si="1009">SUM(CE386:CH386)</f>
        <v>31.08</v>
      </c>
      <c r="CK386" s="258">
        <f t="shared" ref="CK386:CN386" si="1010">IFERROR(ROUND(BY386*$P386,2),"")</f>
        <v>173609.86</v>
      </c>
      <c r="CL386" s="258">
        <f t="shared" si="1010"/>
        <v>173609.86</v>
      </c>
      <c r="CM386" s="258">
        <f t="shared" si="1010"/>
        <v>198411.27</v>
      </c>
      <c r="CN386" s="258">
        <f t="shared" si="1010"/>
        <v>0</v>
      </c>
      <c r="CO386" s="115">
        <f t="shared" ref="CO386:CO391" si="1011">SUM(CK386:CN386)</f>
        <v>545630.99</v>
      </c>
      <c r="CP386" s="258" t="e">
        <f>VLOOKUP(G386,[2]Sheet1!$C$3:$G$310,5,0)</f>
        <v>#N/A</v>
      </c>
      <c r="CQ386" s="258">
        <f>VLOOKUP(G386,[3]KCBB0101!$C$3:$F$691,4,0)</f>
        <v>6859</v>
      </c>
      <c r="CZ386" s="113"/>
      <c r="DA386" s="258"/>
      <c r="DB386" s="258"/>
      <c r="DC386" s="258"/>
      <c r="DD386" s="258"/>
      <c r="DE386" s="258"/>
      <c r="DF386" s="113"/>
    </row>
    <row r="387" spans="2:95">
      <c r="B387" s="347" t="s">
        <v>695</v>
      </c>
      <c r="C387" s="347" t="str">
        <f t="shared" ref="C387:C391" si="1012">IFERROR(MID(E387,FIND("-",E387)+1,2),"")</f>
        <v>16</v>
      </c>
      <c r="D387" s="347" t="str">
        <f t="shared" si="999"/>
        <v>轻卡16寸</v>
      </c>
      <c r="E387" s="385" t="str">
        <f t="shared" si="975"/>
        <v>7.50-16-14PR-R8037</v>
      </c>
      <c r="F387" s="385"/>
      <c r="G387" s="385" t="s">
        <v>350</v>
      </c>
      <c r="H387" s="347">
        <v>2000</v>
      </c>
      <c r="I387" s="386">
        <v>2</v>
      </c>
      <c r="J387" s="347">
        <v>38.2</v>
      </c>
      <c r="K387" s="347"/>
      <c r="L387" s="349">
        <f t="shared" si="976"/>
        <v>0.820916905444126</v>
      </c>
      <c r="M387" s="349"/>
      <c r="N387" s="347"/>
      <c r="O387" s="347">
        <f>IFERROR(_xlfn.XLOOKUP(E387,轮胎重量!S:S,轮胎重量!P:P),IFERROR(_xlfn.XLOOKUP(E387,轮胎重量!AB:AB,轮胎重量!Y:Y),IFERROR(_xlfn.XLOOKUP(E387,轮胎重量!AK:AK,轮胎重量!AH:AH),IFERROR(_xlfn.XLOOKUP(E387,轮胎重量!AT:AT,轮胎重量!AQ:AQ),""))))</f>
        <v>23.4</v>
      </c>
      <c r="P387" s="347">
        <f>IFERROR(_xlfn.XLOOKUP(E387,硫化工艺!I:I,硫化工艺!J:J),"")</f>
        <v>356.493893</v>
      </c>
      <c r="Q387" s="347">
        <f t="shared" ref="Q387:Q392" si="1013">IFERROR(ROUND(1440/J387*I387*L388,0),"")</f>
        <v>62</v>
      </c>
      <c r="R387" s="347">
        <f t="shared" ref="R387:U387" si="1014">62*3</f>
        <v>186</v>
      </c>
      <c r="S387" s="347">
        <f t="shared" si="1014"/>
        <v>186</v>
      </c>
      <c r="T387" s="347">
        <f t="shared" si="1014"/>
        <v>186</v>
      </c>
      <c r="U387" s="347">
        <f t="shared" si="1014"/>
        <v>186</v>
      </c>
      <c r="V387" s="347">
        <f t="shared" ref="V387:AI387" si="1015">62*3</f>
        <v>186</v>
      </c>
      <c r="W387" s="347">
        <f t="shared" si="1015"/>
        <v>186</v>
      </c>
      <c r="X387" s="347">
        <f t="shared" si="1015"/>
        <v>186</v>
      </c>
      <c r="Y387" s="347">
        <f t="shared" si="1015"/>
        <v>186</v>
      </c>
      <c r="Z387" s="347">
        <f t="shared" si="1015"/>
        <v>186</v>
      </c>
      <c r="AA387" s="347">
        <f t="shared" si="1015"/>
        <v>186</v>
      </c>
      <c r="AB387" s="347">
        <f t="shared" si="1015"/>
        <v>186</v>
      </c>
      <c r="AC387" s="347"/>
      <c r="AD387" s="347"/>
      <c r="AE387" s="347"/>
      <c r="AF387" s="347"/>
      <c r="AG387" s="347"/>
      <c r="AH387" s="347"/>
      <c r="AI387" s="347"/>
      <c r="AJ387" s="347"/>
      <c r="AK387" s="347"/>
      <c r="AL387" s="347"/>
      <c r="AM387" s="347"/>
      <c r="AN387" s="347"/>
      <c r="AO387" s="347"/>
      <c r="AP387" s="347"/>
      <c r="AQ387" s="347"/>
      <c r="AR387" s="347"/>
      <c r="AS387" s="347"/>
      <c r="AT387" s="347"/>
      <c r="AU387" s="347"/>
      <c r="AV387" s="347"/>
      <c r="AW387" s="347">
        <f t="shared" si="977"/>
        <v>2046</v>
      </c>
      <c r="AX387" s="365">
        <f t="shared" si="978"/>
        <v>47.8764</v>
      </c>
      <c r="AY387" s="365">
        <f t="shared" si="979"/>
        <v>72.939</v>
      </c>
      <c r="AZ387" s="347">
        <v>283.6458</v>
      </c>
      <c r="BA387" s="347">
        <v>15.2472</v>
      </c>
      <c r="BB387" s="347">
        <v>23.3811</v>
      </c>
      <c r="BC387" s="347">
        <v>17.1338</v>
      </c>
      <c r="BD387" s="347"/>
      <c r="BE387" s="347">
        <f t="shared" si="1000"/>
        <v>580339.3068</v>
      </c>
      <c r="BF387" s="347">
        <f t="shared" si="1001"/>
        <v>31195.7712</v>
      </c>
      <c r="BG387" s="347">
        <f t="shared" si="1002"/>
        <v>47837.7306</v>
      </c>
      <c r="BH387" s="347">
        <f t="shared" si="1003"/>
        <v>35055.7548</v>
      </c>
      <c r="BI387" s="347"/>
      <c r="BJ387" s="347" cm="1">
        <f t="array" ref="BJ387:BM387">_xlfn.LET(_xlpm.data,$R387:$AV387,_xlpm.starts,{1,8,16,23},_xlpm.lengths,{7,7,8,9},_xlpm.arr,_xlfn.MAP(_xlpm.starts,_xlpm.lengths,_xlfn.LAMBDA(_xlpm.s,_xlpm.l,SUM(INDEX(_xlpm.data,,_xlfn.SEQUENCE(,_xlpm.l,_xlpm.s))))),ROUND(_xlpm.arr*$O387/1000,2))</f>
        <v>30.47</v>
      </c>
      <c r="BK387" s="347">
        <v>17.41</v>
      </c>
      <c r="BL387" s="347">
        <v>0</v>
      </c>
      <c r="BM387" s="347">
        <v>0</v>
      </c>
      <c r="BN387" s="347">
        <f t="shared" si="1004"/>
        <v>47.88</v>
      </c>
      <c r="BO387" s="347">
        <v>0</v>
      </c>
      <c r="BP387" s="347">
        <v>9.95</v>
      </c>
      <c r="BQ387" s="347">
        <v>11.38</v>
      </c>
      <c r="BR387" s="347">
        <v>12.8</v>
      </c>
      <c r="BS387" s="347" t="s">
        <v>343</v>
      </c>
      <c r="BT387" s="365"/>
      <c r="BU387" s="365"/>
      <c r="BV387" s="366"/>
      <c r="BW387" s="368"/>
      <c r="BX387" s="368" t="s">
        <v>343</v>
      </c>
      <c r="BY387" s="258">
        <f t="shared" si="1005"/>
        <v>1302</v>
      </c>
      <c r="BZ387" s="258">
        <f t="shared" si="1006"/>
        <v>744</v>
      </c>
      <c r="CA387" s="258">
        <f t="shared" si="1007"/>
        <v>0</v>
      </c>
      <c r="CB387" s="258">
        <f t="shared" si="1008"/>
        <v>0</v>
      </c>
      <c r="CC387" s="330"/>
      <c r="CD387" s="330">
        <v>61.7</v>
      </c>
      <c r="CE387" s="330">
        <f t="shared" ref="CE387:CH387" si="1016">ROUND(BY387*$O387/1000,2)</f>
        <v>30.47</v>
      </c>
      <c r="CF387" s="370">
        <f t="shared" si="1016"/>
        <v>17.41</v>
      </c>
      <c r="CG387" s="330">
        <f t="shared" si="1016"/>
        <v>0</v>
      </c>
      <c r="CH387" s="330">
        <f t="shared" si="1016"/>
        <v>0</v>
      </c>
      <c r="CI387" s="330">
        <f t="shared" si="1009"/>
        <v>47.88</v>
      </c>
      <c r="CJ387" s="258"/>
      <c r="CK387" s="258">
        <f t="shared" ref="CK387:CN387" si="1017">IFERROR(ROUND(BY387*$P387,2),"")</f>
        <v>464155.05</v>
      </c>
      <c r="CL387" s="258">
        <f t="shared" si="1017"/>
        <v>265231.46</v>
      </c>
      <c r="CM387" s="258">
        <f t="shared" si="1017"/>
        <v>0</v>
      </c>
      <c r="CN387" s="258">
        <f t="shared" si="1017"/>
        <v>0</v>
      </c>
      <c r="CO387" s="115">
        <f t="shared" si="1011"/>
        <v>729386.51</v>
      </c>
      <c r="CP387" s="258" t="e">
        <f>VLOOKUP(G387,[2]Sheet1!$C$3:$G$310,5,0)</f>
        <v>#N/A</v>
      </c>
      <c r="CQ387" s="258">
        <f>VLOOKUP(G387,[3]KCBB0101!$C$3:$F$691,4,0)</f>
        <v>6463</v>
      </c>
    </row>
    <row r="388" spans="2:95">
      <c r="B388" s="347" t="s">
        <v>695</v>
      </c>
      <c r="C388" s="347" t="str">
        <f t="shared" si="1012"/>
        <v>16</v>
      </c>
      <c r="D388" s="347" t="str">
        <f t="shared" si="999"/>
        <v>轻卡16寸</v>
      </c>
      <c r="E388" s="385" t="str">
        <f t="shared" si="975"/>
        <v>7.50-16-14PR-R8037</v>
      </c>
      <c r="F388" s="385"/>
      <c r="G388" s="385" t="s">
        <v>351</v>
      </c>
      <c r="H388" s="347">
        <v>8000</v>
      </c>
      <c r="I388" s="386">
        <v>6</v>
      </c>
      <c r="J388" s="347">
        <v>38.2</v>
      </c>
      <c r="K388" s="347"/>
      <c r="L388" s="349">
        <f t="shared" ref="L388:L391" si="1018">IF(J388="","",J388/(J388+$J$378/60))</f>
        <v>0.820916905444126</v>
      </c>
      <c r="M388" s="349"/>
      <c r="N388" s="347"/>
      <c r="O388" s="347">
        <f>IFERROR(_xlfn.XLOOKUP(E388,轮胎重量!S:S,轮胎重量!P:P),IFERROR(_xlfn.XLOOKUP(E388,轮胎重量!AB:AB,轮胎重量!Y:Y),IFERROR(_xlfn.XLOOKUP(E388,轮胎重量!AK:AK,轮胎重量!AH:AH),IFERROR(_xlfn.XLOOKUP(E388,轮胎重量!AT:AT,轮胎重量!AQ:AQ),""))))</f>
        <v>23.4</v>
      </c>
      <c r="P388" s="347">
        <f>IFERROR(_xlfn.XLOOKUP(E388,硫化工艺!I:I,硫化工艺!J:J),"")</f>
        <v>356.493893</v>
      </c>
      <c r="Q388" s="347">
        <f t="shared" si="1013"/>
        <v>186</v>
      </c>
      <c r="R388" s="347">
        <v>124</v>
      </c>
      <c r="S388" s="347">
        <v>124</v>
      </c>
      <c r="T388" s="347">
        <v>124</v>
      </c>
      <c r="U388" s="347">
        <v>124</v>
      </c>
      <c r="V388" s="347">
        <v>124</v>
      </c>
      <c r="W388" s="347">
        <v>124</v>
      </c>
      <c r="X388" s="347">
        <v>124</v>
      </c>
      <c r="Y388" s="347">
        <v>124</v>
      </c>
      <c r="Z388" s="347">
        <v>124</v>
      </c>
      <c r="AA388" s="347">
        <v>124</v>
      </c>
      <c r="AB388" s="347">
        <v>124</v>
      </c>
      <c r="AC388" s="347">
        <v>310</v>
      </c>
      <c r="AD388" s="347">
        <v>310</v>
      </c>
      <c r="AE388" s="347">
        <v>310</v>
      </c>
      <c r="AF388" s="347">
        <v>310</v>
      </c>
      <c r="AG388" s="347">
        <v>310</v>
      </c>
      <c r="AH388" s="347">
        <v>310</v>
      </c>
      <c r="AI388" s="347">
        <v>310</v>
      </c>
      <c r="AJ388" s="347">
        <v>310</v>
      </c>
      <c r="AK388" s="347">
        <v>310</v>
      </c>
      <c r="AL388" s="347">
        <v>310</v>
      </c>
      <c r="AM388" s="347">
        <v>310</v>
      </c>
      <c r="AN388" s="347">
        <v>310</v>
      </c>
      <c r="AO388" s="347">
        <v>310</v>
      </c>
      <c r="AP388" s="347">
        <v>310</v>
      </c>
      <c r="AQ388" s="347">
        <v>310</v>
      </c>
      <c r="AR388" s="347">
        <v>310</v>
      </c>
      <c r="AS388" s="347">
        <v>310</v>
      </c>
      <c r="AT388" s="347">
        <v>310</v>
      </c>
      <c r="AU388" s="347">
        <v>310</v>
      </c>
      <c r="AV388" s="347">
        <v>310</v>
      </c>
      <c r="AW388" s="347">
        <f t="shared" si="977"/>
        <v>7564</v>
      </c>
      <c r="AX388" s="365">
        <f t="shared" si="978"/>
        <v>176.9976</v>
      </c>
      <c r="AY388" s="365">
        <f t="shared" si="979"/>
        <v>269.652</v>
      </c>
      <c r="AZ388" s="347">
        <v>283.6458</v>
      </c>
      <c r="BA388" s="347">
        <v>15.2472</v>
      </c>
      <c r="BB388" s="347">
        <v>23.3811</v>
      </c>
      <c r="BC388" s="347">
        <v>17.1338</v>
      </c>
      <c r="BD388" s="347"/>
      <c r="BE388" s="347">
        <f t="shared" si="1000"/>
        <v>2145496.8312</v>
      </c>
      <c r="BF388" s="347">
        <f t="shared" si="1001"/>
        <v>115329.8208</v>
      </c>
      <c r="BG388" s="347">
        <f t="shared" si="1002"/>
        <v>176854.6404</v>
      </c>
      <c r="BH388" s="347">
        <f t="shared" si="1003"/>
        <v>129600.0632</v>
      </c>
      <c r="BI388" s="347"/>
      <c r="BJ388" s="347" cm="1">
        <f t="array" ref="BJ388:BM388">_xlfn.LET(_xlpm.data,$R388:$AV388,_xlpm.starts,{1,8,16,23},_xlpm.lengths,{7,7,8,9},_xlpm.arr,_xlfn.MAP(_xlpm.starts,_xlpm.lengths,_xlfn.LAMBDA(_xlpm.s,_xlpm.l,SUM(INDEX(_xlpm.data,,_xlfn.SEQUENCE(,_xlpm.l,_xlpm.s))))),ROUND(_xlpm.arr*$O388/1000,2))</f>
        <v>20.31</v>
      </c>
      <c r="BK388" s="347">
        <v>33.37</v>
      </c>
      <c r="BL388" s="347">
        <v>58.03</v>
      </c>
      <c r="BM388" s="347">
        <v>65.29</v>
      </c>
      <c r="BN388" s="347">
        <f t="shared" si="1004"/>
        <v>177</v>
      </c>
      <c r="BO388" s="347">
        <v>0</v>
      </c>
      <c r="BP388" s="347">
        <v>9.95</v>
      </c>
      <c r="BQ388" s="347">
        <v>11.38</v>
      </c>
      <c r="BR388" s="347">
        <v>12.8</v>
      </c>
      <c r="BS388" s="347" t="s">
        <v>343</v>
      </c>
      <c r="BT388" s="365"/>
      <c r="BU388" s="365"/>
      <c r="BV388" s="366"/>
      <c r="BW388" s="368"/>
      <c r="BX388" s="368" t="s">
        <v>343</v>
      </c>
      <c r="BY388" s="258">
        <f t="shared" si="1005"/>
        <v>868</v>
      </c>
      <c r="BZ388" s="258">
        <f t="shared" si="1006"/>
        <v>1426</v>
      </c>
      <c r="CA388" s="258">
        <f t="shared" si="1007"/>
        <v>2480</v>
      </c>
      <c r="CB388" s="258">
        <f t="shared" si="1008"/>
        <v>2790</v>
      </c>
      <c r="CC388" s="330"/>
      <c r="CD388" s="330">
        <v>61.7</v>
      </c>
      <c r="CE388" s="330">
        <f t="shared" ref="CE388:CH388" si="1019">ROUND(BY388*$O388/1000,2)</f>
        <v>20.31</v>
      </c>
      <c r="CF388" s="370">
        <f t="shared" si="1019"/>
        <v>33.37</v>
      </c>
      <c r="CG388" s="330">
        <f t="shared" si="1019"/>
        <v>58.03</v>
      </c>
      <c r="CH388" s="330">
        <f t="shared" si="1019"/>
        <v>65.29</v>
      </c>
      <c r="CI388" s="330">
        <f t="shared" si="1009"/>
        <v>177</v>
      </c>
      <c r="CJ388" s="258"/>
      <c r="CK388" s="258">
        <f t="shared" ref="CK388:CN388" si="1020">IFERROR(ROUND(BY388*$P388,2),"")</f>
        <v>309436.7</v>
      </c>
      <c r="CL388" s="258">
        <f t="shared" si="1020"/>
        <v>508360.29</v>
      </c>
      <c r="CM388" s="258">
        <f t="shared" si="1020"/>
        <v>884104.85</v>
      </c>
      <c r="CN388" s="258">
        <f t="shared" si="1020"/>
        <v>994617.96</v>
      </c>
      <c r="CO388" s="115">
        <f t="shared" si="1011"/>
        <v>2696519.8</v>
      </c>
      <c r="CP388" s="258" t="e">
        <f>VLOOKUP(G388,[2]Sheet1!$C$3:$G$310,5,0)</f>
        <v>#N/A</v>
      </c>
      <c r="CQ388" s="258">
        <f>VLOOKUP(G388,[3]KCBB0101!$C$3:$F$691,4,0)</f>
        <v>18461</v>
      </c>
    </row>
    <row r="389" ht="17" spans="2:95">
      <c r="B389" s="347" t="s">
        <v>695</v>
      </c>
      <c r="C389" s="347" t="str">
        <f t="shared" si="1012"/>
        <v>16</v>
      </c>
      <c r="D389" s="347" t="str">
        <f t="shared" si="999"/>
        <v>轻卡16寸</v>
      </c>
      <c r="E389" s="385" t="str">
        <f t="shared" si="975"/>
        <v>7.50-16-14PR-R8038</v>
      </c>
      <c r="F389" s="385"/>
      <c r="G389" s="385" t="s">
        <v>352</v>
      </c>
      <c r="H389" s="347">
        <v>4500</v>
      </c>
      <c r="I389" s="386">
        <v>2</v>
      </c>
      <c r="J389" s="347">
        <v>38.2</v>
      </c>
      <c r="K389" s="347"/>
      <c r="L389" s="349">
        <f t="shared" si="1018"/>
        <v>0.820916905444126</v>
      </c>
      <c r="M389" s="349"/>
      <c r="N389" s="347"/>
      <c r="O389" s="347">
        <f>IFERROR(_xlfn.XLOOKUP(E389,轮胎重量!S:S,轮胎重量!P:P),IFERROR(_xlfn.XLOOKUP(E389,轮胎重量!AB:AB,轮胎重量!Y:Y),IFERROR(_xlfn.XLOOKUP(E389,轮胎重量!AK:AK,轮胎重量!AH:AH),IFERROR(_xlfn.XLOOKUP(E389,轮胎重量!AT:AT,轮胎重量!AQ:AQ),""))))</f>
        <v>24.45</v>
      </c>
      <c r="P389" s="347">
        <f>IFERROR(_xlfn.XLOOKUP(E389,硫化工艺!I:I,硫化工艺!J:J),"")</f>
        <v>369.758704</v>
      </c>
      <c r="Q389" s="347">
        <f t="shared" si="1013"/>
        <v>62</v>
      </c>
      <c r="R389" s="347">
        <v>124</v>
      </c>
      <c r="S389" s="347">
        <v>124</v>
      </c>
      <c r="T389" s="347">
        <v>124</v>
      </c>
      <c r="U389" s="347">
        <v>124</v>
      </c>
      <c r="V389" s="347">
        <v>124</v>
      </c>
      <c r="W389" s="347">
        <v>124</v>
      </c>
      <c r="X389" s="347">
        <v>124</v>
      </c>
      <c r="Y389" s="347">
        <v>124</v>
      </c>
      <c r="Z389" s="347">
        <v>124</v>
      </c>
      <c r="AA389" s="347">
        <v>124</v>
      </c>
      <c r="AB389" s="347">
        <v>124</v>
      </c>
      <c r="AC389" s="347">
        <v>124</v>
      </c>
      <c r="AD389" s="347">
        <v>124</v>
      </c>
      <c r="AE389" s="347">
        <v>124</v>
      </c>
      <c r="AF389" s="347">
        <v>124</v>
      </c>
      <c r="AG389" s="347">
        <v>124</v>
      </c>
      <c r="AH389" s="347">
        <v>124</v>
      </c>
      <c r="AI389" s="347">
        <v>124</v>
      </c>
      <c r="AJ389" s="347">
        <v>124</v>
      </c>
      <c r="AK389" s="347">
        <v>124</v>
      </c>
      <c r="AL389" s="347">
        <v>124</v>
      </c>
      <c r="AM389" s="347">
        <v>124</v>
      </c>
      <c r="AN389" s="347">
        <v>124</v>
      </c>
      <c r="AO389" s="347">
        <v>124</v>
      </c>
      <c r="AP389" s="347">
        <v>124</v>
      </c>
      <c r="AQ389" s="347">
        <v>124</v>
      </c>
      <c r="AR389" s="347">
        <v>124</v>
      </c>
      <c r="AS389" s="347">
        <v>124</v>
      </c>
      <c r="AT389" s="347">
        <v>124</v>
      </c>
      <c r="AU389" s="347">
        <v>124</v>
      </c>
      <c r="AV389" s="347">
        <v>124</v>
      </c>
      <c r="AW389" s="347">
        <f t="shared" si="977"/>
        <v>3844</v>
      </c>
      <c r="AX389" s="365">
        <f t="shared" si="978"/>
        <v>93.9858</v>
      </c>
      <c r="AY389" s="365">
        <f t="shared" si="979"/>
        <v>142.135</v>
      </c>
      <c r="AZ389" s="347">
        <v>283.6413</v>
      </c>
      <c r="BA389" s="347">
        <v>15.5872</v>
      </c>
      <c r="BB389" s="347">
        <v>23.9025</v>
      </c>
      <c r="BC389" s="347">
        <v>17.5158</v>
      </c>
      <c r="BD389" s="347"/>
      <c r="BE389" s="347">
        <f t="shared" si="1000"/>
        <v>1090317.1572</v>
      </c>
      <c r="BF389" s="347">
        <f t="shared" si="1001"/>
        <v>59917.1968</v>
      </c>
      <c r="BG389" s="347">
        <f t="shared" si="1002"/>
        <v>91881.21</v>
      </c>
      <c r="BH389" s="347">
        <f t="shared" si="1003"/>
        <v>67330.7352</v>
      </c>
      <c r="BI389" s="347"/>
      <c r="BJ389" s="347" cm="1">
        <f t="array" ref="BJ389:BM389">_xlfn.LET(_xlpm.data,$R389:$AV389,_xlpm.starts,{1,8,16,23},_xlpm.lengths,{7,7,8,9},_xlpm.arr,_xlfn.MAP(_xlpm.starts,_xlpm.lengths,_xlfn.LAMBDA(_xlpm.s,_xlpm.l,SUM(INDEX(_xlpm.data,,_xlfn.SEQUENCE(,_xlpm.l,_xlpm.s))))),ROUND(_xlpm.arr*$O389/1000,2))</f>
        <v>21.22</v>
      </c>
      <c r="BK389" s="347">
        <v>21.22</v>
      </c>
      <c r="BL389" s="347">
        <v>24.25</v>
      </c>
      <c r="BM389" s="347">
        <v>27.29</v>
      </c>
      <c r="BN389" s="347">
        <f t="shared" si="1004"/>
        <v>93.98</v>
      </c>
      <c r="BO389" s="347">
        <v>9.95</v>
      </c>
      <c r="BP389" s="347">
        <v>9.95</v>
      </c>
      <c r="BQ389" s="347">
        <v>11.38</v>
      </c>
      <c r="BR389" s="347">
        <v>12.8</v>
      </c>
      <c r="BS389" s="347" t="s">
        <v>343</v>
      </c>
      <c r="BT389" s="365"/>
      <c r="BU389" s="365"/>
      <c r="BV389" s="366"/>
      <c r="BW389" s="368"/>
      <c r="BX389" s="368" t="s">
        <v>343</v>
      </c>
      <c r="BY389" s="258">
        <f t="shared" si="1005"/>
        <v>868</v>
      </c>
      <c r="BZ389" s="258">
        <f t="shared" si="1006"/>
        <v>868</v>
      </c>
      <c r="CA389" s="258">
        <f t="shared" si="1007"/>
        <v>992</v>
      </c>
      <c r="CB389" s="258">
        <f t="shared" si="1008"/>
        <v>1116</v>
      </c>
      <c r="CC389" s="330"/>
      <c r="CD389" s="330" t="s">
        <v>701</v>
      </c>
      <c r="CE389" s="330">
        <f t="shared" ref="CE389:CH389" si="1021">ROUND(BY389*$O389/1000,2)</f>
        <v>21.22</v>
      </c>
      <c r="CF389" s="370">
        <f t="shared" si="1021"/>
        <v>21.22</v>
      </c>
      <c r="CG389" s="330">
        <f t="shared" si="1021"/>
        <v>24.25</v>
      </c>
      <c r="CH389" s="330">
        <f t="shared" si="1021"/>
        <v>27.29</v>
      </c>
      <c r="CI389" s="330">
        <f t="shared" si="1009"/>
        <v>93.98</v>
      </c>
      <c r="CJ389" s="258"/>
      <c r="CK389" s="258">
        <f t="shared" ref="CK389:CN389" si="1022">IFERROR(ROUND(BY389*$P389,2),"")</f>
        <v>320950.56</v>
      </c>
      <c r="CL389" s="258">
        <f t="shared" si="1022"/>
        <v>320950.56</v>
      </c>
      <c r="CM389" s="258">
        <f t="shared" si="1022"/>
        <v>366800.63</v>
      </c>
      <c r="CN389" s="258">
        <f t="shared" si="1022"/>
        <v>412650.71</v>
      </c>
      <c r="CO389" s="115">
        <f t="shared" si="1011"/>
        <v>1421352.46</v>
      </c>
      <c r="CP389" s="258" t="e">
        <f>VLOOKUP(G389,[2]Sheet1!$C$3:$G$310,5,0)</f>
        <v>#N/A</v>
      </c>
      <c r="CQ389" s="258">
        <f>VLOOKUP(G389,[3]KCBB0101!$C$3:$F$691,4,0)</f>
        <v>6450</v>
      </c>
    </row>
    <row r="390" spans="2:95">
      <c r="B390" s="347" t="s">
        <v>695</v>
      </c>
      <c r="C390" s="347" t="str">
        <f t="shared" si="1012"/>
        <v>16</v>
      </c>
      <c r="D390" s="347" t="str">
        <f t="shared" si="999"/>
        <v>轻卡16寸</v>
      </c>
      <c r="E390" s="385" t="str">
        <f t="shared" si="975"/>
        <v>7.50-16-14PR-R8038</v>
      </c>
      <c r="F390" s="385"/>
      <c r="G390" s="385" t="s">
        <v>353</v>
      </c>
      <c r="H390" s="347">
        <v>5000</v>
      </c>
      <c r="I390" s="386">
        <v>2</v>
      </c>
      <c r="J390" s="347">
        <v>38.2</v>
      </c>
      <c r="K390" s="347"/>
      <c r="L390" s="349">
        <f t="shared" si="1018"/>
        <v>0.820916905444126</v>
      </c>
      <c r="M390" s="349"/>
      <c r="N390" s="347"/>
      <c r="O390" s="347">
        <f>IFERROR(_xlfn.XLOOKUP(E390,轮胎重量!S:S,轮胎重量!P:P),IFERROR(_xlfn.XLOOKUP(E390,轮胎重量!AB:AB,轮胎重量!Y:Y),IFERROR(_xlfn.XLOOKUP(E390,轮胎重量!AK:AK,轮胎重量!AH:AH),IFERROR(_xlfn.XLOOKUP(E390,轮胎重量!AT:AT,轮胎重量!AQ:AQ),""))))</f>
        <v>24.45</v>
      </c>
      <c r="P390" s="347">
        <f>IFERROR(_xlfn.XLOOKUP(E390,硫化工艺!I:I,硫化工艺!J:J),"")</f>
        <v>369.758704</v>
      </c>
      <c r="Q390" s="347">
        <f>IFERROR(ROUND(1440/J390*I390*L392,0),"")</f>
        <v>62</v>
      </c>
      <c r="R390" s="347"/>
      <c r="S390" s="347"/>
      <c r="T390" s="347"/>
      <c r="U390" s="347"/>
      <c r="V390" s="347"/>
      <c r="W390" s="347"/>
      <c r="X390" s="347"/>
      <c r="Y390" s="347"/>
      <c r="Z390" s="347"/>
      <c r="AA390" s="347"/>
      <c r="AB390" s="347"/>
      <c r="AC390" s="347"/>
      <c r="AD390" s="347"/>
      <c r="AE390" s="347"/>
      <c r="AF390" s="347"/>
      <c r="AG390" s="347">
        <v>62</v>
      </c>
      <c r="AH390" s="347">
        <v>62</v>
      </c>
      <c r="AI390" s="347">
        <v>62</v>
      </c>
      <c r="AJ390" s="347">
        <v>62</v>
      </c>
      <c r="AK390" s="347">
        <v>62</v>
      </c>
      <c r="AL390" s="347">
        <v>62</v>
      </c>
      <c r="AM390" s="347">
        <v>62</v>
      </c>
      <c r="AN390" s="347">
        <v>62</v>
      </c>
      <c r="AO390" s="347">
        <v>62</v>
      </c>
      <c r="AP390" s="347">
        <v>62</v>
      </c>
      <c r="AQ390" s="347">
        <v>62</v>
      </c>
      <c r="AR390" s="347">
        <v>62</v>
      </c>
      <c r="AS390" s="347">
        <v>62</v>
      </c>
      <c r="AT390" s="347">
        <v>62</v>
      </c>
      <c r="AU390" s="347">
        <v>62</v>
      </c>
      <c r="AV390" s="347">
        <v>62</v>
      </c>
      <c r="AW390" s="347">
        <f t="shared" si="977"/>
        <v>992</v>
      </c>
      <c r="AX390" s="365">
        <f t="shared" si="978"/>
        <v>24.2544</v>
      </c>
      <c r="AY390" s="365">
        <f t="shared" si="979"/>
        <v>36.68</v>
      </c>
      <c r="AZ390" s="347">
        <v>283.6458</v>
      </c>
      <c r="BA390" s="347">
        <v>15.2472</v>
      </c>
      <c r="BB390" s="347">
        <v>23.3811</v>
      </c>
      <c r="BC390" s="347">
        <v>17.1338</v>
      </c>
      <c r="BD390" s="347"/>
      <c r="BE390" s="347">
        <f t="shared" si="1000"/>
        <v>281376.6336</v>
      </c>
      <c r="BF390" s="347">
        <f t="shared" si="1001"/>
        <v>15125.2224</v>
      </c>
      <c r="BG390" s="347">
        <f t="shared" si="1002"/>
        <v>23194.0512</v>
      </c>
      <c r="BH390" s="347">
        <f t="shared" si="1003"/>
        <v>16996.7296</v>
      </c>
      <c r="BI390" s="347"/>
      <c r="BJ390" s="347" cm="1">
        <f t="array" ref="BJ390:BM390">_xlfn.LET(_xlpm.data,$R390:$AV390,_xlpm.starts,{1,8,16,23},_xlpm.lengths,{7,7,8,9},_xlpm.arr,_xlfn.MAP(_xlpm.starts,_xlpm.lengths,_xlfn.LAMBDA(_xlpm.s,_xlpm.l,SUM(INDEX(_xlpm.data,,_xlfn.SEQUENCE(,_xlpm.l,_xlpm.s))))),ROUND(_xlpm.arr*$O390/1000,2))</f>
        <v>0</v>
      </c>
      <c r="BK390" s="347">
        <v>0</v>
      </c>
      <c r="BL390" s="347">
        <v>12.13</v>
      </c>
      <c r="BM390" s="347">
        <v>13.64</v>
      </c>
      <c r="BN390" s="347">
        <f t="shared" si="1004"/>
        <v>25.77</v>
      </c>
      <c r="BO390" s="347">
        <v>0</v>
      </c>
      <c r="BP390" s="347">
        <v>9.95</v>
      </c>
      <c r="BQ390" s="347">
        <v>11.38</v>
      </c>
      <c r="BR390" s="347">
        <v>12.8</v>
      </c>
      <c r="BS390" s="347" t="s">
        <v>343</v>
      </c>
      <c r="BT390" s="365"/>
      <c r="BU390" s="365"/>
      <c r="BV390" s="366"/>
      <c r="BW390" s="368"/>
      <c r="BX390" s="368" t="s">
        <v>343</v>
      </c>
      <c r="BY390" s="258">
        <f t="shared" si="1005"/>
        <v>0</v>
      </c>
      <c r="BZ390" s="258">
        <f t="shared" si="1006"/>
        <v>0</v>
      </c>
      <c r="CA390" s="258">
        <f t="shared" si="1007"/>
        <v>434</v>
      </c>
      <c r="CB390" s="258">
        <f t="shared" si="1008"/>
        <v>558</v>
      </c>
      <c r="CC390" s="330"/>
      <c r="CD390" s="330">
        <v>61.7</v>
      </c>
      <c r="CE390" s="330">
        <f t="shared" ref="CE390:CH390" si="1023">ROUND(BY390*$O390/1000,2)</f>
        <v>0</v>
      </c>
      <c r="CF390" s="370">
        <f t="shared" si="1023"/>
        <v>0</v>
      </c>
      <c r="CG390" s="330">
        <f t="shared" si="1023"/>
        <v>10.61</v>
      </c>
      <c r="CH390" s="330">
        <f t="shared" si="1023"/>
        <v>13.64</v>
      </c>
      <c r="CI390" s="330">
        <f t="shared" si="1009"/>
        <v>24.25</v>
      </c>
      <c r="CJ390" s="258"/>
      <c r="CK390" s="258">
        <f t="shared" ref="CK390:CN390" si="1024">IFERROR(ROUND(BY390*$P390,2),"")</f>
        <v>0</v>
      </c>
      <c r="CL390" s="258">
        <f t="shared" si="1024"/>
        <v>0</v>
      </c>
      <c r="CM390" s="258">
        <f t="shared" si="1024"/>
        <v>160475.28</v>
      </c>
      <c r="CN390" s="258">
        <f t="shared" si="1024"/>
        <v>206325.36</v>
      </c>
      <c r="CO390" s="115">
        <f t="shared" si="1011"/>
        <v>366800.64</v>
      </c>
      <c r="CP390" s="258" t="e">
        <f>VLOOKUP(G390,[2]Sheet1!$C$3:$G$310,5,0)</f>
        <v>#N/A</v>
      </c>
      <c r="CQ390" s="258">
        <f>VLOOKUP(G390,[3]KCBB0101!$C$3:$F$691,4,0)</f>
        <v>8561</v>
      </c>
    </row>
    <row r="391" ht="17" spans="2:95">
      <c r="B391" s="347" t="s">
        <v>695</v>
      </c>
      <c r="C391" s="347" t="str">
        <f t="shared" si="1012"/>
        <v>16</v>
      </c>
      <c r="D391" s="347" t="str">
        <f t="shared" si="999"/>
        <v>轻卡16寸</v>
      </c>
      <c r="E391" s="385" t="str">
        <f t="shared" si="975"/>
        <v>7.50-16LT-14PR-CL891</v>
      </c>
      <c r="F391" s="385"/>
      <c r="G391" s="385" t="s">
        <v>354</v>
      </c>
      <c r="H391" s="347">
        <v>3000</v>
      </c>
      <c r="I391" s="386">
        <v>2</v>
      </c>
      <c r="J391" s="347">
        <v>38.2</v>
      </c>
      <c r="K391" s="347"/>
      <c r="L391" s="349">
        <f t="shared" si="1018"/>
        <v>0.820916905444126</v>
      </c>
      <c r="M391" s="349"/>
      <c r="N391" s="347"/>
      <c r="O391" s="347">
        <f>IFERROR(_xlfn.XLOOKUP(E391,轮胎重量!S:S,轮胎重量!P:P),IFERROR(_xlfn.XLOOKUP(E391,轮胎重量!AB:AB,轮胎重量!Y:Y),IFERROR(_xlfn.XLOOKUP(E391,轮胎重量!AK:AK,轮胎重量!AH:AH),IFERROR(_xlfn.XLOOKUP(E391,轮胎重量!AT:AT,轮胎重量!AQ:AQ),""))))</f>
        <v>25.7</v>
      </c>
      <c r="P391" s="350">
        <f>O391*13.9</f>
        <v>357.23</v>
      </c>
      <c r="Q391" s="347">
        <f t="shared" si="1013"/>
        <v>62</v>
      </c>
      <c r="R391" s="347">
        <v>62</v>
      </c>
      <c r="S391" s="347">
        <v>62</v>
      </c>
      <c r="T391" s="347">
        <v>62</v>
      </c>
      <c r="U391" s="347">
        <v>62</v>
      </c>
      <c r="V391" s="347">
        <v>62</v>
      </c>
      <c r="W391" s="347">
        <v>62</v>
      </c>
      <c r="X391" s="347">
        <v>62</v>
      </c>
      <c r="Y391" s="347">
        <v>62</v>
      </c>
      <c r="Z391" s="347">
        <v>62</v>
      </c>
      <c r="AA391" s="347">
        <v>62</v>
      </c>
      <c r="AB391" s="347">
        <v>62</v>
      </c>
      <c r="AC391" s="347">
        <v>62</v>
      </c>
      <c r="AD391" s="347">
        <v>62</v>
      </c>
      <c r="AE391" s="347">
        <v>62</v>
      </c>
      <c r="AF391" s="347">
        <v>62</v>
      </c>
      <c r="AG391" s="347">
        <v>62</v>
      </c>
      <c r="AH391" s="347">
        <v>62</v>
      </c>
      <c r="AI391" s="347">
        <v>62</v>
      </c>
      <c r="AJ391" s="347">
        <v>62</v>
      </c>
      <c r="AK391" s="347">
        <v>62</v>
      </c>
      <c r="AL391" s="347">
        <v>62</v>
      </c>
      <c r="AM391" s="347">
        <v>62</v>
      </c>
      <c r="AN391" s="347">
        <v>62</v>
      </c>
      <c r="AO391" s="347">
        <v>62</v>
      </c>
      <c r="AP391" s="347">
        <v>62</v>
      </c>
      <c r="AQ391" s="347">
        <v>62</v>
      </c>
      <c r="AR391" s="347">
        <v>62</v>
      </c>
      <c r="AS391" s="347">
        <v>62</v>
      </c>
      <c r="AT391" s="347">
        <v>62</v>
      </c>
      <c r="AU391" s="347">
        <v>62</v>
      </c>
      <c r="AV391" s="347">
        <v>62</v>
      </c>
      <c r="AW391" s="347">
        <f t="shared" si="977"/>
        <v>1922</v>
      </c>
      <c r="AX391" s="365">
        <f t="shared" si="978"/>
        <v>49.3954</v>
      </c>
      <c r="AY391" s="365">
        <f t="shared" si="979"/>
        <v>68.66</v>
      </c>
      <c r="AZ391" s="347">
        <v>283.6413</v>
      </c>
      <c r="BA391" s="347">
        <v>15.5872</v>
      </c>
      <c r="BB391" s="347">
        <v>23.9025</v>
      </c>
      <c r="BC391" s="347">
        <v>17.5158</v>
      </c>
      <c r="BD391" s="347"/>
      <c r="BE391" s="347">
        <f t="shared" si="1000"/>
        <v>545158.5786</v>
      </c>
      <c r="BF391" s="347">
        <f t="shared" si="1001"/>
        <v>29958.5984</v>
      </c>
      <c r="BG391" s="347">
        <f t="shared" si="1002"/>
        <v>45940.605</v>
      </c>
      <c r="BH391" s="347">
        <f t="shared" si="1003"/>
        <v>33665.3676</v>
      </c>
      <c r="BI391" s="347"/>
      <c r="BJ391" s="347" cm="1">
        <f t="array" ref="BJ391:BM391">_xlfn.LET(_xlpm.data,$R391:$AV391,_xlpm.starts,{1,8,16,23},_xlpm.lengths,{7,7,8,9},_xlpm.arr,_xlfn.MAP(_xlpm.starts,_xlpm.lengths,_xlfn.LAMBDA(_xlpm.s,_xlpm.l,SUM(INDEX(_xlpm.data,,_xlfn.SEQUENCE(,_xlpm.l,_xlpm.s))))),ROUND(_xlpm.arr*$O391/1000,2))</f>
        <v>11.15</v>
      </c>
      <c r="BK391" s="347">
        <v>11.15</v>
      </c>
      <c r="BL391" s="347">
        <v>12.75</v>
      </c>
      <c r="BM391" s="347">
        <v>14.34</v>
      </c>
      <c r="BN391" s="347">
        <f t="shared" si="1004"/>
        <v>49.39</v>
      </c>
      <c r="BO391" s="347">
        <v>9.95</v>
      </c>
      <c r="BP391" s="347">
        <v>9.95</v>
      </c>
      <c r="BQ391" s="347">
        <v>11.38</v>
      </c>
      <c r="BR391" s="347">
        <v>12.8</v>
      </c>
      <c r="BS391" s="347" t="s">
        <v>343</v>
      </c>
      <c r="BT391" s="365"/>
      <c r="BU391" s="365"/>
      <c r="BV391" s="366"/>
      <c r="BW391" s="368"/>
      <c r="BX391" s="368" t="s">
        <v>343</v>
      </c>
      <c r="BY391" s="258">
        <f t="shared" si="1005"/>
        <v>434</v>
      </c>
      <c r="BZ391" s="258">
        <f t="shared" si="1006"/>
        <v>434</v>
      </c>
      <c r="CA391" s="258">
        <f t="shared" si="1007"/>
        <v>496</v>
      </c>
      <c r="CB391" s="258">
        <f t="shared" si="1008"/>
        <v>558</v>
      </c>
      <c r="CC391" s="330"/>
      <c r="CD391" s="330" t="s">
        <v>701</v>
      </c>
      <c r="CE391" s="330">
        <f t="shared" ref="CE391:CH391" si="1025">ROUND(BY391*$O391/1000,2)</f>
        <v>11.15</v>
      </c>
      <c r="CF391" s="370">
        <f t="shared" si="1025"/>
        <v>11.15</v>
      </c>
      <c r="CG391" s="330">
        <f t="shared" si="1025"/>
        <v>12.75</v>
      </c>
      <c r="CH391" s="330">
        <f t="shared" si="1025"/>
        <v>14.34</v>
      </c>
      <c r="CI391" s="330">
        <f t="shared" si="1009"/>
        <v>49.39</v>
      </c>
      <c r="CJ391" s="258"/>
      <c r="CK391" s="258">
        <f t="shared" ref="CK391:CN391" si="1026">IFERROR(ROUND(BY391*$P391,2),"")</f>
        <v>155037.82</v>
      </c>
      <c r="CL391" s="258">
        <f t="shared" si="1026"/>
        <v>155037.82</v>
      </c>
      <c r="CM391" s="258">
        <f t="shared" si="1026"/>
        <v>177186.08</v>
      </c>
      <c r="CN391" s="258">
        <f t="shared" si="1026"/>
        <v>199334.34</v>
      </c>
      <c r="CO391" s="115">
        <f t="shared" si="1011"/>
        <v>686596.06</v>
      </c>
      <c r="CP391" s="258" t="e">
        <f>VLOOKUP(G391,[2]Sheet1!$C$3:$G$310,5,0)</f>
        <v>#N/A</v>
      </c>
      <c r="CQ391" s="258">
        <f>VLOOKUP(G391,[3]KCBB0101!$C$3:$F$691,4,0)</f>
        <v>7400</v>
      </c>
    </row>
    <row r="392" ht="17" spans="2:95">
      <c r="B392" s="347" t="s">
        <v>695</v>
      </c>
      <c r="C392" s="347" t="str">
        <f t="shared" ref="C392:C397" si="1027">IFERROR(MID(E392,FIND("-",E392)+1,2),"")</f>
        <v>16</v>
      </c>
      <c r="D392" s="347" t="str">
        <f t="shared" si="999"/>
        <v>轻卡16寸</v>
      </c>
      <c r="E392" s="385" t="str">
        <f t="shared" si="975"/>
        <v>7.50-16LT-14PR-MX882</v>
      </c>
      <c r="F392" s="385"/>
      <c r="G392" s="385" t="s">
        <v>355</v>
      </c>
      <c r="H392" s="347">
        <v>1300</v>
      </c>
      <c r="I392" s="386">
        <v>2</v>
      </c>
      <c r="J392" s="347">
        <v>38.2</v>
      </c>
      <c r="K392" s="347"/>
      <c r="L392" s="349">
        <f t="shared" ref="L392:L398" si="1028">IF(J392="","",J392/(J392+$J$378/60))</f>
        <v>0.820916905444126</v>
      </c>
      <c r="M392" s="349"/>
      <c r="N392" s="347"/>
      <c r="O392" s="347">
        <f>IFERROR(_xlfn.XLOOKUP(E392,轮胎重量!S:S,轮胎重量!P:P),IFERROR(_xlfn.XLOOKUP(E392,轮胎重量!AB:AB,轮胎重量!Y:Y),IFERROR(_xlfn.XLOOKUP(E392,轮胎重量!AK:AK,轮胎重量!AH:AH),IFERROR(_xlfn.XLOOKUP(E392,轮胎重量!AT:AT,轮胎重量!AQ:AQ),""))))</f>
        <v>24.83</v>
      </c>
      <c r="P392" s="350">
        <f>O392*13.9</f>
        <v>345.137</v>
      </c>
      <c r="Q392" s="347">
        <f t="shared" si="1013"/>
        <v>62</v>
      </c>
      <c r="R392" s="347">
        <v>62</v>
      </c>
      <c r="S392" s="347">
        <v>62</v>
      </c>
      <c r="T392" s="347">
        <v>62</v>
      </c>
      <c r="U392" s="347">
        <v>62</v>
      </c>
      <c r="V392" s="347">
        <v>62</v>
      </c>
      <c r="W392" s="347">
        <v>62</v>
      </c>
      <c r="X392" s="347">
        <v>62</v>
      </c>
      <c r="Y392" s="347">
        <v>62</v>
      </c>
      <c r="Z392" s="347">
        <v>62</v>
      </c>
      <c r="AA392" s="347">
        <v>62</v>
      </c>
      <c r="AB392" s="347">
        <v>62</v>
      </c>
      <c r="AC392" s="347">
        <v>62</v>
      </c>
      <c r="AD392" s="347">
        <v>62</v>
      </c>
      <c r="AE392" s="347">
        <v>62</v>
      </c>
      <c r="AF392" s="347">
        <v>62</v>
      </c>
      <c r="AG392" s="347">
        <v>62</v>
      </c>
      <c r="AH392" s="347">
        <v>62</v>
      </c>
      <c r="AI392" s="347">
        <v>62</v>
      </c>
      <c r="AJ392" s="347">
        <v>62</v>
      </c>
      <c r="AK392" s="347">
        <v>62</v>
      </c>
      <c r="AL392" s="347">
        <v>62</v>
      </c>
      <c r="AM392" s="347">
        <v>62</v>
      </c>
      <c r="AN392" s="347">
        <v>62</v>
      </c>
      <c r="AO392" s="347">
        <v>62</v>
      </c>
      <c r="AP392" s="347">
        <v>62</v>
      </c>
      <c r="AQ392" s="347">
        <v>62</v>
      </c>
      <c r="AR392" s="347">
        <v>62</v>
      </c>
      <c r="AS392" s="347">
        <v>62</v>
      </c>
      <c r="AT392" s="347">
        <v>62</v>
      </c>
      <c r="AU392" s="347">
        <v>62</v>
      </c>
      <c r="AV392" s="347">
        <v>62</v>
      </c>
      <c r="AW392" s="347">
        <f t="shared" ref="AW392:AW397" si="1029">IF(SUM(R392:AV392)=0,"",SUM(R392:AV392))</f>
        <v>1922</v>
      </c>
      <c r="AX392" s="365">
        <f t="shared" ref="AX392:AX397" si="1030">IFERROR(AW392*O392/1000,"")</f>
        <v>47.72326</v>
      </c>
      <c r="AY392" s="365">
        <f t="shared" ref="AY392:AY397" si="1031">IFERROR(ROUND(AW392*P392/10000,3),"")</f>
        <v>66.335</v>
      </c>
      <c r="AZ392" s="347">
        <v>283.6413</v>
      </c>
      <c r="BA392" s="347">
        <v>15.5872</v>
      </c>
      <c r="BB392" s="347">
        <v>23.9025</v>
      </c>
      <c r="BC392" s="347">
        <v>17.5158</v>
      </c>
      <c r="BD392" s="347"/>
      <c r="BE392" s="347">
        <f t="shared" si="1000"/>
        <v>545158.5786</v>
      </c>
      <c r="BF392" s="347">
        <f t="shared" si="1001"/>
        <v>29958.5984</v>
      </c>
      <c r="BG392" s="347">
        <f t="shared" si="1002"/>
        <v>45940.605</v>
      </c>
      <c r="BH392" s="347">
        <f t="shared" si="1003"/>
        <v>33665.3676</v>
      </c>
      <c r="BI392" s="347"/>
      <c r="BJ392" s="347" cm="1">
        <f t="array" ref="BJ392:BM392">_xlfn.LET(_xlpm.data,$R392:$AV392,_xlpm.starts,{1,8,16,23},_xlpm.lengths,{7,7,8,9},_xlpm.arr,_xlfn.MAP(_xlpm.starts,_xlpm.lengths,_xlfn.LAMBDA(_xlpm.s,_xlpm.l,SUM(INDEX(_xlpm.data,,_xlfn.SEQUENCE(,_xlpm.l,_xlpm.s))))),ROUND(_xlpm.arr*$O392/1000,2))</f>
        <v>10.78</v>
      </c>
      <c r="BK392" s="347">
        <v>10.78</v>
      </c>
      <c r="BL392" s="347">
        <v>12.32</v>
      </c>
      <c r="BM392" s="347">
        <v>13.86</v>
      </c>
      <c r="BN392" s="347">
        <f t="shared" si="1004"/>
        <v>47.74</v>
      </c>
      <c r="BO392" s="347">
        <v>9.95</v>
      </c>
      <c r="BP392" s="347">
        <v>9.95</v>
      </c>
      <c r="BQ392" s="347">
        <v>11.38</v>
      </c>
      <c r="BR392" s="347">
        <v>12.8</v>
      </c>
      <c r="BS392" s="347" t="s">
        <v>343</v>
      </c>
      <c r="BT392" s="365"/>
      <c r="BU392" s="365"/>
      <c r="BV392" s="366"/>
      <c r="BW392" s="368"/>
      <c r="BX392" s="368" t="s">
        <v>343</v>
      </c>
      <c r="BY392" s="258">
        <f t="shared" ref="BY392:BY397" si="1032">SUM(R392:X392)</f>
        <v>434</v>
      </c>
      <c r="BZ392" s="258">
        <f t="shared" ref="BZ392:BZ397" si="1033">SUM(Y392:AE392)</f>
        <v>434</v>
      </c>
      <c r="CA392" s="258">
        <f t="shared" ref="CA392:CA397" si="1034">SUM(AF392:AM392)</f>
        <v>496</v>
      </c>
      <c r="CB392" s="258">
        <f t="shared" ref="CB392:CB397" si="1035">SUM(AN392:AV392)</f>
        <v>558</v>
      </c>
      <c r="CC392" s="330"/>
      <c r="CD392" s="330" t="s">
        <v>701</v>
      </c>
      <c r="CE392" s="330">
        <f t="shared" ref="CE392:CH392" si="1036">ROUND(BY392*$O392/1000,2)</f>
        <v>10.78</v>
      </c>
      <c r="CF392" s="370">
        <f t="shared" si="1036"/>
        <v>10.78</v>
      </c>
      <c r="CG392" s="330">
        <f t="shared" si="1036"/>
        <v>12.32</v>
      </c>
      <c r="CH392" s="330">
        <f t="shared" si="1036"/>
        <v>13.86</v>
      </c>
      <c r="CI392" s="330">
        <f t="shared" si="1009"/>
        <v>47.74</v>
      </c>
      <c r="CJ392" s="258"/>
      <c r="CK392" s="258">
        <f t="shared" ref="CK392:CN392" si="1037">IFERROR(ROUND(BY392*$P392,2),"")</f>
        <v>149789.46</v>
      </c>
      <c r="CL392" s="258">
        <f t="shared" si="1037"/>
        <v>149789.46</v>
      </c>
      <c r="CM392" s="258">
        <f t="shared" si="1037"/>
        <v>171187.95</v>
      </c>
      <c r="CN392" s="258">
        <f t="shared" si="1037"/>
        <v>192586.45</v>
      </c>
      <c r="CO392" s="115">
        <f t="shared" ref="CO392:CO410" si="1038">SUM(CK392:CN392)</f>
        <v>663353.32</v>
      </c>
      <c r="CP392" s="258" t="e">
        <f>VLOOKUP(G392,[2]Sheet1!$C$3:$G$310,5,0)</f>
        <v>#N/A</v>
      </c>
      <c r="CQ392" s="258">
        <f>VLOOKUP(G392,[3]KCBB0101!$C$3:$F$691,4,0)</f>
        <v>5000</v>
      </c>
    </row>
    <row r="393" spans="2:95">
      <c r="B393" s="347" t="s">
        <v>695</v>
      </c>
      <c r="C393" s="347" t="str">
        <f t="shared" si="1027"/>
        <v>16</v>
      </c>
      <c r="D393" s="347" t="str">
        <f t="shared" si="999"/>
        <v>轻卡16寸</v>
      </c>
      <c r="E393" s="385" t="str">
        <f t="shared" si="975"/>
        <v>7.50-16LT-14PR-MR881</v>
      </c>
      <c r="F393" s="385"/>
      <c r="G393" s="342" t="s">
        <v>57</v>
      </c>
      <c r="H393" s="347"/>
      <c r="I393" s="386">
        <v>4</v>
      </c>
      <c r="J393" s="347">
        <v>38.2</v>
      </c>
      <c r="K393" s="347"/>
      <c r="L393" s="349">
        <f t="shared" si="1028"/>
        <v>0.820916905444126</v>
      </c>
      <c r="M393" s="349"/>
      <c r="N393" s="347"/>
      <c r="O393" s="347">
        <f>IFERROR(_xlfn.XLOOKUP(E393,轮胎重量!S:S,轮胎重量!P:P),IFERROR(_xlfn.XLOOKUP(E393,轮胎重量!AB:AB,轮胎重量!Y:Y),IFERROR(_xlfn.XLOOKUP(E393,轮胎重量!AK:AK,轮胎重量!AH:AH),IFERROR(_xlfn.XLOOKUP(E393,轮胎重量!AT:AT,轮胎重量!AQ:AQ),""))))</f>
        <v>22.4</v>
      </c>
      <c r="P393" s="350">
        <f>O393*13.9</f>
        <v>311.36</v>
      </c>
      <c r="Q393" s="347">
        <f t="shared" ref="Q393:Q397" si="1039">IFERROR(ROUND(1440/J393*I393*L394,0),"")</f>
        <v>124</v>
      </c>
      <c r="R393" s="347"/>
      <c r="S393" s="347"/>
      <c r="T393" s="347"/>
      <c r="U393" s="347"/>
      <c r="V393" s="347"/>
      <c r="W393" s="347"/>
      <c r="X393" s="347"/>
      <c r="Y393" s="347"/>
      <c r="Z393" s="347"/>
      <c r="AA393" s="347"/>
      <c r="AB393" s="347"/>
      <c r="AC393" s="347"/>
      <c r="AD393" s="347"/>
      <c r="AE393" s="347">
        <v>62</v>
      </c>
      <c r="AF393" s="347">
        <v>62</v>
      </c>
      <c r="AG393" s="347">
        <v>62</v>
      </c>
      <c r="AH393" s="347">
        <v>62</v>
      </c>
      <c r="AI393" s="347">
        <v>62</v>
      </c>
      <c r="AJ393" s="347">
        <v>62</v>
      </c>
      <c r="AK393" s="347">
        <v>62</v>
      </c>
      <c r="AL393" s="347">
        <v>62</v>
      </c>
      <c r="AM393" s="347">
        <v>62</v>
      </c>
      <c r="AN393" s="347">
        <v>62</v>
      </c>
      <c r="AO393" s="347">
        <v>62</v>
      </c>
      <c r="AP393" s="347">
        <v>62</v>
      </c>
      <c r="AQ393" s="347">
        <v>62</v>
      </c>
      <c r="AR393" s="347">
        <v>62</v>
      </c>
      <c r="AS393" s="347">
        <v>62</v>
      </c>
      <c r="AT393" s="347">
        <v>62</v>
      </c>
      <c r="AU393" s="347">
        <v>62</v>
      </c>
      <c r="AV393" s="347">
        <v>62</v>
      </c>
      <c r="AW393" s="347">
        <v>3000</v>
      </c>
      <c r="AX393" s="365">
        <f t="shared" si="1030"/>
        <v>67.2</v>
      </c>
      <c r="AY393" s="365">
        <f t="shared" si="1031"/>
        <v>93.408</v>
      </c>
      <c r="AZ393" s="347">
        <v>283.6458</v>
      </c>
      <c r="BA393" s="347">
        <v>15.2472</v>
      </c>
      <c r="BB393" s="347">
        <v>23.3811</v>
      </c>
      <c r="BC393" s="347">
        <v>17.1338</v>
      </c>
      <c r="BD393" s="347"/>
      <c r="BE393" s="347">
        <f t="shared" ref="BE393:BE397" si="1040">AZ393*AW393</f>
        <v>850937.4</v>
      </c>
      <c r="BF393" s="347">
        <f t="shared" ref="BF393:BF397" si="1041">BA393*AW393</f>
        <v>45741.6</v>
      </c>
      <c r="BG393" s="347">
        <f t="shared" ref="BG393:BG397" si="1042">BB393*AW393</f>
        <v>70143.3</v>
      </c>
      <c r="BH393" s="347">
        <f t="shared" ref="BH393:BH397" si="1043">BC393*AW393</f>
        <v>51401.4</v>
      </c>
      <c r="BI393" s="347"/>
      <c r="BJ393" s="347" cm="1">
        <f t="array" ref="BJ393:BM393">_xlfn.LET(_xlpm.data,$R393:$AV393,_xlpm.starts,{1,8,16,23},_xlpm.lengths,{7,7,8,9},_xlpm.arr,_xlfn.MAP(_xlpm.starts,_xlpm.lengths,_xlfn.LAMBDA(_xlpm.s,_xlpm.l,SUM(INDEX(_xlpm.data,,_xlfn.SEQUENCE(,_xlpm.l,_xlpm.s))))),ROUND(_xlpm.arr*$O393/1000,2))</f>
        <v>0</v>
      </c>
      <c r="BK393" s="347">
        <v>1.39</v>
      </c>
      <c r="BL393" s="347">
        <v>11.11</v>
      </c>
      <c r="BM393" s="347">
        <v>12.5</v>
      </c>
      <c r="BN393" s="347">
        <f t="shared" ref="BN393:BN397" si="1044">SUM(BJ393:BM393)</f>
        <v>25</v>
      </c>
      <c r="BO393" s="347">
        <v>0</v>
      </c>
      <c r="BP393" s="347">
        <v>9.95</v>
      </c>
      <c r="BQ393" s="347">
        <v>11.38</v>
      </c>
      <c r="BR393" s="347">
        <v>12.8</v>
      </c>
      <c r="BS393" s="347" t="s">
        <v>343</v>
      </c>
      <c r="BT393" s="365"/>
      <c r="BU393" s="365"/>
      <c r="BV393" s="366"/>
      <c r="BW393" s="368"/>
      <c r="BX393" s="368" t="s">
        <v>343</v>
      </c>
      <c r="BY393" s="258">
        <f t="shared" si="1032"/>
        <v>0</v>
      </c>
      <c r="BZ393" s="258">
        <f t="shared" si="1033"/>
        <v>62</v>
      </c>
      <c r="CA393" s="258">
        <f t="shared" si="1034"/>
        <v>496</v>
      </c>
      <c r="CB393" s="258">
        <f t="shared" si="1035"/>
        <v>558</v>
      </c>
      <c r="CC393" s="330"/>
      <c r="CD393" s="330">
        <v>61.7</v>
      </c>
      <c r="CE393" s="330">
        <f t="shared" ref="CE393:CE397" si="1045">ROUND(BY393*$O393/1000,2)</f>
        <v>0</v>
      </c>
      <c r="CF393" s="370">
        <f t="shared" ref="CF393:CF397" si="1046">ROUND(BZ393*$O393/1000,2)</f>
        <v>1.39</v>
      </c>
      <c r="CG393" s="330">
        <f t="shared" ref="CG393:CG397" si="1047">ROUND(CA393*$O393/1000,2)</f>
        <v>11.11</v>
      </c>
      <c r="CH393" s="330">
        <f t="shared" ref="CH393:CH397" si="1048">ROUND(CB393*$O393/1000,2)</f>
        <v>12.5</v>
      </c>
      <c r="CI393" s="330">
        <f t="shared" ref="CI393:CI397" si="1049">SUM(CE393:CH393)</f>
        <v>25</v>
      </c>
      <c r="CJ393" s="258"/>
      <c r="CK393" s="258">
        <f t="shared" ref="CK393:CN393" si="1050">IFERROR(ROUND(BY393*$P393,2),"")</f>
        <v>0</v>
      </c>
      <c r="CL393" s="258">
        <f t="shared" si="1050"/>
        <v>19304.32</v>
      </c>
      <c r="CM393" s="258">
        <f t="shared" si="1050"/>
        <v>154434.56</v>
      </c>
      <c r="CN393" s="258">
        <f t="shared" si="1050"/>
        <v>173738.88</v>
      </c>
      <c r="CO393" s="115">
        <f t="shared" si="1038"/>
        <v>347477.76</v>
      </c>
      <c r="CP393" s="258" t="e">
        <f>VLOOKUP(G393,[2]Sheet1!$C$3:$G$310,5,0)</f>
        <v>#N/A</v>
      </c>
      <c r="CQ393" s="258">
        <f>VLOOKUP(G393,[3]KCBB0101!$C$3:$F$691,4,0)</f>
        <v>2870</v>
      </c>
    </row>
    <row r="394" ht="17" spans="2:93">
      <c r="B394" s="347" t="s">
        <v>695</v>
      </c>
      <c r="C394" s="347" t="str">
        <f t="shared" si="1027"/>
        <v/>
      </c>
      <c r="D394" s="347" t="str">
        <f t="shared" si="999"/>
        <v>轻卡寸</v>
      </c>
      <c r="E394" s="385" t="str">
        <f t="shared" si="975"/>
        <v/>
      </c>
      <c r="F394" s="385"/>
      <c r="G394" s="385"/>
      <c r="H394" s="347"/>
      <c r="I394" s="386"/>
      <c r="J394" s="347">
        <v>38.2</v>
      </c>
      <c r="K394" s="347"/>
      <c r="L394" s="349">
        <f t="shared" si="1028"/>
        <v>0.820916905444126</v>
      </c>
      <c r="M394" s="349"/>
      <c r="N394" s="347"/>
      <c r="O394" s="347">
        <f>IFERROR(_xlfn.XLOOKUP(E394,轮胎重量!S:S,轮胎重量!P:P),IFERROR(_xlfn.XLOOKUP(E394,轮胎重量!AB:AB,轮胎重量!Y:Y),IFERROR(_xlfn.XLOOKUP(E394,轮胎重量!AK:AK,轮胎重量!AH:AH),IFERROR(_xlfn.XLOOKUP(E394,轮胎重量!AT:AT,轮胎重量!AQ:AQ),""))))</f>
        <v>0</v>
      </c>
      <c r="P394" s="347" t="str">
        <f>IFERROR(_xlfn.XLOOKUP(E394,硫化工艺!I:I,硫化工艺!J:J),"")</f>
        <v/>
      </c>
      <c r="Q394" s="347">
        <f t="shared" si="1039"/>
        <v>0</v>
      </c>
      <c r="R394" s="347"/>
      <c r="S394" s="347"/>
      <c r="T394" s="347"/>
      <c r="U394" s="347"/>
      <c r="V394" s="347"/>
      <c r="W394" s="347"/>
      <c r="X394" s="347"/>
      <c r="Y394" s="347"/>
      <c r="Z394" s="347"/>
      <c r="AA394" s="347"/>
      <c r="AB394" s="347"/>
      <c r="AC394" s="347"/>
      <c r="AD394" s="347"/>
      <c r="AE394" s="347"/>
      <c r="AF394" s="347"/>
      <c r="AG394" s="347"/>
      <c r="AH394" s="347"/>
      <c r="AI394" s="347"/>
      <c r="AJ394" s="347"/>
      <c r="AK394" s="347"/>
      <c r="AL394" s="347"/>
      <c r="AM394" s="347"/>
      <c r="AN394" s="347"/>
      <c r="AO394" s="347"/>
      <c r="AP394" s="347"/>
      <c r="AQ394" s="347"/>
      <c r="AR394" s="347"/>
      <c r="AS394" s="347"/>
      <c r="AT394" s="347"/>
      <c r="AU394" s="347"/>
      <c r="AV394" s="347"/>
      <c r="AW394" s="347" t="str">
        <f t="shared" si="1029"/>
        <v/>
      </c>
      <c r="AX394" s="365" t="str">
        <f t="shared" si="1030"/>
        <v/>
      </c>
      <c r="AY394" s="365" t="str">
        <f t="shared" si="1031"/>
        <v/>
      </c>
      <c r="AZ394" s="347">
        <v>283.6413</v>
      </c>
      <c r="BA394" s="347">
        <v>15.5872</v>
      </c>
      <c r="BB394" s="347">
        <v>23.9025</v>
      </c>
      <c r="BC394" s="347">
        <v>17.5158</v>
      </c>
      <c r="BD394" s="347"/>
      <c r="BE394" s="347" t="e">
        <f t="shared" si="1040"/>
        <v>#VALUE!</v>
      </c>
      <c r="BF394" s="347" t="e">
        <f t="shared" si="1041"/>
        <v>#VALUE!</v>
      </c>
      <c r="BG394" s="347" t="e">
        <f t="shared" si="1042"/>
        <v>#VALUE!</v>
      </c>
      <c r="BH394" s="347" t="e">
        <f t="shared" si="1043"/>
        <v>#VALUE!</v>
      </c>
      <c r="BI394" s="347"/>
      <c r="BJ394" s="347" cm="1">
        <f t="array" ref="BJ394:BM394">_xlfn.LET(_xlpm.data,$R394:$AV394,_xlpm.starts,{1,8,16,23},_xlpm.lengths,{7,7,8,9},_xlpm.arr,_xlfn.MAP(_xlpm.starts,_xlpm.lengths,_xlfn.LAMBDA(_xlpm.s,_xlpm.l,SUM(INDEX(_xlpm.data,,_xlfn.SEQUENCE(,_xlpm.l,_xlpm.s))))),ROUND(_xlpm.arr*$O394/1000,2))</f>
        <v>0</v>
      </c>
      <c r="BK394" s="347">
        <v>0</v>
      </c>
      <c r="BL394" s="347">
        <v>0</v>
      </c>
      <c r="BM394" s="347">
        <v>0</v>
      </c>
      <c r="BN394" s="347">
        <f t="shared" si="1044"/>
        <v>0</v>
      </c>
      <c r="BO394" s="347">
        <v>9.95</v>
      </c>
      <c r="BP394" s="347">
        <v>9.95</v>
      </c>
      <c r="BQ394" s="347">
        <v>11.38</v>
      </c>
      <c r="BR394" s="347">
        <v>12.8</v>
      </c>
      <c r="BS394" s="347" t="s">
        <v>343</v>
      </c>
      <c r="BT394" s="365"/>
      <c r="BU394" s="365"/>
      <c r="BV394" s="366"/>
      <c r="BW394" s="368"/>
      <c r="BX394" s="368" t="s">
        <v>343</v>
      </c>
      <c r="BY394" s="258">
        <f t="shared" si="1032"/>
        <v>0</v>
      </c>
      <c r="BZ394" s="258">
        <f t="shared" si="1033"/>
        <v>0</v>
      </c>
      <c r="CA394" s="258">
        <f t="shared" si="1034"/>
        <v>0</v>
      </c>
      <c r="CB394" s="258">
        <f t="shared" si="1035"/>
        <v>0</v>
      </c>
      <c r="CC394" s="330"/>
      <c r="CD394" s="330" t="s">
        <v>701</v>
      </c>
      <c r="CE394" s="330">
        <f t="shared" si="1045"/>
        <v>0</v>
      </c>
      <c r="CF394" s="370">
        <f t="shared" si="1046"/>
        <v>0</v>
      </c>
      <c r="CG394" s="330">
        <f t="shared" si="1047"/>
        <v>0</v>
      </c>
      <c r="CH394" s="330">
        <f t="shared" si="1048"/>
        <v>0</v>
      </c>
      <c r="CI394" s="330">
        <f t="shared" si="1049"/>
        <v>0</v>
      </c>
      <c r="CJ394" s="258"/>
      <c r="CK394" s="258" t="str">
        <f t="shared" ref="CK394:CN394" si="1051">IFERROR(ROUND(BY394*$P394,2),"")</f>
        <v/>
      </c>
      <c r="CL394" s="258" t="str">
        <f t="shared" si="1051"/>
        <v/>
      </c>
      <c r="CM394" s="258" t="str">
        <f t="shared" si="1051"/>
        <v/>
      </c>
      <c r="CN394" s="258" t="str">
        <f t="shared" si="1051"/>
        <v/>
      </c>
      <c r="CO394" s="115">
        <f t="shared" si="1038"/>
        <v>0</v>
      </c>
    </row>
    <row r="395" s="258" customFormat="1" spans="1:110">
      <c r="A395" s="330"/>
      <c r="B395" s="347" t="s">
        <v>695</v>
      </c>
      <c r="C395" s="347" t="str">
        <f t="shared" si="1027"/>
        <v/>
      </c>
      <c r="D395" s="347" t="str">
        <f t="shared" si="999"/>
        <v>轻卡寸</v>
      </c>
      <c r="E395" s="385" t="str">
        <f t="shared" si="975"/>
        <v/>
      </c>
      <c r="F395" s="385"/>
      <c r="G395" s="385"/>
      <c r="H395" s="347"/>
      <c r="I395" s="386"/>
      <c r="J395" s="347">
        <v>38.2</v>
      </c>
      <c r="K395" s="347"/>
      <c r="L395" s="349">
        <f t="shared" si="1028"/>
        <v>0.820916905444126</v>
      </c>
      <c r="M395" s="349"/>
      <c r="N395" s="347"/>
      <c r="O395" s="347">
        <f>IFERROR(_xlfn.XLOOKUP(E395,轮胎重量!S:S,轮胎重量!P:P),IFERROR(_xlfn.XLOOKUP(E395,轮胎重量!AB:AB,轮胎重量!Y:Y),IFERROR(_xlfn.XLOOKUP(E395,轮胎重量!AK:AK,轮胎重量!AH:AH),IFERROR(_xlfn.XLOOKUP(E395,轮胎重量!AT:AT,轮胎重量!AQ:AQ),""))))</f>
        <v>0</v>
      </c>
      <c r="P395" s="350">
        <f t="shared" ref="P395:P401" si="1052">O395*14.76</f>
        <v>0</v>
      </c>
      <c r="Q395" s="347">
        <f>IFERROR(ROUND(1440/J395*I395*L416,0),"")</f>
        <v>0</v>
      </c>
      <c r="R395" s="347"/>
      <c r="S395" s="347"/>
      <c r="T395" s="347"/>
      <c r="U395" s="347"/>
      <c r="V395" s="347"/>
      <c r="W395" s="347"/>
      <c r="X395" s="347"/>
      <c r="Y395" s="347"/>
      <c r="Z395" s="347"/>
      <c r="AA395" s="347"/>
      <c r="AB395" s="347"/>
      <c r="AC395" s="347"/>
      <c r="AD395" s="347"/>
      <c r="AE395" s="347"/>
      <c r="AF395" s="347"/>
      <c r="AG395" s="347"/>
      <c r="AH395" s="347"/>
      <c r="AI395" s="347"/>
      <c r="AJ395" s="347"/>
      <c r="AK395" s="347"/>
      <c r="AL395" s="347"/>
      <c r="AM395" s="347"/>
      <c r="AN395" s="347"/>
      <c r="AO395" s="347"/>
      <c r="AP395" s="347"/>
      <c r="AQ395" s="347"/>
      <c r="AR395" s="347"/>
      <c r="AS395" s="347"/>
      <c r="AT395" s="347"/>
      <c r="AU395" s="347"/>
      <c r="AV395" s="347"/>
      <c r="AW395" s="347" t="str">
        <f t="shared" si="1029"/>
        <v/>
      </c>
      <c r="AX395" s="365" t="str">
        <f t="shared" si="1030"/>
        <v/>
      </c>
      <c r="AY395" s="365" t="str">
        <f t="shared" si="1031"/>
        <v/>
      </c>
      <c r="AZ395" s="347">
        <v>251.7655</v>
      </c>
      <c r="BA395" s="347">
        <v>14.8798</v>
      </c>
      <c r="BB395" s="347">
        <v>22.8177</v>
      </c>
      <c r="BC395" s="347">
        <v>16.7209</v>
      </c>
      <c r="BD395" s="347"/>
      <c r="BE395" s="347" t="e">
        <f t="shared" si="1040"/>
        <v>#VALUE!</v>
      </c>
      <c r="BF395" s="347" t="e">
        <f t="shared" si="1041"/>
        <v>#VALUE!</v>
      </c>
      <c r="BG395" s="347" t="e">
        <f t="shared" si="1042"/>
        <v>#VALUE!</v>
      </c>
      <c r="BH395" s="347" t="e">
        <f t="shared" si="1043"/>
        <v>#VALUE!</v>
      </c>
      <c r="BI395" s="347"/>
      <c r="BJ395" s="347" cm="1">
        <f t="array" ref="BJ395:BM395">_xlfn.LET(_xlpm.data,$R395:$AV395,_xlpm.starts,{1,8,16,23},_xlpm.lengths,{7,7,8,9},_xlpm.arr,_xlfn.MAP(_xlpm.starts,_xlpm.lengths,_xlfn.LAMBDA(_xlpm.s,_xlpm.l,SUM(INDEX(_xlpm.data,,_xlfn.SEQUENCE(,_xlpm.l,_xlpm.s))))),ROUND(_xlpm.arr*$O395/1000,2))</f>
        <v>0</v>
      </c>
      <c r="BK395" s="347">
        <v>0</v>
      </c>
      <c r="BL395" s="347">
        <v>0</v>
      </c>
      <c r="BM395" s="347">
        <v>0</v>
      </c>
      <c r="BN395" s="347">
        <f t="shared" si="1044"/>
        <v>0</v>
      </c>
      <c r="BO395" s="347">
        <v>0</v>
      </c>
      <c r="BP395" s="347">
        <v>0</v>
      </c>
      <c r="BQ395" s="347">
        <v>0</v>
      </c>
      <c r="BR395" s="347">
        <v>0</v>
      </c>
      <c r="BS395" s="347" t="s">
        <v>343</v>
      </c>
      <c r="BT395" s="365"/>
      <c r="BU395" s="365"/>
      <c r="BV395" s="366"/>
      <c r="BW395" s="368"/>
      <c r="BX395" s="368" t="s">
        <v>343</v>
      </c>
      <c r="BY395" s="258">
        <f t="shared" si="1032"/>
        <v>0</v>
      </c>
      <c r="BZ395" s="258">
        <f t="shared" si="1033"/>
        <v>0</v>
      </c>
      <c r="CA395" s="258">
        <f t="shared" si="1034"/>
        <v>0</v>
      </c>
      <c r="CB395" s="258">
        <f t="shared" si="1035"/>
        <v>0</v>
      </c>
      <c r="CC395" s="330"/>
      <c r="CD395" s="330">
        <v>8.3</v>
      </c>
      <c r="CE395" s="330">
        <f t="shared" si="1045"/>
        <v>0</v>
      </c>
      <c r="CF395" s="370">
        <f t="shared" si="1046"/>
        <v>0</v>
      </c>
      <c r="CG395" s="330">
        <f t="shared" si="1047"/>
        <v>0</v>
      </c>
      <c r="CH395" s="330">
        <f t="shared" si="1048"/>
        <v>0</v>
      </c>
      <c r="CI395" s="330">
        <f t="shared" si="1049"/>
        <v>0</v>
      </c>
      <c r="CK395" s="258">
        <f t="shared" ref="CK395:CN395" si="1053">IFERROR(ROUND(BY395*$P395,2),"")</f>
        <v>0</v>
      </c>
      <c r="CL395" s="258">
        <f t="shared" si="1053"/>
        <v>0</v>
      </c>
      <c r="CM395" s="258">
        <f t="shared" si="1053"/>
        <v>0</v>
      </c>
      <c r="CN395" s="258">
        <f t="shared" si="1053"/>
        <v>0</v>
      </c>
      <c r="CO395" s="115">
        <f t="shared" si="1038"/>
        <v>0</v>
      </c>
      <c r="CZ395" s="113"/>
      <c r="DA395" s="258"/>
      <c r="DB395" s="258"/>
      <c r="DC395" s="258"/>
      <c r="DD395" s="258"/>
      <c r="DE395" s="258"/>
      <c r="DF395" s="113"/>
    </row>
    <row r="396" ht="17" spans="2:93">
      <c r="B396" s="347" t="s">
        <v>695</v>
      </c>
      <c r="C396" s="347" t="str">
        <f t="shared" si="1027"/>
        <v/>
      </c>
      <c r="D396" s="347" t="str">
        <f t="shared" si="999"/>
        <v>轻卡寸</v>
      </c>
      <c r="E396" s="385" t="str">
        <f t="shared" si="975"/>
        <v/>
      </c>
      <c r="F396" s="385"/>
      <c r="G396" s="385"/>
      <c r="H396" s="347"/>
      <c r="I396" s="386"/>
      <c r="J396" s="347">
        <v>58.3</v>
      </c>
      <c r="K396" s="347"/>
      <c r="L396" s="349">
        <f t="shared" si="1028"/>
        <v>0.874937468734367</v>
      </c>
      <c r="M396" s="349"/>
      <c r="N396" s="347"/>
      <c r="O396" s="347">
        <f>IFERROR(_xlfn.XLOOKUP(E396,轮胎重量!S:S,轮胎重量!P:P),IFERROR(_xlfn.XLOOKUP(E396,轮胎重量!AB:AB,轮胎重量!Y:Y),IFERROR(_xlfn.XLOOKUP(E396,轮胎重量!AK:AK,轮胎重量!AH:AH),IFERROR(_xlfn.XLOOKUP(E396,轮胎重量!AT:AT,轮胎重量!AQ:AQ),""))))</f>
        <v>0</v>
      </c>
      <c r="P396" s="350">
        <f t="shared" si="1052"/>
        <v>0</v>
      </c>
      <c r="Q396" s="347">
        <f>IFERROR(ROUND(1440/J396*I396*L398,0),"")</f>
        <v>0</v>
      </c>
      <c r="R396" s="347"/>
      <c r="S396" s="347"/>
      <c r="T396" s="347"/>
      <c r="U396" s="347"/>
      <c r="V396" s="347"/>
      <c r="W396" s="347"/>
      <c r="X396" s="347"/>
      <c r="Y396" s="347"/>
      <c r="Z396" s="347"/>
      <c r="AA396" s="347"/>
      <c r="AB396" s="347"/>
      <c r="AC396" s="347"/>
      <c r="AD396" s="347"/>
      <c r="AE396" s="347"/>
      <c r="AF396" s="347"/>
      <c r="AG396" s="347"/>
      <c r="AH396" s="347"/>
      <c r="AI396" s="347"/>
      <c r="AJ396" s="347"/>
      <c r="AK396" s="347"/>
      <c r="AL396" s="347"/>
      <c r="AM396" s="347"/>
      <c r="AN396" s="347"/>
      <c r="AO396" s="347"/>
      <c r="AP396" s="347"/>
      <c r="AQ396" s="347"/>
      <c r="AR396" s="347"/>
      <c r="AS396" s="347"/>
      <c r="AT396" s="347"/>
      <c r="AU396" s="347"/>
      <c r="AV396" s="347"/>
      <c r="AW396" s="347" t="str">
        <f t="shared" si="1029"/>
        <v/>
      </c>
      <c r="AX396" s="365" t="str">
        <f t="shared" si="1030"/>
        <v/>
      </c>
      <c r="AY396" s="365" t="str">
        <f t="shared" si="1031"/>
        <v/>
      </c>
      <c r="AZ396" s="347">
        <v>715.7485</v>
      </c>
      <c r="BA396" s="347">
        <v>42.8224</v>
      </c>
      <c r="BB396" s="347">
        <v>58.839</v>
      </c>
      <c r="BC396" s="347">
        <v>51.8175</v>
      </c>
      <c r="BD396" s="347"/>
      <c r="BE396" s="347" t="e">
        <f t="shared" si="1040"/>
        <v>#VALUE!</v>
      </c>
      <c r="BF396" s="347" t="e">
        <f t="shared" si="1041"/>
        <v>#VALUE!</v>
      </c>
      <c r="BG396" s="347" t="e">
        <f t="shared" si="1042"/>
        <v>#VALUE!</v>
      </c>
      <c r="BH396" s="347" t="e">
        <f t="shared" si="1043"/>
        <v>#VALUE!</v>
      </c>
      <c r="BI396" s="347"/>
      <c r="BJ396" s="347" cm="1">
        <f t="array" ref="BJ396:BM396">_xlfn.LET(_xlpm.data,$R396:$AV396,_xlpm.starts,{1,8,16,23},_xlpm.lengths,{7,7,8,9},_xlpm.arr,_xlfn.MAP(_xlpm.starts,_xlpm.lengths,_xlfn.LAMBDA(_xlpm.s,_xlpm.l,SUM(INDEX(_xlpm.data,,_xlfn.SEQUENCE(,_xlpm.l,_xlpm.s))))),ROUND(_xlpm.arr*$O396/1000,2))</f>
        <v>0</v>
      </c>
      <c r="BK396" s="347">
        <v>0</v>
      </c>
      <c r="BL396" s="347">
        <v>0</v>
      </c>
      <c r="BM396" s="347">
        <v>0</v>
      </c>
      <c r="BN396" s="347">
        <f t="shared" si="1044"/>
        <v>0</v>
      </c>
      <c r="BO396" s="347">
        <v>5.51</v>
      </c>
      <c r="BP396" s="347">
        <v>19.29</v>
      </c>
      <c r="BQ396" s="347">
        <v>5.51</v>
      </c>
      <c r="BR396" s="347">
        <v>0</v>
      </c>
      <c r="BS396" s="347" t="s">
        <v>343</v>
      </c>
      <c r="BT396" s="365"/>
      <c r="BU396" s="365"/>
      <c r="BV396" s="366"/>
      <c r="BW396" s="368"/>
      <c r="BX396" s="368" t="s">
        <v>343</v>
      </c>
      <c r="BY396" s="258">
        <f t="shared" si="1032"/>
        <v>0</v>
      </c>
      <c r="BZ396" s="258">
        <f t="shared" si="1033"/>
        <v>0</v>
      </c>
      <c r="CA396" s="258">
        <f t="shared" si="1034"/>
        <v>0</v>
      </c>
      <c r="CB396" s="258">
        <f t="shared" si="1035"/>
        <v>0</v>
      </c>
      <c r="CC396" s="330"/>
      <c r="CD396" s="330" t="s">
        <v>702</v>
      </c>
      <c r="CE396" s="330">
        <f t="shared" si="1045"/>
        <v>0</v>
      </c>
      <c r="CF396" s="370">
        <f t="shared" si="1046"/>
        <v>0</v>
      </c>
      <c r="CG396" s="330">
        <f t="shared" si="1047"/>
        <v>0</v>
      </c>
      <c r="CH396" s="330">
        <f t="shared" si="1048"/>
        <v>0</v>
      </c>
      <c r="CI396" s="330">
        <f t="shared" si="1049"/>
        <v>0</v>
      </c>
      <c r="CJ396" s="258"/>
      <c r="CK396" s="258">
        <f t="shared" ref="CK396:CN396" si="1054">IFERROR(ROUND(BY396*$P396,2),"")</f>
        <v>0</v>
      </c>
      <c r="CL396" s="258">
        <f t="shared" si="1054"/>
        <v>0</v>
      </c>
      <c r="CM396" s="258">
        <f t="shared" si="1054"/>
        <v>0</v>
      </c>
      <c r="CN396" s="258">
        <f t="shared" si="1054"/>
        <v>0</v>
      </c>
      <c r="CO396" s="115">
        <f t="shared" si="1038"/>
        <v>0</v>
      </c>
    </row>
    <row r="397" s="258" customFormat="1" spans="1:110">
      <c r="A397" s="330"/>
      <c r="B397" s="347" t="s">
        <v>695</v>
      </c>
      <c r="C397" s="347" t="str">
        <f t="shared" si="1027"/>
        <v/>
      </c>
      <c r="D397" s="347" t="str">
        <f t="shared" si="999"/>
        <v>轻卡寸</v>
      </c>
      <c r="E397" s="385" t="str">
        <f t="shared" si="975"/>
        <v/>
      </c>
      <c r="F397" s="385"/>
      <c r="G397" s="385"/>
      <c r="H397" s="347"/>
      <c r="I397" s="386"/>
      <c r="J397" s="347">
        <v>58.3</v>
      </c>
      <c r="K397" s="347"/>
      <c r="L397" s="349">
        <f t="shared" si="1028"/>
        <v>0.874937468734367</v>
      </c>
      <c r="M397" s="349"/>
      <c r="N397" s="347"/>
      <c r="O397" s="347">
        <f>IFERROR(_xlfn.XLOOKUP(E397,轮胎重量!S:S,轮胎重量!P:P),IFERROR(_xlfn.XLOOKUP(E397,轮胎重量!AB:AB,轮胎重量!Y:Y),IFERROR(_xlfn.XLOOKUP(E397,轮胎重量!AK:AK,轮胎重量!AH:AH),IFERROR(_xlfn.XLOOKUP(E397,轮胎重量!AT:AT,轮胎重量!AQ:AQ),""))))</f>
        <v>0</v>
      </c>
      <c r="P397" s="350">
        <f t="shared" si="1052"/>
        <v>0</v>
      </c>
      <c r="Q397" s="347">
        <f t="shared" si="1039"/>
        <v>0</v>
      </c>
      <c r="R397" s="347"/>
      <c r="S397" s="347"/>
      <c r="T397" s="347"/>
      <c r="U397" s="347"/>
      <c r="V397" s="347"/>
      <c r="W397" s="347"/>
      <c r="X397" s="347"/>
      <c r="Y397" s="347"/>
      <c r="Z397" s="347"/>
      <c r="AA397" s="347"/>
      <c r="AB397" s="347"/>
      <c r="AC397" s="347"/>
      <c r="AD397" s="347"/>
      <c r="AE397" s="347"/>
      <c r="AF397" s="347"/>
      <c r="AG397" s="347"/>
      <c r="AH397" s="347"/>
      <c r="AI397" s="347"/>
      <c r="AJ397" s="347"/>
      <c r="AK397" s="347"/>
      <c r="AL397" s="347"/>
      <c r="AM397" s="347"/>
      <c r="AN397" s="347"/>
      <c r="AO397" s="347"/>
      <c r="AP397" s="347"/>
      <c r="AQ397" s="347"/>
      <c r="AR397" s="347"/>
      <c r="AS397" s="347"/>
      <c r="AT397" s="347"/>
      <c r="AU397" s="347"/>
      <c r="AV397" s="347"/>
      <c r="AW397" s="347" t="str">
        <f t="shared" si="1029"/>
        <v/>
      </c>
      <c r="AX397" s="365" t="str">
        <f t="shared" si="1030"/>
        <v/>
      </c>
      <c r="AY397" s="365" t="str">
        <f t="shared" si="1031"/>
        <v/>
      </c>
      <c r="AZ397" s="347">
        <v>700.5375</v>
      </c>
      <c r="BA397" s="347">
        <v>42.4245</v>
      </c>
      <c r="BB397" s="347">
        <v>58.2922</v>
      </c>
      <c r="BC397" s="347">
        <v>51.336</v>
      </c>
      <c r="BD397" s="347"/>
      <c r="BE397" s="347" t="e">
        <f t="shared" si="1040"/>
        <v>#VALUE!</v>
      </c>
      <c r="BF397" s="347" t="e">
        <f t="shared" si="1041"/>
        <v>#VALUE!</v>
      </c>
      <c r="BG397" s="347" t="e">
        <f t="shared" si="1042"/>
        <v>#VALUE!</v>
      </c>
      <c r="BH397" s="347" t="e">
        <f t="shared" si="1043"/>
        <v>#VALUE!</v>
      </c>
      <c r="BI397" s="347"/>
      <c r="BJ397" s="347" cm="1">
        <f t="array" ref="BJ397:BM397">_xlfn.LET(_xlpm.data,$R397:$AV397,_xlpm.starts,{1,8,16,23},_xlpm.lengths,{7,7,8,9},_xlpm.arr,_xlfn.MAP(_xlpm.starts,_xlpm.lengths,_xlfn.LAMBDA(_xlpm.s,_xlpm.l,SUM(INDEX(_xlpm.data,,_xlfn.SEQUENCE(,_xlpm.l,_xlpm.s))))),ROUND(_xlpm.arr*$O397/1000,2))</f>
        <v>0</v>
      </c>
      <c r="BK397" s="347">
        <v>0</v>
      </c>
      <c r="BL397" s="347">
        <v>0</v>
      </c>
      <c r="BM397" s="347">
        <v>0</v>
      </c>
      <c r="BN397" s="347">
        <f t="shared" si="1044"/>
        <v>0</v>
      </c>
      <c r="BO397" s="347">
        <v>0</v>
      </c>
      <c r="BP397" s="347">
        <v>0</v>
      </c>
      <c r="BQ397" s="347">
        <v>16.54</v>
      </c>
      <c r="BR397" s="347">
        <v>24.8</v>
      </c>
      <c r="BS397" s="347" t="s">
        <v>343</v>
      </c>
      <c r="BT397" s="365"/>
      <c r="BU397" s="365"/>
      <c r="BV397" s="366"/>
      <c r="BW397" s="368"/>
      <c r="BX397" s="368" t="s">
        <v>343</v>
      </c>
      <c r="BY397" s="258">
        <f t="shared" si="1032"/>
        <v>0</v>
      </c>
      <c r="BZ397" s="258">
        <f t="shared" si="1033"/>
        <v>0</v>
      </c>
      <c r="CA397" s="258">
        <f t="shared" si="1034"/>
        <v>0</v>
      </c>
      <c r="CB397" s="258">
        <f t="shared" si="1035"/>
        <v>0</v>
      </c>
      <c r="CC397" s="330"/>
      <c r="CD397" s="330">
        <v>10.1</v>
      </c>
      <c r="CE397" s="330">
        <f t="shared" si="1045"/>
        <v>0</v>
      </c>
      <c r="CF397" s="370">
        <f t="shared" si="1046"/>
        <v>0</v>
      </c>
      <c r="CG397" s="330">
        <f t="shared" si="1047"/>
        <v>0</v>
      </c>
      <c r="CH397" s="330">
        <f t="shared" si="1048"/>
        <v>0</v>
      </c>
      <c r="CI397" s="330">
        <f t="shared" si="1049"/>
        <v>0</v>
      </c>
      <c r="CJ397" s="258">
        <v>248</v>
      </c>
      <c r="CK397" s="258">
        <f t="shared" ref="CK397:CN397" si="1055">IFERROR(ROUND(BY397*$P397,2),"")</f>
        <v>0</v>
      </c>
      <c r="CL397" s="258">
        <f t="shared" si="1055"/>
        <v>0</v>
      </c>
      <c r="CM397" s="258">
        <f t="shared" si="1055"/>
        <v>0</v>
      </c>
      <c r="CN397" s="258">
        <f t="shared" si="1055"/>
        <v>0</v>
      </c>
      <c r="CO397" s="115">
        <f t="shared" si="1038"/>
        <v>0</v>
      </c>
      <c r="CZ397" s="113"/>
      <c r="DA397" s="258"/>
      <c r="DB397" s="258"/>
      <c r="DC397" s="258"/>
      <c r="DD397" s="258"/>
      <c r="DE397" s="258"/>
      <c r="DF397" s="113"/>
    </row>
    <row r="398" s="258" customFormat="1" spans="1:110">
      <c r="A398" s="330"/>
      <c r="B398" s="347"/>
      <c r="C398" s="347" t="str">
        <f t="shared" ref="C398:C422" si="1056">IFERROR(MID(E398,FIND("-",E398)+1,2),"")</f>
        <v/>
      </c>
      <c r="D398" s="347" t="str">
        <f t="shared" ref="D398:D415" si="1057">"载重"&amp;C398&amp;"寸"</f>
        <v>载重寸</v>
      </c>
      <c r="E398" s="385" t="str">
        <f t="shared" ref="E398:E428" si="1058">IFERROR(LEFT(REPLACE(G398,1,2,""),FIND("[",REPLACE(G398,1,2,""))-1)&amp;"-"&amp;MID(REPLACE(G398,1,2,""),FIND("[",REPLACE(G398,1,2,""))+1,FIND("]",REPLACE(G398,1,2,""))-FIND("[",REPLACE(G398,1,2,""))-1),"")</f>
        <v/>
      </c>
      <c r="F398" s="385"/>
      <c r="G398" s="385"/>
      <c r="H398" s="347"/>
      <c r="I398" s="386"/>
      <c r="J398" s="347">
        <v>58.3</v>
      </c>
      <c r="K398" s="347"/>
      <c r="L398" s="349">
        <f t="shared" si="1028"/>
        <v>0.874937468734367</v>
      </c>
      <c r="M398" s="349"/>
      <c r="N398" s="347"/>
      <c r="O398" s="347">
        <f>IFERROR(_xlfn.XLOOKUP(E398,轮胎重量!S:S,轮胎重量!P:P),IFERROR(_xlfn.XLOOKUP(E398,轮胎重量!AB:AB,轮胎重量!Y:Y),IFERROR(_xlfn.XLOOKUP(E398,轮胎重量!AK:AK,轮胎重量!AH:AH),IFERROR(_xlfn.XLOOKUP(E398,轮胎重量!AT:AT,轮胎重量!AQ:AQ),""))))</f>
        <v>0</v>
      </c>
      <c r="P398" s="350">
        <f t="shared" si="1052"/>
        <v>0</v>
      </c>
      <c r="Q398" s="347">
        <f t="shared" ref="Q398:Q415" si="1059">IFERROR(ROUND(1440/J398*I398*L399,0),"")</f>
        <v>0</v>
      </c>
      <c r="R398" s="347"/>
      <c r="S398" s="347"/>
      <c r="T398" s="347"/>
      <c r="U398" s="347"/>
      <c r="V398" s="347"/>
      <c r="W398" s="347"/>
      <c r="X398" s="347"/>
      <c r="Y398" s="347"/>
      <c r="Z398" s="347"/>
      <c r="AA398" s="347"/>
      <c r="AB398" s="347"/>
      <c r="AC398" s="347"/>
      <c r="AD398" s="347"/>
      <c r="AE398" s="347"/>
      <c r="AF398" s="347"/>
      <c r="AG398" s="347"/>
      <c r="AH398" s="347"/>
      <c r="AI398" s="347"/>
      <c r="AJ398" s="347"/>
      <c r="AK398" s="347"/>
      <c r="AL398" s="347"/>
      <c r="AM398" s="347"/>
      <c r="AN398" s="347"/>
      <c r="AO398" s="347"/>
      <c r="AP398" s="347"/>
      <c r="AQ398" s="347"/>
      <c r="AR398" s="347"/>
      <c r="AS398" s="347"/>
      <c r="AT398" s="347"/>
      <c r="AU398" s="347"/>
      <c r="AV398" s="347"/>
      <c r="AW398" s="347" t="str">
        <f t="shared" ref="AW398:AW415" si="1060">IF(SUM(R398:AV398)=0,"",SUM(R398:AV398))</f>
        <v/>
      </c>
      <c r="AX398" s="365" t="str">
        <f t="shared" ref="AX398:AX415" si="1061">IFERROR(AW398*O398/1000,"")</f>
        <v/>
      </c>
      <c r="AY398" s="365" t="str">
        <f t="shared" ref="AY398:AY415" si="1062">IFERROR(ROUND(AW398*P398/10000,3),"")</f>
        <v/>
      </c>
      <c r="AZ398" s="347">
        <v>700.5375</v>
      </c>
      <c r="BA398" s="347">
        <v>42.4245</v>
      </c>
      <c r="BB398" s="347">
        <v>58.2922</v>
      </c>
      <c r="BC398" s="347">
        <v>51.336</v>
      </c>
      <c r="BD398" s="347"/>
      <c r="BE398" s="347" t="e">
        <f t="shared" ref="BE398:BE415" si="1063">AZ398*AW398</f>
        <v>#VALUE!</v>
      </c>
      <c r="BF398" s="347" t="e">
        <f t="shared" ref="BF398:BF415" si="1064">BA398*AW398</f>
        <v>#VALUE!</v>
      </c>
      <c r="BG398" s="347" t="e">
        <f t="shared" ref="BG398:BG415" si="1065">BB398*AW398</f>
        <v>#VALUE!</v>
      </c>
      <c r="BH398" s="347" t="e">
        <f t="shared" ref="BH398:BH415" si="1066">BC398*AW398</f>
        <v>#VALUE!</v>
      </c>
      <c r="BI398" s="347"/>
      <c r="BJ398" s="347" cm="1">
        <f t="array" ref="BJ398:BM398">_xlfn.LET(_xlpm.data,$R398:$AV398,_xlpm.starts,{1,8,16,23},_xlpm.lengths,{7,7,8,9},_xlpm.arr,_xlfn.MAP(_xlpm.starts,_xlpm.lengths,_xlfn.LAMBDA(_xlpm.s,_xlpm.l,SUM(INDEX(_xlpm.data,,_xlfn.SEQUENCE(,_xlpm.l,_xlpm.s))))),ROUND(_xlpm.arr*$O398/1000,2))</f>
        <v>0</v>
      </c>
      <c r="BK398" s="347">
        <v>0</v>
      </c>
      <c r="BL398" s="347">
        <v>0</v>
      </c>
      <c r="BM398" s="347">
        <v>0</v>
      </c>
      <c r="BN398" s="347">
        <f t="shared" ref="BN398:BN415" si="1067">SUM(BJ398:BM398)</f>
        <v>0</v>
      </c>
      <c r="BO398" s="347">
        <v>0</v>
      </c>
      <c r="BP398" s="347">
        <v>0</v>
      </c>
      <c r="BQ398" s="347">
        <v>16.54</v>
      </c>
      <c r="BR398" s="347">
        <v>24.8</v>
      </c>
      <c r="BS398" s="347" t="s">
        <v>315</v>
      </c>
      <c r="BT398" s="365"/>
      <c r="BU398" s="365"/>
      <c r="BV398" s="366"/>
      <c r="BW398" s="368"/>
      <c r="BX398" s="368" t="s">
        <v>315</v>
      </c>
      <c r="BY398" s="258">
        <f t="shared" ref="BY398:BY414" si="1068">SUM(R398:X398)</f>
        <v>0</v>
      </c>
      <c r="BZ398" s="258">
        <f t="shared" ref="BZ398:BZ414" si="1069">SUM(Y398:AE398)</f>
        <v>0</v>
      </c>
      <c r="CA398" s="258">
        <f t="shared" ref="CA398:CA414" si="1070">SUM(AF398:AM398)</f>
        <v>0</v>
      </c>
      <c r="CB398" s="258">
        <f t="shared" ref="CB398:CB414" si="1071">SUM(AN398:AV398)</f>
        <v>0</v>
      </c>
      <c r="CC398" s="330"/>
      <c r="CD398" s="330">
        <v>10.1</v>
      </c>
      <c r="CE398" s="330">
        <f t="shared" ref="CE398:CE415" si="1072">ROUND(BY398*$O398/1000,2)</f>
        <v>0</v>
      </c>
      <c r="CF398" s="370">
        <f t="shared" ref="CF398:CF415" si="1073">ROUND(BZ398*$O398/1000,2)</f>
        <v>0</v>
      </c>
      <c r="CG398" s="330">
        <f t="shared" ref="CG398:CG415" si="1074">ROUND(CA398*$O398/1000,2)</f>
        <v>0</v>
      </c>
      <c r="CH398" s="330">
        <f t="shared" ref="CH398:CH415" si="1075">ROUND(CB398*$O398/1000,2)</f>
        <v>0</v>
      </c>
      <c r="CI398" s="330">
        <f t="shared" ref="CI398:CI415" si="1076">SUM(CE398:CH398)</f>
        <v>0</v>
      </c>
      <c r="CJ398" s="258">
        <v>248</v>
      </c>
      <c r="CK398" s="258">
        <f t="shared" ref="CK398:CN398" si="1077">IFERROR(ROUND(BY398*$P398,2),"")</f>
        <v>0</v>
      </c>
      <c r="CL398" s="258">
        <f t="shared" si="1077"/>
        <v>0</v>
      </c>
      <c r="CM398" s="258">
        <f t="shared" si="1077"/>
        <v>0</v>
      </c>
      <c r="CN398" s="258">
        <f t="shared" si="1077"/>
        <v>0</v>
      </c>
      <c r="CO398" s="115">
        <f t="shared" si="1038"/>
        <v>0</v>
      </c>
      <c r="CZ398" s="113"/>
      <c r="DA398" s="258"/>
      <c r="DB398" s="258"/>
      <c r="DC398" s="258"/>
      <c r="DD398" s="258"/>
      <c r="DE398" s="258"/>
      <c r="DF398" s="113"/>
    </row>
    <row r="399" ht="17" spans="2:93">
      <c r="B399" s="347" t="s">
        <v>691</v>
      </c>
      <c r="C399" s="347" t="str">
        <f t="shared" si="1056"/>
        <v>20</v>
      </c>
      <c r="D399" s="347" t="str">
        <f t="shared" si="1057"/>
        <v>载重20寸</v>
      </c>
      <c r="E399" s="385" t="str">
        <f t="shared" si="1058"/>
        <v>10.00-20-14PR-CR918</v>
      </c>
      <c r="F399" s="385"/>
      <c r="G399" s="385" t="s">
        <v>313</v>
      </c>
      <c r="H399" s="347">
        <v>450</v>
      </c>
      <c r="I399" s="386">
        <v>18</v>
      </c>
      <c r="J399" s="347">
        <v>58.3</v>
      </c>
      <c r="K399" s="347"/>
      <c r="L399" s="349">
        <f t="shared" ref="L398:L415" si="1078">IF(J398="","",J398/(J398+$J$378/60))</f>
        <v>0.874937468734367</v>
      </c>
      <c r="M399" s="349"/>
      <c r="N399" s="347"/>
      <c r="O399" s="347">
        <f>IFERROR(_xlfn.XLOOKUP(E399,轮胎重量!S:S,轮胎重量!P:P),IFERROR(_xlfn.XLOOKUP(E399,轮胎重量!AB:AB,轮胎重量!Y:Y),IFERROR(_xlfn.XLOOKUP(E399,轮胎重量!AK:AK,轮胎重量!AH:AH),IFERROR(_xlfn.XLOOKUP(E399,轮胎重量!AT:AT,轮胎重量!AQ:AQ),""))))</f>
        <v>34.9</v>
      </c>
      <c r="P399" s="350">
        <f t="shared" si="1052"/>
        <v>515.124</v>
      </c>
      <c r="Q399" s="347">
        <f t="shared" si="1059"/>
        <v>389</v>
      </c>
      <c r="R399" s="347"/>
      <c r="S399" s="347"/>
      <c r="T399" s="347"/>
      <c r="U399" s="347"/>
      <c r="V399" s="347"/>
      <c r="W399" s="347"/>
      <c r="X399" s="347"/>
      <c r="Y399" s="347"/>
      <c r="Z399" s="347"/>
      <c r="AA399" s="347"/>
      <c r="AB399" s="347"/>
      <c r="AC399" s="347"/>
      <c r="AD399" s="347"/>
      <c r="AE399" s="347"/>
      <c r="AF399" s="347"/>
      <c r="AG399" s="347"/>
      <c r="AH399" s="347"/>
      <c r="AI399" s="347"/>
      <c r="AJ399" s="347"/>
      <c r="AK399" s="347"/>
      <c r="AL399" s="347"/>
      <c r="AM399" s="347"/>
      <c r="AN399" s="347"/>
      <c r="AO399" s="347"/>
      <c r="AP399" s="347"/>
      <c r="AQ399" s="347"/>
      <c r="AR399" s="347"/>
      <c r="AS399" s="347"/>
      <c r="AT399" s="347"/>
      <c r="AU399" s="347"/>
      <c r="AV399" s="347"/>
      <c r="AW399" s="347" t="str">
        <f t="shared" si="1060"/>
        <v/>
      </c>
      <c r="AX399" s="365" t="str">
        <f t="shared" si="1061"/>
        <v/>
      </c>
      <c r="AY399" s="365" t="str">
        <f t="shared" si="1062"/>
        <v/>
      </c>
      <c r="AZ399" s="347">
        <v>700.5375</v>
      </c>
      <c r="BA399" s="347">
        <v>42.4245</v>
      </c>
      <c r="BB399" s="347">
        <v>58.2922</v>
      </c>
      <c r="BC399" s="347">
        <v>51.336</v>
      </c>
      <c r="BD399" s="347"/>
      <c r="BE399" s="347" t="e">
        <f t="shared" si="1063"/>
        <v>#VALUE!</v>
      </c>
      <c r="BF399" s="347" t="e">
        <f t="shared" si="1064"/>
        <v>#VALUE!</v>
      </c>
      <c r="BG399" s="347" t="e">
        <f t="shared" si="1065"/>
        <v>#VALUE!</v>
      </c>
      <c r="BH399" s="347" t="e">
        <f t="shared" si="1066"/>
        <v>#VALUE!</v>
      </c>
      <c r="BI399" s="347"/>
      <c r="BJ399" s="347" cm="1">
        <f t="array" ref="BJ399:BM399">_xlfn.LET(_xlpm.data,$R399:$AV399,_xlpm.starts,{1,8,16,23},_xlpm.lengths,{7,7,8,9},_xlpm.arr,_xlfn.MAP(_xlpm.starts,_xlpm.lengths,_xlfn.LAMBDA(_xlpm.s,_xlpm.l,SUM(INDEX(_xlpm.data,,_xlfn.SEQUENCE(,_xlpm.l,_xlpm.s))))),ROUND(_xlpm.arr*$O399/1000,2))</f>
        <v>0</v>
      </c>
      <c r="BK399" s="347">
        <v>0</v>
      </c>
      <c r="BL399" s="347">
        <v>0</v>
      </c>
      <c r="BM399" s="347">
        <v>0</v>
      </c>
      <c r="BN399" s="347">
        <f t="shared" si="1067"/>
        <v>0</v>
      </c>
      <c r="BO399" s="347">
        <v>0</v>
      </c>
      <c r="BP399" s="347">
        <v>0</v>
      </c>
      <c r="BQ399" s="347">
        <v>16.54</v>
      </c>
      <c r="BR399" s="347">
        <v>24.8</v>
      </c>
      <c r="BS399" s="347" t="s">
        <v>315</v>
      </c>
      <c r="BT399" s="365"/>
      <c r="BU399" s="365"/>
      <c r="BV399" s="367"/>
      <c r="BX399" s="258" t="s">
        <v>315</v>
      </c>
      <c r="BY399" s="258">
        <f t="shared" si="1068"/>
        <v>0</v>
      </c>
      <c r="BZ399" s="258">
        <f t="shared" si="1069"/>
        <v>0</v>
      </c>
      <c r="CA399" s="258">
        <f t="shared" si="1070"/>
        <v>0</v>
      </c>
      <c r="CB399" s="258">
        <f t="shared" si="1071"/>
        <v>0</v>
      </c>
      <c r="CC399" s="330"/>
      <c r="CD399" s="330">
        <v>10.1</v>
      </c>
      <c r="CE399" s="330">
        <f t="shared" si="1072"/>
        <v>0</v>
      </c>
      <c r="CF399" s="370">
        <f t="shared" si="1073"/>
        <v>0</v>
      </c>
      <c r="CG399" s="330">
        <f t="shared" si="1074"/>
        <v>0</v>
      </c>
      <c r="CH399" s="330">
        <f t="shared" si="1075"/>
        <v>0</v>
      </c>
      <c r="CI399" s="330">
        <f t="shared" si="1076"/>
        <v>0</v>
      </c>
      <c r="CJ399" s="258">
        <v>248</v>
      </c>
      <c r="CK399" s="258">
        <f t="shared" ref="CK399:CN399" si="1079">IFERROR(ROUND(BY399*$P399,2),"")</f>
        <v>0</v>
      </c>
      <c r="CL399" s="258">
        <f t="shared" si="1079"/>
        <v>0</v>
      </c>
      <c r="CM399" s="258">
        <f t="shared" si="1079"/>
        <v>0</v>
      </c>
      <c r="CN399" s="258">
        <f t="shared" si="1079"/>
        <v>0</v>
      </c>
      <c r="CO399" s="115">
        <f t="shared" si="1038"/>
        <v>0</v>
      </c>
    </row>
    <row r="400" spans="2:93">
      <c r="B400" s="347" t="s">
        <v>695</v>
      </c>
      <c r="C400" s="347" t="str">
        <f t="shared" si="1056"/>
        <v>20</v>
      </c>
      <c r="D400" s="347" t="str">
        <f t="shared" si="1057"/>
        <v>载重20寸</v>
      </c>
      <c r="E400" s="385" t="str">
        <f t="shared" si="1058"/>
        <v>10.00-20-16PR-CR952</v>
      </c>
      <c r="F400" s="385"/>
      <c r="G400" s="385" t="s">
        <v>316</v>
      </c>
      <c r="H400" s="347">
        <v>280</v>
      </c>
      <c r="I400" s="386">
        <v>8</v>
      </c>
      <c r="J400" s="347">
        <v>58.3</v>
      </c>
      <c r="K400" s="347"/>
      <c r="L400" s="349">
        <f t="shared" si="1078"/>
        <v>0.874937468734367</v>
      </c>
      <c r="M400" s="349"/>
      <c r="N400" s="347"/>
      <c r="O400" s="347">
        <f>IFERROR(_xlfn.XLOOKUP(E400,轮胎重量!S:S,轮胎重量!P:P),IFERROR(_xlfn.XLOOKUP(E400,轮胎重量!AB:AB,轮胎重量!Y:Y),IFERROR(_xlfn.XLOOKUP(E400,轮胎重量!AK:AK,轮胎重量!AH:AH),IFERROR(_xlfn.XLOOKUP(E400,轮胎重量!AT:AT,轮胎重量!AQ:AQ),""))))</f>
        <v>52.77</v>
      </c>
      <c r="P400" s="350">
        <f t="shared" si="1052"/>
        <v>778.8852</v>
      </c>
      <c r="Q400" s="347">
        <f t="shared" si="1059"/>
        <v>173</v>
      </c>
      <c r="R400" s="347"/>
      <c r="S400" s="347"/>
      <c r="T400" s="347"/>
      <c r="U400" s="347"/>
      <c r="V400" s="347"/>
      <c r="W400" s="347"/>
      <c r="X400" s="347"/>
      <c r="Y400" s="347"/>
      <c r="Z400" s="347"/>
      <c r="AA400" s="347"/>
      <c r="AB400" s="347"/>
      <c r="AC400" s="347"/>
      <c r="AD400" s="347"/>
      <c r="AE400" s="347"/>
      <c r="AF400" s="347"/>
      <c r="AG400" s="347"/>
      <c r="AH400" s="347"/>
      <c r="AI400" s="347"/>
      <c r="AJ400" s="347"/>
      <c r="AK400" s="347"/>
      <c r="AL400" s="347"/>
      <c r="AM400" s="347"/>
      <c r="AN400" s="347"/>
      <c r="AO400" s="347"/>
      <c r="AP400" s="347"/>
      <c r="AQ400" s="347"/>
      <c r="AR400" s="347"/>
      <c r="AS400" s="347"/>
      <c r="AT400" s="347"/>
      <c r="AU400" s="347"/>
      <c r="AV400" s="347"/>
      <c r="AW400" s="347" t="str">
        <f t="shared" si="1060"/>
        <v/>
      </c>
      <c r="AX400" s="365" t="str">
        <f t="shared" si="1061"/>
        <v/>
      </c>
      <c r="AY400" s="365" t="str">
        <f t="shared" si="1062"/>
        <v/>
      </c>
      <c r="AZ400" s="347">
        <v>700.5375</v>
      </c>
      <c r="BA400" s="347">
        <v>42.4245</v>
      </c>
      <c r="BB400" s="347">
        <v>58.2922</v>
      </c>
      <c r="BC400" s="347">
        <v>51.336</v>
      </c>
      <c r="BD400" s="347"/>
      <c r="BE400" s="347" t="e">
        <f t="shared" si="1063"/>
        <v>#VALUE!</v>
      </c>
      <c r="BF400" s="347" t="e">
        <f t="shared" si="1064"/>
        <v>#VALUE!</v>
      </c>
      <c r="BG400" s="347" t="e">
        <f t="shared" si="1065"/>
        <v>#VALUE!</v>
      </c>
      <c r="BH400" s="347" t="e">
        <f t="shared" si="1066"/>
        <v>#VALUE!</v>
      </c>
      <c r="BI400" s="347"/>
      <c r="BJ400" s="347" cm="1">
        <f t="array" ref="BJ400:BM400">_xlfn.LET(_xlpm.data,$R400:$AV400,_xlpm.starts,{1,8,16,23},_xlpm.lengths,{7,7,8,9},_xlpm.arr,_xlfn.MAP(_xlpm.starts,_xlpm.lengths,_xlfn.LAMBDA(_xlpm.s,_xlpm.l,SUM(INDEX(_xlpm.data,,_xlfn.SEQUENCE(,_xlpm.l,_xlpm.s))))),ROUND(_xlpm.arr*$O400/1000,2))</f>
        <v>0</v>
      </c>
      <c r="BK400" s="347">
        <v>0</v>
      </c>
      <c r="BL400" s="347">
        <v>0</v>
      </c>
      <c r="BM400" s="347">
        <v>0</v>
      </c>
      <c r="BN400" s="347">
        <f t="shared" si="1067"/>
        <v>0</v>
      </c>
      <c r="BO400" s="347">
        <v>0</v>
      </c>
      <c r="BP400" s="347">
        <v>0</v>
      </c>
      <c r="BQ400" s="347">
        <v>16.54</v>
      </c>
      <c r="BR400" s="347">
        <v>24.8</v>
      </c>
      <c r="BS400" s="347" t="s">
        <v>315</v>
      </c>
      <c r="BT400" s="365"/>
      <c r="BU400" s="365"/>
      <c r="BV400" s="366"/>
      <c r="BW400" s="368"/>
      <c r="BX400" s="368" t="s">
        <v>315</v>
      </c>
      <c r="BY400" s="258">
        <f t="shared" si="1068"/>
        <v>0</v>
      </c>
      <c r="BZ400" s="258">
        <f t="shared" si="1069"/>
        <v>0</v>
      </c>
      <c r="CA400" s="258">
        <f t="shared" si="1070"/>
        <v>0</v>
      </c>
      <c r="CB400" s="258">
        <f t="shared" si="1071"/>
        <v>0</v>
      </c>
      <c r="CC400" s="330"/>
      <c r="CD400" s="330">
        <v>10.1</v>
      </c>
      <c r="CE400" s="330">
        <f t="shared" si="1072"/>
        <v>0</v>
      </c>
      <c r="CF400" s="370">
        <f t="shared" si="1073"/>
        <v>0</v>
      </c>
      <c r="CG400" s="330">
        <f t="shared" si="1074"/>
        <v>0</v>
      </c>
      <c r="CH400" s="330">
        <f t="shared" si="1075"/>
        <v>0</v>
      </c>
      <c r="CI400" s="330">
        <f t="shared" si="1076"/>
        <v>0</v>
      </c>
      <c r="CJ400" s="258">
        <v>248</v>
      </c>
      <c r="CK400" s="258">
        <f t="shared" ref="CK400:CN400" si="1080">IFERROR(ROUND(BY400*$P400,2),"")</f>
        <v>0</v>
      </c>
      <c r="CL400" s="258">
        <f t="shared" si="1080"/>
        <v>0</v>
      </c>
      <c r="CM400" s="258">
        <f t="shared" si="1080"/>
        <v>0</v>
      </c>
      <c r="CN400" s="258">
        <f t="shared" si="1080"/>
        <v>0</v>
      </c>
      <c r="CO400" s="115">
        <f t="shared" si="1038"/>
        <v>0</v>
      </c>
    </row>
    <row r="401" spans="2:95">
      <c r="B401" s="347" t="s">
        <v>695</v>
      </c>
      <c r="C401" s="347" t="str">
        <f t="shared" si="1056"/>
        <v>20</v>
      </c>
      <c r="D401" s="347" t="str">
        <f t="shared" si="1057"/>
        <v>载重20寸</v>
      </c>
      <c r="E401" s="385" t="str">
        <f t="shared" si="1058"/>
        <v>10.00-20-16PR-R9037</v>
      </c>
      <c r="F401" s="385"/>
      <c r="G401" s="385" t="s">
        <v>318</v>
      </c>
      <c r="H401" s="347">
        <v>2000</v>
      </c>
      <c r="I401" s="386">
        <v>6</v>
      </c>
      <c r="J401" s="347">
        <v>58.3</v>
      </c>
      <c r="K401" s="347"/>
      <c r="L401" s="349">
        <f t="shared" si="1078"/>
        <v>0.874937468734367</v>
      </c>
      <c r="M401" s="349"/>
      <c r="N401" s="347"/>
      <c r="O401" s="347">
        <f>IFERROR(_xlfn.XLOOKUP(E401,轮胎重量!S:S,轮胎重量!P:P),IFERROR(_xlfn.XLOOKUP(E401,轮胎重量!AB:AB,轮胎重量!Y:Y),IFERROR(_xlfn.XLOOKUP(E401,轮胎重量!AK:AK,轮胎重量!AH:AH),IFERROR(_xlfn.XLOOKUP(E401,轮胎重量!AT:AT,轮胎重量!AQ:AQ),""))))</f>
        <v>57.71</v>
      </c>
      <c r="P401" s="350">
        <f t="shared" si="1052"/>
        <v>851.7996</v>
      </c>
      <c r="Q401" s="347">
        <f t="shared" si="1059"/>
        <v>130</v>
      </c>
      <c r="R401" s="386"/>
      <c r="S401" s="386"/>
      <c r="T401" s="386"/>
      <c r="U401" s="386"/>
      <c r="V401" s="386">
        <v>44</v>
      </c>
      <c r="W401" s="386">
        <v>44</v>
      </c>
      <c r="X401" s="386">
        <v>44</v>
      </c>
      <c r="Y401" s="386">
        <v>44</v>
      </c>
      <c r="Z401" s="386">
        <v>44</v>
      </c>
      <c r="AA401" s="386">
        <v>44</v>
      </c>
      <c r="AB401" s="386">
        <v>44</v>
      </c>
      <c r="AC401" s="386">
        <v>44</v>
      </c>
      <c r="AD401" s="386">
        <v>44</v>
      </c>
      <c r="AE401" s="386">
        <v>44</v>
      </c>
      <c r="AF401" s="386">
        <v>44</v>
      </c>
      <c r="AG401" s="347">
        <v>44</v>
      </c>
      <c r="AH401" s="347">
        <v>44</v>
      </c>
      <c r="AI401" s="347">
        <v>44</v>
      </c>
      <c r="AJ401" s="347">
        <v>44</v>
      </c>
      <c r="AK401" s="347">
        <v>44</v>
      </c>
      <c r="AL401" s="347">
        <v>44</v>
      </c>
      <c r="AM401" s="347">
        <v>44</v>
      </c>
      <c r="AN401" s="347">
        <v>44</v>
      </c>
      <c r="AO401" s="347">
        <v>44</v>
      </c>
      <c r="AP401" s="347">
        <v>44</v>
      </c>
      <c r="AQ401" s="347">
        <v>44</v>
      </c>
      <c r="AR401" s="347">
        <v>44</v>
      </c>
      <c r="AS401" s="347">
        <v>44</v>
      </c>
      <c r="AT401" s="347">
        <v>44</v>
      </c>
      <c r="AU401" s="347">
        <v>44</v>
      </c>
      <c r="AV401" s="347">
        <v>44</v>
      </c>
      <c r="AW401" s="347">
        <f t="shared" si="1060"/>
        <v>1188</v>
      </c>
      <c r="AX401" s="365">
        <f t="shared" si="1061"/>
        <v>68.55948</v>
      </c>
      <c r="AY401" s="365">
        <f t="shared" si="1062"/>
        <v>101.194</v>
      </c>
      <c r="AZ401" s="347">
        <v>715.7485</v>
      </c>
      <c r="BA401" s="347">
        <v>42.8224</v>
      </c>
      <c r="BB401" s="347">
        <v>58.839</v>
      </c>
      <c r="BC401" s="347">
        <v>51.8175</v>
      </c>
      <c r="BD401" s="347"/>
      <c r="BE401" s="347">
        <f t="shared" si="1063"/>
        <v>850309.218</v>
      </c>
      <c r="BF401" s="347">
        <f t="shared" si="1064"/>
        <v>50873.0112</v>
      </c>
      <c r="BG401" s="347">
        <f t="shared" si="1065"/>
        <v>69900.732</v>
      </c>
      <c r="BH401" s="347">
        <f t="shared" si="1066"/>
        <v>61559.19</v>
      </c>
      <c r="BI401" s="347"/>
      <c r="BJ401" s="347" cm="1">
        <f t="array" ref="BJ401:BM401">_xlfn.LET(_xlpm.data,$R401:$AV401,_xlpm.starts,{1,8,16,23},_xlpm.lengths,{7,7,8,9},_xlpm.arr,_xlfn.MAP(_xlpm.starts,_xlpm.lengths,_xlfn.LAMBDA(_xlpm.s,_xlpm.l,SUM(INDEX(_xlpm.data,,_xlfn.SEQUENCE(,_xlpm.l,_xlpm.s))))),ROUND(_xlpm.arr*$O401/1000,2))</f>
        <v>7.62</v>
      </c>
      <c r="BK401" s="347">
        <v>17.77</v>
      </c>
      <c r="BL401" s="347">
        <v>20.31</v>
      </c>
      <c r="BM401" s="347">
        <v>22.85</v>
      </c>
      <c r="BN401" s="347">
        <f t="shared" si="1067"/>
        <v>68.55</v>
      </c>
      <c r="BO401" s="347">
        <v>19.29</v>
      </c>
      <c r="BP401" s="347">
        <v>13.78</v>
      </c>
      <c r="BQ401" s="347">
        <v>0</v>
      </c>
      <c r="BR401" s="347">
        <v>0</v>
      </c>
      <c r="BS401" s="347" t="s">
        <v>315</v>
      </c>
      <c r="BT401" s="365"/>
      <c r="BU401" s="365"/>
      <c r="BV401" s="366"/>
      <c r="BW401" s="368"/>
      <c r="BX401" s="368" t="s">
        <v>315</v>
      </c>
      <c r="BY401" s="258">
        <f t="shared" si="1068"/>
        <v>132</v>
      </c>
      <c r="BZ401" s="258">
        <f t="shared" si="1069"/>
        <v>308</v>
      </c>
      <c r="CA401" s="258">
        <f t="shared" si="1070"/>
        <v>352</v>
      </c>
      <c r="CB401" s="258">
        <f t="shared" si="1071"/>
        <v>396</v>
      </c>
      <c r="CC401" s="330"/>
      <c r="CD401" s="330" t="s">
        <v>703</v>
      </c>
      <c r="CE401" s="330">
        <f t="shared" si="1072"/>
        <v>7.62</v>
      </c>
      <c r="CF401" s="370">
        <f t="shared" si="1073"/>
        <v>17.77</v>
      </c>
      <c r="CG401" s="330">
        <f t="shared" si="1074"/>
        <v>20.31</v>
      </c>
      <c r="CH401" s="330">
        <f t="shared" si="1075"/>
        <v>22.85</v>
      </c>
      <c r="CI401" s="330">
        <f t="shared" si="1076"/>
        <v>68.55</v>
      </c>
      <c r="CJ401" s="258"/>
      <c r="CK401" s="258">
        <f t="shared" ref="CK401:CN401" si="1081">IFERROR(ROUND(BY401*$P401,2),"")</f>
        <v>112437.55</v>
      </c>
      <c r="CL401" s="258">
        <f t="shared" si="1081"/>
        <v>262354.28</v>
      </c>
      <c r="CM401" s="258">
        <f t="shared" si="1081"/>
        <v>299833.46</v>
      </c>
      <c r="CN401" s="258">
        <f t="shared" si="1081"/>
        <v>337312.64</v>
      </c>
      <c r="CO401" s="115">
        <f t="shared" si="1038"/>
        <v>1011937.93</v>
      </c>
      <c r="CP401" s="258" t="e">
        <f>VLOOKUP(G401,[2]Sheet1!$C$3:$G$310,5,0)</f>
        <v>#N/A</v>
      </c>
      <c r="CQ401" s="258">
        <f>VLOOKUP(G401,[3]KCBB0101!$C$3:$F$691,4,0)</f>
        <v>3671</v>
      </c>
    </row>
    <row r="402" s="258" customFormat="1" spans="1:95">
      <c r="A402" s="330"/>
      <c r="B402" s="347" t="s">
        <v>695</v>
      </c>
      <c r="C402" s="347" t="str">
        <f t="shared" si="1056"/>
        <v>20</v>
      </c>
      <c r="D402" s="347" t="str">
        <f t="shared" si="1057"/>
        <v>载重20寸</v>
      </c>
      <c r="E402" s="385" t="str">
        <f t="shared" si="1058"/>
        <v>10.00-20-16PR-R9037</v>
      </c>
      <c r="F402" s="385"/>
      <c r="G402" s="385" t="s">
        <v>319</v>
      </c>
      <c r="H402" s="347">
        <v>2000</v>
      </c>
      <c r="I402" s="386">
        <v>6</v>
      </c>
      <c r="J402" s="347">
        <v>58.3</v>
      </c>
      <c r="K402" s="367"/>
      <c r="L402" s="349">
        <f t="shared" si="1078"/>
        <v>0.874937468734367</v>
      </c>
      <c r="M402" s="349"/>
      <c r="N402" s="347"/>
      <c r="O402" s="347">
        <f>IFERROR(_xlfn.XLOOKUP(E402,轮胎重量!S:S,轮胎重量!P:P),IFERROR(_xlfn.XLOOKUP(E402,轮胎重量!AB:AB,轮胎重量!Y:Y),IFERROR(_xlfn.XLOOKUP(E402,轮胎重量!AK:AK,轮胎重量!AH:AH),IFERROR(_xlfn.XLOOKUP(E402,轮胎重量!AT:AT,轮胎重量!AQ:AQ),""))))</f>
        <v>57.71</v>
      </c>
      <c r="P402" s="347">
        <f>IFERROR(_xlfn.XLOOKUP(E402,硫化工艺!I:I,硫化工艺!J:J),"")</f>
        <v>1014.086</v>
      </c>
      <c r="Q402" s="347">
        <f t="shared" si="1059"/>
        <v>130</v>
      </c>
      <c r="R402" s="347"/>
      <c r="S402" s="347"/>
      <c r="T402" s="347"/>
      <c r="U402" s="347"/>
      <c r="V402" s="347"/>
      <c r="W402" s="347"/>
      <c r="X402" s="347"/>
      <c r="Y402" s="347"/>
      <c r="Z402" s="347"/>
      <c r="AA402" s="347"/>
      <c r="AB402" s="347"/>
      <c r="AC402" s="347"/>
      <c r="AD402" s="347"/>
      <c r="AE402" s="347"/>
      <c r="AF402" s="347"/>
      <c r="AG402" s="347">
        <v>88</v>
      </c>
      <c r="AH402" s="347">
        <v>88</v>
      </c>
      <c r="AI402" s="347">
        <v>88</v>
      </c>
      <c r="AJ402" s="347">
        <v>88</v>
      </c>
      <c r="AK402" s="347">
        <v>88</v>
      </c>
      <c r="AL402" s="347">
        <v>88</v>
      </c>
      <c r="AM402" s="347">
        <v>88</v>
      </c>
      <c r="AN402" s="347">
        <v>88</v>
      </c>
      <c r="AO402" s="347">
        <v>88</v>
      </c>
      <c r="AP402" s="347">
        <v>88</v>
      </c>
      <c r="AQ402" s="347">
        <v>88</v>
      </c>
      <c r="AR402" s="347">
        <v>88</v>
      </c>
      <c r="AS402" s="347">
        <v>88</v>
      </c>
      <c r="AT402" s="347">
        <v>88</v>
      </c>
      <c r="AU402" s="347">
        <v>88</v>
      </c>
      <c r="AV402" s="347">
        <v>88</v>
      </c>
      <c r="AW402" s="347">
        <f t="shared" si="1060"/>
        <v>1408</v>
      </c>
      <c r="AX402" s="365">
        <f t="shared" si="1061"/>
        <v>81.25568</v>
      </c>
      <c r="AY402" s="365">
        <f t="shared" si="1062"/>
        <v>142.783</v>
      </c>
      <c r="AZ402" s="347">
        <v>715.7485</v>
      </c>
      <c r="BA402" s="347">
        <v>42.8224</v>
      </c>
      <c r="BB402" s="347">
        <v>58.839</v>
      </c>
      <c r="BC402" s="347">
        <v>51.8175</v>
      </c>
      <c r="BD402" s="347"/>
      <c r="BE402" s="347">
        <f t="shared" si="1063"/>
        <v>1007773.888</v>
      </c>
      <c r="BF402" s="347">
        <f t="shared" si="1064"/>
        <v>60293.9392</v>
      </c>
      <c r="BG402" s="347">
        <f t="shared" si="1065"/>
        <v>82845.312</v>
      </c>
      <c r="BH402" s="347">
        <f t="shared" si="1066"/>
        <v>72959.04</v>
      </c>
      <c r="BI402" s="347"/>
      <c r="BJ402" s="347" cm="1">
        <f t="array" ref="BJ402:BM402">_xlfn.LET(_xlpm.data,$R402:$AV402,_xlpm.starts,{1,8,16,23},_xlpm.lengths,{7,7,8,9},_xlpm.arr,_xlfn.MAP(_xlpm.starts,_xlpm.lengths,_xlfn.LAMBDA(_xlpm.s,_xlpm.l,SUM(INDEX(_xlpm.data,,_xlfn.SEQUENCE(,_xlpm.l,_xlpm.s))))),ROUND(_xlpm.arr*$O402/1000,2))</f>
        <v>0</v>
      </c>
      <c r="BK402" s="347">
        <v>0</v>
      </c>
      <c r="BL402" s="347">
        <v>40.63</v>
      </c>
      <c r="BM402" s="347">
        <v>45.71</v>
      </c>
      <c r="BN402" s="347">
        <f t="shared" si="1067"/>
        <v>86.34</v>
      </c>
      <c r="BO402" s="347">
        <v>19.29</v>
      </c>
      <c r="BP402" s="347">
        <v>13.78</v>
      </c>
      <c r="BQ402" s="347">
        <v>0</v>
      </c>
      <c r="BR402" s="347">
        <v>0</v>
      </c>
      <c r="BS402" s="347" t="s">
        <v>315</v>
      </c>
      <c r="BT402" s="365"/>
      <c r="BU402" s="365"/>
      <c r="BV402" s="366"/>
      <c r="BW402" s="368"/>
      <c r="BX402" s="368" t="s">
        <v>315</v>
      </c>
      <c r="BY402" s="258">
        <f t="shared" si="1068"/>
        <v>0</v>
      </c>
      <c r="BZ402" s="258">
        <f t="shared" si="1069"/>
        <v>0</v>
      </c>
      <c r="CA402" s="258">
        <f t="shared" si="1070"/>
        <v>616</v>
      </c>
      <c r="CB402" s="258">
        <f t="shared" si="1071"/>
        <v>792</v>
      </c>
      <c r="CC402" s="330"/>
      <c r="CD402" s="330">
        <v>210.5</v>
      </c>
      <c r="CE402" s="330">
        <f t="shared" si="1072"/>
        <v>0</v>
      </c>
      <c r="CF402" s="370">
        <f t="shared" si="1073"/>
        <v>0</v>
      </c>
      <c r="CG402" s="330">
        <f t="shared" si="1074"/>
        <v>35.55</v>
      </c>
      <c r="CH402" s="330">
        <f t="shared" si="1075"/>
        <v>45.71</v>
      </c>
      <c r="CI402" s="330">
        <f t="shared" si="1076"/>
        <v>81.26</v>
      </c>
      <c r="CJ402" s="258">
        <v>40</v>
      </c>
      <c r="CK402" s="258">
        <f t="shared" ref="CK402:CN402" si="1082">IFERROR(ROUND(BY402*$P402,2),"")</f>
        <v>0</v>
      </c>
      <c r="CL402" s="258">
        <f t="shared" si="1082"/>
        <v>0</v>
      </c>
      <c r="CM402" s="258">
        <f t="shared" si="1082"/>
        <v>624676.98</v>
      </c>
      <c r="CN402" s="258">
        <f t="shared" si="1082"/>
        <v>803156.11</v>
      </c>
      <c r="CO402" s="115">
        <f t="shared" si="1038"/>
        <v>1427833.09</v>
      </c>
      <c r="CP402" s="258" t="e">
        <f>VLOOKUP(G402,[2]Sheet1!$C$3:$G$310,5,0)</f>
        <v>#N/A</v>
      </c>
      <c r="CQ402" s="258">
        <f>VLOOKUP(G402,[3]KCBB0101!$C$3:$F$691,4,0)</f>
        <v>9501</v>
      </c>
    </row>
    <row r="403" s="258" customFormat="1" spans="1:93">
      <c r="A403" s="330"/>
      <c r="B403" s="347" t="s">
        <v>695</v>
      </c>
      <c r="C403" s="347" t="str">
        <f t="shared" si="1056"/>
        <v>20</v>
      </c>
      <c r="D403" s="347" t="str">
        <f t="shared" si="1057"/>
        <v>载重20寸</v>
      </c>
      <c r="E403" s="385" t="str">
        <f t="shared" si="1058"/>
        <v>10.00-20-18PR-AB111</v>
      </c>
      <c r="F403" s="385"/>
      <c r="G403" s="385" t="s">
        <v>320</v>
      </c>
      <c r="H403" s="347">
        <v>180</v>
      </c>
      <c r="I403" s="386">
        <v>6</v>
      </c>
      <c r="J403" s="347">
        <v>58.3</v>
      </c>
      <c r="K403" s="367"/>
      <c r="L403" s="349">
        <f t="shared" si="1078"/>
        <v>0.874937468734367</v>
      </c>
      <c r="M403" s="349"/>
      <c r="N403" s="347"/>
      <c r="O403" s="347">
        <f>IFERROR(_xlfn.XLOOKUP(E403,轮胎重量!S:S,轮胎重量!P:P),IFERROR(_xlfn.XLOOKUP(E403,轮胎重量!AB:AB,轮胎重量!Y:Y),IFERROR(_xlfn.XLOOKUP(E403,轮胎重量!AK:AK,轮胎重量!AH:AH),IFERROR(_xlfn.XLOOKUP(E403,轮胎重量!AT:AT,轮胎重量!AQ:AQ),""))))</f>
        <v>59.44</v>
      </c>
      <c r="P403" s="350">
        <f>O403*14.76</f>
        <v>877.3344</v>
      </c>
      <c r="Q403" s="347">
        <f t="shared" si="1059"/>
        <v>130</v>
      </c>
      <c r="R403" s="347"/>
      <c r="S403" s="347"/>
      <c r="T403" s="347"/>
      <c r="U403" s="347"/>
      <c r="V403" s="347"/>
      <c r="W403" s="347"/>
      <c r="X403" s="347"/>
      <c r="Y403" s="347"/>
      <c r="Z403" s="347"/>
      <c r="AA403" s="347"/>
      <c r="AB403" s="347"/>
      <c r="AC403" s="347"/>
      <c r="AD403" s="347"/>
      <c r="AE403" s="347"/>
      <c r="AF403" s="347"/>
      <c r="AG403" s="347"/>
      <c r="AH403" s="347"/>
      <c r="AI403" s="347"/>
      <c r="AJ403" s="347"/>
      <c r="AK403" s="347"/>
      <c r="AL403" s="347"/>
      <c r="AM403" s="347"/>
      <c r="AN403" s="347"/>
      <c r="AO403" s="347"/>
      <c r="AP403" s="347"/>
      <c r="AQ403" s="347"/>
      <c r="AR403" s="347"/>
      <c r="AS403" s="347"/>
      <c r="AT403" s="347"/>
      <c r="AU403" s="347"/>
      <c r="AV403" s="347"/>
      <c r="AW403" s="347" t="str">
        <f t="shared" si="1060"/>
        <v/>
      </c>
      <c r="AX403" s="365" t="str">
        <f t="shared" si="1061"/>
        <v/>
      </c>
      <c r="AY403" s="365" t="str">
        <f t="shared" si="1062"/>
        <v/>
      </c>
      <c r="AZ403" s="347">
        <v>715.7485</v>
      </c>
      <c r="BA403" s="347">
        <v>42.8224</v>
      </c>
      <c r="BB403" s="347">
        <v>58.839</v>
      </c>
      <c r="BC403" s="347">
        <v>51.8175</v>
      </c>
      <c r="BD403" s="347"/>
      <c r="BE403" s="347" t="e">
        <f t="shared" si="1063"/>
        <v>#VALUE!</v>
      </c>
      <c r="BF403" s="347" t="e">
        <f t="shared" si="1064"/>
        <v>#VALUE!</v>
      </c>
      <c r="BG403" s="347" t="e">
        <f t="shared" si="1065"/>
        <v>#VALUE!</v>
      </c>
      <c r="BH403" s="347" t="e">
        <f t="shared" si="1066"/>
        <v>#VALUE!</v>
      </c>
      <c r="BI403" s="347"/>
      <c r="BJ403" s="347" cm="1">
        <f t="array" ref="BJ403:BM403">_xlfn.LET(_xlpm.data,$R403:$AV403,_xlpm.starts,{1,8,16,23},_xlpm.lengths,{7,7,8,9},_xlpm.arr,_xlfn.MAP(_xlpm.starts,_xlpm.lengths,_xlfn.LAMBDA(_xlpm.s,_xlpm.l,SUM(INDEX(_xlpm.data,,_xlfn.SEQUENCE(,_xlpm.l,_xlpm.s))))),ROUND(_xlpm.arr*$O403/1000,2))</f>
        <v>0</v>
      </c>
      <c r="BK403" s="347">
        <v>0</v>
      </c>
      <c r="BL403" s="347">
        <v>0</v>
      </c>
      <c r="BM403" s="347">
        <v>0</v>
      </c>
      <c r="BN403" s="347">
        <f t="shared" si="1067"/>
        <v>0</v>
      </c>
      <c r="BO403" s="347">
        <v>19.29</v>
      </c>
      <c r="BP403" s="347">
        <v>13.78</v>
      </c>
      <c r="BQ403" s="347">
        <v>0</v>
      </c>
      <c r="BR403" s="347">
        <v>0</v>
      </c>
      <c r="BS403" s="347" t="s">
        <v>315</v>
      </c>
      <c r="BT403" s="365"/>
      <c r="BU403" s="365"/>
      <c r="BV403" s="366"/>
      <c r="BW403" s="368"/>
      <c r="BX403" s="368" t="s">
        <v>315</v>
      </c>
      <c r="BY403" s="258">
        <f t="shared" si="1068"/>
        <v>0</v>
      </c>
      <c r="BZ403" s="258">
        <f t="shared" si="1069"/>
        <v>0</v>
      </c>
      <c r="CA403" s="258">
        <f t="shared" si="1070"/>
        <v>0</v>
      </c>
      <c r="CB403" s="258">
        <f t="shared" si="1071"/>
        <v>0</v>
      </c>
      <c r="CC403" s="330"/>
      <c r="CD403" s="330">
        <v>210.5</v>
      </c>
      <c r="CE403" s="330">
        <f t="shared" si="1072"/>
        <v>0</v>
      </c>
      <c r="CF403" s="370">
        <f t="shared" si="1073"/>
        <v>0</v>
      </c>
      <c r="CG403" s="330">
        <f t="shared" si="1074"/>
        <v>0</v>
      </c>
      <c r="CH403" s="330">
        <f t="shared" si="1075"/>
        <v>0</v>
      </c>
      <c r="CI403" s="330">
        <f t="shared" si="1076"/>
        <v>0</v>
      </c>
      <c r="CJ403" s="258">
        <v>40</v>
      </c>
      <c r="CK403" s="258">
        <f t="shared" ref="CK403:CN403" si="1083">IFERROR(ROUND(BY403*$P403,2),"")</f>
        <v>0</v>
      </c>
      <c r="CL403" s="258">
        <f t="shared" si="1083"/>
        <v>0</v>
      </c>
      <c r="CM403" s="258">
        <f t="shared" si="1083"/>
        <v>0</v>
      </c>
      <c r="CN403" s="258">
        <f t="shared" si="1083"/>
        <v>0</v>
      </c>
      <c r="CO403" s="115">
        <f t="shared" si="1038"/>
        <v>0</v>
      </c>
    </row>
    <row r="404" s="258" customFormat="1" spans="1:110">
      <c r="A404" s="330"/>
      <c r="B404" s="347" t="s">
        <v>695</v>
      </c>
      <c r="C404" s="347" t="str">
        <f t="shared" si="1056"/>
        <v>20</v>
      </c>
      <c r="D404" s="347" t="str">
        <f t="shared" si="1057"/>
        <v>载重20寸</v>
      </c>
      <c r="E404" s="385" t="str">
        <f t="shared" si="1058"/>
        <v>10.00-20-18PR-AB316</v>
      </c>
      <c r="F404" s="385"/>
      <c r="G404" s="385" t="s">
        <v>321</v>
      </c>
      <c r="H404" s="347">
        <v>500</v>
      </c>
      <c r="I404" s="386">
        <v>2</v>
      </c>
      <c r="J404" s="347">
        <v>54.8</v>
      </c>
      <c r="K404" s="347"/>
      <c r="L404" s="349">
        <f t="shared" si="1078"/>
        <v>0.874937468734367</v>
      </c>
      <c r="M404" s="349"/>
      <c r="N404" s="347"/>
      <c r="O404" s="347">
        <f>IFERROR(_xlfn.XLOOKUP(E404,轮胎重量!S:S,轮胎重量!P:P),IFERROR(_xlfn.XLOOKUP(E404,轮胎重量!AB:AB,轮胎重量!Y:Y),IFERROR(_xlfn.XLOOKUP(E404,轮胎重量!AK:AK,轮胎重量!AH:AH),IFERROR(_xlfn.XLOOKUP(E404,轮胎重量!AT:AT,轮胎重量!AQ:AQ),""))))</f>
        <v>56.74</v>
      </c>
      <c r="P404" s="350">
        <f>O404*14.76</f>
        <v>837.4824</v>
      </c>
      <c r="Q404" s="347">
        <f t="shared" si="1059"/>
        <v>46</v>
      </c>
      <c r="R404" s="347"/>
      <c r="S404" s="347"/>
      <c r="T404" s="347"/>
      <c r="U404" s="347"/>
      <c r="V404" s="347"/>
      <c r="W404" s="347"/>
      <c r="X404" s="347"/>
      <c r="Y404" s="347"/>
      <c r="Z404" s="347"/>
      <c r="AA404" s="347"/>
      <c r="AB404" s="347"/>
      <c r="AC404" s="347"/>
      <c r="AD404" s="347"/>
      <c r="AE404" s="347"/>
      <c r="AF404" s="347"/>
      <c r="AG404" s="347"/>
      <c r="AH404" s="347"/>
      <c r="AI404" s="347"/>
      <c r="AJ404" s="347"/>
      <c r="AK404" s="347"/>
      <c r="AL404" s="347"/>
      <c r="AM404" s="347"/>
      <c r="AN404" s="347"/>
      <c r="AO404" s="347"/>
      <c r="AP404" s="347"/>
      <c r="AQ404" s="347"/>
      <c r="AR404" s="347"/>
      <c r="AS404" s="347"/>
      <c r="AT404" s="347"/>
      <c r="AU404" s="347"/>
      <c r="AV404" s="347"/>
      <c r="AW404" s="347" t="str">
        <f t="shared" si="1060"/>
        <v/>
      </c>
      <c r="AX404" s="365" t="str">
        <f t="shared" si="1061"/>
        <v/>
      </c>
      <c r="AY404" s="365" t="str">
        <f t="shared" si="1062"/>
        <v/>
      </c>
      <c r="AZ404" s="347">
        <v>573.5023</v>
      </c>
      <c r="BA404" s="347">
        <v>38.6497</v>
      </c>
      <c r="BB404" s="347">
        <v>53.1056</v>
      </c>
      <c r="BC404" s="347">
        <v>46.7683</v>
      </c>
      <c r="BD404" s="347"/>
      <c r="BE404" s="347" t="e">
        <f t="shared" si="1063"/>
        <v>#VALUE!</v>
      </c>
      <c r="BF404" s="347" t="e">
        <f t="shared" si="1064"/>
        <v>#VALUE!</v>
      </c>
      <c r="BG404" s="347" t="e">
        <f t="shared" si="1065"/>
        <v>#VALUE!</v>
      </c>
      <c r="BH404" s="347" t="e">
        <f t="shared" si="1066"/>
        <v>#VALUE!</v>
      </c>
      <c r="BI404" s="347"/>
      <c r="BJ404" s="347" cm="1">
        <f t="array" ref="BJ404:BM404">_xlfn.LET(_xlpm.data,$R404:$AV404,_xlpm.starts,{1,8,16,23},_xlpm.lengths,{7,7,8,9},_xlpm.arr,_xlfn.MAP(_xlpm.starts,_xlpm.lengths,_xlfn.LAMBDA(_xlpm.s,_xlpm.l,SUM(INDEX(_xlpm.data,,_xlfn.SEQUENCE(,_xlpm.l,_xlpm.s))))),ROUND(_xlpm.arr*$O404/1000,2))</f>
        <v>0</v>
      </c>
      <c r="BK404" s="347">
        <v>0</v>
      </c>
      <c r="BL404" s="347">
        <v>0</v>
      </c>
      <c r="BM404" s="347">
        <v>0</v>
      </c>
      <c r="BN404" s="347">
        <f t="shared" si="1067"/>
        <v>0</v>
      </c>
      <c r="BO404" s="347">
        <v>18.63</v>
      </c>
      <c r="BP404" s="347">
        <v>2.66</v>
      </c>
      <c r="BQ404" s="347">
        <v>0</v>
      </c>
      <c r="BR404" s="347">
        <v>0</v>
      </c>
      <c r="BS404" s="347" t="s">
        <v>315</v>
      </c>
      <c r="BT404" s="365"/>
      <c r="BU404" s="365"/>
      <c r="BV404" s="366"/>
      <c r="BW404" s="368"/>
      <c r="BX404" s="368" t="s">
        <v>315</v>
      </c>
      <c r="BY404" s="258">
        <f t="shared" si="1068"/>
        <v>0</v>
      </c>
      <c r="BZ404" s="258">
        <f t="shared" si="1069"/>
        <v>0</v>
      </c>
      <c r="CA404" s="258">
        <f t="shared" si="1070"/>
        <v>0</v>
      </c>
      <c r="CB404" s="258">
        <f t="shared" si="1071"/>
        <v>0</v>
      </c>
      <c r="CC404" s="330"/>
      <c r="CD404" s="330" t="s">
        <v>704</v>
      </c>
      <c r="CE404" s="330">
        <f t="shared" si="1072"/>
        <v>0</v>
      </c>
      <c r="CF404" s="370">
        <f t="shared" si="1073"/>
        <v>0</v>
      </c>
      <c r="CG404" s="330">
        <f t="shared" si="1074"/>
        <v>0</v>
      </c>
      <c r="CH404" s="330">
        <f t="shared" si="1075"/>
        <v>0</v>
      </c>
      <c r="CI404" s="330">
        <f t="shared" si="1076"/>
        <v>0</v>
      </c>
      <c r="CK404" s="258">
        <f t="shared" ref="CK404:CN404" si="1084">IFERROR(ROUND(BY404*$P404,2),"")</f>
        <v>0</v>
      </c>
      <c r="CL404" s="258">
        <f t="shared" si="1084"/>
        <v>0</v>
      </c>
      <c r="CM404" s="258">
        <f t="shared" si="1084"/>
        <v>0</v>
      </c>
      <c r="CN404" s="258">
        <f t="shared" si="1084"/>
        <v>0</v>
      </c>
      <c r="CO404" s="115">
        <f t="shared" si="1038"/>
        <v>0</v>
      </c>
      <c r="CZ404" s="113"/>
      <c r="DA404" s="258"/>
      <c r="DB404" s="258"/>
      <c r="DC404" s="258"/>
      <c r="DD404" s="258"/>
      <c r="DE404" s="258"/>
      <c r="DF404" s="113"/>
    </row>
    <row r="405" spans="2:93">
      <c r="B405" s="347" t="s">
        <v>695</v>
      </c>
      <c r="C405" s="347" t="str">
        <f t="shared" si="1056"/>
        <v>20</v>
      </c>
      <c r="D405" s="347" t="str">
        <f t="shared" si="1057"/>
        <v>载重20寸</v>
      </c>
      <c r="E405" s="385" t="str">
        <f t="shared" si="1058"/>
        <v>10.00-20-18PR-CL956</v>
      </c>
      <c r="F405" s="385"/>
      <c r="G405" s="385" t="s">
        <v>322</v>
      </c>
      <c r="H405" s="347">
        <v>1000</v>
      </c>
      <c r="I405" s="386">
        <v>2</v>
      </c>
      <c r="J405" s="347">
        <v>54.8</v>
      </c>
      <c r="K405" s="347"/>
      <c r="L405" s="349">
        <f t="shared" si="1078"/>
        <v>0.868004223864836</v>
      </c>
      <c r="M405" s="349"/>
      <c r="N405" s="347"/>
      <c r="O405" s="347">
        <f>IFERROR(_xlfn.XLOOKUP(E405,轮胎重量!S:S,轮胎重量!P:P),IFERROR(_xlfn.XLOOKUP(E405,轮胎重量!AB:AB,轮胎重量!Y:Y),IFERROR(_xlfn.XLOOKUP(E405,轮胎重量!AK:AK,轮胎重量!AH:AH),IFERROR(_xlfn.XLOOKUP(E405,轮胎重量!AT:AT,轮胎重量!AQ:AQ),""))))</f>
        <v>56.45</v>
      </c>
      <c r="P405" s="347">
        <f>IFERROR(_xlfn.XLOOKUP(E405,硫化工艺!I:I,硫化工艺!J:J),"")</f>
        <v>857.4783</v>
      </c>
      <c r="Q405" s="347">
        <f t="shared" si="1059"/>
        <v>46</v>
      </c>
      <c r="R405" s="347"/>
      <c r="S405" s="347"/>
      <c r="T405" s="347"/>
      <c r="U405" s="347"/>
      <c r="V405" s="347"/>
      <c r="W405" s="347"/>
      <c r="X405" s="347"/>
      <c r="Y405" s="347"/>
      <c r="Z405" s="347"/>
      <c r="AA405" s="347"/>
      <c r="AB405" s="347"/>
      <c r="AC405" s="347"/>
      <c r="AD405" s="347"/>
      <c r="AE405" s="347"/>
      <c r="AF405" s="347"/>
      <c r="AG405" s="347"/>
      <c r="AH405" s="347"/>
      <c r="AI405" s="347"/>
      <c r="AJ405" s="347"/>
      <c r="AK405" s="347"/>
      <c r="AL405" s="347"/>
      <c r="AM405" s="347"/>
      <c r="AN405" s="347"/>
      <c r="AO405" s="347"/>
      <c r="AP405" s="347"/>
      <c r="AQ405" s="347"/>
      <c r="AR405" s="347"/>
      <c r="AS405" s="347"/>
      <c r="AT405" s="347"/>
      <c r="AU405" s="347"/>
      <c r="AV405" s="347"/>
      <c r="AW405" s="347" t="str">
        <f t="shared" si="1060"/>
        <v/>
      </c>
      <c r="AX405" s="365" t="str">
        <f t="shared" si="1061"/>
        <v/>
      </c>
      <c r="AY405" s="365" t="str">
        <f t="shared" si="1062"/>
        <v/>
      </c>
      <c r="AZ405" s="347">
        <v>642.6823</v>
      </c>
      <c r="BA405" s="347">
        <v>41.1665</v>
      </c>
      <c r="BB405" s="347">
        <v>56.5637</v>
      </c>
      <c r="BC405" s="347">
        <v>49.8138</v>
      </c>
      <c r="BD405" s="347"/>
      <c r="BE405" s="347" t="e">
        <f t="shared" si="1063"/>
        <v>#VALUE!</v>
      </c>
      <c r="BF405" s="347" t="e">
        <f t="shared" si="1064"/>
        <v>#VALUE!</v>
      </c>
      <c r="BG405" s="347" t="e">
        <f t="shared" si="1065"/>
        <v>#VALUE!</v>
      </c>
      <c r="BH405" s="347" t="e">
        <f t="shared" si="1066"/>
        <v>#VALUE!</v>
      </c>
      <c r="BI405" s="347"/>
      <c r="BJ405" s="347" cm="1">
        <f t="array" ref="BJ405:BM405">_xlfn.LET(_xlpm.data,$R405:$AV405,_xlpm.starts,{1,8,16,23},_xlpm.lengths,{7,7,8,9},_xlpm.arr,_xlfn.MAP(_xlpm.starts,_xlpm.lengths,_xlfn.LAMBDA(_xlpm.s,_xlpm.l,SUM(INDEX(_xlpm.data,,_xlfn.SEQUENCE(,_xlpm.l,_xlpm.s))))),ROUND(_xlpm.arr*$O405/1000,2))</f>
        <v>0</v>
      </c>
      <c r="BK405" s="347">
        <v>0</v>
      </c>
      <c r="BL405" s="347">
        <v>0</v>
      </c>
      <c r="BM405" s="347">
        <v>0</v>
      </c>
      <c r="BN405" s="347">
        <f t="shared" si="1067"/>
        <v>0</v>
      </c>
      <c r="BO405" s="347">
        <v>0</v>
      </c>
      <c r="BP405" s="347">
        <v>15.97</v>
      </c>
      <c r="BQ405" s="347">
        <v>21.29</v>
      </c>
      <c r="BR405" s="347">
        <v>7.98</v>
      </c>
      <c r="BS405" s="347" t="s">
        <v>315</v>
      </c>
      <c r="BT405" s="365"/>
      <c r="BU405" s="365"/>
      <c r="BV405" s="366"/>
      <c r="BW405" s="368"/>
      <c r="BX405" s="368" t="s">
        <v>315</v>
      </c>
      <c r="BY405" s="258">
        <f t="shared" si="1068"/>
        <v>0</v>
      </c>
      <c r="BZ405" s="258">
        <f t="shared" si="1069"/>
        <v>0</v>
      </c>
      <c r="CA405" s="258">
        <f t="shared" si="1070"/>
        <v>0</v>
      </c>
      <c r="CB405" s="258">
        <f t="shared" si="1071"/>
        <v>0</v>
      </c>
      <c r="CC405" s="330"/>
      <c r="CD405" s="330">
        <v>3.7</v>
      </c>
      <c r="CE405" s="330">
        <f t="shared" si="1072"/>
        <v>0</v>
      </c>
      <c r="CF405" s="370">
        <f t="shared" si="1073"/>
        <v>0</v>
      </c>
      <c r="CG405" s="330">
        <f t="shared" si="1074"/>
        <v>0</v>
      </c>
      <c r="CH405" s="330">
        <f t="shared" si="1075"/>
        <v>0</v>
      </c>
      <c r="CI405" s="330">
        <f t="shared" si="1076"/>
        <v>0</v>
      </c>
      <c r="CJ405" s="258">
        <v>5500</v>
      </c>
      <c r="CK405" s="258">
        <f t="shared" ref="CK405:CN405" si="1085">IFERROR(ROUND(BY405*$P405,2),"")</f>
        <v>0</v>
      </c>
      <c r="CL405" s="258">
        <f t="shared" si="1085"/>
        <v>0</v>
      </c>
      <c r="CM405" s="258">
        <f t="shared" si="1085"/>
        <v>0</v>
      </c>
      <c r="CN405" s="258">
        <f t="shared" si="1085"/>
        <v>0</v>
      </c>
      <c r="CO405" s="115">
        <f t="shared" si="1038"/>
        <v>0</v>
      </c>
    </row>
    <row r="406" s="258" customFormat="1" spans="1:110">
      <c r="A406" s="330"/>
      <c r="B406" s="347" t="s">
        <v>695</v>
      </c>
      <c r="C406" s="347" t="str">
        <f t="shared" si="1056"/>
        <v>20</v>
      </c>
      <c r="D406" s="347" t="str">
        <f t="shared" si="1057"/>
        <v>载重20寸</v>
      </c>
      <c r="E406" s="385" t="str">
        <f t="shared" si="1058"/>
        <v>10.00-20-18PR-CR952</v>
      </c>
      <c r="F406" s="385"/>
      <c r="G406" s="385" t="s">
        <v>323</v>
      </c>
      <c r="H406" s="347">
        <v>2000</v>
      </c>
      <c r="I406" s="386">
        <v>8</v>
      </c>
      <c r="J406" s="347">
        <v>54.8</v>
      </c>
      <c r="K406" s="347"/>
      <c r="L406" s="349">
        <f t="shared" si="1078"/>
        <v>0.868004223864836</v>
      </c>
      <c r="M406" s="349"/>
      <c r="N406" s="347"/>
      <c r="O406" s="347">
        <f>IFERROR(_xlfn.XLOOKUP(E406,轮胎重量!S:S,轮胎重量!P:P),IFERROR(_xlfn.XLOOKUP(E406,轮胎重量!AB:AB,轮胎重量!Y:Y),IFERROR(_xlfn.XLOOKUP(E406,轮胎重量!AK:AK,轮胎重量!AH:AH),IFERROR(_xlfn.XLOOKUP(E406,轮胎重量!AT:AT,轮胎重量!AQ:AQ),""))))</f>
        <v>55.43</v>
      </c>
      <c r="P406" s="347">
        <f>IFERROR(_xlfn.XLOOKUP(E406,硫化工艺!I:I,硫化工艺!J:J),"")</f>
        <v>866.4033</v>
      </c>
      <c r="Q406" s="347">
        <f t="shared" si="1059"/>
        <v>182</v>
      </c>
      <c r="R406" s="347">
        <v>44</v>
      </c>
      <c r="S406" s="347">
        <v>44</v>
      </c>
      <c r="T406" s="347">
        <v>44</v>
      </c>
      <c r="U406" s="347">
        <v>44</v>
      </c>
      <c r="V406" s="347">
        <v>44</v>
      </c>
      <c r="W406" s="347">
        <v>44</v>
      </c>
      <c r="X406" s="347">
        <v>44</v>
      </c>
      <c r="Y406" s="347">
        <v>44</v>
      </c>
      <c r="Z406" s="347">
        <v>44</v>
      </c>
      <c r="AA406" s="347">
        <v>44</v>
      </c>
      <c r="AB406" s="347">
        <v>44</v>
      </c>
      <c r="AC406" s="347">
        <v>44</v>
      </c>
      <c r="AD406" s="347">
        <v>44</v>
      </c>
      <c r="AE406" s="347">
        <v>44</v>
      </c>
      <c r="AF406" s="347">
        <v>44</v>
      </c>
      <c r="AG406" s="347">
        <v>44</v>
      </c>
      <c r="AH406" s="347">
        <v>44</v>
      </c>
      <c r="AI406" s="347">
        <v>44</v>
      </c>
      <c r="AJ406" s="347">
        <v>44</v>
      </c>
      <c r="AK406" s="347">
        <v>44</v>
      </c>
      <c r="AL406" s="347">
        <v>44</v>
      </c>
      <c r="AM406" s="347">
        <v>44</v>
      </c>
      <c r="AN406" s="347">
        <v>44</v>
      </c>
      <c r="AO406" s="347">
        <v>44</v>
      </c>
      <c r="AP406" s="347">
        <v>44</v>
      </c>
      <c r="AQ406" s="347">
        <v>44</v>
      </c>
      <c r="AR406" s="347">
        <v>44</v>
      </c>
      <c r="AS406" s="347">
        <v>44</v>
      </c>
      <c r="AT406" s="347">
        <v>44</v>
      </c>
      <c r="AU406" s="347">
        <v>44</v>
      </c>
      <c r="AV406" s="347">
        <v>44</v>
      </c>
      <c r="AW406" s="347">
        <f t="shared" si="1060"/>
        <v>1364</v>
      </c>
      <c r="AX406" s="365">
        <f t="shared" si="1061"/>
        <v>75.60652</v>
      </c>
      <c r="AY406" s="365">
        <f t="shared" si="1062"/>
        <v>118.177</v>
      </c>
      <c r="AZ406" s="347">
        <v>642.6823</v>
      </c>
      <c r="BA406" s="347">
        <v>41.1665</v>
      </c>
      <c r="BB406" s="347">
        <v>56.5637</v>
      </c>
      <c r="BC406" s="347">
        <v>49.8138</v>
      </c>
      <c r="BD406" s="347"/>
      <c r="BE406" s="347">
        <f t="shared" si="1063"/>
        <v>876618.6572</v>
      </c>
      <c r="BF406" s="347">
        <f t="shared" si="1064"/>
        <v>56151.106</v>
      </c>
      <c r="BG406" s="347">
        <f t="shared" si="1065"/>
        <v>77152.8868</v>
      </c>
      <c r="BH406" s="347">
        <f t="shared" si="1066"/>
        <v>67946.0232</v>
      </c>
      <c r="BI406" s="347"/>
      <c r="BJ406" s="347" cm="1">
        <f t="array" ref="BJ406:BM406">_xlfn.LET(_xlpm.data,$R406:$AV406,_xlpm.starts,{1,8,16,23},_xlpm.lengths,{7,7,8,9},_xlpm.arr,_xlfn.MAP(_xlpm.starts,_xlpm.lengths,_xlfn.LAMBDA(_xlpm.s,_xlpm.l,SUM(INDEX(_xlpm.data,,_xlfn.SEQUENCE(,_xlpm.l,_xlpm.s))))),ROUND(_xlpm.arr*$O406/1000,2))</f>
        <v>17.07</v>
      </c>
      <c r="BK406" s="347">
        <v>17.07</v>
      </c>
      <c r="BL406" s="347">
        <v>19.51</v>
      </c>
      <c r="BM406" s="347">
        <v>21.95</v>
      </c>
      <c r="BN406" s="347">
        <f t="shared" si="1067"/>
        <v>75.6</v>
      </c>
      <c r="BO406" s="347">
        <v>0</v>
      </c>
      <c r="BP406" s="347">
        <v>15.97</v>
      </c>
      <c r="BQ406" s="347">
        <v>21.29</v>
      </c>
      <c r="BR406" s="347">
        <v>7.98</v>
      </c>
      <c r="BS406" s="347" t="s">
        <v>315</v>
      </c>
      <c r="BT406" s="365"/>
      <c r="BU406" s="365"/>
      <c r="BV406" s="366"/>
      <c r="BW406" s="368"/>
      <c r="BX406" s="368" t="s">
        <v>315</v>
      </c>
      <c r="BY406" s="258">
        <f t="shared" si="1068"/>
        <v>308</v>
      </c>
      <c r="BZ406" s="258">
        <f t="shared" si="1069"/>
        <v>308</v>
      </c>
      <c r="CA406" s="258">
        <f t="shared" si="1070"/>
        <v>352</v>
      </c>
      <c r="CB406" s="258">
        <f t="shared" si="1071"/>
        <v>396</v>
      </c>
      <c r="CC406" s="330"/>
      <c r="CD406" s="330">
        <v>3.7</v>
      </c>
      <c r="CE406" s="330">
        <f t="shared" si="1072"/>
        <v>17.07</v>
      </c>
      <c r="CF406" s="370">
        <f t="shared" si="1073"/>
        <v>17.07</v>
      </c>
      <c r="CG406" s="330">
        <f t="shared" si="1074"/>
        <v>19.51</v>
      </c>
      <c r="CH406" s="330">
        <f t="shared" si="1075"/>
        <v>21.95</v>
      </c>
      <c r="CI406" s="330">
        <f t="shared" si="1076"/>
        <v>75.6</v>
      </c>
      <c r="CK406" s="258">
        <f t="shared" ref="CK406:CN406" si="1086">IFERROR(ROUND(BY406*$P406,2),"")</f>
        <v>266852.22</v>
      </c>
      <c r="CL406" s="258">
        <f t="shared" si="1086"/>
        <v>266852.22</v>
      </c>
      <c r="CM406" s="258">
        <f t="shared" si="1086"/>
        <v>304973.96</v>
      </c>
      <c r="CN406" s="258">
        <f t="shared" si="1086"/>
        <v>343095.71</v>
      </c>
      <c r="CO406" s="115">
        <f t="shared" si="1038"/>
        <v>1181774.11</v>
      </c>
      <c r="CP406" s="258" t="e">
        <f>VLOOKUP(G406,[2]Sheet1!$C$3:$G$310,5,0)</f>
        <v>#N/A</v>
      </c>
      <c r="CQ406" s="258">
        <f>VLOOKUP(G406,[3]KCBB0101!$C$3:$F$691,4,0)</f>
        <v>6546</v>
      </c>
      <c r="CZ406" s="113"/>
      <c r="DA406" s="258"/>
      <c r="DB406" s="258"/>
      <c r="DC406" s="258"/>
      <c r="DD406" s="258"/>
      <c r="DE406" s="258"/>
      <c r="DF406" s="113"/>
    </row>
    <row r="407" s="258" customFormat="1" spans="1:110">
      <c r="A407" s="330"/>
      <c r="B407" s="347" t="s">
        <v>695</v>
      </c>
      <c r="C407" s="347" t="str">
        <f t="shared" si="1056"/>
        <v>20</v>
      </c>
      <c r="D407" s="347" t="str">
        <f t="shared" si="1057"/>
        <v>载重20寸</v>
      </c>
      <c r="E407" s="385" t="str">
        <f t="shared" si="1058"/>
        <v>10.00-20-18PR-CR952</v>
      </c>
      <c r="F407" s="385"/>
      <c r="G407" s="385" t="s">
        <v>324</v>
      </c>
      <c r="H407" s="347">
        <v>2000</v>
      </c>
      <c r="I407" s="386">
        <v>8</v>
      </c>
      <c r="J407" s="347">
        <v>54.8</v>
      </c>
      <c r="K407" s="347"/>
      <c r="L407" s="349">
        <f t="shared" si="1078"/>
        <v>0.868004223864836</v>
      </c>
      <c r="M407" s="349"/>
      <c r="N407" s="347"/>
      <c r="O407" s="347">
        <f>IFERROR(_xlfn.XLOOKUP(E407,轮胎重量!S:S,轮胎重量!P:P),IFERROR(_xlfn.XLOOKUP(E407,轮胎重量!AB:AB,轮胎重量!Y:Y),IFERROR(_xlfn.XLOOKUP(E407,轮胎重量!AK:AK,轮胎重量!AH:AH),IFERROR(_xlfn.XLOOKUP(E407,轮胎重量!AT:AT,轮胎重量!AQ:AQ),""))))</f>
        <v>55.43</v>
      </c>
      <c r="P407" s="347">
        <f>IFERROR(_xlfn.XLOOKUP(E407,硫化工艺!I:I,硫化工艺!J:J),"")</f>
        <v>866.4033</v>
      </c>
      <c r="Q407" s="347">
        <f t="shared" si="1059"/>
        <v>182</v>
      </c>
      <c r="R407" s="347">
        <v>44</v>
      </c>
      <c r="S407" s="347">
        <v>44</v>
      </c>
      <c r="T407" s="347">
        <v>44</v>
      </c>
      <c r="U407" s="347">
        <v>44</v>
      </c>
      <c r="V407" s="347">
        <v>44</v>
      </c>
      <c r="W407" s="347">
        <v>44</v>
      </c>
      <c r="X407" s="347">
        <v>44</v>
      </c>
      <c r="Y407" s="347">
        <v>44</v>
      </c>
      <c r="Z407" s="347">
        <v>44</v>
      </c>
      <c r="AA407" s="347">
        <v>44</v>
      </c>
      <c r="AB407" s="347">
        <v>44</v>
      </c>
      <c r="AC407" s="347">
        <v>44</v>
      </c>
      <c r="AD407" s="347">
        <v>44</v>
      </c>
      <c r="AE407" s="347">
        <v>44</v>
      </c>
      <c r="AF407" s="347">
        <v>44</v>
      </c>
      <c r="AG407" s="347">
        <v>44</v>
      </c>
      <c r="AH407" s="347">
        <v>88</v>
      </c>
      <c r="AI407" s="347">
        <v>88</v>
      </c>
      <c r="AJ407" s="347">
        <v>88</v>
      </c>
      <c r="AK407" s="347">
        <v>88</v>
      </c>
      <c r="AL407" s="347">
        <v>88</v>
      </c>
      <c r="AM407" s="347">
        <v>88</v>
      </c>
      <c r="AN407" s="347">
        <v>88</v>
      </c>
      <c r="AO407" s="347">
        <v>88</v>
      </c>
      <c r="AP407" s="347">
        <v>88</v>
      </c>
      <c r="AQ407" s="347">
        <v>88</v>
      </c>
      <c r="AR407" s="347">
        <v>88</v>
      </c>
      <c r="AS407" s="347">
        <v>88</v>
      </c>
      <c r="AT407" s="347">
        <v>88</v>
      </c>
      <c r="AU407" s="347">
        <v>88</v>
      </c>
      <c r="AV407" s="347">
        <v>88</v>
      </c>
      <c r="AW407" s="347">
        <f t="shared" si="1060"/>
        <v>2024</v>
      </c>
      <c r="AX407" s="365">
        <f t="shared" si="1061"/>
        <v>112.19032</v>
      </c>
      <c r="AY407" s="365">
        <f t="shared" si="1062"/>
        <v>175.36</v>
      </c>
      <c r="AZ407" s="347">
        <v>642.6823</v>
      </c>
      <c r="BA407" s="347">
        <v>41.1665</v>
      </c>
      <c r="BB407" s="347">
        <v>56.5637</v>
      </c>
      <c r="BC407" s="347">
        <v>49.8138</v>
      </c>
      <c r="BD407" s="347"/>
      <c r="BE407" s="347">
        <f t="shared" si="1063"/>
        <v>1300788.9752</v>
      </c>
      <c r="BF407" s="347">
        <f t="shared" si="1064"/>
        <v>83320.996</v>
      </c>
      <c r="BG407" s="347">
        <f t="shared" si="1065"/>
        <v>114484.9288</v>
      </c>
      <c r="BH407" s="347">
        <f t="shared" si="1066"/>
        <v>100823.1312</v>
      </c>
      <c r="BI407" s="347"/>
      <c r="BJ407" s="347" cm="1">
        <f t="array" ref="BJ407:BM407">_xlfn.LET(_xlpm.data,$R407:$AV407,_xlpm.starts,{1,8,16,23},_xlpm.lengths,{7,7,8,9},_xlpm.arr,_xlfn.MAP(_xlpm.starts,_xlpm.lengths,_xlfn.LAMBDA(_xlpm.s,_xlpm.l,SUM(INDEX(_xlpm.data,,_xlfn.SEQUENCE(,_xlpm.l,_xlpm.s))))),ROUND(_xlpm.arr*$O407/1000,2))</f>
        <v>17.07</v>
      </c>
      <c r="BK407" s="347">
        <v>17.07</v>
      </c>
      <c r="BL407" s="347">
        <v>36.58</v>
      </c>
      <c r="BM407" s="347">
        <v>43.9</v>
      </c>
      <c r="BN407" s="347">
        <f t="shared" si="1067"/>
        <v>114.62</v>
      </c>
      <c r="BO407" s="347">
        <v>0</v>
      </c>
      <c r="BP407" s="347">
        <v>15.97</v>
      </c>
      <c r="BQ407" s="347">
        <v>21.29</v>
      </c>
      <c r="BR407" s="347">
        <v>7.98</v>
      </c>
      <c r="BS407" s="347" t="s">
        <v>315</v>
      </c>
      <c r="BT407" s="365"/>
      <c r="BU407" s="365"/>
      <c r="BV407" s="366"/>
      <c r="BW407" s="368"/>
      <c r="BX407" s="368" t="s">
        <v>315</v>
      </c>
      <c r="BY407" s="258">
        <f t="shared" si="1068"/>
        <v>308</v>
      </c>
      <c r="BZ407" s="258">
        <f t="shared" si="1069"/>
        <v>308</v>
      </c>
      <c r="CA407" s="258">
        <f t="shared" si="1070"/>
        <v>616</v>
      </c>
      <c r="CB407" s="258">
        <f t="shared" si="1071"/>
        <v>792</v>
      </c>
      <c r="CC407" s="330"/>
      <c r="CD407" s="330">
        <v>3.7</v>
      </c>
      <c r="CE407" s="330">
        <f t="shared" si="1072"/>
        <v>17.07</v>
      </c>
      <c r="CF407" s="370">
        <f t="shared" si="1073"/>
        <v>17.07</v>
      </c>
      <c r="CG407" s="330">
        <f t="shared" si="1074"/>
        <v>34.14</v>
      </c>
      <c r="CH407" s="330">
        <f t="shared" si="1075"/>
        <v>43.9</v>
      </c>
      <c r="CI407" s="330">
        <f t="shared" si="1076"/>
        <v>112.18</v>
      </c>
      <c r="CK407" s="258">
        <f t="shared" ref="CK407:CN407" si="1087">IFERROR(ROUND(BY407*$P407,2),"")</f>
        <v>266852.22</v>
      </c>
      <c r="CL407" s="258">
        <f t="shared" si="1087"/>
        <v>266852.22</v>
      </c>
      <c r="CM407" s="258">
        <f t="shared" si="1087"/>
        <v>533704.43</v>
      </c>
      <c r="CN407" s="258">
        <f t="shared" si="1087"/>
        <v>686191.41</v>
      </c>
      <c r="CO407" s="115">
        <f t="shared" si="1038"/>
        <v>1753600.28</v>
      </c>
      <c r="CP407" s="258" t="e">
        <f>VLOOKUP(G407,[2]Sheet1!$C$3:$G$310,5,0)</f>
        <v>#N/A</v>
      </c>
      <c r="CQ407" s="258">
        <f>VLOOKUP(G407,[3]KCBB0101!$C$3:$F$691,4,0)</f>
        <v>4607</v>
      </c>
      <c r="CZ407" s="113"/>
      <c r="DA407" s="258"/>
      <c r="DB407" s="258"/>
      <c r="DC407" s="258"/>
      <c r="DD407" s="258"/>
      <c r="DE407" s="258"/>
      <c r="DF407" s="113"/>
    </row>
    <row r="408" s="258" customFormat="1" spans="1:110">
      <c r="A408" s="330"/>
      <c r="B408" s="347" t="s">
        <v>695</v>
      </c>
      <c r="C408" s="347" t="str">
        <f t="shared" si="1056"/>
        <v>20</v>
      </c>
      <c r="D408" s="347" t="str">
        <f t="shared" si="1057"/>
        <v>载重20寸</v>
      </c>
      <c r="E408" s="385" t="str">
        <f t="shared" si="1058"/>
        <v>10.00-20-18PR-CR952</v>
      </c>
      <c r="F408" s="385"/>
      <c r="G408" s="385" t="s">
        <v>325</v>
      </c>
      <c r="H408" s="347">
        <v>560</v>
      </c>
      <c r="I408" s="386">
        <v>8</v>
      </c>
      <c r="J408" s="347">
        <v>54.8</v>
      </c>
      <c r="K408" s="331"/>
      <c r="L408" s="349">
        <f t="shared" si="1078"/>
        <v>0.868004223864836</v>
      </c>
      <c r="M408" s="349"/>
      <c r="N408" s="347"/>
      <c r="O408" s="347">
        <f>IFERROR(_xlfn.XLOOKUP(E408,轮胎重量!S:S,轮胎重量!P:P),IFERROR(_xlfn.XLOOKUP(E408,轮胎重量!AB:AB,轮胎重量!Y:Y),IFERROR(_xlfn.XLOOKUP(E408,轮胎重量!AK:AK,轮胎重量!AH:AH),IFERROR(_xlfn.XLOOKUP(E408,轮胎重量!AT:AT,轮胎重量!AQ:AQ),""))))</f>
        <v>55.43</v>
      </c>
      <c r="P408" s="347">
        <f>IFERROR(_xlfn.XLOOKUP(E408,硫化工艺!I:I,硫化工艺!J:J),"")</f>
        <v>866.4033</v>
      </c>
      <c r="Q408" s="347">
        <f t="shared" si="1059"/>
        <v>182</v>
      </c>
      <c r="R408" s="347"/>
      <c r="S408" s="347"/>
      <c r="T408" s="347">
        <v>44</v>
      </c>
      <c r="U408" s="347">
        <v>44</v>
      </c>
      <c r="V408" s="347">
        <v>44</v>
      </c>
      <c r="W408" s="347">
        <v>44</v>
      </c>
      <c r="X408" s="347">
        <v>44</v>
      </c>
      <c r="Y408" s="347">
        <v>44</v>
      </c>
      <c r="Z408" s="347">
        <v>44</v>
      </c>
      <c r="AA408" s="347">
        <v>44</v>
      </c>
      <c r="AB408" s="347">
        <v>44</v>
      </c>
      <c r="AC408" s="347">
        <v>44</v>
      </c>
      <c r="AD408" s="347">
        <v>44</v>
      </c>
      <c r="AE408" s="347">
        <v>44</v>
      </c>
      <c r="AF408" s="347">
        <v>44</v>
      </c>
      <c r="AG408" s="347">
        <v>44</v>
      </c>
      <c r="AH408" s="347"/>
      <c r="AI408" s="347"/>
      <c r="AJ408" s="347"/>
      <c r="AK408" s="347"/>
      <c r="AL408" s="347"/>
      <c r="AM408" s="347"/>
      <c r="AN408" s="347"/>
      <c r="AO408" s="347"/>
      <c r="AP408" s="347"/>
      <c r="AQ408" s="347"/>
      <c r="AR408" s="347"/>
      <c r="AS408" s="347"/>
      <c r="AT408" s="347"/>
      <c r="AU408" s="347"/>
      <c r="AV408" s="347"/>
      <c r="AW408" s="347">
        <f t="shared" si="1060"/>
        <v>616</v>
      </c>
      <c r="AX408" s="365">
        <f t="shared" si="1061"/>
        <v>34.14488</v>
      </c>
      <c r="AY408" s="365">
        <f t="shared" si="1062"/>
        <v>53.37</v>
      </c>
      <c r="AZ408" s="347">
        <v>642.6823</v>
      </c>
      <c r="BA408" s="347">
        <v>41.1665</v>
      </c>
      <c r="BB408" s="347">
        <v>56.5637</v>
      </c>
      <c r="BC408" s="347">
        <v>49.8138</v>
      </c>
      <c r="BD408" s="347"/>
      <c r="BE408" s="347">
        <f t="shared" si="1063"/>
        <v>395892.2968</v>
      </c>
      <c r="BF408" s="347">
        <f t="shared" si="1064"/>
        <v>25358.564</v>
      </c>
      <c r="BG408" s="347">
        <f t="shared" si="1065"/>
        <v>34843.2392</v>
      </c>
      <c r="BH408" s="347">
        <f t="shared" si="1066"/>
        <v>30685.3008</v>
      </c>
      <c r="BI408" s="347"/>
      <c r="BJ408" s="347" cm="1">
        <f t="array" ref="BJ408:BM408">_xlfn.LET(_xlpm.data,$R408:$AV408,_xlpm.starts,{1,8,16,23},_xlpm.lengths,{7,7,8,9},_xlpm.arr,_xlfn.MAP(_xlpm.starts,_xlpm.lengths,_xlfn.LAMBDA(_xlpm.s,_xlpm.l,SUM(INDEX(_xlpm.data,,_xlfn.SEQUENCE(,_xlpm.l,_xlpm.s))))),ROUND(_xlpm.arr*$O408/1000,2))</f>
        <v>12.19</v>
      </c>
      <c r="BK408" s="347">
        <v>17.07</v>
      </c>
      <c r="BL408" s="347">
        <v>2.44</v>
      </c>
      <c r="BM408" s="347">
        <v>0</v>
      </c>
      <c r="BN408" s="347">
        <f t="shared" si="1067"/>
        <v>31.7</v>
      </c>
      <c r="BO408" s="347">
        <v>18.63</v>
      </c>
      <c r="BP408" s="347">
        <v>18.63</v>
      </c>
      <c r="BQ408" s="347">
        <v>21.29</v>
      </c>
      <c r="BR408" s="347">
        <v>23.95</v>
      </c>
      <c r="BS408" s="347" t="s">
        <v>315</v>
      </c>
      <c r="BT408" s="365"/>
      <c r="BU408" s="365"/>
      <c r="BV408" s="366"/>
      <c r="BW408" s="368"/>
      <c r="BX408" s="368" t="s">
        <v>315</v>
      </c>
      <c r="BY408" s="258">
        <f t="shared" si="1068"/>
        <v>220</v>
      </c>
      <c r="BZ408" s="258">
        <f t="shared" si="1069"/>
        <v>308</v>
      </c>
      <c r="CA408" s="258">
        <f t="shared" si="1070"/>
        <v>88</v>
      </c>
      <c r="CB408" s="258">
        <f t="shared" si="1071"/>
        <v>0</v>
      </c>
      <c r="CC408" s="330"/>
      <c r="CD408" s="330" t="s">
        <v>705</v>
      </c>
      <c r="CE408" s="330">
        <f t="shared" si="1072"/>
        <v>12.19</v>
      </c>
      <c r="CF408" s="370">
        <f t="shared" si="1073"/>
        <v>17.07</v>
      </c>
      <c r="CG408" s="330">
        <f t="shared" si="1074"/>
        <v>4.88</v>
      </c>
      <c r="CH408" s="330">
        <f t="shared" si="1075"/>
        <v>0</v>
      </c>
      <c r="CI408" s="330">
        <f t="shared" si="1076"/>
        <v>34.14</v>
      </c>
      <c r="CK408" s="258">
        <f t="shared" ref="CK408:CN408" si="1088">IFERROR(ROUND(BY408*$P408,2),"")</f>
        <v>190608.73</v>
      </c>
      <c r="CL408" s="258">
        <f t="shared" si="1088"/>
        <v>266852.22</v>
      </c>
      <c r="CM408" s="258">
        <f t="shared" si="1088"/>
        <v>76243.49</v>
      </c>
      <c r="CN408" s="258">
        <f t="shared" si="1088"/>
        <v>0</v>
      </c>
      <c r="CO408" s="115">
        <f t="shared" si="1038"/>
        <v>533704.44</v>
      </c>
      <c r="CP408" s="258" t="e">
        <f>VLOOKUP(G408,[2]Sheet1!$C$3:$G$310,5,0)</f>
        <v>#N/A</v>
      </c>
      <c r="CQ408" s="258">
        <f>VLOOKUP(G408,[3]KCBB0101!$C$3:$F$691,4,0)</f>
        <v>5020</v>
      </c>
      <c r="CZ408" s="113"/>
      <c r="DA408" s="258"/>
      <c r="DB408" s="258"/>
      <c r="DC408" s="258"/>
      <c r="DD408" s="258"/>
      <c r="DE408" s="258"/>
      <c r="DF408" s="113"/>
    </row>
    <row r="409" spans="2:95">
      <c r="B409" s="347" t="s">
        <v>695</v>
      </c>
      <c r="C409" s="347" t="str">
        <f t="shared" si="1056"/>
        <v>20</v>
      </c>
      <c r="D409" s="347" t="str">
        <f t="shared" si="1057"/>
        <v>载重20寸</v>
      </c>
      <c r="E409" s="385" t="str">
        <f t="shared" si="1058"/>
        <v>10.00-20-18PR-M9097</v>
      </c>
      <c r="F409" s="385"/>
      <c r="G409" s="385" t="s">
        <v>326</v>
      </c>
      <c r="H409" s="347">
        <v>2000</v>
      </c>
      <c r="I409" s="386">
        <v>4</v>
      </c>
      <c r="J409" s="347">
        <v>54.8</v>
      </c>
      <c r="K409" s="347"/>
      <c r="L409" s="349">
        <f t="shared" si="1078"/>
        <v>0.868004223864836</v>
      </c>
      <c r="M409" s="349"/>
      <c r="N409" s="347"/>
      <c r="O409" s="347">
        <f>IFERROR(_xlfn.XLOOKUP(E409,轮胎重量!S:S,轮胎重量!P:P),IFERROR(_xlfn.XLOOKUP(E409,轮胎重量!AB:AB,轮胎重量!Y:Y),IFERROR(_xlfn.XLOOKUP(E409,轮胎重量!AK:AK,轮胎重量!AH:AH),IFERROR(_xlfn.XLOOKUP(E409,轮胎重量!AT:AT,轮胎重量!AQ:AQ),""))))</f>
        <v>63.79</v>
      </c>
      <c r="P409" s="347">
        <f>IFERROR(_xlfn.XLOOKUP(E409,硫化工艺!I:I,硫化工艺!J:J),"")</f>
        <v>1034.449745</v>
      </c>
      <c r="Q409" s="347">
        <f t="shared" si="1059"/>
        <v>91</v>
      </c>
      <c r="R409" s="347">
        <v>44</v>
      </c>
      <c r="S409" s="347">
        <v>44</v>
      </c>
      <c r="T409" s="347">
        <v>44</v>
      </c>
      <c r="U409" s="347">
        <v>44</v>
      </c>
      <c r="V409" s="347">
        <v>44</v>
      </c>
      <c r="W409" s="347">
        <v>44</v>
      </c>
      <c r="X409" s="347">
        <v>44</v>
      </c>
      <c r="Y409" s="347">
        <v>44</v>
      </c>
      <c r="Z409" s="347">
        <v>44</v>
      </c>
      <c r="AA409" s="347">
        <v>44</v>
      </c>
      <c r="AB409" s="347">
        <v>44</v>
      </c>
      <c r="AC409" s="347">
        <v>44</v>
      </c>
      <c r="AD409" s="347">
        <v>44</v>
      </c>
      <c r="AE409" s="347">
        <v>44</v>
      </c>
      <c r="AF409" s="347">
        <v>44</v>
      </c>
      <c r="AG409" s="347">
        <v>44</v>
      </c>
      <c r="AH409" s="347">
        <v>44</v>
      </c>
      <c r="AI409" s="347">
        <v>44</v>
      </c>
      <c r="AJ409" s="347">
        <v>44</v>
      </c>
      <c r="AK409" s="347">
        <v>44</v>
      </c>
      <c r="AL409" s="347">
        <v>44</v>
      </c>
      <c r="AM409" s="347">
        <v>44</v>
      </c>
      <c r="AN409" s="347">
        <v>44</v>
      </c>
      <c r="AO409" s="347">
        <v>44</v>
      </c>
      <c r="AP409" s="347">
        <v>44</v>
      </c>
      <c r="AQ409" s="347">
        <v>44</v>
      </c>
      <c r="AR409" s="347">
        <v>44</v>
      </c>
      <c r="AS409" s="347">
        <v>44</v>
      </c>
      <c r="AT409" s="347">
        <v>44</v>
      </c>
      <c r="AU409" s="347">
        <v>44</v>
      </c>
      <c r="AV409" s="347">
        <v>44</v>
      </c>
      <c r="AW409" s="347">
        <f t="shared" si="1060"/>
        <v>1364</v>
      </c>
      <c r="AX409" s="365">
        <f t="shared" si="1061"/>
        <v>87.00956</v>
      </c>
      <c r="AY409" s="365">
        <f t="shared" si="1062"/>
        <v>141.099</v>
      </c>
      <c r="AZ409" s="347">
        <v>560.2288</v>
      </c>
      <c r="BA409" s="347">
        <v>37.4444</v>
      </c>
      <c r="BB409" s="347">
        <v>51.4494</v>
      </c>
      <c r="BC409" s="347">
        <v>45.3098</v>
      </c>
      <c r="BD409" s="347"/>
      <c r="BE409" s="347">
        <f t="shared" si="1063"/>
        <v>764152.0832</v>
      </c>
      <c r="BF409" s="347">
        <f t="shared" si="1064"/>
        <v>51074.1616</v>
      </c>
      <c r="BG409" s="347">
        <f t="shared" si="1065"/>
        <v>70176.9816</v>
      </c>
      <c r="BH409" s="347">
        <f t="shared" si="1066"/>
        <v>61802.5672</v>
      </c>
      <c r="BI409" s="347"/>
      <c r="BJ409" s="347" cm="1">
        <f t="array" ref="BJ409:BM409">_xlfn.LET(_xlpm.data,$R409:$AV409,_xlpm.starts,{1,8,16,23},_xlpm.lengths,{7,7,8,9},_xlpm.arr,_xlfn.MAP(_xlpm.starts,_xlpm.lengths,_xlfn.LAMBDA(_xlpm.s,_xlpm.l,SUM(INDEX(_xlpm.data,,_xlfn.SEQUENCE(,_xlpm.l,_xlpm.s))))),ROUND(_xlpm.arr*$O409/1000,2))</f>
        <v>19.65</v>
      </c>
      <c r="BK409" s="347">
        <v>19.65</v>
      </c>
      <c r="BL409" s="347">
        <v>22.45</v>
      </c>
      <c r="BM409" s="347">
        <v>25.26</v>
      </c>
      <c r="BN409" s="347">
        <f t="shared" si="1067"/>
        <v>87.01</v>
      </c>
      <c r="BO409" s="347">
        <v>0</v>
      </c>
      <c r="BP409" s="347">
        <v>0</v>
      </c>
      <c r="BQ409" s="347">
        <v>0</v>
      </c>
      <c r="BR409" s="347">
        <v>15.97</v>
      </c>
      <c r="BS409" s="347" t="s">
        <v>315</v>
      </c>
      <c r="BT409" s="365"/>
      <c r="BU409" s="365"/>
      <c r="BV409" s="366"/>
      <c r="BW409" s="368"/>
      <c r="BX409" s="368" t="s">
        <v>315</v>
      </c>
      <c r="BY409" s="258">
        <f t="shared" si="1068"/>
        <v>308</v>
      </c>
      <c r="BZ409" s="258">
        <f t="shared" si="1069"/>
        <v>308</v>
      </c>
      <c r="CA409" s="258">
        <f t="shared" si="1070"/>
        <v>352</v>
      </c>
      <c r="CB409" s="258">
        <f t="shared" si="1071"/>
        <v>396</v>
      </c>
      <c r="CC409" s="330"/>
      <c r="CD409" s="330">
        <v>56.5</v>
      </c>
      <c r="CE409" s="330">
        <f t="shared" si="1072"/>
        <v>19.65</v>
      </c>
      <c r="CF409" s="370">
        <f t="shared" si="1073"/>
        <v>19.65</v>
      </c>
      <c r="CG409" s="330">
        <f t="shared" si="1074"/>
        <v>22.45</v>
      </c>
      <c r="CH409" s="330">
        <f t="shared" si="1075"/>
        <v>25.26</v>
      </c>
      <c r="CI409" s="330">
        <f t="shared" si="1076"/>
        <v>87.01</v>
      </c>
      <c r="CJ409" s="258"/>
      <c r="CK409" s="258">
        <f t="shared" ref="CK409:CN409" si="1089">IFERROR(ROUND(BY409*$P409,2),"")</f>
        <v>318610.52</v>
      </c>
      <c r="CL409" s="258">
        <f t="shared" si="1089"/>
        <v>318610.52</v>
      </c>
      <c r="CM409" s="258">
        <f t="shared" si="1089"/>
        <v>364126.31</v>
      </c>
      <c r="CN409" s="258">
        <f t="shared" si="1089"/>
        <v>409642.1</v>
      </c>
      <c r="CO409" s="115">
        <f t="shared" si="1038"/>
        <v>1410989.45</v>
      </c>
      <c r="CP409" s="258" t="e">
        <f>VLOOKUP(G409,[2]Sheet1!$C$3:$G$310,5,0)</f>
        <v>#N/A</v>
      </c>
      <c r="CQ409" s="258">
        <f>VLOOKUP(G409,[3]KCBB0101!$C$3:$F$691,4,0)</f>
        <v>4626</v>
      </c>
    </row>
    <row r="410" spans="2:95">
      <c r="B410" s="347" t="s">
        <v>695</v>
      </c>
      <c r="C410" s="347" t="str">
        <f t="shared" si="1056"/>
        <v>20</v>
      </c>
      <c r="D410" s="347" t="str">
        <f t="shared" si="1057"/>
        <v>载重20寸</v>
      </c>
      <c r="E410" s="385" t="str">
        <f t="shared" si="1058"/>
        <v>10.00-20-18PR-M9097</v>
      </c>
      <c r="F410" s="385"/>
      <c r="G410" s="385" t="s">
        <v>327</v>
      </c>
      <c r="H410" s="347">
        <v>850</v>
      </c>
      <c r="I410" s="386">
        <v>4</v>
      </c>
      <c r="J410" s="347">
        <v>54.8</v>
      </c>
      <c r="K410" s="347"/>
      <c r="L410" s="349">
        <f t="shared" si="1078"/>
        <v>0.868004223864836</v>
      </c>
      <c r="M410" s="349"/>
      <c r="N410" s="347"/>
      <c r="O410" s="347">
        <f>IFERROR(_xlfn.XLOOKUP(E410,轮胎重量!S:S,轮胎重量!P:P),IFERROR(_xlfn.XLOOKUP(E410,轮胎重量!AB:AB,轮胎重量!Y:Y),IFERROR(_xlfn.XLOOKUP(E410,轮胎重量!AK:AK,轮胎重量!AH:AH),IFERROR(_xlfn.XLOOKUP(E410,轮胎重量!AT:AT,轮胎重量!AQ:AQ),""))))</f>
        <v>63.79</v>
      </c>
      <c r="P410" s="347">
        <f>IFERROR(_xlfn.XLOOKUP(E410,硫化工艺!I:I,硫化工艺!J:J),"")</f>
        <v>1034.449745</v>
      </c>
      <c r="Q410" s="347">
        <f t="shared" si="1059"/>
        <v>91</v>
      </c>
      <c r="R410" s="347">
        <v>44</v>
      </c>
      <c r="S410" s="347">
        <v>44</v>
      </c>
      <c r="T410" s="347">
        <v>44</v>
      </c>
      <c r="U410" s="347">
        <v>44</v>
      </c>
      <c r="V410" s="347">
        <v>44</v>
      </c>
      <c r="W410" s="347">
        <v>44</v>
      </c>
      <c r="X410" s="347">
        <v>44</v>
      </c>
      <c r="Y410" s="347">
        <v>44</v>
      </c>
      <c r="Z410" s="347">
        <v>44</v>
      </c>
      <c r="AA410" s="347">
        <v>44</v>
      </c>
      <c r="AB410" s="347">
        <v>44</v>
      </c>
      <c r="AC410" s="347">
        <v>44</v>
      </c>
      <c r="AD410" s="347">
        <v>44</v>
      </c>
      <c r="AE410" s="347">
        <v>44</v>
      </c>
      <c r="AF410" s="347">
        <v>44</v>
      </c>
      <c r="AG410" s="347">
        <v>44</v>
      </c>
      <c r="AH410" s="347">
        <v>44</v>
      </c>
      <c r="AI410" s="347">
        <v>44</v>
      </c>
      <c r="AJ410" s="347">
        <v>44</v>
      </c>
      <c r="AK410" s="347">
        <v>44</v>
      </c>
      <c r="AL410" s="347">
        <v>44</v>
      </c>
      <c r="AM410" s="347"/>
      <c r="AN410" s="347"/>
      <c r="AO410" s="347"/>
      <c r="AP410" s="347"/>
      <c r="AQ410" s="347"/>
      <c r="AR410" s="347"/>
      <c r="AS410" s="347"/>
      <c r="AT410" s="347"/>
      <c r="AU410" s="347"/>
      <c r="AV410" s="347"/>
      <c r="AW410" s="347">
        <f t="shared" si="1060"/>
        <v>924</v>
      </c>
      <c r="AX410" s="365">
        <f t="shared" si="1061"/>
        <v>58.94196</v>
      </c>
      <c r="AY410" s="365">
        <f t="shared" si="1062"/>
        <v>95.583</v>
      </c>
      <c r="AZ410" s="347">
        <v>560.2288</v>
      </c>
      <c r="BA410" s="347">
        <v>37.4444</v>
      </c>
      <c r="BB410" s="347">
        <v>51.4494</v>
      </c>
      <c r="BC410" s="347">
        <v>45.3098</v>
      </c>
      <c r="BD410" s="347"/>
      <c r="BE410" s="347">
        <f t="shared" si="1063"/>
        <v>517651.4112</v>
      </c>
      <c r="BF410" s="347">
        <f t="shared" si="1064"/>
        <v>34598.6256</v>
      </c>
      <c r="BG410" s="347">
        <f t="shared" si="1065"/>
        <v>47539.2456</v>
      </c>
      <c r="BH410" s="347">
        <f t="shared" si="1066"/>
        <v>41866.2552</v>
      </c>
      <c r="BI410" s="347"/>
      <c r="BJ410" s="347" cm="1">
        <f t="array" ref="BJ410:BM410">_xlfn.LET(_xlpm.data,$R410:$AV410,_xlpm.starts,{1,8,16,23},_xlpm.lengths,{7,7,8,9},_xlpm.arr,_xlfn.MAP(_xlpm.starts,_xlpm.lengths,_xlfn.LAMBDA(_xlpm.s,_xlpm.l,SUM(INDEX(_xlpm.data,,_xlfn.SEQUENCE(,_xlpm.l,_xlpm.s))))),ROUND(_xlpm.arr*$O410/1000,2))</f>
        <v>19.65</v>
      </c>
      <c r="BK410" s="347">
        <v>19.65</v>
      </c>
      <c r="BL410" s="347">
        <v>16.84</v>
      </c>
      <c r="BM410" s="347">
        <v>0</v>
      </c>
      <c r="BN410" s="347">
        <f t="shared" si="1067"/>
        <v>56.14</v>
      </c>
      <c r="BO410" s="347">
        <v>0</v>
      </c>
      <c r="BP410" s="347">
        <v>0</v>
      </c>
      <c r="BQ410" s="347">
        <v>0</v>
      </c>
      <c r="BR410" s="347">
        <v>15.97</v>
      </c>
      <c r="BS410" s="347" t="s">
        <v>315</v>
      </c>
      <c r="BT410" s="365"/>
      <c r="BU410" s="365"/>
      <c r="BV410" s="366"/>
      <c r="BW410" s="368"/>
      <c r="BX410" s="368" t="s">
        <v>315</v>
      </c>
      <c r="BY410" s="258">
        <f t="shared" si="1068"/>
        <v>308</v>
      </c>
      <c r="BZ410" s="258">
        <f t="shared" si="1069"/>
        <v>308</v>
      </c>
      <c r="CA410" s="258">
        <f t="shared" si="1070"/>
        <v>308</v>
      </c>
      <c r="CB410" s="258">
        <f t="shared" si="1071"/>
        <v>0</v>
      </c>
      <c r="CC410" s="330"/>
      <c r="CD410" s="330">
        <v>56.5</v>
      </c>
      <c r="CE410" s="330">
        <f t="shared" si="1072"/>
        <v>19.65</v>
      </c>
      <c r="CF410" s="370">
        <f t="shared" si="1073"/>
        <v>19.65</v>
      </c>
      <c r="CG410" s="330">
        <f t="shared" si="1074"/>
        <v>19.65</v>
      </c>
      <c r="CH410" s="330">
        <f t="shared" si="1075"/>
        <v>0</v>
      </c>
      <c r="CI410" s="330">
        <f t="shared" si="1076"/>
        <v>58.95</v>
      </c>
      <c r="CJ410" s="258"/>
      <c r="CK410" s="258">
        <f t="shared" ref="CK410:CN410" si="1090">IFERROR(ROUND(BY410*$P410,2),"")</f>
        <v>318610.52</v>
      </c>
      <c r="CL410" s="258">
        <f t="shared" si="1090"/>
        <v>318610.52</v>
      </c>
      <c r="CM410" s="258">
        <f t="shared" si="1090"/>
        <v>318610.52</v>
      </c>
      <c r="CN410" s="258">
        <f t="shared" si="1090"/>
        <v>0</v>
      </c>
      <c r="CO410" s="115">
        <f t="shared" si="1038"/>
        <v>955831.56</v>
      </c>
      <c r="CP410" s="258" t="e">
        <f>VLOOKUP(G410,[2]Sheet1!$C$3:$G$310,5,0)</f>
        <v>#N/A</v>
      </c>
      <c r="CQ410" s="258">
        <f>VLOOKUP(G410,[3]KCBB0101!$C$3:$F$691,4,0)</f>
        <v>8355</v>
      </c>
    </row>
    <row r="411" s="329" customFormat="1" spans="1:115">
      <c r="A411" s="392"/>
      <c r="B411" s="347" t="s">
        <v>695</v>
      </c>
      <c r="C411" s="347" t="str">
        <f t="shared" si="1056"/>
        <v>20</v>
      </c>
      <c r="D411" s="347" t="str">
        <f t="shared" si="1057"/>
        <v>载重20寸</v>
      </c>
      <c r="E411" s="385" t="str">
        <f t="shared" si="1058"/>
        <v>10.00-20-18PR-M9097</v>
      </c>
      <c r="F411" s="385"/>
      <c r="G411" s="385" t="s">
        <v>328</v>
      </c>
      <c r="H411" s="347">
        <v>1400</v>
      </c>
      <c r="I411" s="386">
        <v>4</v>
      </c>
      <c r="J411" s="386">
        <v>54.8</v>
      </c>
      <c r="K411" s="347"/>
      <c r="L411" s="349">
        <f t="shared" si="1078"/>
        <v>0.868004223864836</v>
      </c>
      <c r="M411" s="394"/>
      <c r="N411" s="386"/>
      <c r="O411" s="347">
        <f>IFERROR(_xlfn.XLOOKUP(E411,轮胎重量!S:S,轮胎重量!P:P),IFERROR(_xlfn.XLOOKUP(E411,轮胎重量!AB:AB,轮胎重量!Y:Y),IFERROR(_xlfn.XLOOKUP(E411,轮胎重量!AK:AK,轮胎重量!AH:AH),IFERROR(_xlfn.XLOOKUP(E411,轮胎重量!AT:AT,轮胎重量!AQ:AQ),""))))</f>
        <v>63.79</v>
      </c>
      <c r="P411" s="347">
        <f>IFERROR(_xlfn.XLOOKUP(E411,硫化工艺!I:I,硫化工艺!J:J),"")</f>
        <v>1034.449745</v>
      </c>
      <c r="Q411" s="386">
        <f t="shared" si="1059"/>
        <v>91</v>
      </c>
      <c r="R411" s="347"/>
      <c r="S411" s="347"/>
      <c r="T411" s="347"/>
      <c r="U411" s="347"/>
      <c r="V411" s="347"/>
      <c r="W411" s="347"/>
      <c r="X411" s="347"/>
      <c r="Y411" s="347"/>
      <c r="Z411" s="347"/>
      <c r="AA411" s="347"/>
      <c r="AB411" s="347"/>
      <c r="AC411" s="347"/>
      <c r="AD411" s="347"/>
      <c r="AE411" s="347"/>
      <c r="AF411" s="347"/>
      <c r="AG411" s="347"/>
      <c r="AH411" s="347"/>
      <c r="AI411" s="347"/>
      <c r="AJ411" s="347"/>
      <c r="AK411" s="347"/>
      <c r="AL411" s="347"/>
      <c r="AM411" s="347">
        <v>44</v>
      </c>
      <c r="AN411" s="347">
        <v>44</v>
      </c>
      <c r="AO411" s="347">
        <v>44</v>
      </c>
      <c r="AP411" s="347">
        <v>44</v>
      </c>
      <c r="AQ411" s="347">
        <v>44</v>
      </c>
      <c r="AR411" s="347">
        <v>44</v>
      </c>
      <c r="AS411" s="347">
        <v>44</v>
      </c>
      <c r="AT411" s="347">
        <v>44</v>
      </c>
      <c r="AU411" s="347">
        <v>44</v>
      </c>
      <c r="AV411" s="347">
        <v>44</v>
      </c>
      <c r="AW411" s="347">
        <f t="shared" si="1060"/>
        <v>440</v>
      </c>
      <c r="AX411" s="365">
        <f t="shared" si="1061"/>
        <v>28.0676</v>
      </c>
      <c r="AY411" s="365">
        <f t="shared" si="1062"/>
        <v>45.516</v>
      </c>
      <c r="AZ411" s="347">
        <v>575.2751</v>
      </c>
      <c r="BA411" s="347">
        <v>38.7893</v>
      </c>
      <c r="BB411" s="347">
        <v>53.2973</v>
      </c>
      <c r="BC411" s="347">
        <v>46.9372</v>
      </c>
      <c r="BD411" s="347"/>
      <c r="BE411" s="347">
        <f t="shared" si="1063"/>
        <v>253121.044</v>
      </c>
      <c r="BF411" s="347">
        <f t="shared" si="1064"/>
        <v>17067.292</v>
      </c>
      <c r="BG411" s="347">
        <f t="shared" si="1065"/>
        <v>23450.812</v>
      </c>
      <c r="BH411" s="347">
        <f t="shared" si="1066"/>
        <v>20652.368</v>
      </c>
      <c r="BI411" s="347"/>
      <c r="BJ411" s="347" cm="1">
        <f t="array" ref="BJ411:BM411">_xlfn.LET(_xlpm.data,$R411:$AV411,_xlpm.starts,{1,8,16,23},_xlpm.lengths,{7,7,8,9},_xlpm.arr,_xlfn.MAP(_xlpm.starts,_xlpm.lengths,_xlfn.LAMBDA(_xlpm.s,_xlpm.l,SUM(INDEX(_xlpm.data,,_xlfn.SEQUENCE(,_xlpm.l,_xlpm.s))))),ROUND(_xlpm.arr*$O411/1000,2))</f>
        <v>0</v>
      </c>
      <c r="BK411" s="347">
        <v>0</v>
      </c>
      <c r="BL411" s="347">
        <v>5.61</v>
      </c>
      <c r="BM411" s="347">
        <v>25.26</v>
      </c>
      <c r="BN411" s="347">
        <f t="shared" si="1067"/>
        <v>30.87</v>
      </c>
      <c r="BO411" s="347">
        <v>18.63</v>
      </c>
      <c r="BP411" s="347">
        <v>18.63</v>
      </c>
      <c r="BQ411" s="347">
        <v>21.29</v>
      </c>
      <c r="BR411" s="347">
        <v>23.95</v>
      </c>
      <c r="BS411" s="347" t="s">
        <v>315</v>
      </c>
      <c r="BT411" s="365"/>
      <c r="BU411" s="365"/>
      <c r="BV411" s="366"/>
      <c r="BW411" s="368"/>
      <c r="BX411" s="368" t="s">
        <v>315</v>
      </c>
      <c r="BY411" s="258">
        <f t="shared" si="1068"/>
        <v>0</v>
      </c>
      <c r="BZ411" s="258">
        <f t="shared" si="1069"/>
        <v>0</v>
      </c>
      <c r="CA411" s="258">
        <f t="shared" si="1070"/>
        <v>44</v>
      </c>
      <c r="CB411" s="258">
        <f t="shared" si="1071"/>
        <v>396</v>
      </c>
      <c r="CC411" s="330"/>
      <c r="CD411" s="330"/>
      <c r="CE411" s="330">
        <f t="shared" si="1072"/>
        <v>0</v>
      </c>
      <c r="CF411" s="370">
        <f t="shared" si="1073"/>
        <v>0</v>
      </c>
      <c r="CG411" s="330">
        <f t="shared" si="1074"/>
        <v>2.81</v>
      </c>
      <c r="CH411" s="330">
        <f t="shared" si="1075"/>
        <v>25.26</v>
      </c>
      <c r="CI411" s="330">
        <f t="shared" si="1076"/>
        <v>28.07</v>
      </c>
      <c r="CJ411" s="258"/>
      <c r="CK411" s="258">
        <f t="shared" ref="CK411:CN411" si="1091">IFERROR(ROUND(BY411*$P411,2),"")</f>
        <v>0</v>
      </c>
      <c r="CL411" s="258">
        <f t="shared" si="1091"/>
        <v>0</v>
      </c>
      <c r="CM411" s="258">
        <f t="shared" si="1091"/>
        <v>45515.79</v>
      </c>
      <c r="CN411" s="258">
        <f t="shared" si="1091"/>
        <v>409642.1</v>
      </c>
      <c r="CP411" s="258" t="e">
        <f>VLOOKUP(G411,[2]Sheet1!$C$3:$G$310,5,0)</f>
        <v>#N/A</v>
      </c>
      <c r="CQ411" s="258">
        <f>VLOOKUP(G411,[3]KCBB0101!$C$3:$F$691,4,0)</f>
        <v>4725</v>
      </c>
      <c r="CR411" s="258"/>
      <c r="CS411" s="258"/>
      <c r="CU411" s="258"/>
      <c r="CV411" s="258"/>
      <c r="CW411" s="258"/>
      <c r="CX411" s="258"/>
      <c r="DA411" s="258"/>
      <c r="DB411" s="258"/>
      <c r="DC411" s="258"/>
      <c r="DD411" s="258"/>
      <c r="DE411" s="258"/>
      <c r="DG411" s="258"/>
      <c r="DH411" s="258"/>
      <c r="DI411" s="258"/>
      <c r="DJ411" s="258"/>
      <c r="DK411" s="258"/>
    </row>
    <row r="412" s="329" customFormat="1" spans="1:115">
      <c r="A412" s="392"/>
      <c r="B412" s="347" t="s">
        <v>695</v>
      </c>
      <c r="C412" s="347" t="str">
        <f t="shared" si="1056"/>
        <v>20</v>
      </c>
      <c r="D412" s="347" t="str">
        <f t="shared" si="1057"/>
        <v>载重20寸</v>
      </c>
      <c r="E412" s="385" t="str">
        <f t="shared" si="1058"/>
        <v>10.00-20-18PR-R9037</v>
      </c>
      <c r="F412" s="385"/>
      <c r="G412" s="385" t="s">
        <v>329</v>
      </c>
      <c r="H412" s="347">
        <v>150</v>
      </c>
      <c r="I412" s="386">
        <v>6</v>
      </c>
      <c r="J412" s="386">
        <v>54.8</v>
      </c>
      <c r="K412" s="347"/>
      <c r="L412" s="394">
        <f t="shared" si="1078"/>
        <v>0.868004223864836</v>
      </c>
      <c r="M412" s="394"/>
      <c r="N412" s="386"/>
      <c r="O412" s="347">
        <f>IFERROR(_xlfn.XLOOKUP(E412,轮胎重量!S:S,轮胎重量!P:P),IFERROR(_xlfn.XLOOKUP(E412,轮胎重量!AB:AB,轮胎重量!Y:Y),IFERROR(_xlfn.XLOOKUP(E412,轮胎重量!AK:AK,轮胎重量!AH:AH),IFERROR(_xlfn.XLOOKUP(E412,轮胎重量!AT:AT,轮胎重量!AQ:AQ),""))))</f>
        <v>61.58</v>
      </c>
      <c r="P412" s="347">
        <f>IFERROR(_xlfn.XLOOKUP(E412,硫化工艺!I:I,硫化工艺!J:J),"")</f>
        <v>1014.086</v>
      </c>
      <c r="Q412" s="386">
        <f t="shared" si="1059"/>
        <v>137</v>
      </c>
      <c r="R412" s="386">
        <v>44</v>
      </c>
      <c r="S412" s="386">
        <v>44</v>
      </c>
      <c r="T412" s="386">
        <v>44</v>
      </c>
      <c r="U412" s="386">
        <v>44</v>
      </c>
      <c r="V412" s="386"/>
      <c r="W412" s="386"/>
      <c r="X412" s="386"/>
      <c r="Y412" s="386"/>
      <c r="Z412" s="386"/>
      <c r="AA412" s="386"/>
      <c r="AB412" s="386"/>
      <c r="AC412" s="386"/>
      <c r="AD412" s="347"/>
      <c r="AE412" s="347"/>
      <c r="AF412" s="347"/>
      <c r="AG412" s="347"/>
      <c r="AH412" s="347"/>
      <c r="AI412" s="347"/>
      <c r="AJ412" s="347"/>
      <c r="AK412" s="347"/>
      <c r="AL412" s="347"/>
      <c r="AM412" s="347"/>
      <c r="AN412" s="347"/>
      <c r="AO412" s="347"/>
      <c r="AP412" s="347"/>
      <c r="AQ412" s="347"/>
      <c r="AR412" s="347"/>
      <c r="AS412" s="347"/>
      <c r="AT412" s="347"/>
      <c r="AU412" s="347"/>
      <c r="AV412" s="347"/>
      <c r="AW412" s="347">
        <f t="shared" si="1060"/>
        <v>176</v>
      </c>
      <c r="AX412" s="365">
        <f t="shared" si="1061"/>
        <v>10.83808</v>
      </c>
      <c r="AY412" s="365">
        <f t="shared" si="1062"/>
        <v>17.848</v>
      </c>
      <c r="AZ412" s="347">
        <v>575.2751</v>
      </c>
      <c r="BA412" s="347">
        <v>38.7893</v>
      </c>
      <c r="BB412" s="347">
        <v>53.2973</v>
      </c>
      <c r="BC412" s="347">
        <v>46.9372</v>
      </c>
      <c r="BD412" s="347"/>
      <c r="BE412" s="347">
        <f t="shared" si="1063"/>
        <v>101248.4176</v>
      </c>
      <c r="BF412" s="347">
        <f t="shared" si="1064"/>
        <v>6826.9168</v>
      </c>
      <c r="BG412" s="347">
        <f t="shared" si="1065"/>
        <v>9380.3248</v>
      </c>
      <c r="BH412" s="347">
        <f t="shared" si="1066"/>
        <v>8260.9472</v>
      </c>
      <c r="BI412" s="347"/>
      <c r="BJ412" s="347" cm="1">
        <f t="array" ref="BJ412:BM412">_xlfn.LET(_xlpm.data,$R412:$AV412,_xlpm.starts,{1,8,16,23},_xlpm.lengths,{7,7,8,9},_xlpm.arr,_xlfn.MAP(_xlpm.starts,_xlpm.lengths,_xlfn.LAMBDA(_xlpm.s,_xlpm.l,SUM(INDEX(_xlpm.data,,_xlfn.SEQUENCE(,_xlpm.l,_xlpm.s))))),ROUND(_xlpm.arr*$O412/1000,2))</f>
        <v>10.84</v>
      </c>
      <c r="BK412" s="347">
        <v>0</v>
      </c>
      <c r="BL412" s="347">
        <v>0</v>
      </c>
      <c r="BM412" s="347">
        <v>0</v>
      </c>
      <c r="BN412" s="347">
        <f t="shared" si="1067"/>
        <v>10.84</v>
      </c>
      <c r="BO412" s="347">
        <v>18.63</v>
      </c>
      <c r="BP412" s="347">
        <v>18.63</v>
      </c>
      <c r="BQ412" s="347">
        <v>21.29</v>
      </c>
      <c r="BR412" s="347">
        <v>23.95</v>
      </c>
      <c r="BS412" s="347" t="s">
        <v>315</v>
      </c>
      <c r="BT412" s="365"/>
      <c r="BU412" s="365"/>
      <c r="BV412" s="366"/>
      <c r="BW412" s="368"/>
      <c r="BX412" s="368" t="s">
        <v>315</v>
      </c>
      <c r="BY412" s="258">
        <f t="shared" si="1068"/>
        <v>176</v>
      </c>
      <c r="BZ412" s="258">
        <f t="shared" si="1069"/>
        <v>0</v>
      </c>
      <c r="CA412" s="258">
        <f t="shared" si="1070"/>
        <v>0</v>
      </c>
      <c r="CB412" s="258">
        <f t="shared" si="1071"/>
        <v>0</v>
      </c>
      <c r="CC412" s="330"/>
      <c r="CD412" s="330"/>
      <c r="CE412" s="330">
        <f t="shared" si="1072"/>
        <v>10.84</v>
      </c>
      <c r="CF412" s="370">
        <f t="shared" si="1073"/>
        <v>0</v>
      </c>
      <c r="CG412" s="330">
        <f t="shared" si="1074"/>
        <v>0</v>
      </c>
      <c r="CH412" s="330">
        <f t="shared" si="1075"/>
        <v>0</v>
      </c>
      <c r="CI412" s="330">
        <f t="shared" si="1076"/>
        <v>10.84</v>
      </c>
      <c r="CJ412" s="258"/>
      <c r="CK412" s="258">
        <f t="shared" ref="CK412:CN412" si="1092">IFERROR(ROUND(BY412*$P412,2),"")</f>
        <v>178479.14</v>
      </c>
      <c r="CL412" s="258">
        <f t="shared" si="1092"/>
        <v>0</v>
      </c>
      <c r="CM412" s="258">
        <f t="shared" si="1092"/>
        <v>0</v>
      </c>
      <c r="CN412" s="258">
        <f t="shared" si="1092"/>
        <v>0</v>
      </c>
      <c r="CP412" s="258" t="e">
        <f>VLOOKUP(G412,[2]Sheet1!$C$3:$G$310,5,0)</f>
        <v>#N/A</v>
      </c>
      <c r="CQ412" s="258">
        <f>VLOOKUP(G412,[3]KCBB0101!$C$3:$F$691,4,0)</f>
        <v>4234</v>
      </c>
      <c r="CR412" s="258"/>
      <c r="CS412" s="258"/>
      <c r="CU412" s="258"/>
      <c r="CV412" s="258"/>
      <c r="CW412" s="258"/>
      <c r="CX412" s="258"/>
      <c r="DA412" s="258"/>
      <c r="DB412" s="258"/>
      <c r="DC412" s="258"/>
      <c r="DD412" s="258"/>
      <c r="DE412" s="258"/>
      <c r="DG412" s="258"/>
      <c r="DH412" s="258"/>
      <c r="DI412" s="258"/>
      <c r="DJ412" s="258"/>
      <c r="DK412" s="258"/>
    </row>
    <row r="413" s="258" customFormat="1" spans="1:95">
      <c r="A413" s="330"/>
      <c r="B413" s="347" t="s">
        <v>695</v>
      </c>
      <c r="C413" s="347" t="str">
        <f t="shared" si="1056"/>
        <v>20</v>
      </c>
      <c r="D413" s="347" t="str">
        <f t="shared" si="1057"/>
        <v>载重20寸</v>
      </c>
      <c r="E413" s="385" t="str">
        <f t="shared" si="1058"/>
        <v>10.00-20-18PR-R9037</v>
      </c>
      <c r="F413" s="385"/>
      <c r="G413" s="385" t="s">
        <v>330</v>
      </c>
      <c r="H413" s="347">
        <v>520</v>
      </c>
      <c r="I413" s="386">
        <v>6</v>
      </c>
      <c r="J413" s="347">
        <v>58.3</v>
      </c>
      <c r="K413" s="347"/>
      <c r="L413" s="394">
        <f t="shared" si="1078"/>
        <v>0.868004223864836</v>
      </c>
      <c r="M413" s="349"/>
      <c r="N413" s="347"/>
      <c r="O413" s="347">
        <f>IFERROR(_xlfn.XLOOKUP(E413,轮胎重量!S:S,轮胎重量!P:P),IFERROR(_xlfn.XLOOKUP(E413,轮胎重量!AB:AB,轮胎重量!Y:Y),IFERROR(_xlfn.XLOOKUP(E413,轮胎重量!AK:AK,轮胎重量!AH:AH),IFERROR(_xlfn.XLOOKUP(E413,轮胎重量!AT:AT,轮胎重量!AQ:AQ),""))))</f>
        <v>61.58</v>
      </c>
      <c r="P413" s="350">
        <f>O413*14.76</f>
        <v>908.9208</v>
      </c>
      <c r="Q413" s="347">
        <f t="shared" si="1059"/>
        <v>130</v>
      </c>
      <c r="R413" s="347">
        <v>88</v>
      </c>
      <c r="S413" s="347">
        <v>88</v>
      </c>
      <c r="T413" s="347">
        <v>88</v>
      </c>
      <c r="U413" s="347">
        <v>88</v>
      </c>
      <c r="V413" s="347">
        <v>88</v>
      </c>
      <c r="W413" s="347">
        <v>88</v>
      </c>
      <c r="X413" s="347"/>
      <c r="Y413" s="347"/>
      <c r="Z413" s="347"/>
      <c r="AA413" s="347"/>
      <c r="AB413" s="347"/>
      <c r="AC413" s="347"/>
      <c r="AD413" s="347"/>
      <c r="AE413" s="347"/>
      <c r="AF413" s="347"/>
      <c r="AG413" s="347"/>
      <c r="AH413" s="347"/>
      <c r="AI413" s="347"/>
      <c r="AJ413" s="347"/>
      <c r="AK413" s="347"/>
      <c r="AL413" s="347"/>
      <c r="AM413" s="347"/>
      <c r="AN413" s="347"/>
      <c r="AO413" s="347"/>
      <c r="AP413" s="347"/>
      <c r="AQ413" s="347"/>
      <c r="AR413" s="347"/>
      <c r="AS413" s="347"/>
      <c r="AT413" s="347"/>
      <c r="AU413" s="347"/>
      <c r="AV413" s="347"/>
      <c r="AW413" s="347">
        <f t="shared" si="1060"/>
        <v>528</v>
      </c>
      <c r="AX413" s="365">
        <f t="shared" si="1061"/>
        <v>32.51424</v>
      </c>
      <c r="AY413" s="365">
        <f t="shared" si="1062"/>
        <v>47.991</v>
      </c>
      <c r="AZ413" s="347">
        <v>700.5375</v>
      </c>
      <c r="BA413" s="347">
        <v>42.4245</v>
      </c>
      <c r="BB413" s="347">
        <v>58.2922</v>
      </c>
      <c r="BC413" s="347">
        <v>51.336</v>
      </c>
      <c r="BD413" s="347"/>
      <c r="BE413" s="347">
        <f t="shared" si="1063"/>
        <v>369883.8</v>
      </c>
      <c r="BF413" s="347">
        <f t="shared" si="1064"/>
        <v>22400.136</v>
      </c>
      <c r="BG413" s="347">
        <f t="shared" si="1065"/>
        <v>30778.2816</v>
      </c>
      <c r="BH413" s="347">
        <f t="shared" si="1066"/>
        <v>27105.408</v>
      </c>
      <c r="BI413" s="347"/>
      <c r="BJ413" s="347" cm="1">
        <f t="array" ref="BJ413:BM413">_xlfn.LET(_xlpm.data,$R413:$AV413,_xlpm.starts,{1,8,16,23},_xlpm.lengths,{7,7,8,9},_xlpm.arr,_xlfn.MAP(_xlpm.starts,_xlpm.lengths,_xlfn.LAMBDA(_xlpm.s,_xlpm.l,SUM(INDEX(_xlpm.data,,_xlfn.SEQUENCE(,_xlpm.l,_xlpm.s))))),ROUND(_xlpm.arr*$O413/1000,2))</f>
        <v>32.51</v>
      </c>
      <c r="BK413" s="347">
        <v>0</v>
      </c>
      <c r="BL413" s="347">
        <v>0</v>
      </c>
      <c r="BM413" s="347">
        <v>0</v>
      </c>
      <c r="BN413" s="347">
        <f t="shared" si="1067"/>
        <v>32.51</v>
      </c>
      <c r="BO413" s="347">
        <v>0</v>
      </c>
      <c r="BP413" s="347">
        <v>0</v>
      </c>
      <c r="BQ413" s="347">
        <v>0</v>
      </c>
      <c r="BR413" s="347">
        <v>0</v>
      </c>
      <c r="BS413" s="347" t="s">
        <v>315</v>
      </c>
      <c r="BT413" s="365"/>
      <c r="BU413" s="365"/>
      <c r="BV413" s="366"/>
      <c r="BW413" s="368"/>
      <c r="BX413" s="368" t="s">
        <v>315</v>
      </c>
      <c r="BY413" s="258">
        <f t="shared" si="1068"/>
        <v>528</v>
      </c>
      <c r="BZ413" s="258">
        <f t="shared" si="1069"/>
        <v>0</v>
      </c>
      <c r="CA413" s="258">
        <f t="shared" si="1070"/>
        <v>0</v>
      </c>
      <c r="CB413" s="258">
        <f t="shared" si="1071"/>
        <v>0</v>
      </c>
      <c r="CC413" s="330"/>
      <c r="CD413" s="330"/>
      <c r="CE413" s="330">
        <f t="shared" si="1072"/>
        <v>32.51</v>
      </c>
      <c r="CF413" s="370">
        <f t="shared" si="1073"/>
        <v>0</v>
      </c>
      <c r="CG413" s="330">
        <f t="shared" si="1074"/>
        <v>0</v>
      </c>
      <c r="CH413" s="330">
        <f t="shared" si="1075"/>
        <v>0</v>
      </c>
      <c r="CI413" s="330">
        <f t="shared" si="1076"/>
        <v>32.51</v>
      </c>
      <c r="CK413" s="258">
        <f t="shared" ref="CK413:CN413" si="1093">IFERROR(ROUND(BY413*$P413,2),"")</f>
        <v>479910.18</v>
      </c>
      <c r="CL413" s="258">
        <f t="shared" si="1093"/>
        <v>0</v>
      </c>
      <c r="CM413" s="258">
        <f t="shared" si="1093"/>
        <v>0</v>
      </c>
      <c r="CN413" s="258">
        <f t="shared" si="1093"/>
        <v>0</v>
      </c>
      <c r="CP413" s="258" t="e">
        <f>VLOOKUP(G413,[2]Sheet1!$C$3:$G$310,5,0)</f>
        <v>#N/A</v>
      </c>
      <c r="CQ413" s="258">
        <f>VLOOKUP(G413,[3]KCBB0101!$C$3:$F$691,4,0)</f>
        <v>4378</v>
      </c>
    </row>
    <row r="414" s="258" customFormat="1" spans="1:95">
      <c r="A414" s="330"/>
      <c r="B414" s="347" t="s">
        <v>695</v>
      </c>
      <c r="C414" s="347" t="str">
        <f t="shared" si="1056"/>
        <v>20</v>
      </c>
      <c r="D414" s="347" t="str">
        <f t="shared" si="1057"/>
        <v>载重20寸</v>
      </c>
      <c r="E414" s="385" t="str">
        <f t="shared" si="1058"/>
        <v>10.00-20-18PR-R9037</v>
      </c>
      <c r="F414" s="385"/>
      <c r="G414" s="385" t="s">
        <v>331</v>
      </c>
      <c r="H414" s="347">
        <v>750</v>
      </c>
      <c r="I414" s="386">
        <v>6</v>
      </c>
      <c r="J414" s="347">
        <v>58.3</v>
      </c>
      <c r="K414" s="347"/>
      <c r="L414" s="349">
        <f t="shared" si="1078"/>
        <v>0.874937468734367</v>
      </c>
      <c r="M414" s="349"/>
      <c r="N414" s="347"/>
      <c r="O414" s="347">
        <f>IFERROR(_xlfn.XLOOKUP(E414,轮胎重量!S:S,轮胎重量!P:P),IFERROR(_xlfn.XLOOKUP(E414,轮胎重量!AB:AB,轮胎重量!Y:Y),IFERROR(_xlfn.XLOOKUP(E414,轮胎重量!AK:AK,轮胎重量!AH:AH),IFERROR(_xlfn.XLOOKUP(E414,轮胎重量!AT:AT,轮胎重量!AQ:AQ),""))))</f>
        <v>61.58</v>
      </c>
      <c r="P414" s="350">
        <f>O414*14.76</f>
        <v>908.9208</v>
      </c>
      <c r="Q414" s="347">
        <f t="shared" si="1059"/>
        <v>130</v>
      </c>
      <c r="R414" s="347"/>
      <c r="S414" s="347"/>
      <c r="T414" s="347"/>
      <c r="U414" s="347"/>
      <c r="V414" s="347"/>
      <c r="W414" s="347"/>
      <c r="X414" s="347">
        <v>88</v>
      </c>
      <c r="Y414" s="347">
        <v>88</v>
      </c>
      <c r="Z414" s="347">
        <v>88</v>
      </c>
      <c r="AA414" s="347">
        <v>88</v>
      </c>
      <c r="AB414" s="347">
        <v>88</v>
      </c>
      <c r="AC414" s="347">
        <v>88</v>
      </c>
      <c r="AD414" s="347">
        <v>88</v>
      </c>
      <c r="AE414" s="347">
        <v>88</v>
      </c>
      <c r="AF414" s="347">
        <v>88</v>
      </c>
      <c r="AG414" s="347"/>
      <c r="AH414" s="347"/>
      <c r="AI414" s="347"/>
      <c r="AJ414" s="347"/>
      <c r="AK414" s="347"/>
      <c r="AL414" s="347"/>
      <c r="AM414" s="347"/>
      <c r="AN414" s="347"/>
      <c r="AO414" s="347"/>
      <c r="AP414" s="347"/>
      <c r="AQ414" s="347"/>
      <c r="AR414" s="347"/>
      <c r="AS414" s="347"/>
      <c r="AT414" s="347"/>
      <c r="AU414" s="347"/>
      <c r="AV414" s="347"/>
      <c r="AW414" s="347">
        <f t="shared" si="1060"/>
        <v>792</v>
      </c>
      <c r="AX414" s="365">
        <f t="shared" si="1061"/>
        <v>48.77136</v>
      </c>
      <c r="AY414" s="365">
        <f t="shared" si="1062"/>
        <v>71.987</v>
      </c>
      <c r="AZ414" s="347">
        <v>700.5375</v>
      </c>
      <c r="BA414" s="347">
        <v>42.4245</v>
      </c>
      <c r="BB414" s="347">
        <v>58.2922</v>
      </c>
      <c r="BC414" s="347">
        <v>51.336</v>
      </c>
      <c r="BD414" s="347"/>
      <c r="BE414" s="347">
        <f t="shared" si="1063"/>
        <v>554825.7</v>
      </c>
      <c r="BF414" s="347">
        <f t="shared" si="1064"/>
        <v>33600.204</v>
      </c>
      <c r="BG414" s="347">
        <f t="shared" si="1065"/>
        <v>46167.4224</v>
      </c>
      <c r="BH414" s="347">
        <f t="shared" si="1066"/>
        <v>40658.112</v>
      </c>
      <c r="BI414" s="347"/>
      <c r="BJ414" s="347" cm="1">
        <f t="array" ref="BJ414:BM414">_xlfn.LET(_xlpm.data,$R414:$AV414,_xlpm.starts,{1,8,16,23},_xlpm.lengths,{7,7,8,9},_xlpm.arr,_xlfn.MAP(_xlpm.starts,_xlpm.lengths,_xlfn.LAMBDA(_xlpm.s,_xlpm.l,SUM(INDEX(_xlpm.data,,_xlfn.SEQUENCE(,_xlpm.l,_xlpm.s))))),ROUND(_xlpm.arr*$O414/1000,2))</f>
        <v>5.42</v>
      </c>
      <c r="BK414" s="347">
        <v>37.93</v>
      </c>
      <c r="BL414" s="347">
        <v>0</v>
      </c>
      <c r="BM414" s="347">
        <v>0</v>
      </c>
      <c r="BN414" s="347">
        <f t="shared" si="1067"/>
        <v>43.35</v>
      </c>
      <c r="BO414" s="347">
        <v>0</v>
      </c>
      <c r="BP414" s="347">
        <v>0</v>
      </c>
      <c r="BQ414" s="347">
        <v>0</v>
      </c>
      <c r="BR414" s="347">
        <v>0</v>
      </c>
      <c r="BS414" s="347" t="s">
        <v>315</v>
      </c>
      <c r="BT414" s="365"/>
      <c r="BU414" s="365"/>
      <c r="BV414" s="366"/>
      <c r="BW414" s="368"/>
      <c r="BX414" s="368" t="s">
        <v>315</v>
      </c>
      <c r="BY414" s="258">
        <f t="shared" si="1068"/>
        <v>88</v>
      </c>
      <c r="BZ414" s="258">
        <f t="shared" si="1069"/>
        <v>616</v>
      </c>
      <c r="CA414" s="258">
        <f t="shared" si="1070"/>
        <v>88</v>
      </c>
      <c r="CB414" s="258">
        <f t="shared" si="1071"/>
        <v>0</v>
      </c>
      <c r="CC414" s="330"/>
      <c r="CD414" s="330"/>
      <c r="CE414" s="330">
        <f t="shared" si="1072"/>
        <v>5.42</v>
      </c>
      <c r="CF414" s="370">
        <f t="shared" si="1073"/>
        <v>37.93</v>
      </c>
      <c r="CG414" s="330">
        <f t="shared" si="1074"/>
        <v>5.42</v>
      </c>
      <c r="CH414" s="330">
        <f t="shared" si="1075"/>
        <v>0</v>
      </c>
      <c r="CI414" s="330">
        <f t="shared" si="1076"/>
        <v>48.77</v>
      </c>
      <c r="CK414" s="258">
        <f t="shared" ref="CK414:CN414" si="1094">IFERROR(ROUND(BY414*$P414,2),"")</f>
        <v>79985.03</v>
      </c>
      <c r="CL414" s="258">
        <f t="shared" si="1094"/>
        <v>559895.21</v>
      </c>
      <c r="CM414" s="258">
        <f t="shared" si="1094"/>
        <v>79985.03</v>
      </c>
      <c r="CN414" s="258">
        <f t="shared" si="1094"/>
        <v>0</v>
      </c>
      <c r="CP414" s="258" t="e">
        <f>VLOOKUP(G414,[2]Sheet1!$C$3:$G$310,5,0)</f>
        <v>#N/A</v>
      </c>
      <c r="CQ414" s="258">
        <f>VLOOKUP(G414,[3]KCBB0101!$C$3:$F$691,4,0)</f>
        <v>6298</v>
      </c>
    </row>
    <row r="415" s="258" customFormat="1" spans="1:95">
      <c r="A415" s="330"/>
      <c r="B415" s="347" t="s">
        <v>695</v>
      </c>
      <c r="C415" s="347" t="str">
        <f t="shared" si="1056"/>
        <v>20</v>
      </c>
      <c r="D415" s="347" t="str">
        <f t="shared" si="1057"/>
        <v>载重20寸</v>
      </c>
      <c r="E415" s="385" t="str">
        <f t="shared" si="1058"/>
        <v>10.00-20-18PR-R9038</v>
      </c>
      <c r="F415" s="385"/>
      <c r="G415" s="385" t="s">
        <v>332</v>
      </c>
      <c r="H415" s="347">
        <v>550</v>
      </c>
      <c r="I415" s="386">
        <v>6</v>
      </c>
      <c r="J415" s="347">
        <v>58.3</v>
      </c>
      <c r="K415" s="347"/>
      <c r="L415" s="349">
        <f t="shared" si="1078"/>
        <v>0.874937468734367</v>
      </c>
      <c r="M415" s="349"/>
      <c r="N415" s="347"/>
      <c r="O415" s="347">
        <f>IFERROR(_xlfn.XLOOKUP(E415,轮胎重量!S:S,轮胎重量!P:P),IFERROR(_xlfn.XLOOKUP(E415,轮胎重量!AB:AB,轮胎重量!Y:Y),IFERROR(_xlfn.XLOOKUP(E415,轮胎重量!AK:AK,轮胎重量!AH:AH),IFERROR(_xlfn.XLOOKUP(E415,轮胎重量!AT:AT,轮胎重量!AQ:AQ),""))))</f>
        <v>59.44</v>
      </c>
      <c r="P415" s="347">
        <f>IFERROR(_xlfn.XLOOKUP(E415,硫化工艺!I:I,硫化工艺!J:J),"")</f>
        <v>924.74067</v>
      </c>
      <c r="Q415" s="347">
        <f t="shared" si="1059"/>
        <v>122</v>
      </c>
      <c r="R415" s="347"/>
      <c r="S415" s="347"/>
      <c r="T415" s="347"/>
      <c r="U415" s="347"/>
      <c r="V415" s="347"/>
      <c r="W415" s="347"/>
      <c r="X415" s="347"/>
      <c r="Y415" s="347"/>
      <c r="Z415" s="347"/>
      <c r="AA415" s="347"/>
      <c r="AB415" s="347"/>
      <c r="AC415" s="347"/>
      <c r="AD415" s="347"/>
      <c r="AE415" s="347"/>
      <c r="AF415" s="347"/>
      <c r="AG415" s="347"/>
      <c r="AH415" s="347"/>
      <c r="AI415" s="347"/>
      <c r="AJ415" s="347"/>
      <c r="AK415" s="347"/>
      <c r="AL415" s="350"/>
      <c r="AM415" s="347"/>
      <c r="AN415" s="347"/>
      <c r="AO415" s="347"/>
      <c r="AP415" s="347">
        <v>88</v>
      </c>
      <c r="AQ415" s="347">
        <v>88</v>
      </c>
      <c r="AR415" s="347">
        <v>88</v>
      </c>
      <c r="AS415" s="347">
        <v>88</v>
      </c>
      <c r="AT415" s="347">
        <v>88</v>
      </c>
      <c r="AU415" s="347">
        <v>88</v>
      </c>
      <c r="AV415" s="347">
        <v>88</v>
      </c>
      <c r="AW415" s="347">
        <f t="shared" si="1060"/>
        <v>616</v>
      </c>
      <c r="AX415" s="365">
        <f t="shared" si="1061"/>
        <v>36.61504</v>
      </c>
      <c r="AY415" s="365">
        <f t="shared" si="1062"/>
        <v>56.964</v>
      </c>
      <c r="AZ415" s="347">
        <v>700.5375</v>
      </c>
      <c r="BA415" s="347">
        <v>42.4245</v>
      </c>
      <c r="BB415" s="347">
        <v>58.2922</v>
      </c>
      <c r="BC415" s="347">
        <v>51.336</v>
      </c>
      <c r="BD415" s="347"/>
      <c r="BE415" s="347">
        <f t="shared" si="1063"/>
        <v>431531.1</v>
      </c>
      <c r="BF415" s="347">
        <f t="shared" si="1064"/>
        <v>26133.492</v>
      </c>
      <c r="BG415" s="347">
        <f t="shared" si="1065"/>
        <v>35907.9952</v>
      </c>
      <c r="BH415" s="347">
        <f t="shared" si="1066"/>
        <v>31622.976</v>
      </c>
      <c r="BI415" s="347"/>
      <c r="BJ415" s="347" cm="1">
        <f t="array" ref="BJ415:BM415">_xlfn.LET(_xlpm.data,$R415:$AV415,_xlpm.starts,{1,8,16,23},_xlpm.lengths,{7,7,8,9},_xlpm.arr,_xlfn.MAP(_xlpm.starts,_xlpm.lengths,_xlfn.LAMBDA(_xlpm.s,_xlpm.l,SUM(INDEX(_xlpm.data,,_xlfn.SEQUENCE(,_xlpm.l,_xlpm.s))))),ROUND(_xlpm.arr*$O415/1000,2))</f>
        <v>0</v>
      </c>
      <c r="BK415" s="347">
        <v>0</v>
      </c>
      <c r="BL415" s="347">
        <v>0</v>
      </c>
      <c r="BM415" s="347">
        <v>36.62</v>
      </c>
      <c r="BN415" s="347">
        <f t="shared" si="1067"/>
        <v>36.62</v>
      </c>
      <c r="BO415" s="347">
        <v>0</v>
      </c>
      <c r="BP415" s="347">
        <v>0</v>
      </c>
      <c r="BQ415" s="347">
        <v>0</v>
      </c>
      <c r="BR415" s="347">
        <v>0</v>
      </c>
      <c r="BS415" s="347" t="s">
        <v>315</v>
      </c>
      <c r="BT415" s="365"/>
      <c r="BU415" s="365"/>
      <c r="BV415" s="366"/>
      <c r="BW415" s="368"/>
      <c r="BX415" s="368" t="s">
        <v>315</v>
      </c>
      <c r="BY415" s="258">
        <f t="shared" ref="BY415:BY458" si="1095">SUM(R415:X415)</f>
        <v>0</v>
      </c>
      <c r="BZ415" s="258">
        <f t="shared" ref="BZ415:BZ458" si="1096">SUM(Y415:AE415)</f>
        <v>0</v>
      </c>
      <c r="CA415" s="258">
        <f t="shared" ref="CA415:CA458" si="1097">SUM(AF415:AM415)</f>
        <v>0</v>
      </c>
      <c r="CB415" s="258">
        <f t="shared" ref="CB415:CB458" si="1098">SUM(AN415:AV415)</f>
        <v>616</v>
      </c>
      <c r="CC415" s="330"/>
      <c r="CD415" s="330"/>
      <c r="CE415" s="330">
        <f t="shared" si="1072"/>
        <v>0</v>
      </c>
      <c r="CF415" s="370">
        <f t="shared" si="1073"/>
        <v>0</v>
      </c>
      <c r="CG415" s="330">
        <f t="shared" si="1074"/>
        <v>0</v>
      </c>
      <c r="CH415" s="330">
        <f t="shared" si="1075"/>
        <v>36.62</v>
      </c>
      <c r="CI415" s="330">
        <f t="shared" si="1076"/>
        <v>36.62</v>
      </c>
      <c r="CK415" s="258">
        <f t="shared" ref="CK415:CN415" si="1099">IFERROR(ROUND(BY415*$P415,2),"")</f>
        <v>0</v>
      </c>
      <c r="CL415" s="258">
        <f t="shared" si="1099"/>
        <v>0</v>
      </c>
      <c r="CM415" s="258">
        <f t="shared" si="1099"/>
        <v>0</v>
      </c>
      <c r="CN415" s="258">
        <f t="shared" si="1099"/>
        <v>569640.25</v>
      </c>
      <c r="CP415" s="258" t="e">
        <f>VLOOKUP(G415,[2]Sheet1!$C$3:$G$310,5,0)</f>
        <v>#N/A</v>
      </c>
      <c r="CQ415" s="258">
        <f>VLOOKUP(G415,[3]KCBB0101!$C$3:$F$691,4,0)</f>
        <v>4090</v>
      </c>
    </row>
    <row r="416" s="258" customFormat="1" ht="17" spans="1:110">
      <c r="A416" s="330"/>
      <c r="B416" s="347" t="s">
        <v>695</v>
      </c>
      <c r="C416" s="347" t="str">
        <f t="shared" si="1056"/>
        <v>20</v>
      </c>
      <c r="D416" s="347" t="str">
        <f t="shared" ref="D416:D428" si="1100">"载重"&amp;C416&amp;"寸"</f>
        <v>载重20寸</v>
      </c>
      <c r="E416" s="385" t="str">
        <f t="shared" si="1058"/>
        <v>11.00-20-18PR-CL969</v>
      </c>
      <c r="F416" s="385"/>
      <c r="G416" s="385" t="s">
        <v>333</v>
      </c>
      <c r="H416" s="347">
        <v>100</v>
      </c>
      <c r="I416" s="386">
        <v>2</v>
      </c>
      <c r="J416" s="347">
        <v>58.3</v>
      </c>
      <c r="K416" s="347"/>
      <c r="L416" s="349">
        <f>IF(J395="","",J395/(J395+$J$378/60))</f>
        <v>0.820916905444126</v>
      </c>
      <c r="M416" s="349"/>
      <c r="N416" s="347"/>
      <c r="O416" s="347">
        <f>IFERROR(_xlfn.XLOOKUP(E416,轮胎重量!S:S,轮胎重量!P:P),IFERROR(_xlfn.XLOOKUP(E416,轮胎重量!AB:AB,轮胎重量!Y:Y),IFERROR(_xlfn.XLOOKUP(E416,轮胎重量!AK:AK,轮胎重量!AH:AH),IFERROR(_xlfn.XLOOKUP(E416,轮胎重量!AT:AT,轮胎重量!AQ:AQ),""))))</f>
        <v>58.96</v>
      </c>
      <c r="P416" s="350">
        <f t="shared" ref="P416:P422" si="1101">O416*14.76</f>
        <v>870.2496</v>
      </c>
      <c r="Q416" s="347">
        <f t="shared" ref="Q416:Q430" si="1102">IFERROR(ROUND(1440/J416*I416*L417,0),"")</f>
        <v>43</v>
      </c>
      <c r="R416" s="347"/>
      <c r="S416" s="347"/>
      <c r="T416" s="347"/>
      <c r="U416" s="347"/>
      <c r="V416" s="347"/>
      <c r="W416" s="347"/>
      <c r="X416" s="347"/>
      <c r="Y416" s="347"/>
      <c r="Z416" s="347"/>
      <c r="AA416" s="347"/>
      <c r="AB416" s="347"/>
      <c r="AC416" s="347"/>
      <c r="AD416" s="347"/>
      <c r="AE416" s="347"/>
      <c r="AF416" s="347"/>
      <c r="AG416" s="347"/>
      <c r="AH416" s="347"/>
      <c r="AI416" s="347"/>
      <c r="AJ416" s="347"/>
      <c r="AK416" s="347"/>
      <c r="AL416" s="350"/>
      <c r="AM416" s="347"/>
      <c r="AN416" s="347"/>
      <c r="AO416" s="347"/>
      <c r="AP416" s="347"/>
      <c r="AQ416" s="347"/>
      <c r="AR416" s="347"/>
      <c r="AS416" s="347"/>
      <c r="AT416" s="347"/>
      <c r="AU416" s="347"/>
      <c r="AV416" s="347"/>
      <c r="AW416" s="347" t="str">
        <f t="shared" ref="AW416:AW433" si="1103">IF(SUM(R416:AV416)=0,"",SUM(R416:AV416))</f>
        <v/>
      </c>
      <c r="AX416" s="365" t="str">
        <f t="shared" ref="AX416:AX433" si="1104">IFERROR(AW416*O416/1000,"")</f>
        <v/>
      </c>
      <c r="AY416" s="365" t="str">
        <f t="shared" ref="AY416:AY433" si="1105">IFERROR(ROUND(AW416*P416/10000,3),"")</f>
        <v/>
      </c>
      <c r="AZ416" s="347">
        <v>715.7485</v>
      </c>
      <c r="BA416" s="347">
        <v>42.8224</v>
      </c>
      <c r="BB416" s="347">
        <v>58.839</v>
      </c>
      <c r="BC416" s="347">
        <v>51.8175</v>
      </c>
      <c r="BD416" s="347"/>
      <c r="BE416" s="347" t="e">
        <f t="shared" ref="BE416:BE430" si="1106">AZ416*AW416</f>
        <v>#VALUE!</v>
      </c>
      <c r="BF416" s="347" t="e">
        <f t="shared" ref="BF416:BF430" si="1107">BA416*AW416</f>
        <v>#VALUE!</v>
      </c>
      <c r="BG416" s="347" t="e">
        <f t="shared" ref="BG416:BG430" si="1108">BB416*AW416</f>
        <v>#VALUE!</v>
      </c>
      <c r="BH416" s="347" t="e">
        <f t="shared" ref="BH416:BH430" si="1109">BC416*AW416</f>
        <v>#VALUE!</v>
      </c>
      <c r="BI416" s="347"/>
      <c r="BJ416" s="347" cm="1">
        <f t="array" ref="BJ416:BM416">_xlfn.LET(_xlpm.data,$R416:$AV416,_xlpm.starts,{1,8,16,23},_xlpm.lengths,{7,7,8,9},_xlpm.arr,_xlfn.MAP(_xlpm.starts,_xlpm.lengths,_xlfn.LAMBDA(_xlpm.s,_xlpm.l,SUM(INDEX(_xlpm.data,,_xlfn.SEQUENCE(,_xlpm.l,_xlpm.s))))),ROUND(_xlpm.arr*$O416/1000,2))</f>
        <v>0</v>
      </c>
      <c r="BK416" s="347">
        <v>0</v>
      </c>
      <c r="BL416" s="347">
        <v>0</v>
      </c>
      <c r="BM416" s="347">
        <v>0</v>
      </c>
      <c r="BN416" s="347">
        <f t="shared" ref="BN416:BN432" si="1110">SUM(BJ416:BM416)</f>
        <v>0</v>
      </c>
      <c r="BO416" s="347">
        <v>5.51</v>
      </c>
      <c r="BP416" s="347">
        <v>19.29</v>
      </c>
      <c r="BQ416" s="347">
        <v>5.51</v>
      </c>
      <c r="BR416" s="347">
        <v>0</v>
      </c>
      <c r="BS416" s="347" t="s">
        <v>315</v>
      </c>
      <c r="BT416" s="365"/>
      <c r="BU416" s="365"/>
      <c r="BV416" s="366"/>
      <c r="BW416" s="368"/>
      <c r="BX416" s="368" t="s">
        <v>315</v>
      </c>
      <c r="BY416" s="258">
        <f t="shared" si="1095"/>
        <v>0</v>
      </c>
      <c r="BZ416" s="258">
        <f t="shared" si="1096"/>
        <v>0</v>
      </c>
      <c r="CA416" s="258">
        <f t="shared" si="1097"/>
        <v>0</v>
      </c>
      <c r="CB416" s="258">
        <f t="shared" si="1098"/>
        <v>0</v>
      </c>
      <c r="CC416" s="330"/>
      <c r="CD416" s="330" t="s">
        <v>702</v>
      </c>
      <c r="CE416" s="330">
        <f t="shared" ref="CE416:CE423" si="1111">ROUND(BY416*$O416/1000,2)</f>
        <v>0</v>
      </c>
      <c r="CF416" s="370">
        <f t="shared" ref="CF416:CF423" si="1112">ROUND(BZ416*$O416/1000,2)</f>
        <v>0</v>
      </c>
      <c r="CG416" s="330">
        <f t="shared" ref="CG416:CG423" si="1113">ROUND(CA416*$O416/1000,2)</f>
        <v>0</v>
      </c>
      <c r="CH416" s="330">
        <f t="shared" ref="CH416:CH423" si="1114">ROUND(CB416*$O416/1000,2)</f>
        <v>0</v>
      </c>
      <c r="CI416" s="330">
        <f t="shared" ref="CI416:CI430" si="1115">SUM(CE416:CH416)</f>
        <v>0</v>
      </c>
      <c r="CK416" s="258">
        <f t="shared" ref="CK416:CN416" si="1116">IFERROR(ROUND(BY416*$P416,2),"")</f>
        <v>0</v>
      </c>
      <c r="CL416" s="258">
        <f t="shared" si="1116"/>
        <v>0</v>
      </c>
      <c r="CM416" s="258">
        <f t="shared" si="1116"/>
        <v>0</v>
      </c>
      <c r="CN416" s="258">
        <f t="shared" si="1116"/>
        <v>0</v>
      </c>
      <c r="CO416" s="115">
        <f t="shared" ref="CO416:CO429" si="1117">SUM(CK416:CN416)</f>
        <v>0</v>
      </c>
      <c r="CZ416" s="113"/>
      <c r="DA416" s="258"/>
      <c r="DB416" s="258"/>
      <c r="DC416" s="258"/>
      <c r="DD416" s="258"/>
      <c r="DE416" s="258"/>
      <c r="DF416" s="113"/>
    </row>
    <row r="417" s="258" customFormat="1" spans="1:110">
      <c r="A417" s="330"/>
      <c r="B417" s="347" t="s">
        <v>695</v>
      </c>
      <c r="C417" s="347" t="str">
        <f t="shared" si="1056"/>
        <v>20</v>
      </c>
      <c r="D417" s="347" t="str">
        <f t="shared" si="1100"/>
        <v>载重20寸</v>
      </c>
      <c r="E417" s="385" t="str">
        <f t="shared" si="1058"/>
        <v>11.00-20-18PR-CL969</v>
      </c>
      <c r="F417" s="385"/>
      <c r="G417" s="385" t="s">
        <v>334</v>
      </c>
      <c r="H417" s="347">
        <v>750</v>
      </c>
      <c r="I417" s="386">
        <v>2</v>
      </c>
      <c r="J417" s="347">
        <v>58.3</v>
      </c>
      <c r="K417" s="347"/>
      <c r="L417" s="349">
        <f t="shared" ref="L416:L431" si="1118">IF(J416="","",J416/(J416+$J$378/60))</f>
        <v>0.874937468734367</v>
      </c>
      <c r="M417" s="349"/>
      <c r="N417" s="347"/>
      <c r="O417" s="347">
        <f>IFERROR(_xlfn.XLOOKUP(E417,轮胎重量!S:S,轮胎重量!P:P),IFERROR(_xlfn.XLOOKUP(E417,轮胎重量!AB:AB,轮胎重量!Y:Y),IFERROR(_xlfn.XLOOKUP(E417,轮胎重量!AK:AK,轮胎重量!AH:AH),IFERROR(_xlfn.XLOOKUP(E417,轮胎重量!AT:AT,轮胎重量!AQ:AQ),""))))</f>
        <v>58.96</v>
      </c>
      <c r="P417" s="350">
        <f t="shared" si="1101"/>
        <v>870.2496</v>
      </c>
      <c r="Q417" s="347">
        <f t="shared" si="1102"/>
        <v>43</v>
      </c>
      <c r="R417" s="347"/>
      <c r="S417" s="347"/>
      <c r="T417" s="347"/>
      <c r="U417" s="347"/>
      <c r="V417" s="347"/>
      <c r="W417" s="347"/>
      <c r="X417" s="347"/>
      <c r="Y417" s="347"/>
      <c r="Z417" s="347"/>
      <c r="AA417" s="347"/>
      <c r="AB417" s="347"/>
      <c r="AC417" s="347"/>
      <c r="AD417" s="347"/>
      <c r="AE417" s="347"/>
      <c r="AF417" s="347"/>
      <c r="AG417" s="347">
        <v>44</v>
      </c>
      <c r="AH417" s="347">
        <v>44</v>
      </c>
      <c r="AI417" s="347">
        <v>44</v>
      </c>
      <c r="AJ417" s="347">
        <v>44</v>
      </c>
      <c r="AK417" s="347">
        <v>44</v>
      </c>
      <c r="AL417" s="347">
        <v>44</v>
      </c>
      <c r="AM417" s="347">
        <v>44</v>
      </c>
      <c r="AN417" s="347">
        <v>44</v>
      </c>
      <c r="AO417" s="347">
        <v>44</v>
      </c>
      <c r="AP417" s="347">
        <v>44</v>
      </c>
      <c r="AQ417" s="347">
        <v>44</v>
      </c>
      <c r="AR417" s="347">
        <v>44</v>
      </c>
      <c r="AS417" s="347">
        <v>44</v>
      </c>
      <c r="AT417" s="347">
        <v>44</v>
      </c>
      <c r="AU417" s="347">
        <v>44</v>
      </c>
      <c r="AV417" s="347">
        <v>44</v>
      </c>
      <c r="AW417" s="347">
        <f t="shared" si="1103"/>
        <v>704</v>
      </c>
      <c r="AX417" s="365">
        <f t="shared" si="1104"/>
        <v>41.50784</v>
      </c>
      <c r="AY417" s="365">
        <f t="shared" si="1105"/>
        <v>61.266</v>
      </c>
      <c r="AZ417" s="347">
        <v>700.5375</v>
      </c>
      <c r="BA417" s="347">
        <v>42.4245</v>
      </c>
      <c r="BB417" s="347">
        <v>58.2922</v>
      </c>
      <c r="BC417" s="347">
        <v>51.336</v>
      </c>
      <c r="BD417" s="347"/>
      <c r="BE417" s="347">
        <f t="shared" si="1106"/>
        <v>493178.4</v>
      </c>
      <c r="BF417" s="347">
        <f t="shared" si="1107"/>
        <v>29866.848</v>
      </c>
      <c r="BG417" s="347">
        <f t="shared" si="1108"/>
        <v>41037.7088</v>
      </c>
      <c r="BH417" s="347">
        <f t="shared" si="1109"/>
        <v>36140.544</v>
      </c>
      <c r="BI417" s="347"/>
      <c r="BJ417" s="347" cm="1">
        <f t="array" ref="BJ417:BM417">_xlfn.LET(_xlpm.data,$R417:$AV417,_xlpm.starts,{1,8,16,23},_xlpm.lengths,{7,7,8,9},_xlpm.arr,_xlfn.MAP(_xlpm.starts,_xlpm.lengths,_xlfn.LAMBDA(_xlpm.s,_xlpm.l,SUM(INDEX(_xlpm.data,,_xlfn.SEQUENCE(,_xlpm.l,_xlpm.s))))),ROUND(_xlpm.arr*$O417/1000,2))</f>
        <v>0</v>
      </c>
      <c r="BK417" s="347">
        <v>0</v>
      </c>
      <c r="BL417" s="347">
        <v>20.75</v>
      </c>
      <c r="BM417" s="347">
        <v>23.35</v>
      </c>
      <c r="BN417" s="347">
        <f t="shared" si="1110"/>
        <v>44.1</v>
      </c>
      <c r="BO417" s="347">
        <v>0</v>
      </c>
      <c r="BP417" s="347">
        <v>0</v>
      </c>
      <c r="BQ417" s="347">
        <v>16.54</v>
      </c>
      <c r="BR417" s="347">
        <v>24.8</v>
      </c>
      <c r="BS417" s="347" t="s">
        <v>315</v>
      </c>
      <c r="BT417" s="365"/>
      <c r="BU417" s="365"/>
      <c r="BV417" s="366"/>
      <c r="BW417" s="368"/>
      <c r="BX417" s="368" t="s">
        <v>315</v>
      </c>
      <c r="BY417" s="258">
        <f t="shared" si="1095"/>
        <v>0</v>
      </c>
      <c r="BZ417" s="258">
        <f t="shared" si="1096"/>
        <v>0</v>
      </c>
      <c r="CA417" s="258">
        <f t="shared" si="1097"/>
        <v>308</v>
      </c>
      <c r="CB417" s="258">
        <f t="shared" si="1098"/>
        <v>396</v>
      </c>
      <c r="CC417" s="330"/>
      <c r="CD417" s="330">
        <v>10.1</v>
      </c>
      <c r="CE417" s="330">
        <f t="shared" si="1111"/>
        <v>0</v>
      </c>
      <c r="CF417" s="370">
        <f t="shared" si="1112"/>
        <v>0</v>
      </c>
      <c r="CG417" s="330">
        <f t="shared" si="1113"/>
        <v>18.16</v>
      </c>
      <c r="CH417" s="330">
        <f t="shared" si="1114"/>
        <v>23.35</v>
      </c>
      <c r="CI417" s="330">
        <f t="shared" si="1115"/>
        <v>41.51</v>
      </c>
      <c r="CJ417" s="258">
        <v>248</v>
      </c>
      <c r="CK417" s="258">
        <f t="shared" ref="CK417:CN417" si="1119">IFERROR(ROUND(BY417*$P417,2),"")</f>
        <v>0</v>
      </c>
      <c r="CL417" s="258">
        <f t="shared" si="1119"/>
        <v>0</v>
      </c>
      <c r="CM417" s="258">
        <f t="shared" si="1119"/>
        <v>268036.88</v>
      </c>
      <c r="CN417" s="258">
        <f t="shared" si="1119"/>
        <v>344618.84</v>
      </c>
      <c r="CO417" s="115">
        <f t="shared" si="1117"/>
        <v>612655.72</v>
      </c>
      <c r="CP417" s="258" t="e">
        <f>VLOOKUP(G417,[2]Sheet1!$C$3:$G$310,5,0)</f>
        <v>#N/A</v>
      </c>
      <c r="CQ417" s="258">
        <f>VLOOKUP(G417,[3]KCBB0101!$C$3:$F$691,4,0)</f>
        <v>7416</v>
      </c>
      <c r="CZ417" s="113"/>
      <c r="DA417" s="258"/>
      <c r="DB417" s="258"/>
      <c r="DC417" s="258"/>
      <c r="DD417" s="258"/>
      <c r="DE417" s="258"/>
      <c r="DF417" s="113"/>
    </row>
    <row r="418" ht="17" spans="2:93">
      <c r="B418" s="347" t="s">
        <v>695</v>
      </c>
      <c r="C418" s="347" t="str">
        <f t="shared" si="1056"/>
        <v>20</v>
      </c>
      <c r="D418" s="347" t="str">
        <f t="shared" si="1100"/>
        <v>载重20寸</v>
      </c>
      <c r="E418" s="385" t="str">
        <f t="shared" si="1058"/>
        <v>11.00-20-18PR-CL969</v>
      </c>
      <c r="F418" s="385"/>
      <c r="G418" s="385" t="s">
        <v>335</v>
      </c>
      <c r="H418" s="347">
        <v>100</v>
      </c>
      <c r="I418" s="386">
        <v>2</v>
      </c>
      <c r="J418" s="347">
        <v>58.3</v>
      </c>
      <c r="K418" s="347"/>
      <c r="L418" s="349">
        <f t="shared" si="1118"/>
        <v>0.874937468734367</v>
      </c>
      <c r="M418" s="349"/>
      <c r="N418" s="347"/>
      <c r="O418" s="347">
        <f>IFERROR(_xlfn.XLOOKUP(E418,轮胎重量!S:S,轮胎重量!P:P),IFERROR(_xlfn.XLOOKUP(E418,轮胎重量!AB:AB,轮胎重量!Y:Y),IFERROR(_xlfn.XLOOKUP(E418,轮胎重量!AK:AK,轮胎重量!AH:AH),IFERROR(_xlfn.XLOOKUP(E418,轮胎重量!AT:AT,轮胎重量!AQ:AQ),""))))</f>
        <v>58.96</v>
      </c>
      <c r="P418" s="350">
        <f t="shared" si="1101"/>
        <v>870.2496</v>
      </c>
      <c r="Q418" s="347">
        <f t="shared" si="1102"/>
        <v>43</v>
      </c>
      <c r="R418" s="347"/>
      <c r="S418" s="347"/>
      <c r="T418" s="347"/>
      <c r="U418" s="347"/>
      <c r="V418" s="347"/>
      <c r="W418" s="347"/>
      <c r="X418" s="347"/>
      <c r="Y418" s="347"/>
      <c r="Z418" s="347"/>
      <c r="AA418" s="347"/>
      <c r="AB418" s="347"/>
      <c r="AC418" s="347"/>
      <c r="AD418" s="347"/>
      <c r="AE418" s="347"/>
      <c r="AF418" s="347"/>
      <c r="AG418" s="347"/>
      <c r="AH418" s="347"/>
      <c r="AI418" s="347"/>
      <c r="AJ418" s="347"/>
      <c r="AK418" s="347"/>
      <c r="AL418" s="347"/>
      <c r="AM418" s="347"/>
      <c r="AN418" s="347"/>
      <c r="AO418" s="347"/>
      <c r="AP418" s="347"/>
      <c r="AQ418" s="347"/>
      <c r="AR418" s="347"/>
      <c r="AS418" s="347"/>
      <c r="AT418" s="347"/>
      <c r="AU418" s="347"/>
      <c r="AV418" s="347"/>
      <c r="AW418" s="347" t="str">
        <f t="shared" si="1103"/>
        <v/>
      </c>
      <c r="AX418" s="365" t="str">
        <f t="shared" si="1104"/>
        <v/>
      </c>
      <c r="AY418" s="365" t="str">
        <f t="shared" si="1105"/>
        <v/>
      </c>
      <c r="AZ418" s="368">
        <v>700.5375</v>
      </c>
      <c r="BA418" s="368">
        <v>42.4245</v>
      </c>
      <c r="BB418" s="368">
        <v>58.2922</v>
      </c>
      <c r="BC418" s="368">
        <v>51.336</v>
      </c>
      <c r="BE418" s="330" t="e">
        <f t="shared" si="1106"/>
        <v>#VALUE!</v>
      </c>
      <c r="BF418" s="330" t="e">
        <f t="shared" si="1107"/>
        <v>#VALUE!</v>
      </c>
      <c r="BG418" s="330" t="e">
        <f t="shared" si="1108"/>
        <v>#VALUE!</v>
      </c>
      <c r="BH418" s="330" t="e">
        <f t="shared" si="1109"/>
        <v>#VALUE!</v>
      </c>
      <c r="BJ418" s="370" cm="1">
        <f t="array" ref="BJ418:BM418">_xlfn.LET(_xlpm.data,$R418:$AV418,_xlpm.starts,{1,8,16,23},_xlpm.lengths,{7,7,8,9},_xlpm.arr,_xlfn.MAP(_xlpm.starts,_xlpm.lengths,_xlfn.LAMBDA(_xlpm.s,_xlpm.l,SUM(INDEX(_xlpm.data,,_xlfn.SEQUENCE(,_xlpm.l,_xlpm.s))))),ROUND(_xlpm.arr*$O418/1000,2))</f>
        <v>0</v>
      </c>
      <c r="BK418" s="330">
        <v>0</v>
      </c>
      <c r="BL418" s="330">
        <v>0</v>
      </c>
      <c r="BM418" s="330">
        <v>0</v>
      </c>
      <c r="BN418" s="258">
        <f t="shared" si="1110"/>
        <v>0</v>
      </c>
      <c r="BO418" s="258">
        <v>0</v>
      </c>
      <c r="BP418" s="258">
        <v>0</v>
      </c>
      <c r="BQ418" s="258">
        <v>16.54</v>
      </c>
      <c r="BR418" s="258">
        <v>24.8</v>
      </c>
      <c r="BS418" s="382" t="s">
        <v>315</v>
      </c>
      <c r="BX418" s="371" t="s">
        <v>315</v>
      </c>
      <c r="BY418" s="258">
        <f t="shared" si="1095"/>
        <v>0</v>
      </c>
      <c r="BZ418" s="258">
        <f t="shared" si="1096"/>
        <v>0</v>
      </c>
      <c r="CA418" s="258">
        <f t="shared" si="1097"/>
        <v>0</v>
      </c>
      <c r="CB418" s="258">
        <f t="shared" si="1098"/>
        <v>0</v>
      </c>
      <c r="CD418" s="113">
        <v>10.1</v>
      </c>
      <c r="CE418" s="396">
        <f t="shared" si="1111"/>
        <v>0</v>
      </c>
      <c r="CF418" s="389">
        <f t="shared" si="1112"/>
        <v>0</v>
      </c>
      <c r="CG418" s="389">
        <f t="shared" si="1113"/>
        <v>0</v>
      </c>
      <c r="CH418" s="389">
        <f t="shared" si="1114"/>
        <v>0</v>
      </c>
      <c r="CI418" s="258">
        <f t="shared" si="1115"/>
        <v>0</v>
      </c>
      <c r="CJ418" s="113">
        <v>248</v>
      </c>
      <c r="CK418" s="258">
        <f t="shared" ref="CK418:CN418" si="1120">IFERROR(ROUND(BY418*$P418,2),"")</f>
        <v>0</v>
      </c>
      <c r="CL418" s="258">
        <f t="shared" si="1120"/>
        <v>0</v>
      </c>
      <c r="CM418" s="258">
        <f t="shared" si="1120"/>
        <v>0</v>
      </c>
      <c r="CN418" s="258">
        <f t="shared" si="1120"/>
        <v>0</v>
      </c>
      <c r="CO418" s="258">
        <f t="shared" si="1117"/>
        <v>0</v>
      </c>
    </row>
    <row r="419" ht="17" spans="2:95">
      <c r="B419" s="347" t="s">
        <v>695</v>
      </c>
      <c r="C419" s="347" t="str">
        <f t="shared" si="1056"/>
        <v>20</v>
      </c>
      <c r="D419" s="347" t="str">
        <f t="shared" si="1100"/>
        <v>载重20寸</v>
      </c>
      <c r="E419" s="385" t="str">
        <f t="shared" si="1058"/>
        <v>11.00-20-18PR-CR952</v>
      </c>
      <c r="F419" s="385"/>
      <c r="G419" s="385" t="s">
        <v>336</v>
      </c>
      <c r="H419" s="347">
        <v>1000</v>
      </c>
      <c r="I419" s="386">
        <v>8</v>
      </c>
      <c r="J419" s="347">
        <v>58.3</v>
      </c>
      <c r="K419" s="347"/>
      <c r="L419" s="349">
        <f t="shared" si="1118"/>
        <v>0.874937468734367</v>
      </c>
      <c r="M419" s="349"/>
      <c r="N419" s="347"/>
      <c r="O419" s="347">
        <f>IFERROR(_xlfn.XLOOKUP(E419,轮胎重量!S:S,轮胎重量!P:P),IFERROR(_xlfn.XLOOKUP(E419,轮胎重量!AB:AB,轮胎重量!Y:Y),IFERROR(_xlfn.XLOOKUP(E419,轮胎重量!AK:AK,轮胎重量!AH:AH),IFERROR(_xlfn.XLOOKUP(E419,轮胎重量!AT:AT,轮胎重量!AQ:AQ),""))))</f>
        <v>57.22</v>
      </c>
      <c r="P419" s="347">
        <f>IFERROR(_xlfn.XLOOKUP(E419,硫化工艺!I:I,硫化工艺!J:J),"")</f>
        <v>844.488141</v>
      </c>
      <c r="Q419" s="347">
        <f t="shared" si="1102"/>
        <v>173</v>
      </c>
      <c r="R419" s="347"/>
      <c r="S419" s="347"/>
      <c r="T419" s="347"/>
      <c r="U419" s="347"/>
      <c r="V419" s="347"/>
      <c r="W419" s="347"/>
      <c r="X419" s="347"/>
      <c r="Y419" s="347"/>
      <c r="Z419" s="347">
        <v>44</v>
      </c>
      <c r="AA419" s="347">
        <v>44</v>
      </c>
      <c r="AB419" s="347">
        <v>44</v>
      </c>
      <c r="AC419" s="347">
        <v>44</v>
      </c>
      <c r="AD419" s="347">
        <v>44</v>
      </c>
      <c r="AE419" s="347">
        <v>44</v>
      </c>
      <c r="AF419" s="347">
        <v>44</v>
      </c>
      <c r="AG419" s="347">
        <v>44</v>
      </c>
      <c r="AH419" s="347">
        <v>44</v>
      </c>
      <c r="AI419" s="347">
        <v>44</v>
      </c>
      <c r="AJ419" s="347">
        <v>44</v>
      </c>
      <c r="AK419" s="347">
        <v>44</v>
      </c>
      <c r="AL419" s="347">
        <v>44</v>
      </c>
      <c r="AM419" s="347">
        <v>44</v>
      </c>
      <c r="AN419" s="347">
        <v>44</v>
      </c>
      <c r="AO419" s="347">
        <v>44</v>
      </c>
      <c r="AP419" s="347">
        <v>44</v>
      </c>
      <c r="AQ419" s="347">
        <v>44</v>
      </c>
      <c r="AR419" s="347">
        <v>44</v>
      </c>
      <c r="AS419" s="347">
        <v>44</v>
      </c>
      <c r="AT419" s="347">
        <v>44</v>
      </c>
      <c r="AU419" s="347">
        <v>44</v>
      </c>
      <c r="AV419" s="347">
        <v>44</v>
      </c>
      <c r="AW419" s="347">
        <f t="shared" si="1103"/>
        <v>1012</v>
      </c>
      <c r="AX419" s="365">
        <f t="shared" si="1104"/>
        <v>57.90664</v>
      </c>
      <c r="AY419" s="365">
        <f t="shared" si="1105"/>
        <v>85.462</v>
      </c>
      <c r="AZ419" s="368">
        <v>700.5375</v>
      </c>
      <c r="BA419" s="368">
        <v>42.4245</v>
      </c>
      <c r="BB419" s="368">
        <v>58.2922</v>
      </c>
      <c r="BC419" s="368">
        <v>51.336</v>
      </c>
      <c r="BE419" s="330">
        <f t="shared" si="1106"/>
        <v>708943.95</v>
      </c>
      <c r="BF419" s="330">
        <f t="shared" si="1107"/>
        <v>42933.594</v>
      </c>
      <c r="BG419" s="330">
        <f t="shared" si="1108"/>
        <v>58991.7064</v>
      </c>
      <c r="BH419" s="330">
        <f t="shared" si="1109"/>
        <v>51952.032</v>
      </c>
      <c r="BJ419" s="370" cm="1">
        <f t="array" ref="BJ419:BM419">_xlfn.LET(_xlpm.data,$R419:$AV419,_xlpm.starts,{1,8,16,23},_xlpm.lengths,{7,7,8,9},_xlpm.arr,_xlfn.MAP(_xlpm.starts,_xlpm.lengths,_xlfn.LAMBDA(_xlpm.s,_xlpm.l,SUM(INDEX(_xlpm.data,,_xlfn.SEQUENCE(,_xlpm.l,_xlpm.s))))),ROUND(_xlpm.arr*$O419/1000,2))</f>
        <v>0</v>
      </c>
      <c r="BK419" s="330">
        <v>15.11</v>
      </c>
      <c r="BL419" s="330">
        <v>20.14</v>
      </c>
      <c r="BM419" s="330">
        <v>22.66</v>
      </c>
      <c r="BN419" s="258">
        <f t="shared" si="1110"/>
        <v>57.91</v>
      </c>
      <c r="BO419" s="258">
        <v>0</v>
      </c>
      <c r="BP419" s="258">
        <v>0</v>
      </c>
      <c r="BQ419" s="258">
        <v>16.54</v>
      </c>
      <c r="BR419" s="258">
        <v>24.8</v>
      </c>
      <c r="BS419" s="382" t="s">
        <v>315</v>
      </c>
      <c r="BX419" s="371" t="s">
        <v>315</v>
      </c>
      <c r="BY419" s="258">
        <f t="shared" si="1095"/>
        <v>0</v>
      </c>
      <c r="BZ419" s="258">
        <f t="shared" si="1096"/>
        <v>264</v>
      </c>
      <c r="CA419" s="258">
        <f t="shared" si="1097"/>
        <v>352</v>
      </c>
      <c r="CB419" s="258">
        <f t="shared" si="1098"/>
        <v>396</v>
      </c>
      <c r="CD419" s="113">
        <v>10.1</v>
      </c>
      <c r="CE419" s="396">
        <f t="shared" si="1111"/>
        <v>0</v>
      </c>
      <c r="CF419" s="389">
        <f t="shared" si="1112"/>
        <v>15.11</v>
      </c>
      <c r="CG419" s="389">
        <f t="shared" si="1113"/>
        <v>20.14</v>
      </c>
      <c r="CH419" s="389">
        <f t="shared" si="1114"/>
        <v>22.66</v>
      </c>
      <c r="CI419" s="258">
        <f t="shared" si="1115"/>
        <v>57.91</v>
      </c>
      <c r="CJ419" s="113">
        <v>248</v>
      </c>
      <c r="CK419" s="258">
        <f t="shared" ref="CK419:CN419" si="1121">IFERROR(ROUND(BY419*$P419,2),"")</f>
        <v>0</v>
      </c>
      <c r="CL419" s="258">
        <f t="shared" si="1121"/>
        <v>222944.87</v>
      </c>
      <c r="CM419" s="258">
        <f t="shared" si="1121"/>
        <v>297259.83</v>
      </c>
      <c r="CN419" s="258">
        <f t="shared" si="1121"/>
        <v>334417.3</v>
      </c>
      <c r="CO419" s="258">
        <f t="shared" si="1117"/>
        <v>854622</v>
      </c>
      <c r="CP419" s="258" t="e">
        <f>VLOOKUP(G419,[2]Sheet1!$C$3:$G$310,5,0)</f>
        <v>#N/A</v>
      </c>
      <c r="CQ419" s="258">
        <f>VLOOKUP(G419,[3]KCBB0101!$C$3:$F$691,4,0)</f>
        <v>5460</v>
      </c>
    </row>
    <row r="420" ht="17" spans="2:95">
      <c r="B420" s="347" t="s">
        <v>695</v>
      </c>
      <c r="C420" s="347" t="str">
        <f t="shared" si="1056"/>
        <v>20</v>
      </c>
      <c r="D420" s="347" t="str">
        <f t="shared" si="1100"/>
        <v>载重20寸</v>
      </c>
      <c r="E420" s="385" t="str">
        <f t="shared" si="1058"/>
        <v>11.00-20-18PR-CR952</v>
      </c>
      <c r="F420" s="385"/>
      <c r="G420" s="385" t="s">
        <v>337</v>
      </c>
      <c r="H420" s="347">
        <v>120</v>
      </c>
      <c r="I420" s="386">
        <v>8</v>
      </c>
      <c r="J420" s="347">
        <v>58.3</v>
      </c>
      <c r="K420" s="347"/>
      <c r="L420" s="349">
        <f t="shared" si="1118"/>
        <v>0.874937468734367</v>
      </c>
      <c r="M420" s="349"/>
      <c r="N420" s="347"/>
      <c r="O420" s="347">
        <f>IFERROR(_xlfn.XLOOKUP(E420,轮胎重量!S:S,轮胎重量!P:P),IFERROR(_xlfn.XLOOKUP(E420,轮胎重量!AB:AB,轮胎重量!Y:Y),IFERROR(_xlfn.XLOOKUP(E420,轮胎重量!AK:AK,轮胎重量!AH:AH),IFERROR(_xlfn.XLOOKUP(E420,轮胎重量!AT:AT,轮胎重量!AQ:AQ),""))))</f>
        <v>57.22</v>
      </c>
      <c r="P420" s="347">
        <f>IFERROR(_xlfn.XLOOKUP(E420,硫化工艺!I:I,硫化工艺!J:J),"")</f>
        <v>844.488141</v>
      </c>
      <c r="Q420" s="347">
        <f t="shared" si="1102"/>
        <v>173</v>
      </c>
      <c r="R420" s="347"/>
      <c r="S420" s="347"/>
      <c r="T420" s="347"/>
      <c r="U420" s="347"/>
      <c r="V420" s="347"/>
      <c r="W420" s="347">
        <v>44</v>
      </c>
      <c r="X420" s="347">
        <v>44</v>
      </c>
      <c r="Y420" s="347">
        <v>44</v>
      </c>
      <c r="Z420" s="347"/>
      <c r="AA420" s="347"/>
      <c r="AB420" s="347"/>
      <c r="AC420" s="347"/>
      <c r="AD420" s="347"/>
      <c r="AE420" s="347"/>
      <c r="AF420" s="347"/>
      <c r="AG420" s="347"/>
      <c r="AH420" s="347"/>
      <c r="AI420" s="347"/>
      <c r="AJ420" s="347"/>
      <c r="AK420" s="347"/>
      <c r="AL420" s="347"/>
      <c r="AM420" s="347"/>
      <c r="AN420" s="347"/>
      <c r="AO420" s="347"/>
      <c r="AP420" s="347"/>
      <c r="AQ420" s="347"/>
      <c r="AR420" s="347"/>
      <c r="AS420" s="347"/>
      <c r="AT420" s="347"/>
      <c r="AU420" s="347"/>
      <c r="AV420" s="347"/>
      <c r="AW420" s="347">
        <f t="shared" si="1103"/>
        <v>132</v>
      </c>
      <c r="AX420" s="365">
        <f t="shared" si="1104"/>
        <v>7.55304</v>
      </c>
      <c r="AY420" s="365">
        <f t="shared" si="1105"/>
        <v>11.147</v>
      </c>
      <c r="AZ420" s="368">
        <v>715.7485</v>
      </c>
      <c r="BA420" s="368">
        <v>42.8224</v>
      </c>
      <c r="BB420" s="368">
        <v>58.839</v>
      </c>
      <c r="BC420" s="368">
        <v>51.8175</v>
      </c>
      <c r="BE420" s="330">
        <f t="shared" si="1106"/>
        <v>94478.802</v>
      </c>
      <c r="BF420" s="330">
        <f t="shared" si="1107"/>
        <v>5652.5568</v>
      </c>
      <c r="BG420" s="330">
        <f t="shared" si="1108"/>
        <v>7766.748</v>
      </c>
      <c r="BH420" s="330">
        <f t="shared" si="1109"/>
        <v>6839.91</v>
      </c>
      <c r="BJ420" s="370" cm="1">
        <f t="array" ref="BJ420:BM420">_xlfn.LET(_xlpm.data,$R420:$AV420,_xlpm.starts,{1,8,16,23},_xlpm.lengths,{7,7,8,9},_xlpm.arr,_xlfn.MAP(_xlpm.starts,_xlpm.lengths,_xlfn.LAMBDA(_xlpm.s,_xlpm.l,SUM(INDEX(_xlpm.data,,_xlfn.SEQUENCE(,_xlpm.l,_xlpm.s))))),ROUND(_xlpm.arr*$O420/1000,2))</f>
        <v>5.04</v>
      </c>
      <c r="BK420" s="330">
        <v>2.52</v>
      </c>
      <c r="BL420" s="330">
        <v>0</v>
      </c>
      <c r="BM420" s="330">
        <v>0</v>
      </c>
      <c r="BN420" s="258">
        <f t="shared" si="1110"/>
        <v>7.56</v>
      </c>
      <c r="BO420" s="258">
        <v>19.29</v>
      </c>
      <c r="BP420" s="258">
        <v>13.78</v>
      </c>
      <c r="BQ420" s="258">
        <v>0</v>
      </c>
      <c r="BR420" s="258">
        <v>0</v>
      </c>
      <c r="BS420" s="382" t="s">
        <v>315</v>
      </c>
      <c r="BX420" s="371" t="s">
        <v>315</v>
      </c>
      <c r="BY420" s="258">
        <f t="shared" si="1095"/>
        <v>88</v>
      </c>
      <c r="BZ420" s="258">
        <f t="shared" si="1096"/>
        <v>44</v>
      </c>
      <c r="CA420" s="258">
        <f t="shared" si="1097"/>
        <v>0</v>
      </c>
      <c r="CB420" s="258">
        <f t="shared" si="1098"/>
        <v>0</v>
      </c>
      <c r="CD420" s="393" t="s">
        <v>703</v>
      </c>
      <c r="CE420" s="396">
        <f t="shared" si="1111"/>
        <v>5.04</v>
      </c>
      <c r="CF420" s="389">
        <f t="shared" si="1112"/>
        <v>2.52</v>
      </c>
      <c r="CG420" s="389">
        <f t="shared" si="1113"/>
        <v>0</v>
      </c>
      <c r="CH420" s="389">
        <f t="shared" si="1114"/>
        <v>0</v>
      </c>
      <c r="CI420" s="258">
        <f t="shared" si="1115"/>
        <v>7.56</v>
      </c>
      <c r="CK420" s="258">
        <f t="shared" ref="CK420:CN420" si="1122">IFERROR(ROUND(BY420*$P420,2),"")</f>
        <v>74314.96</v>
      </c>
      <c r="CL420" s="258">
        <f t="shared" si="1122"/>
        <v>37157.48</v>
      </c>
      <c r="CM420" s="258">
        <f t="shared" si="1122"/>
        <v>0</v>
      </c>
      <c r="CN420" s="258">
        <f t="shared" si="1122"/>
        <v>0</v>
      </c>
      <c r="CO420" s="258">
        <f t="shared" si="1117"/>
        <v>111472.44</v>
      </c>
      <c r="CP420" s="258" t="e">
        <f>VLOOKUP(G420,[2]Sheet1!$C$3:$G$310,5,0)</f>
        <v>#N/A</v>
      </c>
      <c r="CQ420" s="258">
        <f>VLOOKUP(G420,[3]KCBB0101!$C$3:$F$691,4,0)</f>
        <v>2584</v>
      </c>
    </row>
    <row r="421" s="258" customFormat="1" ht="17" spans="1:95">
      <c r="A421" s="330"/>
      <c r="B421" s="347" t="s">
        <v>695</v>
      </c>
      <c r="C421" s="347" t="str">
        <f t="shared" si="1056"/>
        <v>20</v>
      </c>
      <c r="D421" s="347" t="str">
        <f t="shared" si="1100"/>
        <v>载重20寸</v>
      </c>
      <c r="E421" s="385" t="str">
        <f t="shared" si="1058"/>
        <v>11.00-20-18PR-CR952</v>
      </c>
      <c r="F421" s="385"/>
      <c r="G421" s="385" t="s">
        <v>338</v>
      </c>
      <c r="H421" s="347">
        <v>250</v>
      </c>
      <c r="I421" s="386">
        <v>8</v>
      </c>
      <c r="J421" s="347">
        <v>58.3</v>
      </c>
      <c r="K421" s="367"/>
      <c r="L421" s="349">
        <f t="shared" si="1118"/>
        <v>0.874937468734367</v>
      </c>
      <c r="M421" s="349"/>
      <c r="N421" s="347"/>
      <c r="O421" s="347">
        <f>IFERROR(_xlfn.XLOOKUP(E421,轮胎重量!S:S,轮胎重量!P:P),IFERROR(_xlfn.XLOOKUP(E421,轮胎重量!AB:AB,轮胎重量!Y:Y),IFERROR(_xlfn.XLOOKUP(E421,轮胎重量!AK:AK,轮胎重量!AH:AH),IFERROR(_xlfn.XLOOKUP(E421,轮胎重量!AT:AT,轮胎重量!AQ:AQ),""))))</f>
        <v>57.22</v>
      </c>
      <c r="P421" s="350">
        <f t="shared" si="1101"/>
        <v>844.5672</v>
      </c>
      <c r="Q421" s="347">
        <f t="shared" si="1102"/>
        <v>173</v>
      </c>
      <c r="R421" s="347">
        <v>44</v>
      </c>
      <c r="S421" s="347">
        <v>44</v>
      </c>
      <c r="T421" s="347">
        <v>44</v>
      </c>
      <c r="U421" s="347">
        <v>44</v>
      </c>
      <c r="V421" s="347">
        <v>44</v>
      </c>
      <c r="W421" s="347"/>
      <c r="X421" s="347"/>
      <c r="Y421" s="347"/>
      <c r="Z421" s="347"/>
      <c r="AA421" s="347"/>
      <c r="AB421" s="347"/>
      <c r="AC421" s="347"/>
      <c r="AD421" s="347"/>
      <c r="AE421" s="347"/>
      <c r="AF421" s="347"/>
      <c r="AG421" s="347"/>
      <c r="AH421" s="347"/>
      <c r="AI421" s="347"/>
      <c r="AJ421" s="347"/>
      <c r="AK421" s="347"/>
      <c r="AL421" s="347"/>
      <c r="AM421" s="347"/>
      <c r="AN421" s="347"/>
      <c r="AO421" s="347"/>
      <c r="AP421" s="347"/>
      <c r="AQ421" s="347"/>
      <c r="AR421" s="347"/>
      <c r="AS421" s="347"/>
      <c r="AT421" s="347"/>
      <c r="AU421" s="347"/>
      <c r="AV421" s="347"/>
      <c r="AW421" s="347">
        <f t="shared" si="1103"/>
        <v>220</v>
      </c>
      <c r="AX421" s="365">
        <f t="shared" si="1104"/>
        <v>12.5884</v>
      </c>
      <c r="AY421" s="365">
        <f t="shared" si="1105"/>
        <v>18.58</v>
      </c>
      <c r="AZ421" s="368">
        <v>715.7485</v>
      </c>
      <c r="BA421" s="368">
        <v>42.8224</v>
      </c>
      <c r="BB421" s="368">
        <v>58.839</v>
      </c>
      <c r="BC421" s="368">
        <v>51.8175</v>
      </c>
      <c r="BD421" s="330"/>
      <c r="BE421" s="330">
        <f t="shared" si="1106"/>
        <v>157464.67</v>
      </c>
      <c r="BF421" s="330">
        <f t="shared" si="1107"/>
        <v>9420.928</v>
      </c>
      <c r="BG421" s="330">
        <f t="shared" si="1108"/>
        <v>12944.58</v>
      </c>
      <c r="BH421" s="330">
        <f t="shared" si="1109"/>
        <v>11399.85</v>
      </c>
      <c r="BI421" s="330"/>
      <c r="BJ421" s="370" cm="1">
        <f t="array" ref="BJ421:BM421">_xlfn.LET(_xlpm.data,$R421:$AV421,_xlpm.starts,{1,8,16,23},_xlpm.lengths,{7,7,8,9},_xlpm.arr,_xlfn.MAP(_xlpm.starts,_xlpm.lengths,_xlfn.LAMBDA(_xlpm.s,_xlpm.l,SUM(INDEX(_xlpm.data,,_xlfn.SEQUENCE(,_xlpm.l,_xlpm.s))))),ROUND(_xlpm.arr*$O421/1000,2))</f>
        <v>12.59</v>
      </c>
      <c r="BK421" s="330">
        <v>0</v>
      </c>
      <c r="BL421" s="330">
        <v>0</v>
      </c>
      <c r="BM421" s="330">
        <v>0</v>
      </c>
      <c r="BN421" s="258">
        <f t="shared" si="1110"/>
        <v>12.59</v>
      </c>
      <c r="BO421" s="258">
        <v>19.29</v>
      </c>
      <c r="BP421" s="258">
        <v>13.78</v>
      </c>
      <c r="BQ421" s="258">
        <v>0</v>
      </c>
      <c r="BR421" s="258">
        <v>0</v>
      </c>
      <c r="BS421" s="382" t="s">
        <v>315</v>
      </c>
      <c r="BX421" s="371" t="s">
        <v>315</v>
      </c>
      <c r="BY421" s="258">
        <f t="shared" si="1095"/>
        <v>220</v>
      </c>
      <c r="BZ421" s="258">
        <f t="shared" si="1096"/>
        <v>0</v>
      </c>
      <c r="CA421" s="258">
        <f t="shared" si="1097"/>
        <v>0</v>
      </c>
      <c r="CB421" s="258">
        <f t="shared" si="1098"/>
        <v>0</v>
      </c>
      <c r="CD421" s="113">
        <v>210.5</v>
      </c>
      <c r="CE421" s="396">
        <f t="shared" si="1111"/>
        <v>12.59</v>
      </c>
      <c r="CF421" s="389">
        <f t="shared" si="1112"/>
        <v>0</v>
      </c>
      <c r="CG421" s="389">
        <f t="shared" si="1113"/>
        <v>0</v>
      </c>
      <c r="CH421" s="389">
        <f t="shared" si="1114"/>
        <v>0</v>
      </c>
      <c r="CI421" s="258">
        <f t="shared" si="1115"/>
        <v>12.59</v>
      </c>
      <c r="CJ421" s="113">
        <v>40</v>
      </c>
      <c r="CK421" s="258">
        <f t="shared" ref="CK421:CN421" si="1123">IFERROR(ROUND(BY421*$P421,2),"")</f>
        <v>185804.78</v>
      </c>
      <c r="CL421" s="258">
        <f t="shared" si="1123"/>
        <v>0</v>
      </c>
      <c r="CM421" s="258">
        <f t="shared" si="1123"/>
        <v>0</v>
      </c>
      <c r="CN421" s="258">
        <f t="shared" si="1123"/>
        <v>0</v>
      </c>
      <c r="CO421" s="258">
        <f t="shared" si="1117"/>
        <v>185804.78</v>
      </c>
      <c r="CP421" s="258" t="e">
        <f>VLOOKUP(G421,[2]Sheet1!$C$3:$G$310,5,0)</f>
        <v>#N/A</v>
      </c>
      <c r="CQ421" s="258">
        <f>VLOOKUP(G421,[3]KCBB0101!$C$3:$F$691,4,0)</f>
        <v>3357</v>
      </c>
    </row>
    <row r="422" s="258" customFormat="1" ht="17" spans="1:93">
      <c r="A422" s="330"/>
      <c r="B422" s="347" t="s">
        <v>695</v>
      </c>
      <c r="C422" s="347" t="str">
        <f t="shared" si="1056"/>
        <v>20</v>
      </c>
      <c r="D422" s="347" t="str">
        <f t="shared" si="1100"/>
        <v>载重20寸</v>
      </c>
      <c r="E422" s="385" t="str">
        <f t="shared" si="1058"/>
        <v>11.00-20-18PR-CR952</v>
      </c>
      <c r="F422" s="385"/>
      <c r="G422" s="385" t="s">
        <v>339</v>
      </c>
      <c r="H422" s="347">
        <v>550</v>
      </c>
      <c r="I422" s="386">
        <v>8</v>
      </c>
      <c r="J422" s="347">
        <v>58.3</v>
      </c>
      <c r="K422" s="367"/>
      <c r="L422" s="349">
        <f t="shared" si="1118"/>
        <v>0.874937468734367</v>
      </c>
      <c r="M422" s="349"/>
      <c r="N422" s="347"/>
      <c r="O422" s="347">
        <f>IFERROR(_xlfn.XLOOKUP(E422,轮胎重量!S:S,轮胎重量!P:P),IFERROR(_xlfn.XLOOKUP(E422,轮胎重量!AB:AB,轮胎重量!Y:Y),IFERROR(_xlfn.XLOOKUP(E422,轮胎重量!AK:AK,轮胎重量!AH:AH),IFERROR(_xlfn.XLOOKUP(E422,轮胎重量!AT:AT,轮胎重量!AQ:AQ),""))))</f>
        <v>57.22</v>
      </c>
      <c r="P422" s="350">
        <f t="shared" si="1101"/>
        <v>844.5672</v>
      </c>
      <c r="Q422" s="347">
        <f t="shared" si="1102"/>
        <v>173</v>
      </c>
      <c r="R422" s="347"/>
      <c r="S422" s="347"/>
      <c r="T422" s="347"/>
      <c r="U422" s="347"/>
      <c r="V422" s="347"/>
      <c r="W422" s="347"/>
      <c r="X422" s="347"/>
      <c r="Y422" s="347"/>
      <c r="Z422" s="347"/>
      <c r="AA422" s="347"/>
      <c r="AB422" s="347"/>
      <c r="AC422" s="347"/>
      <c r="AD422" s="347"/>
      <c r="AE422" s="347"/>
      <c r="AF422" s="347"/>
      <c r="AG422" s="347"/>
      <c r="AH422" s="347"/>
      <c r="AI422" s="347"/>
      <c r="AJ422" s="347"/>
      <c r="AK422" s="347"/>
      <c r="AL422" s="347"/>
      <c r="AM422" s="347"/>
      <c r="AN422" s="347"/>
      <c r="AO422" s="347"/>
      <c r="AP422" s="347"/>
      <c r="AQ422" s="347"/>
      <c r="AR422" s="347"/>
      <c r="AS422" s="347"/>
      <c r="AT422" s="347"/>
      <c r="AU422" s="347"/>
      <c r="AV422" s="347"/>
      <c r="AW422" s="347" t="str">
        <f t="shared" si="1103"/>
        <v/>
      </c>
      <c r="AX422" s="365" t="str">
        <f t="shared" si="1104"/>
        <v/>
      </c>
      <c r="AY422" s="365" t="str">
        <f t="shared" si="1105"/>
        <v/>
      </c>
      <c r="AZ422" s="368">
        <v>715.7485</v>
      </c>
      <c r="BA422" s="368">
        <v>42.8224</v>
      </c>
      <c r="BB422" s="368">
        <v>58.839</v>
      </c>
      <c r="BC422" s="368">
        <v>51.8175</v>
      </c>
      <c r="BD422" s="330"/>
      <c r="BE422" s="330" t="e">
        <f t="shared" si="1106"/>
        <v>#VALUE!</v>
      </c>
      <c r="BF422" s="330" t="e">
        <f t="shared" si="1107"/>
        <v>#VALUE!</v>
      </c>
      <c r="BG422" s="330" t="e">
        <f t="shared" si="1108"/>
        <v>#VALUE!</v>
      </c>
      <c r="BH422" s="330" t="e">
        <f t="shared" si="1109"/>
        <v>#VALUE!</v>
      </c>
      <c r="BI422" s="330"/>
      <c r="BJ422" s="370" cm="1">
        <f t="array" ref="BJ422:BM422">_xlfn.LET(_xlpm.data,$R422:$AV422,_xlpm.starts,{1,8,16,23},_xlpm.lengths,{7,7,8,9},_xlpm.arr,_xlfn.MAP(_xlpm.starts,_xlpm.lengths,_xlfn.LAMBDA(_xlpm.s,_xlpm.l,SUM(INDEX(_xlpm.data,,_xlfn.SEQUENCE(,_xlpm.l,_xlpm.s))))),ROUND(_xlpm.arr*$O422/1000,2))</f>
        <v>0</v>
      </c>
      <c r="BK422" s="330">
        <v>0</v>
      </c>
      <c r="BL422" s="330">
        <v>0</v>
      </c>
      <c r="BM422" s="330">
        <v>0</v>
      </c>
      <c r="BN422" s="258">
        <f t="shared" si="1110"/>
        <v>0</v>
      </c>
      <c r="BO422" s="258">
        <v>19.29</v>
      </c>
      <c r="BP422" s="258">
        <v>13.78</v>
      </c>
      <c r="BQ422" s="258">
        <v>0</v>
      </c>
      <c r="BR422" s="258">
        <v>0</v>
      </c>
      <c r="BS422" s="382" t="s">
        <v>315</v>
      </c>
      <c r="BX422" s="371" t="s">
        <v>315</v>
      </c>
      <c r="BY422" s="258">
        <f t="shared" si="1095"/>
        <v>0</v>
      </c>
      <c r="BZ422" s="258">
        <f t="shared" si="1096"/>
        <v>0</v>
      </c>
      <c r="CA422" s="258">
        <f t="shared" si="1097"/>
        <v>0</v>
      </c>
      <c r="CB422" s="258">
        <f t="shared" si="1098"/>
        <v>0</v>
      </c>
      <c r="CD422" s="113">
        <v>210.5</v>
      </c>
      <c r="CE422" s="396">
        <f t="shared" si="1111"/>
        <v>0</v>
      </c>
      <c r="CF422" s="389">
        <f t="shared" si="1112"/>
        <v>0</v>
      </c>
      <c r="CG422" s="389">
        <f t="shared" si="1113"/>
        <v>0</v>
      </c>
      <c r="CH422" s="389">
        <f t="shared" si="1114"/>
        <v>0</v>
      </c>
      <c r="CI422" s="258">
        <f t="shared" si="1115"/>
        <v>0</v>
      </c>
      <c r="CJ422" s="113">
        <v>40</v>
      </c>
      <c r="CK422" s="258">
        <f t="shared" ref="CK422:CN422" si="1124">IFERROR(ROUND(BY422*$P422,2),"")</f>
        <v>0</v>
      </c>
      <c r="CL422" s="258">
        <f t="shared" si="1124"/>
        <v>0</v>
      </c>
      <c r="CM422" s="258">
        <f t="shared" si="1124"/>
        <v>0</v>
      </c>
      <c r="CN422" s="258">
        <f t="shared" si="1124"/>
        <v>0</v>
      </c>
      <c r="CO422" s="258">
        <f t="shared" si="1117"/>
        <v>0</v>
      </c>
    </row>
    <row r="423" ht="17" spans="2:95">
      <c r="B423" s="347" t="s">
        <v>695</v>
      </c>
      <c r="C423" s="347" t="str">
        <f t="shared" ref="C423:C430" si="1125">IFERROR(MID(E423,FIND("-",E423)+1,2),"")</f>
        <v>20</v>
      </c>
      <c r="D423" s="347" t="str">
        <f t="shared" si="1100"/>
        <v>载重20寸</v>
      </c>
      <c r="E423" s="385" t="str">
        <f t="shared" si="1058"/>
        <v>11.00-20-18PR-CR952</v>
      </c>
      <c r="F423" s="385"/>
      <c r="G423" s="385" t="s">
        <v>340</v>
      </c>
      <c r="H423" s="347">
        <v>2000</v>
      </c>
      <c r="I423" s="386">
        <v>8</v>
      </c>
      <c r="J423" s="347">
        <v>54.8</v>
      </c>
      <c r="K423" s="347"/>
      <c r="L423" s="349">
        <f t="shared" si="1118"/>
        <v>0.874937468734367</v>
      </c>
      <c r="M423" s="349"/>
      <c r="N423" s="347"/>
      <c r="O423" s="347">
        <f>IFERROR(_xlfn.XLOOKUP(E423,轮胎重量!S:S,轮胎重量!P:P),IFERROR(_xlfn.XLOOKUP(E423,轮胎重量!AB:AB,轮胎重量!Y:Y),IFERROR(_xlfn.XLOOKUP(E423,轮胎重量!AK:AK,轮胎重量!AH:AH),IFERROR(_xlfn.XLOOKUP(E423,轮胎重量!AT:AT,轮胎重量!AQ:AQ),""))))</f>
        <v>57.22</v>
      </c>
      <c r="P423" s="350">
        <f t="shared" ref="P423:P434" si="1126">O423*14.76</f>
        <v>844.5672</v>
      </c>
      <c r="Q423" s="347">
        <f t="shared" si="1102"/>
        <v>182</v>
      </c>
      <c r="R423" s="347">
        <v>88</v>
      </c>
      <c r="S423" s="347">
        <v>88</v>
      </c>
      <c r="T423" s="347">
        <v>88</v>
      </c>
      <c r="U423" s="347">
        <v>88</v>
      </c>
      <c r="V423" s="347">
        <v>88</v>
      </c>
      <c r="W423" s="347">
        <v>88</v>
      </c>
      <c r="X423" s="347">
        <v>88</v>
      </c>
      <c r="Y423" s="347">
        <v>88</v>
      </c>
      <c r="Z423" s="347">
        <v>88</v>
      </c>
      <c r="AA423" s="347">
        <v>88</v>
      </c>
      <c r="AB423" s="347">
        <v>88</v>
      </c>
      <c r="AC423" s="347">
        <v>88</v>
      </c>
      <c r="AD423" s="347">
        <v>88</v>
      </c>
      <c r="AE423" s="347">
        <v>88</v>
      </c>
      <c r="AF423" s="347">
        <v>88</v>
      </c>
      <c r="AG423" s="347">
        <v>88</v>
      </c>
      <c r="AH423" s="347">
        <v>88</v>
      </c>
      <c r="AI423" s="347">
        <v>88</v>
      </c>
      <c r="AJ423" s="347">
        <v>88</v>
      </c>
      <c r="AK423" s="347">
        <v>88</v>
      </c>
      <c r="AL423" s="347">
        <v>88</v>
      </c>
      <c r="AM423" s="347">
        <v>88</v>
      </c>
      <c r="AN423" s="347">
        <v>88</v>
      </c>
      <c r="AO423" s="347">
        <v>88</v>
      </c>
      <c r="AP423" s="347"/>
      <c r="AQ423" s="347"/>
      <c r="AR423" s="347"/>
      <c r="AS423" s="347"/>
      <c r="AT423" s="347"/>
      <c r="AU423" s="347"/>
      <c r="AV423" s="347"/>
      <c r="AW423" s="347">
        <f t="shared" si="1103"/>
        <v>2112</v>
      </c>
      <c r="AX423" s="365">
        <f t="shared" si="1104"/>
        <v>120.84864</v>
      </c>
      <c r="AY423" s="365">
        <f t="shared" si="1105"/>
        <v>178.373</v>
      </c>
      <c r="AZ423" s="368">
        <v>573.5023</v>
      </c>
      <c r="BA423" s="368">
        <v>38.6497</v>
      </c>
      <c r="BB423" s="368">
        <v>53.1056</v>
      </c>
      <c r="BC423" s="368">
        <v>46.7683</v>
      </c>
      <c r="BE423" s="330">
        <f t="shared" si="1106"/>
        <v>1211236.8576</v>
      </c>
      <c r="BF423" s="330">
        <f t="shared" si="1107"/>
        <v>81628.1664</v>
      </c>
      <c r="BG423" s="330">
        <f t="shared" si="1108"/>
        <v>112159.0272</v>
      </c>
      <c r="BH423" s="330">
        <f t="shared" si="1109"/>
        <v>98774.6496</v>
      </c>
      <c r="BJ423" s="370" cm="1">
        <f t="array" ref="BJ423:BM423">_xlfn.LET(_xlpm.data,$R423:$AV423,_xlpm.starts,{1,8,16,23},_xlpm.lengths,{7,7,8,9},_xlpm.arr,_xlfn.MAP(_xlpm.starts,_xlpm.lengths,_xlfn.LAMBDA(_xlpm.s,_xlpm.l,SUM(INDEX(_xlpm.data,,_xlfn.SEQUENCE(,_xlpm.l,_xlpm.s))))),ROUND(_xlpm.arr*$O423/1000,2))</f>
        <v>35.25</v>
      </c>
      <c r="BK423" s="330">
        <v>35.25</v>
      </c>
      <c r="BL423" s="330">
        <v>40.28</v>
      </c>
      <c r="BM423" s="330">
        <v>10.07</v>
      </c>
      <c r="BN423" s="258">
        <f t="shared" si="1110"/>
        <v>120.85</v>
      </c>
      <c r="BO423" s="258">
        <v>18.63</v>
      </c>
      <c r="BP423" s="258">
        <v>2.66</v>
      </c>
      <c r="BQ423" s="258">
        <v>0</v>
      </c>
      <c r="BR423" s="258">
        <v>0</v>
      </c>
      <c r="BS423" s="382" t="s">
        <v>315</v>
      </c>
      <c r="BX423" s="371" t="s">
        <v>315</v>
      </c>
      <c r="BY423" s="258">
        <f t="shared" si="1095"/>
        <v>616</v>
      </c>
      <c r="BZ423" s="258">
        <f t="shared" si="1096"/>
        <v>616</v>
      </c>
      <c r="CA423" s="258">
        <f t="shared" si="1097"/>
        <v>704</v>
      </c>
      <c r="CB423" s="258">
        <f t="shared" si="1098"/>
        <v>176</v>
      </c>
      <c r="CD423" s="225" t="s">
        <v>704</v>
      </c>
      <c r="CE423" s="396">
        <f t="shared" si="1111"/>
        <v>35.25</v>
      </c>
      <c r="CF423" s="389">
        <f t="shared" si="1112"/>
        <v>35.25</v>
      </c>
      <c r="CG423" s="389">
        <f t="shared" si="1113"/>
        <v>40.28</v>
      </c>
      <c r="CH423" s="389">
        <f t="shared" si="1114"/>
        <v>10.07</v>
      </c>
      <c r="CI423" s="258">
        <f t="shared" si="1115"/>
        <v>120.85</v>
      </c>
      <c r="CK423" s="258">
        <f t="shared" ref="CK423:CN423" si="1127">IFERROR(ROUND(BY423*$P423,2),"")</f>
        <v>520253.4</v>
      </c>
      <c r="CL423" s="258">
        <f t="shared" si="1127"/>
        <v>520253.4</v>
      </c>
      <c r="CM423" s="258">
        <f t="shared" si="1127"/>
        <v>594575.31</v>
      </c>
      <c r="CN423" s="258">
        <f t="shared" si="1127"/>
        <v>148643.83</v>
      </c>
      <c r="CO423" s="258">
        <f t="shared" si="1117"/>
        <v>1783725.94</v>
      </c>
      <c r="CP423" s="258" t="e">
        <f>VLOOKUP(G423,[2]Sheet1!$C$3:$G$310,5,0)</f>
        <v>#N/A</v>
      </c>
      <c r="CQ423" s="258">
        <f>VLOOKUP(G423,[3]KCBB0101!$C$3:$F$691,4,0)</f>
        <v>9772</v>
      </c>
    </row>
    <row r="424" ht="17" spans="2:95">
      <c r="B424" s="347" t="s">
        <v>695</v>
      </c>
      <c r="C424" s="347" t="str">
        <f t="shared" si="1125"/>
        <v>20</v>
      </c>
      <c r="D424" s="347" t="str">
        <f t="shared" si="1100"/>
        <v>载重20寸</v>
      </c>
      <c r="E424" s="385" t="str">
        <f t="shared" si="1058"/>
        <v>11.00-20-18PR-CR952PRO</v>
      </c>
      <c r="F424" s="385"/>
      <c r="G424" s="385" t="s">
        <v>341</v>
      </c>
      <c r="H424" s="347">
        <v>600</v>
      </c>
      <c r="I424" s="386">
        <v>2</v>
      </c>
      <c r="J424" s="347">
        <v>54.8</v>
      </c>
      <c r="K424" s="347"/>
      <c r="L424" s="349">
        <f t="shared" si="1118"/>
        <v>0.868004223864836</v>
      </c>
      <c r="M424" s="349"/>
      <c r="N424" s="347"/>
      <c r="O424" s="347">
        <f>IFERROR(_xlfn.XLOOKUP(E424,轮胎重量!S:S,轮胎重量!P:P),IFERROR(_xlfn.XLOOKUP(E424,轮胎重量!AB:AB,轮胎重量!Y:Y),IFERROR(_xlfn.XLOOKUP(E424,轮胎重量!AK:AK,轮胎重量!AH:AH),IFERROR(_xlfn.XLOOKUP(E424,轮胎重量!AT:AT,轮胎重量!AQ:AQ),""))))</f>
        <v>57.22</v>
      </c>
      <c r="P424" s="350">
        <f t="shared" si="1126"/>
        <v>844.5672</v>
      </c>
      <c r="Q424" s="347">
        <f t="shared" si="1102"/>
        <v>46</v>
      </c>
      <c r="R424" s="347">
        <v>44</v>
      </c>
      <c r="S424" s="347">
        <v>44</v>
      </c>
      <c r="T424" s="347">
        <v>44</v>
      </c>
      <c r="U424" s="347">
        <v>44</v>
      </c>
      <c r="V424" s="347">
        <v>44</v>
      </c>
      <c r="W424" s="347">
        <v>44</v>
      </c>
      <c r="X424" s="347">
        <v>44</v>
      </c>
      <c r="Y424" s="347">
        <v>44</v>
      </c>
      <c r="Z424" s="347">
        <v>44</v>
      </c>
      <c r="AA424" s="347">
        <v>44</v>
      </c>
      <c r="AB424" s="347">
        <v>44</v>
      </c>
      <c r="AC424" s="347">
        <v>44</v>
      </c>
      <c r="AD424" s="347">
        <v>44</v>
      </c>
      <c r="AE424" s="347">
        <v>44</v>
      </c>
      <c r="AF424" s="347">
        <v>44</v>
      </c>
      <c r="AG424" s="347"/>
      <c r="AH424" s="347"/>
      <c r="AI424" s="347"/>
      <c r="AJ424" s="347"/>
      <c r="AK424" s="347"/>
      <c r="AL424" s="347"/>
      <c r="AM424" s="347"/>
      <c r="AN424" s="347"/>
      <c r="AO424" s="347"/>
      <c r="AP424" s="347"/>
      <c r="AQ424" s="347"/>
      <c r="AR424" s="347"/>
      <c r="AS424" s="347"/>
      <c r="AT424" s="347"/>
      <c r="AU424" s="347"/>
      <c r="AV424" s="347"/>
      <c r="AW424" s="347">
        <f t="shared" si="1103"/>
        <v>660</v>
      </c>
      <c r="AX424" s="365">
        <f t="shared" si="1104"/>
        <v>37.7652</v>
      </c>
      <c r="AY424" s="365">
        <f t="shared" si="1105"/>
        <v>55.741</v>
      </c>
      <c r="AZ424" s="330">
        <v>642.6823</v>
      </c>
      <c r="BA424" s="330">
        <v>41.1665</v>
      </c>
      <c r="BB424" s="330">
        <v>56.5637</v>
      </c>
      <c r="BC424" s="330">
        <v>49.8138</v>
      </c>
      <c r="BE424" s="330">
        <f t="shared" si="1106"/>
        <v>424170.318</v>
      </c>
      <c r="BF424" s="330">
        <f t="shared" si="1107"/>
        <v>27169.89</v>
      </c>
      <c r="BG424" s="330">
        <f t="shared" si="1108"/>
        <v>37332.042</v>
      </c>
      <c r="BH424" s="330">
        <f t="shared" si="1109"/>
        <v>32877.108</v>
      </c>
      <c r="BJ424" s="370" cm="1">
        <f t="array" ref="BJ424:BM424">_xlfn.LET(_xlpm.data,$R424:$AV424,_xlpm.starts,{1,8,16,23},_xlpm.lengths,{7,7,8,9},_xlpm.arr,_xlfn.MAP(_xlpm.starts,_xlpm.lengths,_xlfn.LAMBDA(_xlpm.s,_xlpm.l,SUM(INDEX(_xlpm.data,,_xlfn.SEQUENCE(,_xlpm.l,_xlpm.s))))),ROUND(_xlpm.arr*$O424/1000,2))</f>
        <v>17.62</v>
      </c>
      <c r="BK424" s="330">
        <v>17.62</v>
      </c>
      <c r="BL424" s="330">
        <v>0</v>
      </c>
      <c r="BM424" s="330">
        <v>0</v>
      </c>
      <c r="BN424" s="258">
        <f t="shared" si="1110"/>
        <v>35.24</v>
      </c>
      <c r="BO424" s="258">
        <v>0</v>
      </c>
      <c r="BP424" s="258">
        <v>15.97</v>
      </c>
      <c r="BQ424" s="258">
        <v>21.29</v>
      </c>
      <c r="BR424" s="258">
        <v>7.98</v>
      </c>
      <c r="BS424" s="382" t="s">
        <v>315</v>
      </c>
      <c r="BX424" s="371" t="s">
        <v>315</v>
      </c>
      <c r="BY424" s="258">
        <f t="shared" si="1095"/>
        <v>308</v>
      </c>
      <c r="BZ424" s="258">
        <f t="shared" si="1096"/>
        <v>308</v>
      </c>
      <c r="CA424" s="258">
        <f t="shared" si="1097"/>
        <v>44</v>
      </c>
      <c r="CB424" s="258">
        <f t="shared" si="1098"/>
        <v>0</v>
      </c>
      <c r="CD424" s="113">
        <v>3.7</v>
      </c>
      <c r="CE424" s="396">
        <f t="shared" ref="CE424:CH424" si="1128">ROUND(BY424*$O424/1000,2)</f>
        <v>17.62</v>
      </c>
      <c r="CF424" s="389">
        <f t="shared" si="1128"/>
        <v>17.62</v>
      </c>
      <c r="CG424" s="389">
        <f t="shared" si="1128"/>
        <v>2.52</v>
      </c>
      <c r="CH424" s="389">
        <f t="shared" si="1128"/>
        <v>0</v>
      </c>
      <c r="CI424" s="258">
        <f t="shared" si="1115"/>
        <v>37.76</v>
      </c>
      <c r="CJ424" s="113">
        <v>5500</v>
      </c>
      <c r="CK424" s="258">
        <f t="shared" ref="CK424:CN424" si="1129">IFERROR(ROUND(BY424*$P424,2),"")</f>
        <v>260126.7</v>
      </c>
      <c r="CL424" s="258">
        <f t="shared" si="1129"/>
        <v>260126.7</v>
      </c>
      <c r="CM424" s="258">
        <f t="shared" si="1129"/>
        <v>37160.96</v>
      </c>
      <c r="CN424" s="258">
        <f t="shared" si="1129"/>
        <v>0</v>
      </c>
      <c r="CO424" s="258">
        <f t="shared" si="1117"/>
        <v>557414.36</v>
      </c>
      <c r="CP424" s="258" t="e">
        <f>VLOOKUP(G424,[2]Sheet1!$C$3:$G$310,5,0)</f>
        <v>#N/A</v>
      </c>
      <c r="CQ424" s="258">
        <f>VLOOKUP(G424,[3]KCBB0101!$C$3:$F$691,4,0)</f>
        <v>7435</v>
      </c>
    </row>
    <row r="425" ht="14" customHeight="1" spans="2:93">
      <c r="B425" s="347" t="s">
        <v>695</v>
      </c>
      <c r="C425" s="347" t="str">
        <f t="shared" si="1125"/>
        <v/>
      </c>
      <c r="D425" s="347" t="str">
        <f t="shared" si="1100"/>
        <v>载重寸</v>
      </c>
      <c r="E425" s="385" t="str">
        <f t="shared" si="1058"/>
        <v/>
      </c>
      <c r="F425" s="385"/>
      <c r="G425" s="385"/>
      <c r="H425" s="347"/>
      <c r="I425" s="386"/>
      <c r="J425" s="347">
        <v>54.8</v>
      </c>
      <c r="K425" s="347"/>
      <c r="L425" s="349">
        <f t="shared" si="1118"/>
        <v>0.868004223864836</v>
      </c>
      <c r="M425" s="349"/>
      <c r="N425" s="347"/>
      <c r="O425" s="347">
        <f>IFERROR(_xlfn.XLOOKUP(E425,轮胎重量!S:S,轮胎重量!P:P),IFERROR(_xlfn.XLOOKUP(E425,轮胎重量!AB:AB,轮胎重量!Y:Y),IFERROR(_xlfn.XLOOKUP(E425,轮胎重量!AK:AK,轮胎重量!AH:AH),IFERROR(_xlfn.XLOOKUP(E425,轮胎重量!AT:AT,轮胎重量!AQ:AQ),""))))</f>
        <v>0</v>
      </c>
      <c r="P425" s="350">
        <f t="shared" si="1126"/>
        <v>0</v>
      </c>
      <c r="Q425" s="347">
        <f t="shared" si="1102"/>
        <v>0</v>
      </c>
      <c r="R425" s="347"/>
      <c r="S425" s="347"/>
      <c r="T425" s="347"/>
      <c r="U425" s="347"/>
      <c r="V425" s="347"/>
      <c r="W425" s="347"/>
      <c r="X425" s="347"/>
      <c r="Y425" s="347"/>
      <c r="Z425" s="347"/>
      <c r="AA425" s="347"/>
      <c r="AB425" s="347"/>
      <c r="AC425" s="347"/>
      <c r="AD425" s="347"/>
      <c r="AE425" s="347"/>
      <c r="AF425" s="347"/>
      <c r="AG425" s="347"/>
      <c r="AH425" s="347"/>
      <c r="AI425" s="347"/>
      <c r="AJ425" s="347"/>
      <c r="AK425" s="347"/>
      <c r="AL425" s="347"/>
      <c r="AM425" s="347"/>
      <c r="AN425" s="347"/>
      <c r="AO425" s="347"/>
      <c r="AP425" s="347"/>
      <c r="AQ425" s="347"/>
      <c r="AR425" s="347"/>
      <c r="AS425" s="347"/>
      <c r="AT425" s="347"/>
      <c r="AU425" s="347"/>
      <c r="AV425" s="347"/>
      <c r="AW425" s="347" t="str">
        <f t="shared" si="1103"/>
        <v/>
      </c>
      <c r="AX425" s="365" t="str">
        <f t="shared" si="1104"/>
        <v/>
      </c>
      <c r="AY425" s="365" t="str">
        <f t="shared" si="1105"/>
        <v/>
      </c>
      <c r="AZ425" s="330">
        <v>642.6823</v>
      </c>
      <c r="BA425" s="330">
        <v>41.1665</v>
      </c>
      <c r="BB425" s="330">
        <v>56.5637</v>
      </c>
      <c r="BC425" s="330">
        <v>49.8138</v>
      </c>
      <c r="BE425" s="330" t="e">
        <f t="shared" si="1106"/>
        <v>#VALUE!</v>
      </c>
      <c r="BF425" s="330" t="e">
        <f t="shared" si="1107"/>
        <v>#VALUE!</v>
      </c>
      <c r="BG425" s="330" t="e">
        <f t="shared" si="1108"/>
        <v>#VALUE!</v>
      </c>
      <c r="BH425" s="330" t="e">
        <f t="shared" si="1109"/>
        <v>#VALUE!</v>
      </c>
      <c r="BJ425" s="370" cm="1">
        <f t="array" ref="BJ425:BM425">_xlfn.LET(_xlpm.data,$R425:$AV425,_xlpm.starts,{1,8,16,23},_xlpm.lengths,{7,7,8,9},_xlpm.arr,_xlfn.MAP(_xlpm.starts,_xlpm.lengths,_xlfn.LAMBDA(_xlpm.s,_xlpm.l,SUM(INDEX(_xlpm.data,,_xlfn.SEQUENCE(,_xlpm.l,_xlpm.s))))),ROUND(_xlpm.arr*$O425/1000,2))</f>
        <v>0</v>
      </c>
      <c r="BK425" s="330">
        <v>0</v>
      </c>
      <c r="BL425" s="330">
        <v>0</v>
      </c>
      <c r="BM425" s="330">
        <v>0</v>
      </c>
      <c r="BN425" s="258">
        <f t="shared" si="1110"/>
        <v>0</v>
      </c>
      <c r="BO425" s="258">
        <v>0</v>
      </c>
      <c r="BP425" s="258">
        <v>15.97</v>
      </c>
      <c r="BQ425" s="258">
        <v>21.29</v>
      </c>
      <c r="BR425" s="258">
        <v>7.98</v>
      </c>
      <c r="BS425" s="382" t="s">
        <v>315</v>
      </c>
      <c r="BX425" s="371" t="s">
        <v>315</v>
      </c>
      <c r="BY425" s="258">
        <f t="shared" si="1095"/>
        <v>0</v>
      </c>
      <c r="BZ425" s="258">
        <f t="shared" si="1096"/>
        <v>0</v>
      </c>
      <c r="CA425" s="258">
        <f t="shared" si="1097"/>
        <v>0</v>
      </c>
      <c r="CB425" s="258">
        <f t="shared" si="1098"/>
        <v>0</v>
      </c>
      <c r="CD425" s="113">
        <v>3.7</v>
      </c>
      <c r="CE425" s="396">
        <f t="shared" ref="CE425:CH425" si="1130">ROUND(BY425*$O425/1000,2)</f>
        <v>0</v>
      </c>
      <c r="CF425" s="389">
        <f t="shared" si="1130"/>
        <v>0</v>
      </c>
      <c r="CG425" s="389">
        <f t="shared" si="1130"/>
        <v>0</v>
      </c>
      <c r="CH425" s="389">
        <f t="shared" si="1130"/>
        <v>0</v>
      </c>
      <c r="CI425" s="258">
        <f t="shared" si="1115"/>
        <v>0</v>
      </c>
      <c r="CK425" s="258">
        <f t="shared" ref="CK425:CN425" si="1131">IFERROR(ROUND(BY425*$P425,2),"")</f>
        <v>0</v>
      </c>
      <c r="CL425" s="258">
        <f t="shared" si="1131"/>
        <v>0</v>
      </c>
      <c r="CM425" s="258">
        <f t="shared" si="1131"/>
        <v>0</v>
      </c>
      <c r="CN425" s="258">
        <f t="shared" si="1131"/>
        <v>0</v>
      </c>
      <c r="CO425" s="258">
        <f t="shared" si="1117"/>
        <v>0</v>
      </c>
    </row>
    <row r="426" ht="17" spans="2:93">
      <c r="B426" s="347" t="s">
        <v>695</v>
      </c>
      <c r="C426" s="347" t="str">
        <f t="shared" si="1125"/>
        <v/>
      </c>
      <c r="D426" s="347" t="str">
        <f t="shared" si="1100"/>
        <v>载重寸</v>
      </c>
      <c r="E426" s="385" t="str">
        <f t="shared" si="1058"/>
        <v/>
      </c>
      <c r="F426" s="385"/>
      <c r="G426" s="385"/>
      <c r="H426" s="347"/>
      <c r="I426" s="386"/>
      <c r="J426" s="347">
        <v>54.8</v>
      </c>
      <c r="K426" s="347"/>
      <c r="L426" s="349">
        <f t="shared" si="1118"/>
        <v>0.868004223864836</v>
      </c>
      <c r="M426" s="349"/>
      <c r="N426" s="347"/>
      <c r="O426" s="347">
        <f>IFERROR(_xlfn.XLOOKUP(E426,轮胎重量!S:S,轮胎重量!P:P),IFERROR(_xlfn.XLOOKUP(E426,轮胎重量!AB:AB,轮胎重量!Y:Y),IFERROR(_xlfn.XLOOKUP(E426,轮胎重量!AK:AK,轮胎重量!AH:AH),IFERROR(_xlfn.XLOOKUP(E426,轮胎重量!AT:AT,轮胎重量!AQ:AQ),""))))</f>
        <v>0</v>
      </c>
      <c r="P426" s="350">
        <f t="shared" si="1126"/>
        <v>0</v>
      </c>
      <c r="Q426" s="347">
        <f t="shared" si="1102"/>
        <v>0</v>
      </c>
      <c r="R426" s="347"/>
      <c r="S426" s="347"/>
      <c r="T426" s="347"/>
      <c r="U426" s="347"/>
      <c r="V426" s="347"/>
      <c r="W426" s="347"/>
      <c r="X426" s="347"/>
      <c r="Y426" s="347"/>
      <c r="Z426" s="347"/>
      <c r="AA426" s="347"/>
      <c r="AB426" s="347"/>
      <c r="AC426" s="347"/>
      <c r="AD426" s="347"/>
      <c r="AE426" s="347"/>
      <c r="AF426" s="347"/>
      <c r="AG426" s="347"/>
      <c r="AH426" s="347"/>
      <c r="AI426" s="347"/>
      <c r="AJ426" s="347"/>
      <c r="AK426" s="347"/>
      <c r="AL426" s="347"/>
      <c r="AM426" s="347"/>
      <c r="AN426" s="347"/>
      <c r="AO426" s="347"/>
      <c r="AP426" s="347"/>
      <c r="AQ426" s="347"/>
      <c r="AR426" s="347"/>
      <c r="AS426" s="347"/>
      <c r="AT426" s="347"/>
      <c r="AU426" s="347"/>
      <c r="AV426" s="347"/>
      <c r="AW426" s="347" t="str">
        <f t="shared" si="1103"/>
        <v/>
      </c>
      <c r="AX426" s="365" t="str">
        <f t="shared" si="1104"/>
        <v/>
      </c>
      <c r="AY426" s="365" t="str">
        <f t="shared" si="1105"/>
        <v/>
      </c>
      <c r="AZ426" s="330">
        <v>642.6823</v>
      </c>
      <c r="BA426" s="330">
        <v>41.1665</v>
      </c>
      <c r="BB426" s="330">
        <v>56.5637</v>
      </c>
      <c r="BC426" s="330">
        <v>49.8138</v>
      </c>
      <c r="BE426" s="330" t="e">
        <f t="shared" si="1106"/>
        <v>#VALUE!</v>
      </c>
      <c r="BF426" s="330" t="e">
        <f t="shared" si="1107"/>
        <v>#VALUE!</v>
      </c>
      <c r="BG426" s="330" t="e">
        <f t="shared" si="1108"/>
        <v>#VALUE!</v>
      </c>
      <c r="BH426" s="330" t="e">
        <f t="shared" si="1109"/>
        <v>#VALUE!</v>
      </c>
      <c r="BJ426" s="370" cm="1">
        <f t="array" ref="BJ426:BM426">_xlfn.LET(_xlpm.data,$R426:$AV426,_xlpm.starts,{1,8,16,23},_xlpm.lengths,{7,7,8,9},_xlpm.arr,_xlfn.MAP(_xlpm.starts,_xlpm.lengths,_xlfn.LAMBDA(_xlpm.s,_xlpm.l,SUM(INDEX(_xlpm.data,,_xlfn.SEQUENCE(,_xlpm.l,_xlpm.s))))),ROUND(_xlpm.arr*$O426/1000,2))</f>
        <v>0</v>
      </c>
      <c r="BK426" s="330">
        <v>0</v>
      </c>
      <c r="BL426" s="330">
        <v>0</v>
      </c>
      <c r="BM426" s="330">
        <v>0</v>
      </c>
      <c r="BN426" s="258">
        <f t="shared" si="1110"/>
        <v>0</v>
      </c>
      <c r="BO426" s="258">
        <v>0</v>
      </c>
      <c r="BP426" s="258">
        <v>15.97</v>
      </c>
      <c r="BQ426" s="258">
        <v>21.29</v>
      </c>
      <c r="BR426" s="258">
        <v>7.98</v>
      </c>
      <c r="BS426" s="382" t="s">
        <v>315</v>
      </c>
      <c r="BX426" s="371" t="s">
        <v>315</v>
      </c>
      <c r="BY426" s="258">
        <f t="shared" si="1095"/>
        <v>0</v>
      </c>
      <c r="BZ426" s="258">
        <f t="shared" si="1096"/>
        <v>0</v>
      </c>
      <c r="CA426" s="258">
        <f t="shared" si="1097"/>
        <v>0</v>
      </c>
      <c r="CB426" s="258">
        <f t="shared" si="1098"/>
        <v>0</v>
      </c>
      <c r="CD426" s="113">
        <v>3.7</v>
      </c>
      <c r="CE426" s="396">
        <f>ROUND(BY426*$O426/1000,2)</f>
        <v>0</v>
      </c>
      <c r="CF426" s="389">
        <f>ROUND(BZ426*$O426/1000,2)</f>
        <v>0</v>
      </c>
      <c r="CG426" s="389">
        <f>ROUND(CA426*$O426/1000,2)</f>
        <v>0</v>
      </c>
      <c r="CH426" s="389">
        <f>ROUND(CB426*$O426/1000,2)</f>
        <v>0</v>
      </c>
      <c r="CI426" s="258">
        <f t="shared" si="1115"/>
        <v>0</v>
      </c>
      <c r="CK426" s="258">
        <f t="shared" ref="CK426:CN426" si="1132">IFERROR(ROUND(BY426*$P426,2),"")</f>
        <v>0</v>
      </c>
      <c r="CL426" s="258">
        <f t="shared" si="1132"/>
        <v>0</v>
      </c>
      <c r="CM426" s="258">
        <f t="shared" si="1132"/>
        <v>0</v>
      </c>
      <c r="CN426" s="258">
        <f t="shared" si="1132"/>
        <v>0</v>
      </c>
      <c r="CO426" s="258">
        <f t="shared" si="1117"/>
        <v>0</v>
      </c>
    </row>
    <row r="427" ht="17" spans="2:93">
      <c r="B427" s="347"/>
      <c r="C427" s="347" t="str">
        <f t="shared" si="1125"/>
        <v/>
      </c>
      <c r="D427" s="347" t="str">
        <f t="shared" si="1100"/>
        <v>载重寸</v>
      </c>
      <c r="E427" s="385" t="str">
        <f t="shared" si="1058"/>
        <v/>
      </c>
      <c r="F427" s="385"/>
      <c r="G427" s="385"/>
      <c r="H427" s="347"/>
      <c r="I427" s="386"/>
      <c r="J427" s="347">
        <v>54.8</v>
      </c>
      <c r="L427" s="349">
        <f t="shared" si="1118"/>
        <v>0.868004223864836</v>
      </c>
      <c r="M427" s="349"/>
      <c r="N427" s="347"/>
      <c r="O427" s="347">
        <f>IFERROR(_xlfn.XLOOKUP(E427,轮胎重量!S:S,轮胎重量!P:P),IFERROR(_xlfn.XLOOKUP(E427,轮胎重量!AB:AB,轮胎重量!Y:Y),IFERROR(_xlfn.XLOOKUP(E427,轮胎重量!AK:AK,轮胎重量!AH:AH),IFERROR(_xlfn.XLOOKUP(E427,轮胎重量!AT:AT,轮胎重量!AQ:AQ),""))))</f>
        <v>0</v>
      </c>
      <c r="P427" s="350">
        <f t="shared" si="1126"/>
        <v>0</v>
      </c>
      <c r="Q427" s="347">
        <f t="shared" si="1102"/>
        <v>0</v>
      </c>
      <c r="R427" s="347"/>
      <c r="S427" s="347"/>
      <c r="T427" s="347"/>
      <c r="U427" s="347"/>
      <c r="V427" s="347"/>
      <c r="W427" s="347"/>
      <c r="X427" s="347"/>
      <c r="Y427" s="347"/>
      <c r="Z427" s="347"/>
      <c r="AA427" s="347"/>
      <c r="AB427" s="347"/>
      <c r="AC427" s="347"/>
      <c r="AD427" s="347"/>
      <c r="AE427" s="347"/>
      <c r="AF427" s="347"/>
      <c r="AG427" s="347"/>
      <c r="AH427" s="347"/>
      <c r="AI427" s="347"/>
      <c r="AJ427" s="347"/>
      <c r="AK427" s="347"/>
      <c r="AL427" s="347"/>
      <c r="AM427" s="347"/>
      <c r="AN427" s="347"/>
      <c r="AO427" s="347"/>
      <c r="AP427" s="347"/>
      <c r="AQ427" s="347"/>
      <c r="AR427" s="347"/>
      <c r="AS427" s="347"/>
      <c r="AT427" s="347"/>
      <c r="AU427" s="347"/>
      <c r="AV427" s="347"/>
      <c r="AW427" s="347" t="str">
        <f t="shared" si="1103"/>
        <v/>
      </c>
      <c r="AX427" s="365" t="str">
        <f t="shared" si="1104"/>
        <v/>
      </c>
      <c r="AY427" s="365" t="str">
        <f t="shared" si="1105"/>
        <v/>
      </c>
      <c r="AZ427" s="330">
        <v>642.6823</v>
      </c>
      <c r="BA427" s="330">
        <v>41.1665</v>
      </c>
      <c r="BB427" s="330">
        <v>56.5637</v>
      </c>
      <c r="BC427" s="330">
        <v>49.8138</v>
      </c>
      <c r="BE427" s="330" t="e">
        <f t="shared" si="1106"/>
        <v>#VALUE!</v>
      </c>
      <c r="BF427" s="330" t="e">
        <f t="shared" si="1107"/>
        <v>#VALUE!</v>
      </c>
      <c r="BG427" s="330" t="e">
        <f t="shared" si="1108"/>
        <v>#VALUE!</v>
      </c>
      <c r="BH427" s="330" t="e">
        <f t="shared" si="1109"/>
        <v>#VALUE!</v>
      </c>
      <c r="BJ427" s="370" cm="1">
        <f t="array" ref="BJ427:BM427">_xlfn.LET(_xlpm.data,$R427:$AV427,_xlpm.starts,{1,8,16,23},_xlpm.lengths,{7,7,8,9},_xlpm.arr,_xlfn.MAP(_xlpm.starts,_xlpm.lengths,_xlfn.LAMBDA(_xlpm.s,_xlpm.l,SUM(INDEX(_xlpm.data,,_xlfn.SEQUENCE(,_xlpm.l,_xlpm.s))))),ROUND(_xlpm.arr*$O427/1000,2))</f>
        <v>0</v>
      </c>
      <c r="BK427" s="330">
        <v>0</v>
      </c>
      <c r="BL427" s="330">
        <v>0</v>
      </c>
      <c r="BM427" s="330">
        <v>0</v>
      </c>
      <c r="BN427" s="258">
        <f t="shared" si="1110"/>
        <v>0</v>
      </c>
      <c r="BO427" s="258">
        <v>18.63</v>
      </c>
      <c r="BP427" s="258">
        <v>18.63</v>
      </c>
      <c r="BQ427" s="258">
        <v>21.29</v>
      </c>
      <c r="BR427" s="258">
        <v>23.95</v>
      </c>
      <c r="BS427" s="382" t="s">
        <v>315</v>
      </c>
      <c r="BX427" s="371" t="s">
        <v>315</v>
      </c>
      <c r="BY427" s="258">
        <f t="shared" si="1095"/>
        <v>0</v>
      </c>
      <c r="BZ427" s="258">
        <f t="shared" si="1096"/>
        <v>0</v>
      </c>
      <c r="CA427" s="258">
        <f t="shared" si="1097"/>
        <v>0</v>
      </c>
      <c r="CB427" s="258">
        <f t="shared" si="1098"/>
        <v>0</v>
      </c>
      <c r="CD427" s="225" t="s">
        <v>705</v>
      </c>
      <c r="CE427" s="396">
        <f>ROUND(BY427*$O427/1000,2)</f>
        <v>0</v>
      </c>
      <c r="CF427" s="389">
        <f>ROUND(BZ427*$O427/1000,2)</f>
        <v>0</v>
      </c>
      <c r="CG427" s="389">
        <f>ROUND(CA427*$O427/1000,2)</f>
        <v>0</v>
      </c>
      <c r="CH427" s="389">
        <f>ROUND(CB427*$O427/1000,2)</f>
        <v>0</v>
      </c>
      <c r="CI427" s="258">
        <f t="shared" si="1115"/>
        <v>0</v>
      </c>
      <c r="CK427" s="258">
        <f t="shared" ref="CK427:CN427" si="1133">IFERROR(ROUND(BY427*$P427,2),"")</f>
        <v>0</v>
      </c>
      <c r="CL427" s="258">
        <f t="shared" si="1133"/>
        <v>0</v>
      </c>
      <c r="CM427" s="258">
        <f t="shared" si="1133"/>
        <v>0</v>
      </c>
      <c r="CN427" s="258">
        <f t="shared" si="1133"/>
        <v>0</v>
      </c>
      <c r="CO427" s="258">
        <f t="shared" si="1117"/>
        <v>0</v>
      </c>
    </row>
    <row r="428" ht="17" spans="2:93">
      <c r="B428" s="347"/>
      <c r="C428" s="347" t="str">
        <f t="shared" si="1125"/>
        <v/>
      </c>
      <c r="D428" s="347" t="str">
        <f t="shared" si="1100"/>
        <v>载重寸</v>
      </c>
      <c r="E428" s="385" t="str">
        <f t="shared" si="1058"/>
        <v/>
      </c>
      <c r="F428" s="385"/>
      <c r="G428" s="385"/>
      <c r="H428" s="347"/>
      <c r="I428" s="386"/>
      <c r="J428" s="347">
        <v>54.8</v>
      </c>
      <c r="K428" s="347"/>
      <c r="L428" s="349">
        <f t="shared" si="1118"/>
        <v>0.868004223864836</v>
      </c>
      <c r="M428" s="349"/>
      <c r="N428" s="347"/>
      <c r="O428" s="347">
        <f>IFERROR(_xlfn.XLOOKUP(E428,轮胎重量!S:S,轮胎重量!P:P),IFERROR(_xlfn.XLOOKUP(E428,轮胎重量!AB:AB,轮胎重量!Y:Y),IFERROR(_xlfn.XLOOKUP(E428,轮胎重量!AK:AK,轮胎重量!AH:AH),IFERROR(_xlfn.XLOOKUP(E428,轮胎重量!AT:AT,轮胎重量!AQ:AQ),""))))</f>
        <v>0</v>
      </c>
      <c r="P428" s="350">
        <f t="shared" si="1126"/>
        <v>0</v>
      </c>
      <c r="Q428" s="347">
        <f t="shared" si="1102"/>
        <v>0</v>
      </c>
      <c r="R428" s="347"/>
      <c r="S428" s="347"/>
      <c r="T428" s="347"/>
      <c r="U428" s="347"/>
      <c r="V428" s="347"/>
      <c r="W428" s="347"/>
      <c r="X428" s="347"/>
      <c r="Y428" s="347"/>
      <c r="Z428" s="347"/>
      <c r="AA428" s="347"/>
      <c r="AB428" s="347"/>
      <c r="AC428" s="347"/>
      <c r="AD428" s="347"/>
      <c r="AE428" s="347"/>
      <c r="AF428" s="347"/>
      <c r="AG428" s="347"/>
      <c r="AH428" s="347"/>
      <c r="AI428" s="347"/>
      <c r="AJ428" s="347"/>
      <c r="AK428" s="347"/>
      <c r="AL428" s="347"/>
      <c r="AM428" s="347"/>
      <c r="AN428" s="347"/>
      <c r="AO428" s="347"/>
      <c r="AP428" s="347"/>
      <c r="AQ428" s="347"/>
      <c r="AR428" s="347"/>
      <c r="AS428" s="347"/>
      <c r="AT428" s="347"/>
      <c r="AU428" s="347"/>
      <c r="AV428" s="347"/>
      <c r="AW428" s="347" t="str">
        <f t="shared" si="1103"/>
        <v/>
      </c>
      <c r="AX428" s="365" t="str">
        <f t="shared" si="1104"/>
        <v/>
      </c>
      <c r="AY428" s="365" t="str">
        <f t="shared" si="1105"/>
        <v/>
      </c>
      <c r="AZ428" s="330">
        <v>560.2288</v>
      </c>
      <c r="BA428" s="330">
        <v>37.4444</v>
      </c>
      <c r="BB428" s="330">
        <v>51.4494</v>
      </c>
      <c r="BC428" s="330">
        <v>45.3098</v>
      </c>
      <c r="BE428" s="330" t="e">
        <f t="shared" si="1106"/>
        <v>#VALUE!</v>
      </c>
      <c r="BF428" s="330" t="e">
        <f t="shared" si="1107"/>
        <v>#VALUE!</v>
      </c>
      <c r="BG428" s="330" t="e">
        <f t="shared" si="1108"/>
        <v>#VALUE!</v>
      </c>
      <c r="BH428" s="330" t="e">
        <f t="shared" si="1109"/>
        <v>#VALUE!</v>
      </c>
      <c r="BJ428" s="370" cm="1">
        <f t="array" ref="BJ428:BM428">_xlfn.LET(_xlpm.data,$R428:$AV428,_xlpm.starts,{1,8,16,23},_xlpm.lengths,{7,7,8,9},_xlpm.arr,_xlfn.MAP(_xlpm.starts,_xlpm.lengths,_xlfn.LAMBDA(_xlpm.s,_xlpm.l,SUM(INDEX(_xlpm.data,,_xlfn.SEQUENCE(,_xlpm.l,_xlpm.s))))),ROUND(_xlpm.arr*$O428/1000,2))</f>
        <v>0</v>
      </c>
      <c r="BK428" s="330">
        <v>0</v>
      </c>
      <c r="BL428" s="330">
        <v>0</v>
      </c>
      <c r="BM428" s="330">
        <v>0</v>
      </c>
      <c r="BN428" s="258">
        <f t="shared" si="1110"/>
        <v>0</v>
      </c>
      <c r="BO428" s="258">
        <v>0</v>
      </c>
      <c r="BP428" s="258">
        <v>0</v>
      </c>
      <c r="BQ428" s="258">
        <v>0</v>
      </c>
      <c r="BR428" s="258">
        <v>15.97</v>
      </c>
      <c r="BS428" s="382" t="s">
        <v>315</v>
      </c>
      <c r="BX428" s="371" t="s">
        <v>315</v>
      </c>
      <c r="BY428" s="258">
        <f t="shared" si="1095"/>
        <v>0</v>
      </c>
      <c r="BZ428" s="258">
        <f t="shared" si="1096"/>
        <v>0</v>
      </c>
      <c r="CA428" s="258">
        <f t="shared" si="1097"/>
        <v>0</v>
      </c>
      <c r="CB428" s="258">
        <f t="shared" si="1098"/>
        <v>0</v>
      </c>
      <c r="CD428" s="113">
        <v>56.5</v>
      </c>
      <c r="CE428" s="396">
        <f>ROUND(BY428*$O428/1000,2)</f>
        <v>0</v>
      </c>
      <c r="CF428" s="389">
        <f>ROUND(BZ428*$O428/1000,2)</f>
        <v>0</v>
      </c>
      <c r="CG428" s="389">
        <f>ROUND(CA428*$O428/1000,2)</f>
        <v>0</v>
      </c>
      <c r="CH428" s="389">
        <f>ROUND(CB428*$O428/1000,2)</f>
        <v>0</v>
      </c>
      <c r="CI428" s="258">
        <f t="shared" si="1115"/>
        <v>0</v>
      </c>
      <c r="CK428" s="258">
        <f t="shared" ref="CK428:CN428" si="1134">IFERROR(ROUND(BY428*$P428,2),"")</f>
        <v>0</v>
      </c>
      <c r="CL428" s="258">
        <f t="shared" si="1134"/>
        <v>0</v>
      </c>
      <c r="CM428" s="258">
        <f t="shared" si="1134"/>
        <v>0</v>
      </c>
      <c r="CN428" s="258">
        <f t="shared" si="1134"/>
        <v>0</v>
      </c>
      <c r="CO428" s="258">
        <f t="shared" si="1117"/>
        <v>0</v>
      </c>
    </row>
    <row r="429" spans="2:93">
      <c r="B429" s="347" t="s">
        <v>691</v>
      </c>
      <c r="C429" s="347"/>
      <c r="D429" s="347" t="str">
        <f t="shared" ref="D429:D436" si="1135">"ST"&amp;C429&amp;"寸"</f>
        <v>ST寸</v>
      </c>
      <c r="E429" s="385"/>
      <c r="F429" s="385"/>
      <c r="G429" s="385"/>
      <c r="H429" s="347"/>
      <c r="I429" s="386"/>
      <c r="J429" s="347">
        <v>54.8</v>
      </c>
      <c r="K429" s="347"/>
      <c r="L429" s="349">
        <f t="shared" si="1118"/>
        <v>0.868004223864836</v>
      </c>
      <c r="M429" s="349"/>
      <c r="N429" s="347"/>
      <c r="O429" s="347">
        <f>IFERROR(_xlfn.XLOOKUP(E429,轮胎重量!S:S,轮胎重量!P:P),IFERROR(_xlfn.XLOOKUP(E429,轮胎重量!AB:AB,轮胎重量!Y:Y),IFERROR(_xlfn.XLOOKUP(E429,轮胎重量!AK:AK,轮胎重量!AH:AH),IFERROR(_xlfn.XLOOKUP(E429,轮胎重量!AT:AT,轮胎重量!AQ:AQ),""))))</f>
        <v>0</v>
      </c>
      <c r="P429" s="350">
        <f t="shared" si="1126"/>
        <v>0</v>
      </c>
      <c r="Q429" s="347">
        <f t="shared" si="1102"/>
        <v>0</v>
      </c>
      <c r="R429" s="347"/>
      <c r="S429" s="347"/>
      <c r="T429" s="347"/>
      <c r="U429" s="347"/>
      <c r="V429" s="347"/>
      <c r="W429" s="347"/>
      <c r="X429" s="347"/>
      <c r="Y429" s="347"/>
      <c r="Z429" s="347"/>
      <c r="AA429" s="347"/>
      <c r="AB429" s="347"/>
      <c r="AC429" s="347"/>
      <c r="AD429" s="347"/>
      <c r="AE429" s="347"/>
      <c r="AF429" s="347"/>
      <c r="AG429" s="347"/>
      <c r="AH429" s="347"/>
      <c r="AI429" s="347"/>
      <c r="AJ429" s="347"/>
      <c r="AK429" s="347"/>
      <c r="AL429" s="347"/>
      <c r="AM429" s="347"/>
      <c r="AN429" s="347"/>
      <c r="AO429" s="347"/>
      <c r="AP429" s="347"/>
      <c r="AQ429" s="347"/>
      <c r="AR429" s="347"/>
      <c r="AS429" s="347"/>
      <c r="AT429" s="347"/>
      <c r="AU429" s="347"/>
      <c r="AV429" s="347"/>
      <c r="AW429" s="347" t="str">
        <f t="shared" si="1103"/>
        <v/>
      </c>
      <c r="AX429" s="365" t="str">
        <f t="shared" si="1104"/>
        <v/>
      </c>
      <c r="AY429" s="365" t="str">
        <f t="shared" si="1105"/>
        <v/>
      </c>
      <c r="AZ429" s="330">
        <v>560.2288</v>
      </c>
      <c r="BA429" s="330">
        <v>37.4444</v>
      </c>
      <c r="BB429" s="330">
        <v>51.4494</v>
      </c>
      <c r="BC429" s="330">
        <v>45.3098</v>
      </c>
      <c r="BE429" s="330" t="e">
        <f t="shared" si="1106"/>
        <v>#VALUE!</v>
      </c>
      <c r="BF429" s="330" t="e">
        <f t="shared" si="1107"/>
        <v>#VALUE!</v>
      </c>
      <c r="BG429" s="330" t="e">
        <f t="shared" si="1108"/>
        <v>#VALUE!</v>
      </c>
      <c r="BH429" s="330" t="e">
        <f t="shared" si="1109"/>
        <v>#VALUE!</v>
      </c>
      <c r="BJ429" s="370" cm="1">
        <f t="array" ref="BJ429:BM429">_xlfn.LET(_xlpm.data,$R429:$AV429,_xlpm.starts,{1,8,16,23},_xlpm.lengths,{7,7,8,9},_xlpm.arr,_xlfn.MAP(_xlpm.starts,_xlpm.lengths,_xlfn.LAMBDA(_xlpm.s,_xlpm.l,SUM(INDEX(_xlpm.data,,_xlfn.SEQUENCE(,_xlpm.l,_xlpm.s))))),ROUND(_xlpm.arr*$O429/1000,2))</f>
        <v>0</v>
      </c>
      <c r="BK429" s="330">
        <v>0</v>
      </c>
      <c r="BL429" s="330">
        <v>0</v>
      </c>
      <c r="BM429" s="330">
        <v>0</v>
      </c>
      <c r="BN429" s="258">
        <f t="shared" si="1110"/>
        <v>0</v>
      </c>
      <c r="BO429" s="258">
        <v>0</v>
      </c>
      <c r="BP429" s="258">
        <v>0</v>
      </c>
      <c r="BQ429" s="258">
        <v>0</v>
      </c>
      <c r="BR429" s="258">
        <v>15.97</v>
      </c>
      <c r="BS429" s="115" t="s">
        <v>357</v>
      </c>
      <c r="BX429" s="115" t="s">
        <v>357</v>
      </c>
      <c r="BY429" s="258">
        <f t="shared" si="1095"/>
        <v>0</v>
      </c>
      <c r="BZ429" s="258">
        <f t="shared" si="1096"/>
        <v>0</v>
      </c>
      <c r="CA429" s="258">
        <f t="shared" si="1097"/>
        <v>0</v>
      </c>
      <c r="CB429" s="258">
        <f t="shared" si="1098"/>
        <v>0</v>
      </c>
      <c r="CD429" s="113">
        <v>56.5</v>
      </c>
      <c r="CE429" s="396">
        <f>ROUND(BY429*$O429/1000,2)</f>
        <v>0</v>
      </c>
      <c r="CF429" s="389">
        <f>ROUND(BZ429*$O429/1000,2)</f>
        <v>0</v>
      </c>
      <c r="CG429" s="389">
        <f>ROUND(CA429*$O429/1000,2)</f>
        <v>0</v>
      </c>
      <c r="CH429" s="389">
        <f>ROUND(CB429*$O429/1000,2)</f>
        <v>0</v>
      </c>
      <c r="CI429" s="258">
        <f t="shared" si="1115"/>
        <v>0</v>
      </c>
      <c r="CK429" s="258">
        <f t="shared" ref="CK429:CN429" si="1136">IFERROR(ROUND(BY429*$P429,2),"")</f>
        <v>0</v>
      </c>
      <c r="CL429" s="258">
        <f t="shared" si="1136"/>
        <v>0</v>
      </c>
      <c r="CM429" s="258">
        <f t="shared" si="1136"/>
        <v>0</v>
      </c>
      <c r="CN429" s="258">
        <f t="shared" si="1136"/>
        <v>0</v>
      </c>
      <c r="CO429" s="258">
        <f t="shared" si="1117"/>
        <v>0</v>
      </c>
    </row>
    <row r="430" s="329" customFormat="1" spans="1:92">
      <c r="A430" s="392"/>
      <c r="B430" s="347" t="s">
        <v>691</v>
      </c>
      <c r="C430" s="347"/>
      <c r="D430" s="347" t="str">
        <f t="shared" si="1135"/>
        <v>ST寸</v>
      </c>
      <c r="E430" s="385"/>
      <c r="F430" s="385"/>
      <c r="G430" s="385"/>
      <c r="H430" s="347"/>
      <c r="I430" s="386"/>
      <c r="J430" s="386">
        <v>54.8</v>
      </c>
      <c r="K430" s="347"/>
      <c r="L430" s="349">
        <f t="shared" si="1118"/>
        <v>0.868004223864836</v>
      </c>
      <c r="M430" s="394"/>
      <c r="N430" s="386"/>
      <c r="O430" s="347">
        <f>IFERROR(_xlfn.XLOOKUP(E430,轮胎重量!S:S,轮胎重量!P:P),IFERROR(_xlfn.XLOOKUP(E430,轮胎重量!AB:AB,轮胎重量!Y:Y),IFERROR(_xlfn.XLOOKUP(E430,轮胎重量!AK:AK,轮胎重量!AH:AH),IFERROR(_xlfn.XLOOKUP(E430,轮胎重量!AT:AT,轮胎重量!AQ:AQ),""))))</f>
        <v>0</v>
      </c>
      <c r="P430" s="350">
        <f t="shared" si="1126"/>
        <v>0</v>
      </c>
      <c r="Q430" s="386">
        <f t="shared" si="1102"/>
        <v>0</v>
      </c>
      <c r="R430" s="386"/>
      <c r="S430" s="386"/>
      <c r="T430" s="386"/>
      <c r="U430" s="386"/>
      <c r="V430" s="386"/>
      <c r="W430" s="386"/>
      <c r="X430" s="386"/>
      <c r="Y430" s="386"/>
      <c r="Z430" s="386"/>
      <c r="AA430" s="386"/>
      <c r="AB430" s="386"/>
      <c r="AC430" s="386"/>
      <c r="AD430" s="386"/>
      <c r="AE430" s="386"/>
      <c r="AF430" s="386"/>
      <c r="AG430" s="386"/>
      <c r="AH430" s="347"/>
      <c r="AI430" s="347"/>
      <c r="AJ430" s="347"/>
      <c r="AK430" s="347"/>
      <c r="AL430" s="347"/>
      <c r="AM430" s="347"/>
      <c r="AN430" s="347"/>
      <c r="AO430" s="386"/>
      <c r="AP430" s="386"/>
      <c r="AQ430" s="386"/>
      <c r="AR430" s="386"/>
      <c r="AS430" s="386"/>
      <c r="AT430" s="386"/>
      <c r="AU430" s="386"/>
      <c r="AV430" s="386"/>
      <c r="AW430" s="347" t="str">
        <f t="shared" si="1103"/>
        <v/>
      </c>
      <c r="AX430" s="365" t="str">
        <f t="shared" si="1104"/>
        <v/>
      </c>
      <c r="AY430" s="365" t="str">
        <f t="shared" si="1105"/>
        <v/>
      </c>
      <c r="AZ430" s="395">
        <v>575.2751</v>
      </c>
      <c r="BA430" s="395">
        <v>38.7893</v>
      </c>
      <c r="BB430" s="395">
        <v>53.2973</v>
      </c>
      <c r="BC430" s="395">
        <v>46.9372</v>
      </c>
      <c r="BD430" s="392"/>
      <c r="BE430" s="392" t="e">
        <f t="shared" si="1106"/>
        <v>#VALUE!</v>
      </c>
      <c r="BF430" s="392" t="e">
        <f t="shared" si="1107"/>
        <v>#VALUE!</v>
      </c>
      <c r="BG430" s="392" t="e">
        <f t="shared" si="1108"/>
        <v>#VALUE!</v>
      </c>
      <c r="BH430" s="392" t="e">
        <f t="shared" si="1109"/>
        <v>#VALUE!</v>
      </c>
      <c r="BI430" s="392"/>
      <c r="BJ430" s="370" cm="1">
        <f t="array" ref="BJ430:BM430">_xlfn.LET(_xlpm.data,$R430:$AV430,_xlpm.starts,{1,8,16,23},_xlpm.lengths,{7,7,8,9},_xlpm.arr,_xlfn.MAP(_xlpm.starts,_xlpm.lengths,_xlfn.LAMBDA(_xlpm.s,_xlpm.l,SUM(INDEX(_xlpm.data,,_xlfn.SEQUENCE(,_xlpm.l,_xlpm.s))))),ROUND(_xlpm.arr*$O430/1000,2))</f>
        <v>0</v>
      </c>
      <c r="BK430" s="392">
        <v>0</v>
      </c>
      <c r="BL430" s="392">
        <v>0</v>
      </c>
      <c r="BM430" s="392">
        <v>0</v>
      </c>
      <c r="BN430" s="329">
        <f t="shared" si="1110"/>
        <v>0</v>
      </c>
      <c r="BO430" s="329">
        <v>18.63</v>
      </c>
      <c r="BP430" s="329">
        <v>18.63</v>
      </c>
      <c r="BQ430" s="329">
        <v>21.29</v>
      </c>
      <c r="BR430" s="329">
        <v>23.95</v>
      </c>
      <c r="BS430" s="115" t="s">
        <v>357</v>
      </c>
      <c r="BX430" s="115" t="s">
        <v>357</v>
      </c>
      <c r="BY430" s="258">
        <f t="shared" si="1095"/>
        <v>0</v>
      </c>
      <c r="BZ430" s="258">
        <f t="shared" si="1096"/>
        <v>0</v>
      </c>
      <c r="CA430" s="258">
        <f t="shared" si="1097"/>
        <v>0</v>
      </c>
      <c r="CB430" s="258">
        <f t="shared" si="1098"/>
        <v>0</v>
      </c>
      <c r="CD430" s="397"/>
      <c r="CE430" s="396">
        <f>ROUND(BY430*$O430/1000,2)</f>
        <v>0</v>
      </c>
      <c r="CF430" s="389">
        <f>ROUND(BZ430*$O430/1000,2)</f>
        <v>0</v>
      </c>
      <c r="CG430" s="389">
        <f>ROUND(CA430*$O430/1000,2)</f>
        <v>0</v>
      </c>
      <c r="CH430" s="389">
        <f>ROUND(CB430*$O430/1000,2)</f>
        <v>0</v>
      </c>
      <c r="CI430" s="258">
        <f t="shared" si="1115"/>
        <v>0</v>
      </c>
      <c r="CJ430" s="397"/>
      <c r="CK430" s="258">
        <f t="shared" ref="CK430:CN430" si="1137">IFERROR(ROUND(BY430*$P430,2),"")</f>
        <v>0</v>
      </c>
      <c r="CL430" s="258">
        <f t="shared" si="1137"/>
        <v>0</v>
      </c>
      <c r="CM430" s="258">
        <f t="shared" si="1137"/>
        <v>0</v>
      </c>
      <c r="CN430" s="258">
        <f t="shared" si="1137"/>
        <v>0</v>
      </c>
    </row>
    <row r="431" s="329" customFormat="1" spans="1:95">
      <c r="A431" s="392"/>
      <c r="B431" s="347" t="s">
        <v>691</v>
      </c>
      <c r="C431" s="347">
        <v>15</v>
      </c>
      <c r="D431" s="347" t="str">
        <f t="shared" si="1135"/>
        <v>ST15寸</v>
      </c>
      <c r="E431" s="385" t="str">
        <f>LEFT(REPLACE(G431,1,2,""),FIND("[",REPLACE(G431,1,2,""))-1)&amp;"-"&amp;MID(REPLACE(G431,1,2,""),FIND("[",REPLACE(G431,1,2,""))+1,FIND("]",REPLACE(G431,1,2,""))-FIND("[",REPLACE(G431,1,2,""))-1)</f>
        <v>ST205/75D15-6PR-TE898</v>
      </c>
      <c r="F431" s="385"/>
      <c r="G431" s="385" t="s">
        <v>356</v>
      </c>
      <c r="H431" s="347">
        <v>500</v>
      </c>
      <c r="I431" s="386"/>
      <c r="J431" s="386">
        <v>54.8</v>
      </c>
      <c r="K431" s="347"/>
      <c r="L431" s="394">
        <f t="shared" si="1118"/>
        <v>0.868004223864836</v>
      </c>
      <c r="M431" s="394"/>
      <c r="N431" s="386"/>
      <c r="O431" s="347">
        <f>IFERROR(_xlfn.XLOOKUP(E431,轮胎重量!S:S,轮胎重量!P:P),IFERROR(_xlfn.XLOOKUP(E431,轮胎重量!AB:AB,轮胎重量!Y:Y),IFERROR(_xlfn.XLOOKUP(E431,轮胎重量!AK:AK,轮胎重量!AH:AH),IFERROR(_xlfn.XLOOKUP(E431,轮胎重量!AT:AT,轮胎重量!AQ:AQ),""))))</f>
        <v>9.22</v>
      </c>
      <c r="P431" s="350">
        <f t="shared" si="1126"/>
        <v>136.0872</v>
      </c>
      <c r="Q431" s="386">
        <f t="shared" ref="Q431:Q438" si="1138">IFERROR(ROUND(1440/J431*I431*L432,0),"")</f>
        <v>0</v>
      </c>
      <c r="R431" s="347">
        <v>110</v>
      </c>
      <c r="S431" s="347">
        <v>110</v>
      </c>
      <c r="T431" s="347">
        <v>110</v>
      </c>
      <c r="U431" s="347">
        <v>110</v>
      </c>
      <c r="V431" s="347">
        <v>110</v>
      </c>
      <c r="W431" s="347"/>
      <c r="X431" s="347"/>
      <c r="Y431" s="347"/>
      <c r="Z431" s="347"/>
      <c r="AA431" s="347"/>
      <c r="AB431" s="347"/>
      <c r="AC431" s="347"/>
      <c r="AD431" s="347"/>
      <c r="AE431" s="347"/>
      <c r="AF431" s="347"/>
      <c r="AG431" s="347"/>
      <c r="AH431" s="347"/>
      <c r="AI431" s="347"/>
      <c r="AJ431" s="347"/>
      <c r="AK431" s="347"/>
      <c r="AL431" s="347"/>
      <c r="AM431" s="347"/>
      <c r="AN431" s="347"/>
      <c r="AO431" s="347"/>
      <c r="AP431" s="347"/>
      <c r="AQ431" s="347"/>
      <c r="AR431" s="347"/>
      <c r="AS431" s="347"/>
      <c r="AT431" s="347"/>
      <c r="AU431" s="347"/>
      <c r="AV431" s="347"/>
      <c r="AW431" s="347">
        <f t="shared" si="1103"/>
        <v>550</v>
      </c>
      <c r="AX431" s="365">
        <f t="shared" si="1104"/>
        <v>5.071</v>
      </c>
      <c r="AY431" s="365">
        <f t="shared" si="1105"/>
        <v>7.485</v>
      </c>
      <c r="AZ431" s="395">
        <v>575.2751</v>
      </c>
      <c r="BA431" s="395">
        <v>38.7893</v>
      </c>
      <c r="BB431" s="395">
        <v>53.2973</v>
      </c>
      <c r="BC431" s="395">
        <v>46.9372</v>
      </c>
      <c r="BD431" s="392"/>
      <c r="BE431" s="392">
        <f t="shared" ref="BE431:BE444" si="1139">AZ431*AW431</f>
        <v>316401.305</v>
      </c>
      <c r="BF431" s="392">
        <f t="shared" ref="BF431:BF444" si="1140">BA431*AW431</f>
        <v>21334.115</v>
      </c>
      <c r="BG431" s="392">
        <f t="shared" ref="BG431:BG444" si="1141">BB431*AW431</f>
        <v>29313.515</v>
      </c>
      <c r="BH431" s="392">
        <f t="shared" ref="BH431:BH444" si="1142">BC431*AW431</f>
        <v>25815.46</v>
      </c>
      <c r="BI431" s="392"/>
      <c r="BJ431" s="370" cm="1">
        <f t="array" ref="BJ431:BM431">_xlfn.LET(_xlpm.data,$R431:$AV431,_xlpm.starts,{1,8,16,23},_xlpm.lengths,{7,7,8,9},_xlpm.arr,_xlfn.MAP(_xlpm.starts,_xlpm.lengths,_xlfn.LAMBDA(_xlpm.s,_xlpm.l,SUM(INDEX(_xlpm.data,,_xlfn.SEQUENCE(,_xlpm.l,_xlpm.s))))),ROUND(_xlpm.arr*$O431/1000,2))</f>
        <v>5.07</v>
      </c>
      <c r="BK431" s="392">
        <v>0</v>
      </c>
      <c r="BL431" s="392">
        <v>0</v>
      </c>
      <c r="BM431" s="392">
        <v>0</v>
      </c>
      <c r="BN431" s="329">
        <f t="shared" si="1110"/>
        <v>5.07</v>
      </c>
      <c r="BO431" s="329">
        <v>18.63</v>
      </c>
      <c r="BP431" s="329">
        <v>18.63</v>
      </c>
      <c r="BQ431" s="329">
        <v>21.29</v>
      </c>
      <c r="BR431" s="329">
        <v>23.95</v>
      </c>
      <c r="BS431" s="115" t="s">
        <v>357</v>
      </c>
      <c r="BX431" s="115" t="s">
        <v>357</v>
      </c>
      <c r="BY431" s="258">
        <f t="shared" si="1095"/>
        <v>550</v>
      </c>
      <c r="BZ431" s="258">
        <f t="shared" si="1096"/>
        <v>0</v>
      </c>
      <c r="CA431" s="258">
        <f t="shared" si="1097"/>
        <v>0</v>
      </c>
      <c r="CB431" s="258">
        <f t="shared" si="1098"/>
        <v>0</v>
      </c>
      <c r="CD431" s="397"/>
      <c r="CE431" s="396">
        <f t="shared" ref="CE431:CE444" si="1143">ROUND(BY431*$O431/1000,2)</f>
        <v>5.07</v>
      </c>
      <c r="CF431" s="389">
        <f t="shared" ref="CF431:CF444" si="1144">ROUND(BZ431*$O431/1000,2)</f>
        <v>0</v>
      </c>
      <c r="CG431" s="389">
        <f t="shared" ref="CG431:CG444" si="1145">ROUND(CA431*$O431/1000,2)</f>
        <v>0</v>
      </c>
      <c r="CH431" s="389">
        <f t="shared" ref="CH431:CH444" si="1146">ROUND(CB431*$O431/1000,2)</f>
        <v>0</v>
      </c>
      <c r="CI431" s="258">
        <f t="shared" ref="CI431:CI444" si="1147">SUM(CE431:CH431)</f>
        <v>5.07</v>
      </c>
      <c r="CJ431" s="397"/>
      <c r="CK431" s="258">
        <f t="shared" ref="CK431:CN431" si="1148">IFERROR(ROUND(BY431*$P431,2),"")</f>
        <v>74847.96</v>
      </c>
      <c r="CL431" s="258">
        <f t="shared" si="1148"/>
        <v>0</v>
      </c>
      <c r="CM431" s="258">
        <f t="shared" si="1148"/>
        <v>0</v>
      </c>
      <c r="CN431" s="258">
        <f t="shared" si="1148"/>
        <v>0</v>
      </c>
      <c r="CP431" s="258" t="e">
        <f>VLOOKUP(G431,[2]Sheet1!$C$3:$G$310,5,0)</f>
        <v>#N/A</v>
      </c>
      <c r="CQ431" s="258">
        <f>VLOOKUP(G431,[3]KCBB0101!$C$3:$F$691,4,0)</f>
        <v>5000</v>
      </c>
    </row>
    <row r="432" s="258" customFormat="1" spans="1:92">
      <c r="A432" s="330"/>
      <c r="B432" s="347" t="s">
        <v>691</v>
      </c>
      <c r="C432" s="347"/>
      <c r="D432" s="347" t="str">
        <f t="shared" si="1135"/>
        <v>ST寸</v>
      </c>
      <c r="E432" s="385"/>
      <c r="F432" s="385"/>
      <c r="G432" s="385"/>
      <c r="H432" s="347"/>
      <c r="I432" s="386"/>
      <c r="J432" s="347">
        <v>58.3</v>
      </c>
      <c r="K432" s="347"/>
      <c r="L432" s="394">
        <f t="shared" ref="L432:L439" si="1149">IF(J431="","",J431/(J431+$J$378/60))</f>
        <v>0.868004223864836</v>
      </c>
      <c r="M432" s="349"/>
      <c r="N432" s="347"/>
      <c r="O432" s="347">
        <f>IFERROR(_xlfn.XLOOKUP(E432,轮胎重量!S:S,轮胎重量!P:P),IFERROR(_xlfn.XLOOKUP(E432,轮胎重量!AB:AB,轮胎重量!Y:Y),IFERROR(_xlfn.XLOOKUP(E432,轮胎重量!AK:AK,轮胎重量!AH:AH),IFERROR(_xlfn.XLOOKUP(E432,轮胎重量!AT:AT,轮胎重量!AQ:AQ),""))))</f>
        <v>0</v>
      </c>
      <c r="P432" s="350">
        <f t="shared" si="1126"/>
        <v>0</v>
      </c>
      <c r="Q432" s="347">
        <f t="shared" si="1138"/>
        <v>0</v>
      </c>
      <c r="R432" s="347"/>
      <c r="S432" s="347"/>
      <c r="T432" s="347"/>
      <c r="U432" s="347"/>
      <c r="V432" s="347"/>
      <c r="W432" s="347"/>
      <c r="X432" s="347"/>
      <c r="Y432" s="347"/>
      <c r="Z432" s="347"/>
      <c r="AA432" s="347"/>
      <c r="AB432" s="347"/>
      <c r="AC432" s="347"/>
      <c r="AD432" s="347"/>
      <c r="AE432" s="347"/>
      <c r="AF432" s="347"/>
      <c r="AG432" s="347"/>
      <c r="AH432" s="347"/>
      <c r="AI432" s="347"/>
      <c r="AJ432" s="386"/>
      <c r="AK432" s="347"/>
      <c r="AL432" s="347"/>
      <c r="AM432" s="347"/>
      <c r="AN432" s="347"/>
      <c r="AO432" s="347"/>
      <c r="AP432" s="347"/>
      <c r="AQ432" s="347"/>
      <c r="AR432" s="347"/>
      <c r="AS432" s="347"/>
      <c r="AT432" s="347"/>
      <c r="AU432" s="347"/>
      <c r="AV432" s="347"/>
      <c r="AW432" s="347" t="str">
        <f t="shared" si="1103"/>
        <v/>
      </c>
      <c r="AX432" s="365" t="str">
        <f t="shared" si="1104"/>
        <v/>
      </c>
      <c r="AY432" s="365" t="str">
        <f t="shared" si="1105"/>
        <v/>
      </c>
      <c r="AZ432" s="368">
        <v>700.5375</v>
      </c>
      <c r="BA432" s="368">
        <v>42.4245</v>
      </c>
      <c r="BB432" s="368">
        <v>58.2922</v>
      </c>
      <c r="BC432" s="368">
        <v>51.336</v>
      </c>
      <c r="BD432" s="330"/>
      <c r="BE432" s="330" t="e">
        <f t="shared" si="1139"/>
        <v>#VALUE!</v>
      </c>
      <c r="BF432" s="330" t="e">
        <f t="shared" si="1140"/>
        <v>#VALUE!</v>
      </c>
      <c r="BG432" s="330" t="e">
        <f t="shared" si="1141"/>
        <v>#VALUE!</v>
      </c>
      <c r="BH432" s="330" t="e">
        <f t="shared" si="1142"/>
        <v>#VALUE!</v>
      </c>
      <c r="BI432" s="330"/>
      <c r="BJ432" s="370" cm="1">
        <f t="array" ref="BJ432:BM432">_xlfn.LET(_xlpm.data,$R432:$AV432,_xlpm.starts,{1,8,16,23},_xlpm.lengths,{7,7,8,9},_xlpm.arr,_xlfn.MAP(_xlpm.starts,_xlpm.lengths,_xlfn.LAMBDA(_xlpm.s,_xlpm.l,SUM(INDEX(_xlpm.data,,_xlfn.SEQUENCE(,_xlpm.l,_xlpm.s))))),ROUND(_xlpm.arr*$O432/1000,2))</f>
        <v>0</v>
      </c>
      <c r="BK432" s="330">
        <v>0</v>
      </c>
      <c r="BL432" s="330">
        <v>0</v>
      </c>
      <c r="BM432" s="330">
        <v>0</v>
      </c>
      <c r="BN432" s="258">
        <f t="shared" si="1110"/>
        <v>0</v>
      </c>
      <c r="BO432" s="258">
        <v>0</v>
      </c>
      <c r="BP432" s="258">
        <v>0</v>
      </c>
      <c r="BQ432" s="258">
        <v>0</v>
      </c>
      <c r="BR432" s="258">
        <v>0</v>
      </c>
      <c r="BS432" s="115" t="s">
        <v>357</v>
      </c>
      <c r="BX432" s="115" t="s">
        <v>357</v>
      </c>
      <c r="BY432" s="258">
        <f t="shared" si="1095"/>
        <v>0</v>
      </c>
      <c r="BZ432" s="258">
        <f t="shared" si="1096"/>
        <v>0</v>
      </c>
      <c r="CA432" s="258">
        <f t="shared" si="1097"/>
        <v>0</v>
      </c>
      <c r="CB432" s="258">
        <f t="shared" si="1098"/>
        <v>0</v>
      </c>
      <c r="CD432" s="113"/>
      <c r="CE432" s="396">
        <f t="shared" si="1143"/>
        <v>0</v>
      </c>
      <c r="CF432" s="389">
        <f t="shared" si="1144"/>
        <v>0</v>
      </c>
      <c r="CG432" s="389">
        <f t="shared" si="1145"/>
        <v>0</v>
      </c>
      <c r="CH432" s="389">
        <f t="shared" si="1146"/>
        <v>0</v>
      </c>
      <c r="CI432" s="258">
        <f t="shared" si="1147"/>
        <v>0</v>
      </c>
      <c r="CJ432" s="113"/>
      <c r="CK432" s="258">
        <f t="shared" ref="CK432:CN432" si="1150">IFERROR(ROUND(BY432*$P432,2),"")</f>
        <v>0</v>
      </c>
      <c r="CL432" s="258">
        <f t="shared" si="1150"/>
        <v>0</v>
      </c>
      <c r="CM432" s="258">
        <f t="shared" si="1150"/>
        <v>0</v>
      </c>
      <c r="CN432" s="258">
        <f t="shared" si="1150"/>
        <v>0</v>
      </c>
    </row>
    <row r="433" s="258" customFormat="1" spans="1:92">
      <c r="A433" s="330"/>
      <c r="B433" s="347" t="s">
        <v>691</v>
      </c>
      <c r="C433" s="347"/>
      <c r="D433" s="347" t="str">
        <f t="shared" si="1135"/>
        <v>ST寸</v>
      </c>
      <c r="E433" s="385"/>
      <c r="F433" s="385"/>
      <c r="G433" s="385"/>
      <c r="H433" s="347"/>
      <c r="I433" s="386"/>
      <c r="J433" s="347">
        <v>58.3</v>
      </c>
      <c r="K433" s="347"/>
      <c r="L433" s="349">
        <f t="shared" si="1149"/>
        <v>0.874937468734367</v>
      </c>
      <c r="M433" s="349"/>
      <c r="N433" s="347"/>
      <c r="O433" s="347">
        <f>IFERROR(_xlfn.XLOOKUP(E433,轮胎重量!S:S,轮胎重量!P:P),IFERROR(_xlfn.XLOOKUP(E433,轮胎重量!AB:AB,轮胎重量!Y:Y),IFERROR(_xlfn.XLOOKUP(E433,轮胎重量!AK:AK,轮胎重量!AH:AH),IFERROR(_xlfn.XLOOKUP(E433,轮胎重量!AT:AT,轮胎重量!AQ:AQ),""))))</f>
        <v>0</v>
      </c>
      <c r="P433" s="350">
        <f t="shared" si="1126"/>
        <v>0</v>
      </c>
      <c r="Q433" s="347">
        <f t="shared" si="1138"/>
        <v>0</v>
      </c>
      <c r="R433" s="347"/>
      <c r="S433" s="347"/>
      <c r="T433" s="347"/>
      <c r="U433" s="347"/>
      <c r="V433" s="347"/>
      <c r="W433" s="347"/>
      <c r="X433" s="347"/>
      <c r="Y433" s="347"/>
      <c r="Z433" s="347"/>
      <c r="AA433" s="347"/>
      <c r="AB433" s="347"/>
      <c r="AC433" s="347"/>
      <c r="AD433" s="347"/>
      <c r="AE433" s="347"/>
      <c r="AF433" s="347"/>
      <c r="AG433" s="347"/>
      <c r="AH433" s="347"/>
      <c r="AI433" s="347"/>
      <c r="AJ433" s="347"/>
      <c r="AK433" s="347"/>
      <c r="AL433" s="347"/>
      <c r="AM433" s="347"/>
      <c r="AN433" s="347"/>
      <c r="AO433" s="347"/>
      <c r="AP433" s="347"/>
      <c r="AQ433" s="347"/>
      <c r="AR433" s="347"/>
      <c r="AS433" s="347"/>
      <c r="AT433" s="347"/>
      <c r="AU433" s="347"/>
      <c r="AV433" s="347"/>
      <c r="AW433" s="347" t="str">
        <f t="shared" si="1103"/>
        <v/>
      </c>
      <c r="AX433" s="365" t="str">
        <f t="shared" si="1104"/>
        <v/>
      </c>
      <c r="AY433" s="365" t="str">
        <f t="shared" si="1105"/>
        <v/>
      </c>
      <c r="AZ433" s="368">
        <v>700.5375</v>
      </c>
      <c r="BA433" s="368">
        <v>42.4245</v>
      </c>
      <c r="BB433" s="368">
        <v>58.2922</v>
      </c>
      <c r="BC433" s="368">
        <v>51.336</v>
      </c>
      <c r="BD433" s="330"/>
      <c r="BE433" s="330" t="e">
        <f t="shared" si="1139"/>
        <v>#VALUE!</v>
      </c>
      <c r="BF433" s="330" t="e">
        <f t="shared" si="1140"/>
        <v>#VALUE!</v>
      </c>
      <c r="BG433" s="330" t="e">
        <f t="shared" si="1141"/>
        <v>#VALUE!</v>
      </c>
      <c r="BH433" s="330" t="e">
        <f t="shared" si="1142"/>
        <v>#VALUE!</v>
      </c>
      <c r="BI433" s="330"/>
      <c r="BJ433" s="370" cm="1">
        <f t="array" ref="BJ433:BM433">_xlfn.LET(_xlpm.data,$R433:$AV433,_xlpm.starts,{1,8,16,23},_xlpm.lengths,{7,7,8,9},_xlpm.arr,_xlfn.MAP(_xlpm.starts,_xlpm.lengths,_xlfn.LAMBDA(_xlpm.s,_xlpm.l,SUM(INDEX(_xlpm.data,,_xlfn.SEQUENCE(,_xlpm.l,_xlpm.s))))),ROUND(_xlpm.arr*$O433/1000,2))</f>
        <v>0</v>
      </c>
      <c r="BK433" s="330">
        <v>0</v>
      </c>
      <c r="BL433" s="330">
        <v>0</v>
      </c>
      <c r="BM433" s="330">
        <v>0</v>
      </c>
      <c r="BN433" s="258">
        <f t="shared" ref="BN433:BN445" si="1151">SUM(BJ433:BM433)</f>
        <v>0</v>
      </c>
      <c r="BO433" s="258">
        <v>0</v>
      </c>
      <c r="BP433" s="258">
        <v>0</v>
      </c>
      <c r="BQ433" s="258">
        <v>0</v>
      </c>
      <c r="BR433" s="258">
        <v>0</v>
      </c>
      <c r="BS433" s="115" t="s">
        <v>357</v>
      </c>
      <c r="BX433" s="115" t="s">
        <v>357</v>
      </c>
      <c r="BY433" s="258">
        <f t="shared" si="1095"/>
        <v>0</v>
      </c>
      <c r="BZ433" s="258">
        <f t="shared" si="1096"/>
        <v>0</v>
      </c>
      <c r="CA433" s="258">
        <f t="shared" si="1097"/>
        <v>0</v>
      </c>
      <c r="CB433" s="258">
        <f t="shared" si="1098"/>
        <v>0</v>
      </c>
      <c r="CD433" s="113"/>
      <c r="CE433" s="396">
        <f t="shared" si="1143"/>
        <v>0</v>
      </c>
      <c r="CF433" s="389">
        <f t="shared" si="1144"/>
        <v>0</v>
      </c>
      <c r="CG433" s="389">
        <f t="shared" si="1145"/>
        <v>0</v>
      </c>
      <c r="CH433" s="389">
        <f t="shared" si="1146"/>
        <v>0</v>
      </c>
      <c r="CI433" s="258">
        <f t="shared" si="1147"/>
        <v>0</v>
      </c>
      <c r="CJ433" s="113"/>
      <c r="CK433" s="258">
        <f t="shared" ref="CK433:CN433" si="1152">IFERROR(ROUND(BY433*$P433,2),"")</f>
        <v>0</v>
      </c>
      <c r="CL433" s="258">
        <f t="shared" si="1152"/>
        <v>0</v>
      </c>
      <c r="CM433" s="258">
        <f t="shared" si="1152"/>
        <v>0</v>
      </c>
      <c r="CN433" s="258">
        <f t="shared" si="1152"/>
        <v>0</v>
      </c>
    </row>
    <row r="434" s="258" customFormat="1" spans="1:92">
      <c r="A434" s="330"/>
      <c r="B434" s="347" t="s">
        <v>691</v>
      </c>
      <c r="C434" s="347" t="str">
        <f>IFERROR(MID(G434,FIND("-",G434)-2,2),"")</f>
        <v/>
      </c>
      <c r="D434" s="347" t="str">
        <f t="shared" si="1135"/>
        <v>ST寸</v>
      </c>
      <c r="E434" s="385"/>
      <c r="F434" s="385"/>
      <c r="G434" s="385"/>
      <c r="H434" s="347"/>
      <c r="I434" s="386"/>
      <c r="J434" s="347">
        <v>58.3</v>
      </c>
      <c r="K434" s="347"/>
      <c r="L434" s="349">
        <f t="shared" si="1149"/>
        <v>0.874937468734367</v>
      </c>
      <c r="M434" s="349"/>
      <c r="N434" s="347"/>
      <c r="O434" s="347">
        <f>IFERROR(_xlfn.XLOOKUP(E434,轮胎重量!S:S,轮胎重量!P:P),IFERROR(_xlfn.XLOOKUP(E434,轮胎重量!AB:AB,轮胎重量!Y:Y),IFERROR(_xlfn.XLOOKUP(E434,轮胎重量!AK:AK,轮胎重量!AH:AH),IFERROR(_xlfn.XLOOKUP(E434,轮胎重量!AT:AT,轮胎重量!AQ:AQ),""))))</f>
        <v>0</v>
      </c>
      <c r="P434" s="350">
        <f t="shared" si="1126"/>
        <v>0</v>
      </c>
      <c r="Q434" s="347">
        <f t="shared" si="1138"/>
        <v>0</v>
      </c>
      <c r="R434" s="347"/>
      <c r="S434" s="347"/>
      <c r="T434" s="347"/>
      <c r="U434" s="347"/>
      <c r="V434" s="347"/>
      <c r="W434" s="347"/>
      <c r="X434" s="347"/>
      <c r="Y434" s="347"/>
      <c r="Z434" s="347"/>
      <c r="AA434" s="347"/>
      <c r="AB434" s="347"/>
      <c r="AC434" s="347"/>
      <c r="AD434" s="347"/>
      <c r="AE434" s="347"/>
      <c r="AF434" s="347"/>
      <c r="AG434" s="347"/>
      <c r="AH434" s="347"/>
      <c r="AI434" s="347"/>
      <c r="AJ434" s="347"/>
      <c r="AK434" s="347"/>
      <c r="AL434" s="347"/>
      <c r="AM434" s="347"/>
      <c r="AN434" s="347"/>
      <c r="AO434" s="347"/>
      <c r="AP434" s="347"/>
      <c r="AQ434" s="347"/>
      <c r="AR434" s="347"/>
      <c r="AS434" s="347"/>
      <c r="AT434" s="347"/>
      <c r="AU434" s="347"/>
      <c r="AV434" s="347"/>
      <c r="AW434" s="347" t="str">
        <f t="shared" ref="AW434:AW444" si="1153">IF(SUM(R434:AV434)=0,"",SUM(R434:AV434))</f>
        <v/>
      </c>
      <c r="AX434" s="365" t="str">
        <f t="shared" ref="AX434:AX444" si="1154">IFERROR(AW434*O434/1000,"")</f>
        <v/>
      </c>
      <c r="AY434" s="365" t="str">
        <f t="shared" ref="AY434:AY444" si="1155">IFERROR(ROUND(AW434*P434/10000,3),"")</f>
        <v/>
      </c>
      <c r="AZ434" s="368">
        <v>700.5375</v>
      </c>
      <c r="BA434" s="368">
        <v>42.4245</v>
      </c>
      <c r="BB434" s="368">
        <v>58.2922</v>
      </c>
      <c r="BC434" s="368">
        <v>51.336</v>
      </c>
      <c r="BD434" s="330"/>
      <c r="BE434" s="330" t="e">
        <f t="shared" si="1139"/>
        <v>#VALUE!</v>
      </c>
      <c r="BF434" s="330" t="e">
        <f t="shared" si="1140"/>
        <v>#VALUE!</v>
      </c>
      <c r="BG434" s="330" t="e">
        <f t="shared" si="1141"/>
        <v>#VALUE!</v>
      </c>
      <c r="BH434" s="330" t="e">
        <f t="shared" si="1142"/>
        <v>#VALUE!</v>
      </c>
      <c r="BI434" s="330"/>
      <c r="BJ434" s="370" cm="1">
        <f t="array" ref="BJ434:BM434">_xlfn.LET(_xlpm.data,$R434:$AV434,_xlpm.starts,{1,8,16,23},_xlpm.lengths,{7,7,8,9},_xlpm.arr,_xlfn.MAP(_xlpm.starts,_xlpm.lengths,_xlfn.LAMBDA(_xlpm.s,_xlpm.l,SUM(INDEX(_xlpm.data,,_xlfn.SEQUENCE(,_xlpm.l,_xlpm.s))))),ROUND(_xlpm.arr*$O434/1000,2))</f>
        <v>0</v>
      </c>
      <c r="BK434" s="330">
        <v>0</v>
      </c>
      <c r="BL434" s="330">
        <v>0</v>
      </c>
      <c r="BM434" s="330">
        <v>0</v>
      </c>
      <c r="BN434" s="258">
        <f t="shared" si="1151"/>
        <v>0</v>
      </c>
      <c r="BO434" s="258">
        <v>0</v>
      </c>
      <c r="BP434" s="258">
        <v>0</v>
      </c>
      <c r="BQ434" s="258">
        <v>0</v>
      </c>
      <c r="BR434" s="258">
        <v>0</v>
      </c>
      <c r="BS434" s="115" t="s">
        <v>357</v>
      </c>
      <c r="BX434" s="115" t="s">
        <v>357</v>
      </c>
      <c r="BY434" s="258">
        <f t="shared" si="1095"/>
        <v>0</v>
      </c>
      <c r="BZ434" s="258">
        <f t="shared" si="1096"/>
        <v>0</v>
      </c>
      <c r="CA434" s="258">
        <f t="shared" si="1097"/>
        <v>0</v>
      </c>
      <c r="CB434" s="258">
        <f t="shared" si="1098"/>
        <v>0</v>
      </c>
      <c r="CD434" s="113"/>
      <c r="CE434" s="396">
        <f t="shared" si="1143"/>
        <v>0</v>
      </c>
      <c r="CF434" s="389">
        <f t="shared" si="1144"/>
        <v>0</v>
      </c>
      <c r="CG434" s="389">
        <f t="shared" si="1145"/>
        <v>0</v>
      </c>
      <c r="CH434" s="389">
        <f t="shared" si="1146"/>
        <v>0</v>
      </c>
      <c r="CI434" s="258">
        <f t="shared" si="1147"/>
        <v>0</v>
      </c>
      <c r="CJ434" s="113"/>
      <c r="CK434" s="258">
        <f t="shared" ref="CK434:CN434" si="1156">IFERROR(ROUND(BY434*$P434,2),"")</f>
        <v>0</v>
      </c>
      <c r="CL434" s="258">
        <f t="shared" si="1156"/>
        <v>0</v>
      </c>
      <c r="CM434" s="258">
        <f t="shared" si="1156"/>
        <v>0</v>
      </c>
      <c r="CN434" s="258">
        <f t="shared" si="1156"/>
        <v>0</v>
      </c>
    </row>
    <row r="435" s="258" customFormat="1" spans="1:92">
      <c r="A435" s="330"/>
      <c r="B435" s="347" t="s">
        <v>691</v>
      </c>
      <c r="C435" s="347" t="str">
        <f>IFERROR(MID(G435,FIND("-",G435)-2,2),"")</f>
        <v/>
      </c>
      <c r="D435" s="347" t="str">
        <f t="shared" si="1135"/>
        <v>ST寸</v>
      </c>
      <c r="E435" s="385" t="str">
        <f>IFERROR(LEFT(REPLACE(G435,1,2,""),FIND("[",REPLACE(G435,1,2,""))-1)&amp;"-"&amp;MID(REPLACE(G435,1,2,""),FIND("[",REPLACE(G435,1,2,""))+1,FIND("]",REPLACE(G435,1,2,""))-FIND("[",REPLACE(G435,1,2,""))-1),"")</f>
        <v/>
      </c>
      <c r="F435" s="385"/>
      <c r="G435" s="385"/>
      <c r="H435" s="347"/>
      <c r="I435" s="386"/>
      <c r="J435" s="347">
        <v>19.2</v>
      </c>
      <c r="K435" s="347"/>
      <c r="L435" s="349">
        <f t="shared" si="1149"/>
        <v>0.874937468734367</v>
      </c>
      <c r="M435" s="349"/>
      <c r="N435" s="347"/>
      <c r="O435" s="347">
        <f>IFERROR(_xlfn.XLOOKUP(E435,轮胎重量!S:S,轮胎重量!P:P),IFERROR(_xlfn.XLOOKUP(E435,轮胎重量!AB:AB,轮胎重量!Y:Y),IFERROR(_xlfn.XLOOKUP(E435,轮胎重量!AK:AK,轮胎重量!AH:AH),IFERROR(_xlfn.XLOOKUP(E435,轮胎重量!AT:AT,轮胎重量!AQ:AQ),""))))</f>
        <v>0</v>
      </c>
      <c r="P435" s="350">
        <f t="shared" ref="P435:P444" si="1157">O435*14.76</f>
        <v>0</v>
      </c>
      <c r="Q435" s="347">
        <f t="shared" si="1138"/>
        <v>0</v>
      </c>
      <c r="R435" s="347"/>
      <c r="S435" s="347"/>
      <c r="T435" s="347"/>
      <c r="U435" s="347"/>
      <c r="V435" s="347"/>
      <c r="W435" s="347"/>
      <c r="X435" s="347"/>
      <c r="Y435" s="347"/>
      <c r="Z435" s="347"/>
      <c r="AA435" s="347"/>
      <c r="AB435" s="347"/>
      <c r="AC435" s="347"/>
      <c r="AD435" s="347"/>
      <c r="AE435" s="347"/>
      <c r="AF435" s="347"/>
      <c r="AG435" s="347"/>
      <c r="AH435" s="347"/>
      <c r="AI435" s="347"/>
      <c r="AJ435" s="347"/>
      <c r="AK435" s="347"/>
      <c r="AL435" s="347"/>
      <c r="AM435" s="347"/>
      <c r="AN435" s="347"/>
      <c r="AO435" s="347"/>
      <c r="AP435" s="347"/>
      <c r="AQ435" s="347"/>
      <c r="AR435" s="347"/>
      <c r="AS435" s="347"/>
      <c r="AT435" s="347"/>
      <c r="AU435" s="347"/>
      <c r="AV435" s="347"/>
      <c r="AW435" s="347" t="str">
        <f t="shared" si="1153"/>
        <v/>
      </c>
      <c r="AX435" s="365" t="str">
        <f t="shared" si="1154"/>
        <v/>
      </c>
      <c r="AY435" s="365" t="str">
        <f t="shared" si="1155"/>
        <v/>
      </c>
      <c r="AZ435" s="368">
        <v>85.2179</v>
      </c>
      <c r="BA435" s="368">
        <v>6</v>
      </c>
      <c r="BB435" s="368">
        <v>9.2008</v>
      </c>
      <c r="BC435" s="368">
        <v>6.7424</v>
      </c>
      <c r="BD435" s="330"/>
      <c r="BE435" s="330" t="e">
        <f t="shared" si="1139"/>
        <v>#VALUE!</v>
      </c>
      <c r="BF435" s="330" t="e">
        <f t="shared" si="1140"/>
        <v>#VALUE!</v>
      </c>
      <c r="BG435" s="330" t="e">
        <f t="shared" si="1141"/>
        <v>#VALUE!</v>
      </c>
      <c r="BH435" s="330" t="e">
        <f t="shared" si="1142"/>
        <v>#VALUE!</v>
      </c>
      <c r="BI435" s="330"/>
      <c r="BJ435" s="370" cm="1">
        <f t="array" ref="BJ435:BM435">_xlfn.LET(_xlpm.data,$R435:$AV435,_xlpm.starts,{1,8,16,23},_xlpm.lengths,{7,7,8,9},_xlpm.arr,_xlfn.MAP(_xlpm.starts,_xlpm.lengths,_xlfn.LAMBDA(_xlpm.s,_xlpm.l,SUM(INDEX(_xlpm.data,,_xlfn.SEQUENCE(,_xlpm.l,_xlpm.s))))),ROUND(_xlpm.arr*$O435/1000,2))</f>
        <v>0</v>
      </c>
      <c r="BK435" s="330">
        <v>0</v>
      </c>
      <c r="BL435" s="330">
        <v>0</v>
      </c>
      <c r="BM435" s="330">
        <v>0</v>
      </c>
      <c r="BN435" s="258">
        <f t="shared" si="1151"/>
        <v>0</v>
      </c>
      <c r="BO435" s="258">
        <v>29.69</v>
      </c>
      <c r="BP435" s="258">
        <v>29.69</v>
      </c>
      <c r="BQ435" s="258">
        <v>33.93</v>
      </c>
      <c r="BR435" s="258">
        <v>38.17</v>
      </c>
      <c r="BS435" s="115" t="s">
        <v>357</v>
      </c>
      <c r="BX435" s="115" t="s">
        <v>357</v>
      </c>
      <c r="BY435" s="258">
        <f t="shared" si="1095"/>
        <v>0</v>
      </c>
      <c r="BZ435" s="258">
        <f t="shared" si="1096"/>
        <v>0</v>
      </c>
      <c r="CA435" s="258">
        <f t="shared" si="1097"/>
        <v>0</v>
      </c>
      <c r="CB435" s="258">
        <f t="shared" si="1098"/>
        <v>0</v>
      </c>
      <c r="CD435" s="113"/>
      <c r="CE435" s="398">
        <f t="shared" si="1143"/>
        <v>0</v>
      </c>
      <c r="CF435" s="389">
        <f t="shared" si="1144"/>
        <v>0</v>
      </c>
      <c r="CG435" s="389">
        <f t="shared" si="1145"/>
        <v>0</v>
      </c>
      <c r="CH435" s="389">
        <f t="shared" si="1146"/>
        <v>0</v>
      </c>
      <c r="CI435" s="258">
        <f t="shared" si="1147"/>
        <v>0</v>
      </c>
      <c r="CJ435" s="113"/>
      <c r="CK435" s="258">
        <f t="shared" ref="CK435:CN435" si="1158">IFERROR(ROUND(BY435*$P435,2),"")</f>
        <v>0</v>
      </c>
      <c r="CL435" s="258">
        <f t="shared" si="1158"/>
        <v>0</v>
      </c>
      <c r="CM435" s="258">
        <f t="shared" si="1158"/>
        <v>0</v>
      </c>
      <c r="CN435" s="258">
        <f t="shared" si="1158"/>
        <v>0</v>
      </c>
    </row>
    <row r="436" s="258" customFormat="1" spans="1:92">
      <c r="A436" s="330"/>
      <c r="B436" s="347"/>
      <c r="C436" s="347" t="str">
        <f>IFERROR(MID(G436,FIND("-",G436)+1,2),"")</f>
        <v/>
      </c>
      <c r="D436" s="347" t="str">
        <f t="shared" si="1135"/>
        <v>ST寸</v>
      </c>
      <c r="E436" s="385" t="str">
        <f>IFERROR(LEFT(REPLACE(G436,1,2,""),FIND("[",REPLACE(G436,1,2,""))-1)&amp;"-"&amp;MID(REPLACE(G436,1,2,""),FIND("[",REPLACE(G436,1,2,""))+1,FIND("]",REPLACE(G436,1,2,""))-FIND("[",REPLACE(G436,1,2,""))-1),"")</f>
        <v/>
      </c>
      <c r="F436" s="385"/>
      <c r="G436" s="385"/>
      <c r="H436" s="347"/>
      <c r="I436" s="386"/>
      <c r="J436" s="347">
        <v>19.2</v>
      </c>
      <c r="K436" s="347"/>
      <c r="L436" s="349">
        <f t="shared" si="1149"/>
        <v>0.697336561743341</v>
      </c>
      <c r="M436" s="349"/>
      <c r="N436" s="347"/>
      <c r="O436" s="347">
        <f>IFERROR(_xlfn.XLOOKUP(E436,轮胎重量!S:S,轮胎重量!P:P),IFERROR(_xlfn.XLOOKUP(E436,轮胎重量!AB:AB,轮胎重量!Y:Y),IFERROR(_xlfn.XLOOKUP(E436,轮胎重量!AK:AK,轮胎重量!AH:AH),IFERROR(_xlfn.XLOOKUP(E436,轮胎重量!AT:AT,轮胎重量!AQ:AQ),""))))</f>
        <v>0</v>
      </c>
      <c r="P436" s="350">
        <f t="shared" si="1157"/>
        <v>0</v>
      </c>
      <c r="Q436" s="347">
        <f t="shared" si="1138"/>
        <v>0</v>
      </c>
      <c r="R436" s="347"/>
      <c r="S436" s="347"/>
      <c r="T436" s="347"/>
      <c r="U436" s="347"/>
      <c r="V436" s="347"/>
      <c r="W436" s="347"/>
      <c r="X436" s="347"/>
      <c r="Y436" s="347"/>
      <c r="Z436" s="347"/>
      <c r="AA436" s="347"/>
      <c r="AB436" s="347"/>
      <c r="AC436" s="347"/>
      <c r="AD436" s="347"/>
      <c r="AE436" s="347"/>
      <c r="AF436" s="347"/>
      <c r="AG436" s="347"/>
      <c r="AH436" s="347"/>
      <c r="AI436" s="347"/>
      <c r="AJ436" s="347"/>
      <c r="AK436" s="347"/>
      <c r="AL436" s="347"/>
      <c r="AM436" s="347"/>
      <c r="AN436" s="347"/>
      <c r="AO436" s="347"/>
      <c r="AP436" s="347"/>
      <c r="AQ436" s="347"/>
      <c r="AR436" s="347"/>
      <c r="AS436" s="347"/>
      <c r="AT436" s="347"/>
      <c r="AU436" s="347"/>
      <c r="AV436" s="347"/>
      <c r="AW436" s="347" t="str">
        <f t="shared" si="1153"/>
        <v/>
      </c>
      <c r="AX436" s="365" t="str">
        <f t="shared" si="1154"/>
        <v/>
      </c>
      <c r="AY436" s="365" t="str">
        <f t="shared" si="1155"/>
        <v/>
      </c>
      <c r="AZ436" s="368">
        <v>85.2179</v>
      </c>
      <c r="BA436" s="368">
        <v>6</v>
      </c>
      <c r="BB436" s="368">
        <v>9.2008</v>
      </c>
      <c r="BC436" s="368">
        <v>6.7424</v>
      </c>
      <c r="BD436" s="330"/>
      <c r="BE436" s="330" t="e">
        <f t="shared" si="1139"/>
        <v>#VALUE!</v>
      </c>
      <c r="BF436" s="330" t="e">
        <f t="shared" si="1140"/>
        <v>#VALUE!</v>
      </c>
      <c r="BG436" s="330" t="e">
        <f t="shared" si="1141"/>
        <v>#VALUE!</v>
      </c>
      <c r="BH436" s="330" t="e">
        <f t="shared" si="1142"/>
        <v>#VALUE!</v>
      </c>
      <c r="BI436" s="330"/>
      <c r="BJ436" s="370" cm="1">
        <f t="array" ref="BJ436:BM436">_xlfn.LET(_xlpm.data,$R436:$AV436,_xlpm.starts,{1,8,16,23},_xlpm.lengths,{7,7,8,9},_xlpm.arr,_xlfn.MAP(_xlpm.starts,_xlpm.lengths,_xlfn.LAMBDA(_xlpm.s,_xlpm.l,SUM(INDEX(_xlpm.data,,_xlfn.SEQUENCE(,_xlpm.l,_xlpm.s))))),ROUND(_xlpm.arr*$O436/1000,2))</f>
        <v>0</v>
      </c>
      <c r="BK436" s="330">
        <v>0</v>
      </c>
      <c r="BL436" s="330">
        <v>0</v>
      </c>
      <c r="BM436" s="330">
        <v>0</v>
      </c>
      <c r="BN436" s="258">
        <f t="shared" si="1151"/>
        <v>0</v>
      </c>
      <c r="BO436" s="258">
        <v>29.69</v>
      </c>
      <c r="BP436" s="258">
        <v>29.69</v>
      </c>
      <c r="BQ436" s="258">
        <v>33.93</v>
      </c>
      <c r="BR436" s="258">
        <v>38.17</v>
      </c>
      <c r="BS436" s="115" t="s">
        <v>357</v>
      </c>
      <c r="BX436" s="115" t="s">
        <v>357</v>
      </c>
      <c r="BY436" s="258">
        <f t="shared" si="1095"/>
        <v>0</v>
      </c>
      <c r="BZ436" s="258">
        <f t="shared" si="1096"/>
        <v>0</v>
      </c>
      <c r="CA436" s="258">
        <f t="shared" si="1097"/>
        <v>0</v>
      </c>
      <c r="CB436" s="258">
        <f t="shared" si="1098"/>
        <v>0</v>
      </c>
      <c r="CD436" s="113"/>
      <c r="CE436" s="398">
        <f t="shared" si="1143"/>
        <v>0</v>
      </c>
      <c r="CF436" s="389">
        <f t="shared" si="1144"/>
        <v>0</v>
      </c>
      <c r="CG436" s="389">
        <f t="shared" si="1145"/>
        <v>0</v>
      </c>
      <c r="CH436" s="389">
        <f t="shared" si="1146"/>
        <v>0</v>
      </c>
      <c r="CI436" s="258">
        <f t="shared" si="1147"/>
        <v>0</v>
      </c>
      <c r="CJ436" s="113"/>
      <c r="CK436" s="258">
        <f t="shared" ref="CK436:CN436" si="1159">IFERROR(ROUND(BY436*$P436,2),"")</f>
        <v>0</v>
      </c>
      <c r="CL436" s="258">
        <f t="shared" si="1159"/>
        <v>0</v>
      </c>
      <c r="CM436" s="258">
        <f t="shared" si="1159"/>
        <v>0</v>
      </c>
      <c r="CN436" s="258">
        <f t="shared" si="1159"/>
        <v>0</v>
      </c>
    </row>
    <row r="437" s="258" customFormat="1" ht="17" spans="1:95">
      <c r="A437" s="330"/>
      <c r="B437" s="347" t="s">
        <v>695</v>
      </c>
      <c r="C437" s="347" t="str">
        <f>IFERROR(MID(G437,FIND("-",G437)+1,2),"")</f>
        <v>14</v>
      </c>
      <c r="D437" s="347" t="str">
        <f t="shared" ref="D437:D444" si="1160">"摩胎"&amp;C437&amp;"寸"</f>
        <v>摩胎14寸</v>
      </c>
      <c r="E437" s="385" t="s">
        <v>706</v>
      </c>
      <c r="F437" s="385" t="s">
        <v>707</v>
      </c>
      <c r="G437" s="385" t="s">
        <v>707</v>
      </c>
      <c r="H437" s="393">
        <v>1500</v>
      </c>
      <c r="I437" s="386"/>
      <c r="J437" s="347">
        <v>19.2</v>
      </c>
      <c r="K437" s="347"/>
      <c r="L437" s="349">
        <f t="shared" si="1149"/>
        <v>0.697336561743341</v>
      </c>
      <c r="M437" s="349"/>
      <c r="N437" s="347"/>
      <c r="O437" s="347">
        <f>IFERROR(_xlfn.XLOOKUP(E437,轮胎重量!S:S,轮胎重量!P:P),IFERROR(_xlfn.XLOOKUP(E437,轮胎重量!AB:AB,轮胎重量!Y:Y),IFERROR(_xlfn.XLOOKUP(E437,轮胎重量!AK:AK,轮胎重量!AH:AH),IFERROR(_xlfn.XLOOKUP(E437,轮胎重量!AT:AT,轮胎重量!AQ:AQ),""))))</f>
        <v>1.965</v>
      </c>
      <c r="P437" s="350">
        <f t="shared" si="1157"/>
        <v>29.0034</v>
      </c>
      <c r="Q437" s="347">
        <f t="shared" si="1138"/>
        <v>0</v>
      </c>
      <c r="R437" s="347"/>
      <c r="S437" s="347"/>
      <c r="T437" s="347"/>
      <c r="U437" s="347"/>
      <c r="V437" s="347"/>
      <c r="W437" s="347"/>
      <c r="X437" s="347"/>
      <c r="Y437" s="347"/>
      <c r="Z437" s="347"/>
      <c r="AA437" s="347"/>
      <c r="AB437" s="347"/>
      <c r="AC437" s="347"/>
      <c r="AD437" s="347">
        <v>240</v>
      </c>
      <c r="AE437" s="347">
        <v>240</v>
      </c>
      <c r="AF437" s="347">
        <v>240</v>
      </c>
      <c r="AG437" s="347">
        <v>240</v>
      </c>
      <c r="AH437" s="347">
        <v>240</v>
      </c>
      <c r="AI437" s="347">
        <v>240</v>
      </c>
      <c r="AJ437" s="347">
        <v>240</v>
      </c>
      <c r="AK437" s="347">
        <v>240</v>
      </c>
      <c r="AL437" s="347">
        <v>240</v>
      </c>
      <c r="AM437" s="347">
        <v>240</v>
      </c>
      <c r="AN437" s="347">
        <v>240</v>
      </c>
      <c r="AO437" s="347">
        <v>240</v>
      </c>
      <c r="AP437" s="347"/>
      <c r="AQ437" s="347"/>
      <c r="AR437" s="347"/>
      <c r="AS437" s="347"/>
      <c r="AT437" s="347"/>
      <c r="AU437" s="347"/>
      <c r="AV437" s="347"/>
      <c r="AW437" s="347">
        <f t="shared" si="1153"/>
        <v>2880</v>
      </c>
      <c r="AX437" s="365">
        <f t="shared" si="1154"/>
        <v>5.6592</v>
      </c>
      <c r="AY437" s="365">
        <f t="shared" si="1155"/>
        <v>8.353</v>
      </c>
      <c r="AZ437" s="368">
        <v>85.2179</v>
      </c>
      <c r="BA437" s="368">
        <v>6</v>
      </c>
      <c r="BB437" s="368">
        <v>9.2008</v>
      </c>
      <c r="BC437" s="368">
        <v>6.7424</v>
      </c>
      <c r="BD437" s="330"/>
      <c r="BE437" s="330">
        <f t="shared" si="1139"/>
        <v>245427.552</v>
      </c>
      <c r="BF437" s="330">
        <f t="shared" si="1140"/>
        <v>17280</v>
      </c>
      <c r="BG437" s="330">
        <f t="shared" si="1141"/>
        <v>26498.304</v>
      </c>
      <c r="BH437" s="330">
        <f t="shared" si="1142"/>
        <v>19418.112</v>
      </c>
      <c r="BI437" s="330"/>
      <c r="BJ437" s="370" cm="1">
        <f t="array" ref="BJ437:BM437">_xlfn.LET(_xlpm.data,$R437:$AV437,_xlpm.starts,{1,8,16,23},_xlpm.lengths,{7,7,8,9},_xlpm.arr,_xlfn.MAP(_xlpm.starts,_xlpm.lengths,_xlfn.LAMBDA(_xlpm.s,_xlpm.l,SUM(INDEX(_xlpm.data,,_xlfn.SEQUENCE(,_xlpm.l,_xlpm.s))))),ROUND(_xlpm.arr*$O437/1000,2))</f>
        <v>0</v>
      </c>
      <c r="BK437" s="330">
        <v>0.94</v>
      </c>
      <c r="BL437" s="330">
        <v>3.77</v>
      </c>
      <c r="BM437" s="330">
        <v>0.94</v>
      </c>
      <c r="BN437" s="258">
        <f t="shared" si="1151"/>
        <v>5.65</v>
      </c>
      <c r="BO437" s="258">
        <v>29.69</v>
      </c>
      <c r="BP437" s="258">
        <v>29.69</v>
      </c>
      <c r="BQ437" s="258">
        <v>33.93</v>
      </c>
      <c r="BR437" s="258">
        <v>38.17</v>
      </c>
      <c r="BS437" s="382" t="s">
        <v>708</v>
      </c>
      <c r="BX437" s="382" t="s">
        <v>708</v>
      </c>
      <c r="BY437" s="258">
        <f t="shared" si="1095"/>
        <v>0</v>
      </c>
      <c r="BZ437" s="258">
        <f t="shared" si="1096"/>
        <v>480</v>
      </c>
      <c r="CA437" s="258">
        <f t="shared" si="1097"/>
        <v>1920</v>
      </c>
      <c r="CB437" s="258">
        <f t="shared" si="1098"/>
        <v>480</v>
      </c>
      <c r="CD437" s="113"/>
      <c r="CE437" s="398">
        <f t="shared" si="1143"/>
        <v>0</v>
      </c>
      <c r="CF437" s="389">
        <f t="shared" si="1144"/>
        <v>0.94</v>
      </c>
      <c r="CG437" s="389">
        <f t="shared" si="1145"/>
        <v>3.77</v>
      </c>
      <c r="CH437" s="389">
        <f t="shared" si="1146"/>
        <v>0.94</v>
      </c>
      <c r="CI437" s="258">
        <f t="shared" si="1147"/>
        <v>5.65</v>
      </c>
      <c r="CJ437" s="113"/>
      <c r="CK437" s="258">
        <f t="shared" ref="CK437:CN437" si="1161">IFERROR(ROUND(BY437*$P437,2),"")</f>
        <v>0</v>
      </c>
      <c r="CL437" s="258">
        <f t="shared" si="1161"/>
        <v>13921.63</v>
      </c>
      <c r="CM437" s="258">
        <f t="shared" si="1161"/>
        <v>55686.53</v>
      </c>
      <c r="CN437" s="258">
        <f t="shared" si="1161"/>
        <v>13921.63</v>
      </c>
      <c r="CO437" s="258">
        <f>SUM(CK437:CN437)</f>
        <v>83529.79</v>
      </c>
      <c r="CP437" s="258" t="e">
        <f>VLOOKUP(G437,[2]Sheet1!$C$3:$G$310,5,0)</f>
        <v>#N/A</v>
      </c>
      <c r="CQ437" s="258" t="str">
        <f>VLOOKUP(G437,[3]KCBB0101!$C$3:$F$691,4,0)</f>
        <v>-</v>
      </c>
    </row>
    <row r="438" s="258" customFormat="1" spans="1:95">
      <c r="A438" s="330"/>
      <c r="B438" s="347" t="s">
        <v>695</v>
      </c>
      <c r="C438" s="347" t="str">
        <f t="shared" ref="C438:C463" si="1162">IFERROR(MID(G438,FIND("-",G438)+1,2),"")</f>
        <v>14</v>
      </c>
      <c r="D438" s="347" t="str">
        <f t="shared" si="1160"/>
        <v>摩胎14寸</v>
      </c>
      <c r="E438" s="385" t="s">
        <v>709</v>
      </c>
      <c r="F438" s="385" t="s">
        <v>710</v>
      </c>
      <c r="G438" s="385" t="s">
        <v>711</v>
      </c>
      <c r="H438" s="347">
        <v>3000</v>
      </c>
      <c r="I438" s="386"/>
      <c r="J438" s="347">
        <v>18.5</v>
      </c>
      <c r="K438" s="347"/>
      <c r="L438" s="349">
        <f t="shared" si="1149"/>
        <v>0.697336561743341</v>
      </c>
      <c r="M438" s="349"/>
      <c r="N438" s="347"/>
      <c r="O438" s="347">
        <f>IFERROR(_xlfn.XLOOKUP(E438,轮胎重量!S:S,轮胎重量!P:P),IFERROR(_xlfn.XLOOKUP(E438,轮胎重量!AB:AB,轮胎重量!Y:Y),IFERROR(_xlfn.XLOOKUP(E438,轮胎重量!AK:AK,轮胎重量!AH:AH),IFERROR(_xlfn.XLOOKUP(E438,轮胎重量!AT:AT,轮胎重量!AQ:AQ),""))))</f>
        <v>2.28</v>
      </c>
      <c r="P438" s="350">
        <f t="shared" si="1157"/>
        <v>33.6528</v>
      </c>
      <c r="Q438" s="347">
        <f>IFERROR(ROUND(1440/J438*I438*L445,0),"")</f>
        <v>0</v>
      </c>
      <c r="R438" s="347">
        <v>240</v>
      </c>
      <c r="S438" s="347">
        <v>240</v>
      </c>
      <c r="T438" s="347">
        <v>240</v>
      </c>
      <c r="U438" s="347">
        <v>240</v>
      </c>
      <c r="V438" s="347">
        <v>240</v>
      </c>
      <c r="W438" s="347">
        <v>240</v>
      </c>
      <c r="X438" s="347">
        <v>240</v>
      </c>
      <c r="Y438" s="347">
        <v>240</v>
      </c>
      <c r="Z438" s="347">
        <v>240</v>
      </c>
      <c r="AA438" s="347">
        <v>240</v>
      </c>
      <c r="AB438" s="347">
        <v>240</v>
      </c>
      <c r="AC438" s="347">
        <v>240</v>
      </c>
      <c r="AD438" s="347">
        <v>240</v>
      </c>
      <c r="AE438" s="347">
        <v>240</v>
      </c>
      <c r="AF438" s="347">
        <v>240</v>
      </c>
      <c r="AG438" s="347">
        <v>240</v>
      </c>
      <c r="AH438" s="347">
        <v>240</v>
      </c>
      <c r="AI438" s="347">
        <v>240</v>
      </c>
      <c r="AJ438" s="347">
        <v>240</v>
      </c>
      <c r="AK438" s="347">
        <v>240</v>
      </c>
      <c r="AL438" s="347">
        <v>240</v>
      </c>
      <c r="AM438" s="347">
        <v>240</v>
      </c>
      <c r="AN438" s="347">
        <v>240</v>
      </c>
      <c r="AO438" s="347">
        <v>240</v>
      </c>
      <c r="AP438" s="347">
        <v>240</v>
      </c>
      <c r="AQ438" s="347">
        <v>240</v>
      </c>
      <c r="AR438" s="347">
        <v>240</v>
      </c>
      <c r="AS438" s="347">
        <v>240</v>
      </c>
      <c r="AT438" s="347">
        <v>240</v>
      </c>
      <c r="AU438" s="347">
        <v>240</v>
      </c>
      <c r="AV438" s="347">
        <v>240</v>
      </c>
      <c r="AW438" s="347">
        <f t="shared" si="1153"/>
        <v>7440</v>
      </c>
      <c r="AX438" s="365">
        <f t="shared" si="1154"/>
        <v>16.9632</v>
      </c>
      <c r="AY438" s="365">
        <f t="shared" si="1155"/>
        <v>25.038</v>
      </c>
      <c r="BC438" s="330"/>
      <c r="BD438" s="330"/>
      <c r="BE438" s="330">
        <f t="shared" si="1139"/>
        <v>0</v>
      </c>
      <c r="BF438" s="330">
        <f t="shared" si="1140"/>
        <v>0</v>
      </c>
      <c r="BG438" s="330">
        <f t="shared" si="1141"/>
        <v>0</v>
      </c>
      <c r="BH438" s="330">
        <f t="shared" si="1142"/>
        <v>0</v>
      </c>
      <c r="BI438" s="330"/>
      <c r="BJ438" s="370" cm="1">
        <f t="array" ref="BJ438:BM438">_xlfn.LET(_xlpm.data,$R438:$AV438,_xlpm.starts,{1,8,16,23},_xlpm.lengths,{7,7,8,9},_xlpm.arr,_xlfn.MAP(_xlpm.starts,_xlpm.lengths,_xlfn.LAMBDA(_xlpm.s,_xlpm.l,SUM(INDEX(_xlpm.data,,_xlfn.SEQUENCE(,_xlpm.l,_xlpm.s))))),ROUND(_xlpm.arr*$O438/1000,2))</f>
        <v>3.83</v>
      </c>
      <c r="BK438" s="330">
        <v>3.83</v>
      </c>
      <c r="BL438" s="330">
        <v>4.38</v>
      </c>
      <c r="BM438" s="330">
        <v>4.92</v>
      </c>
      <c r="BN438" s="258">
        <f t="shared" si="1151"/>
        <v>16.96</v>
      </c>
      <c r="BO438" s="258">
        <v>0</v>
      </c>
      <c r="BP438" s="258">
        <v>0</v>
      </c>
      <c r="BQ438" s="258">
        <v>9.63</v>
      </c>
      <c r="BR438" s="258">
        <v>10.83</v>
      </c>
      <c r="BS438" s="382" t="s">
        <v>708</v>
      </c>
      <c r="BX438" s="382" t="s">
        <v>708</v>
      </c>
      <c r="BY438" s="258">
        <f t="shared" si="1095"/>
        <v>1680</v>
      </c>
      <c r="BZ438" s="258">
        <f t="shared" si="1096"/>
        <v>1680</v>
      </c>
      <c r="CA438" s="258">
        <f t="shared" si="1097"/>
        <v>1920</v>
      </c>
      <c r="CB438" s="258">
        <f t="shared" si="1098"/>
        <v>2160</v>
      </c>
      <c r="CD438" s="113"/>
      <c r="CE438" s="398">
        <f t="shared" si="1143"/>
        <v>3.83</v>
      </c>
      <c r="CF438" s="389">
        <f t="shared" si="1144"/>
        <v>3.83</v>
      </c>
      <c r="CG438" s="389">
        <f t="shared" si="1145"/>
        <v>4.38</v>
      </c>
      <c r="CH438" s="389">
        <f t="shared" si="1146"/>
        <v>4.92</v>
      </c>
      <c r="CI438" s="258">
        <f t="shared" si="1147"/>
        <v>16.96</v>
      </c>
      <c r="CJ438" s="113"/>
      <c r="CK438" s="258">
        <f t="shared" ref="CK438:CN438" si="1163">IFERROR(ROUND(BY438*$P438,2),"")</f>
        <v>56536.7</v>
      </c>
      <c r="CL438" s="258">
        <f t="shared" si="1163"/>
        <v>56536.7</v>
      </c>
      <c r="CM438" s="258">
        <f t="shared" si="1163"/>
        <v>64613.38</v>
      </c>
      <c r="CN438" s="258">
        <f t="shared" si="1163"/>
        <v>72690.05</v>
      </c>
      <c r="CP438" s="258" t="e">
        <f>VLOOKUP(G438,[2]Sheet1!$C$3:$G$310,5,0)</f>
        <v>#N/A</v>
      </c>
      <c r="CQ438" s="258" t="e">
        <f>VLOOKUP(G438,[3]KCBB0101!$C$3:$F$691,4,0)</f>
        <v>#N/A</v>
      </c>
    </row>
    <row r="439" s="258" customFormat="1" spans="1:95">
      <c r="A439" s="330"/>
      <c r="B439" s="347" t="s">
        <v>695</v>
      </c>
      <c r="C439" s="347" t="str">
        <f t="shared" si="1162"/>
        <v>14</v>
      </c>
      <c r="D439" s="347" t="str">
        <f t="shared" si="1160"/>
        <v>摩胎14寸</v>
      </c>
      <c r="E439" s="385" t="s">
        <v>712</v>
      </c>
      <c r="F439" s="385" t="s">
        <v>713</v>
      </c>
      <c r="G439" s="385" t="s">
        <v>714</v>
      </c>
      <c r="H439" s="347">
        <v>24000</v>
      </c>
      <c r="I439" s="386"/>
      <c r="J439" s="347">
        <v>19.2</v>
      </c>
      <c r="K439" s="347"/>
      <c r="L439" s="349">
        <f>IF(J432="","",J432/(J432+$J$378/60))</f>
        <v>0.874937468734367</v>
      </c>
      <c r="M439" s="349"/>
      <c r="N439" s="347"/>
      <c r="O439" s="347">
        <f>IFERROR(_xlfn.XLOOKUP(E439,轮胎重量!S:S,轮胎重量!P:P),IFERROR(_xlfn.XLOOKUP(E439,轮胎重量!AB:AB,轮胎重量!Y:Y),IFERROR(_xlfn.XLOOKUP(E439,轮胎重量!AK:AK,轮胎重量!AH:AH),IFERROR(_xlfn.XLOOKUP(E439,轮胎重量!AT:AT,轮胎重量!AQ:AQ),""))))</f>
        <v>2.485</v>
      </c>
      <c r="P439" s="350">
        <f t="shared" si="1157"/>
        <v>36.6786</v>
      </c>
      <c r="Q439" s="347">
        <f t="shared" ref="Q439:Q444" si="1164">IFERROR(ROUND(1440/J439*I439*L440,0),"")</f>
        <v>0</v>
      </c>
      <c r="R439" s="347">
        <v>920</v>
      </c>
      <c r="S439" s="347">
        <v>920</v>
      </c>
      <c r="T439" s="347">
        <v>920</v>
      </c>
      <c r="U439" s="347">
        <v>920</v>
      </c>
      <c r="V439" s="347">
        <v>920</v>
      </c>
      <c r="W439" s="347">
        <v>920</v>
      </c>
      <c r="X439" s="347">
        <v>920</v>
      </c>
      <c r="Y439" s="347">
        <v>920</v>
      </c>
      <c r="Z439" s="347">
        <v>920</v>
      </c>
      <c r="AA439" s="347">
        <v>920</v>
      </c>
      <c r="AB439" s="347">
        <v>920</v>
      </c>
      <c r="AC439" s="347">
        <v>920</v>
      </c>
      <c r="AD439" s="347">
        <v>920</v>
      </c>
      <c r="AE439" s="347">
        <v>920</v>
      </c>
      <c r="AF439" s="347">
        <v>920</v>
      </c>
      <c r="AG439" s="347">
        <v>920</v>
      </c>
      <c r="AH439" s="347">
        <v>920</v>
      </c>
      <c r="AI439" s="347">
        <v>920</v>
      </c>
      <c r="AJ439" s="347">
        <v>920</v>
      </c>
      <c r="AK439" s="347">
        <v>920</v>
      </c>
      <c r="AL439" s="347">
        <v>920</v>
      </c>
      <c r="AM439" s="347">
        <v>920</v>
      </c>
      <c r="AN439" s="347">
        <v>920</v>
      </c>
      <c r="AO439" s="347">
        <v>920</v>
      </c>
      <c r="AP439" s="347">
        <v>920</v>
      </c>
      <c r="AQ439" s="347">
        <v>920</v>
      </c>
      <c r="AR439" s="347">
        <v>920</v>
      </c>
      <c r="AS439" s="347">
        <v>920</v>
      </c>
      <c r="AT439" s="347">
        <v>920</v>
      </c>
      <c r="AU439" s="347">
        <v>920</v>
      </c>
      <c r="AV439" s="347">
        <v>920</v>
      </c>
      <c r="AW439" s="347">
        <f t="shared" si="1153"/>
        <v>28520</v>
      </c>
      <c r="AX439" s="365">
        <f t="shared" si="1154"/>
        <v>70.8722</v>
      </c>
      <c r="AY439" s="365">
        <f t="shared" si="1155"/>
        <v>104.607</v>
      </c>
      <c r="AZ439" s="330">
        <v>64.5386</v>
      </c>
      <c r="BA439" s="330">
        <v>4.3771</v>
      </c>
      <c r="BB439" s="330">
        <v>6.7122</v>
      </c>
      <c r="BC439" s="330">
        <v>4.9187</v>
      </c>
      <c r="BD439" s="330"/>
      <c r="BE439" s="330">
        <f t="shared" si="1139"/>
        <v>1840640.872</v>
      </c>
      <c r="BF439" s="330">
        <f t="shared" si="1140"/>
        <v>124834.892</v>
      </c>
      <c r="BG439" s="330">
        <f t="shared" si="1141"/>
        <v>191431.944</v>
      </c>
      <c r="BH439" s="330">
        <f t="shared" si="1142"/>
        <v>140281.324</v>
      </c>
      <c r="BI439" s="330"/>
      <c r="BJ439" s="370" cm="1">
        <f t="array" ref="BJ439:BM439">_xlfn.LET(_xlpm.data,$R439:$AV439,_xlpm.starts,{1,8,16,23},_xlpm.lengths,{7,7,8,9},_xlpm.arr,_xlfn.MAP(_xlpm.starts,_xlpm.lengths,_xlfn.LAMBDA(_xlpm.s,_xlpm.l,SUM(INDEX(_xlpm.data,,_xlfn.SEQUENCE(,_xlpm.l,_xlpm.s))))),ROUND(_xlpm.arr*$O439/1000,2))</f>
        <v>16</v>
      </c>
      <c r="BK439" s="330">
        <v>16</v>
      </c>
      <c r="BL439" s="330">
        <v>18.29</v>
      </c>
      <c r="BM439" s="330">
        <v>20.58</v>
      </c>
      <c r="BN439" s="258">
        <f t="shared" si="1151"/>
        <v>70.87</v>
      </c>
      <c r="BO439" s="258">
        <v>0</v>
      </c>
      <c r="BP439" s="258">
        <v>0</v>
      </c>
      <c r="BQ439" s="258">
        <v>40.26</v>
      </c>
      <c r="BR439" s="258">
        <v>45.29</v>
      </c>
      <c r="BS439" s="382" t="s">
        <v>708</v>
      </c>
      <c r="BX439" s="382" t="s">
        <v>708</v>
      </c>
      <c r="BY439" s="258">
        <f t="shared" si="1095"/>
        <v>6440</v>
      </c>
      <c r="BZ439" s="258">
        <f t="shared" si="1096"/>
        <v>6440</v>
      </c>
      <c r="CA439" s="258">
        <f t="shared" si="1097"/>
        <v>7360</v>
      </c>
      <c r="CB439" s="258">
        <f t="shared" si="1098"/>
        <v>8280</v>
      </c>
      <c r="CD439" s="113"/>
      <c r="CE439" s="398">
        <f t="shared" si="1143"/>
        <v>16</v>
      </c>
      <c r="CF439" s="389">
        <f t="shared" si="1144"/>
        <v>16</v>
      </c>
      <c r="CG439" s="389">
        <f t="shared" si="1145"/>
        <v>18.29</v>
      </c>
      <c r="CH439" s="389">
        <f t="shared" si="1146"/>
        <v>20.58</v>
      </c>
      <c r="CI439" s="258">
        <f t="shared" si="1147"/>
        <v>70.87</v>
      </c>
      <c r="CJ439" s="113"/>
      <c r="CK439" s="258">
        <f t="shared" ref="CK439:CN439" si="1165">IFERROR(ROUND(BY439*$P439,2),"")</f>
        <v>236210.18</v>
      </c>
      <c r="CL439" s="258">
        <f t="shared" si="1165"/>
        <v>236210.18</v>
      </c>
      <c r="CM439" s="258">
        <f t="shared" si="1165"/>
        <v>269954.5</v>
      </c>
      <c r="CN439" s="258">
        <f t="shared" si="1165"/>
        <v>303698.81</v>
      </c>
      <c r="CO439" s="258">
        <f>SUM(CK439:CN439)</f>
        <v>1046073.67</v>
      </c>
      <c r="CP439" s="258" t="e">
        <f>VLOOKUP(G439,[2]Sheet1!$C$3:$G$310,5,0)</f>
        <v>#N/A</v>
      </c>
      <c r="CQ439" s="258" t="e">
        <f>VLOOKUP(G439,[3]KCBB0101!$C$3:$F$691,4,0)</f>
        <v>#N/A</v>
      </c>
    </row>
    <row r="440" s="258" customFormat="1" ht="17" spans="1:95">
      <c r="A440" s="330"/>
      <c r="B440" s="347" t="s">
        <v>695</v>
      </c>
      <c r="C440" s="347" t="str">
        <f t="shared" si="1162"/>
        <v>14</v>
      </c>
      <c r="D440" s="347" t="str">
        <f t="shared" si="1160"/>
        <v>摩胎14寸</v>
      </c>
      <c r="E440" s="385" t="s">
        <v>715</v>
      </c>
      <c r="F440" s="385" t="s">
        <v>716</v>
      </c>
      <c r="G440" s="385" t="s">
        <v>716</v>
      </c>
      <c r="H440" s="347">
        <v>15000</v>
      </c>
      <c r="I440" s="386"/>
      <c r="J440" s="347">
        <v>19.2</v>
      </c>
      <c r="K440" s="347"/>
      <c r="L440" s="349">
        <f t="shared" ref="L440:L444" si="1166">IF(J439="","",J439/(J439+$J$378/60))</f>
        <v>0.697336561743341</v>
      </c>
      <c r="M440" s="349"/>
      <c r="N440" s="347"/>
      <c r="O440" s="347">
        <f>IFERROR(_xlfn.XLOOKUP(E440,轮胎重量!S:S,轮胎重量!P:P),IFERROR(_xlfn.XLOOKUP(E440,轮胎重量!AB:AB,轮胎重量!Y:Y),IFERROR(_xlfn.XLOOKUP(E440,轮胎重量!AK:AK,轮胎重量!AH:AH),IFERROR(_xlfn.XLOOKUP(E440,轮胎重量!AT:AT,轮胎重量!AQ:AQ),""))))</f>
        <v>2.495</v>
      </c>
      <c r="P440" s="350">
        <f t="shared" si="1157"/>
        <v>36.8262</v>
      </c>
      <c r="Q440" s="347">
        <f t="shared" si="1164"/>
        <v>0</v>
      </c>
      <c r="R440" s="347">
        <v>460</v>
      </c>
      <c r="S440" s="347">
        <v>460</v>
      </c>
      <c r="T440" s="347">
        <v>460</v>
      </c>
      <c r="U440" s="347">
        <v>460</v>
      </c>
      <c r="V440" s="347">
        <v>460</v>
      </c>
      <c r="W440" s="347">
        <v>460</v>
      </c>
      <c r="X440" s="347">
        <v>460</v>
      </c>
      <c r="Y440" s="347">
        <v>460</v>
      </c>
      <c r="Z440" s="347">
        <v>460</v>
      </c>
      <c r="AA440" s="347">
        <v>460</v>
      </c>
      <c r="AB440" s="347">
        <v>460</v>
      </c>
      <c r="AC440" s="347">
        <v>460</v>
      </c>
      <c r="AD440" s="347">
        <v>460</v>
      </c>
      <c r="AE440" s="347">
        <v>460</v>
      </c>
      <c r="AF440" s="347">
        <v>460</v>
      </c>
      <c r="AG440" s="347">
        <v>460</v>
      </c>
      <c r="AH440" s="347">
        <v>460</v>
      </c>
      <c r="AI440" s="347">
        <v>460</v>
      </c>
      <c r="AJ440" s="347">
        <v>460</v>
      </c>
      <c r="AK440" s="347">
        <v>460</v>
      </c>
      <c r="AL440" s="347">
        <v>460</v>
      </c>
      <c r="AM440" s="347">
        <v>460</v>
      </c>
      <c r="AN440" s="347">
        <v>460</v>
      </c>
      <c r="AO440" s="347">
        <v>460</v>
      </c>
      <c r="AP440" s="347">
        <v>460</v>
      </c>
      <c r="AQ440" s="347">
        <v>460</v>
      </c>
      <c r="AR440" s="347">
        <v>460</v>
      </c>
      <c r="AS440" s="347">
        <v>460</v>
      </c>
      <c r="AT440" s="347">
        <v>460</v>
      </c>
      <c r="AU440" s="347">
        <v>460</v>
      </c>
      <c r="AV440" s="347">
        <v>460</v>
      </c>
      <c r="AW440" s="347">
        <f t="shared" si="1153"/>
        <v>14260</v>
      </c>
      <c r="AX440" s="365">
        <f t="shared" si="1154"/>
        <v>35.5787</v>
      </c>
      <c r="AY440" s="365">
        <f t="shared" si="1155"/>
        <v>52.514</v>
      </c>
      <c r="AZ440" s="368">
        <v>85.2179</v>
      </c>
      <c r="BA440" s="368">
        <v>6</v>
      </c>
      <c r="BB440" s="368">
        <v>9.2008</v>
      </c>
      <c r="BC440" s="368">
        <v>6.7424</v>
      </c>
      <c r="BD440" s="330"/>
      <c r="BE440" s="330">
        <f t="shared" si="1139"/>
        <v>1215207.254</v>
      </c>
      <c r="BF440" s="330">
        <f t="shared" si="1140"/>
        <v>85560</v>
      </c>
      <c r="BG440" s="330">
        <f t="shared" si="1141"/>
        <v>131203.408</v>
      </c>
      <c r="BH440" s="330">
        <f t="shared" si="1142"/>
        <v>96146.624</v>
      </c>
      <c r="BI440" s="330"/>
      <c r="BJ440" s="370" cm="1">
        <f t="array" ref="BJ440:BM440">_xlfn.LET(_xlpm.data,$R440:$AV440,_xlpm.starts,{1,8,16,23},_xlpm.lengths,{7,7,8,9},_xlpm.arr,_xlfn.MAP(_xlpm.starts,_xlpm.lengths,_xlfn.LAMBDA(_xlpm.s,_xlpm.l,SUM(INDEX(_xlpm.data,,_xlfn.SEQUENCE(,_xlpm.l,_xlpm.s))))),ROUND(_xlpm.arr*$O440/1000,2))</f>
        <v>8.03</v>
      </c>
      <c r="BK440" s="330">
        <v>8.03</v>
      </c>
      <c r="BL440" s="330">
        <v>9.18</v>
      </c>
      <c r="BM440" s="330">
        <v>10.33</v>
      </c>
      <c r="BN440" s="258">
        <f t="shared" si="1151"/>
        <v>35.57</v>
      </c>
      <c r="BO440" s="258">
        <v>29.69</v>
      </c>
      <c r="BP440" s="258">
        <v>29.69</v>
      </c>
      <c r="BQ440" s="258">
        <v>33.93</v>
      </c>
      <c r="BR440" s="258">
        <v>38.17</v>
      </c>
      <c r="BS440" s="382" t="s">
        <v>708</v>
      </c>
      <c r="BX440" s="382" t="s">
        <v>708</v>
      </c>
      <c r="BY440" s="258">
        <f t="shared" si="1095"/>
        <v>3220</v>
      </c>
      <c r="BZ440" s="258">
        <f t="shared" si="1096"/>
        <v>3220</v>
      </c>
      <c r="CA440" s="258">
        <f t="shared" si="1097"/>
        <v>3680</v>
      </c>
      <c r="CB440" s="258">
        <f t="shared" si="1098"/>
        <v>4140</v>
      </c>
      <c r="CD440" s="113"/>
      <c r="CE440" s="398">
        <f t="shared" si="1143"/>
        <v>8.03</v>
      </c>
      <c r="CF440" s="389">
        <f t="shared" si="1144"/>
        <v>8.03</v>
      </c>
      <c r="CG440" s="389">
        <f t="shared" si="1145"/>
        <v>9.18</v>
      </c>
      <c r="CH440" s="389">
        <f t="shared" si="1146"/>
        <v>10.33</v>
      </c>
      <c r="CI440" s="258">
        <f t="shared" si="1147"/>
        <v>35.57</v>
      </c>
      <c r="CJ440" s="113"/>
      <c r="CK440" s="258">
        <f t="shared" ref="CK440:CN440" si="1167">IFERROR(ROUND(BY440*$P440,2),"")</f>
        <v>118580.36</v>
      </c>
      <c r="CL440" s="258">
        <f t="shared" si="1167"/>
        <v>118580.36</v>
      </c>
      <c r="CM440" s="258">
        <f t="shared" si="1167"/>
        <v>135520.42</v>
      </c>
      <c r="CN440" s="258">
        <f t="shared" si="1167"/>
        <v>152460.47</v>
      </c>
      <c r="CP440" s="258" t="e">
        <f>VLOOKUP(G440,[2]Sheet1!$C$3:$G$310,5,0)</f>
        <v>#N/A</v>
      </c>
      <c r="CQ440" s="258" t="str">
        <f>VLOOKUP(G440,[3]KCBB0101!$C$3:$F$691,4,0)</f>
        <v>-</v>
      </c>
    </row>
    <row r="441" s="258" customFormat="1" spans="1:95">
      <c r="A441" s="330"/>
      <c r="B441" s="347" t="s">
        <v>695</v>
      </c>
      <c r="C441" s="347" t="str">
        <f t="shared" si="1162"/>
        <v>14</v>
      </c>
      <c r="D441" s="347" t="str">
        <f t="shared" si="1160"/>
        <v>摩胎14寸</v>
      </c>
      <c r="E441" s="385" t="s">
        <v>717</v>
      </c>
      <c r="F441" s="385" t="s">
        <v>718</v>
      </c>
      <c r="G441" s="385" t="s">
        <v>719</v>
      </c>
      <c r="H441" s="347">
        <v>12000</v>
      </c>
      <c r="I441" s="386"/>
      <c r="J441" s="347">
        <v>19.2</v>
      </c>
      <c r="K441" s="347"/>
      <c r="L441" s="349">
        <f t="shared" si="1166"/>
        <v>0.697336561743341</v>
      </c>
      <c r="M441" s="349"/>
      <c r="N441" s="347"/>
      <c r="O441" s="347">
        <f>IFERROR(_xlfn.XLOOKUP(E441,轮胎重量!S:S,轮胎重量!P:P),IFERROR(_xlfn.XLOOKUP(E441,轮胎重量!AB:AB,轮胎重量!Y:Y),IFERROR(_xlfn.XLOOKUP(E441,轮胎重量!AK:AK,轮胎重量!AH:AH),IFERROR(_xlfn.XLOOKUP(E441,轮胎重量!AT:AT,轮胎重量!AQ:AQ),""))))</f>
        <v>2.837</v>
      </c>
      <c r="P441" s="350">
        <f t="shared" si="1157"/>
        <v>41.87412</v>
      </c>
      <c r="Q441" s="347">
        <f t="shared" si="1164"/>
        <v>0</v>
      </c>
      <c r="R441" s="347">
        <v>460</v>
      </c>
      <c r="S441" s="347">
        <v>460</v>
      </c>
      <c r="T441" s="347">
        <v>460</v>
      </c>
      <c r="U441" s="347">
        <v>460</v>
      </c>
      <c r="V441" s="347">
        <v>460</v>
      </c>
      <c r="W441" s="347">
        <v>460</v>
      </c>
      <c r="X441" s="347">
        <v>460</v>
      </c>
      <c r="Y441" s="347">
        <v>460</v>
      </c>
      <c r="Z441" s="347">
        <v>460</v>
      </c>
      <c r="AA441" s="347">
        <v>460</v>
      </c>
      <c r="AB441" s="347">
        <v>460</v>
      </c>
      <c r="AC441" s="347">
        <v>460</v>
      </c>
      <c r="AD441" s="347">
        <v>460</v>
      </c>
      <c r="AE441" s="347">
        <v>460</v>
      </c>
      <c r="AF441" s="347">
        <v>460</v>
      </c>
      <c r="AG441" s="347">
        <v>460</v>
      </c>
      <c r="AH441" s="347">
        <v>460</v>
      </c>
      <c r="AI441" s="347">
        <v>460</v>
      </c>
      <c r="AJ441" s="347">
        <v>460</v>
      </c>
      <c r="AK441" s="347">
        <v>460</v>
      </c>
      <c r="AL441" s="347">
        <v>460</v>
      </c>
      <c r="AM441" s="347">
        <v>460</v>
      </c>
      <c r="AN441" s="347">
        <v>460</v>
      </c>
      <c r="AO441" s="347">
        <v>460</v>
      </c>
      <c r="AP441" s="347">
        <v>460</v>
      </c>
      <c r="AQ441" s="347">
        <v>460</v>
      </c>
      <c r="AR441" s="347">
        <v>460</v>
      </c>
      <c r="AS441" s="347">
        <v>460</v>
      </c>
      <c r="AT441" s="347">
        <v>460</v>
      </c>
      <c r="AU441" s="347">
        <v>460</v>
      </c>
      <c r="AV441" s="347">
        <v>460</v>
      </c>
      <c r="AW441" s="347">
        <f t="shared" si="1153"/>
        <v>14260</v>
      </c>
      <c r="AX441" s="365">
        <f t="shared" si="1154"/>
        <v>40.45562</v>
      </c>
      <c r="AY441" s="365">
        <f t="shared" si="1155"/>
        <v>59.712</v>
      </c>
      <c r="AZ441" s="368">
        <v>85.2179</v>
      </c>
      <c r="BA441" s="368">
        <v>6</v>
      </c>
      <c r="BB441" s="368">
        <v>9.2008</v>
      </c>
      <c r="BC441" s="368">
        <v>6.7424</v>
      </c>
      <c r="BD441" s="330"/>
      <c r="BE441" s="330">
        <f t="shared" si="1139"/>
        <v>1215207.254</v>
      </c>
      <c r="BF441" s="330">
        <f t="shared" si="1140"/>
        <v>85560</v>
      </c>
      <c r="BG441" s="330">
        <f t="shared" si="1141"/>
        <v>131203.408</v>
      </c>
      <c r="BH441" s="330">
        <f t="shared" si="1142"/>
        <v>96146.624</v>
      </c>
      <c r="BI441" s="330"/>
      <c r="BJ441" s="370" cm="1">
        <f t="array" ref="BJ441:BM441">_xlfn.LET(_xlpm.data,$R441:$AV441,_xlpm.starts,{1,8,16,23},_xlpm.lengths,{7,7,8,9},_xlpm.arr,_xlfn.MAP(_xlpm.starts,_xlpm.lengths,_xlfn.LAMBDA(_xlpm.s,_xlpm.l,SUM(INDEX(_xlpm.data,,_xlfn.SEQUENCE(,_xlpm.l,_xlpm.s))))),ROUND(_xlpm.arr*$O441/1000,2))</f>
        <v>9.14</v>
      </c>
      <c r="BK441" s="330">
        <v>9.14</v>
      </c>
      <c r="BL441" s="330">
        <v>10.44</v>
      </c>
      <c r="BM441" s="330">
        <v>11.75</v>
      </c>
      <c r="BN441" s="258">
        <f t="shared" si="1151"/>
        <v>40.47</v>
      </c>
      <c r="BO441" s="258">
        <v>29.69</v>
      </c>
      <c r="BP441" s="258">
        <v>29.69</v>
      </c>
      <c r="BQ441" s="258">
        <v>33.93</v>
      </c>
      <c r="BR441" s="258">
        <v>38.17</v>
      </c>
      <c r="BS441" s="382" t="s">
        <v>708</v>
      </c>
      <c r="BX441" s="382" t="s">
        <v>708</v>
      </c>
      <c r="BY441" s="258">
        <f t="shared" si="1095"/>
        <v>3220</v>
      </c>
      <c r="BZ441" s="258">
        <f t="shared" si="1096"/>
        <v>3220</v>
      </c>
      <c r="CA441" s="258">
        <f t="shared" si="1097"/>
        <v>3680</v>
      </c>
      <c r="CB441" s="258">
        <f t="shared" si="1098"/>
        <v>4140</v>
      </c>
      <c r="CD441" s="113"/>
      <c r="CE441" s="398">
        <f t="shared" si="1143"/>
        <v>9.14</v>
      </c>
      <c r="CF441" s="389">
        <f t="shared" si="1144"/>
        <v>9.14</v>
      </c>
      <c r="CG441" s="389">
        <f t="shared" si="1145"/>
        <v>10.44</v>
      </c>
      <c r="CH441" s="389">
        <f t="shared" si="1146"/>
        <v>11.75</v>
      </c>
      <c r="CI441" s="258">
        <f t="shared" si="1147"/>
        <v>40.47</v>
      </c>
      <c r="CJ441" s="113"/>
      <c r="CK441" s="258">
        <f t="shared" ref="CK441:CN441" si="1168">IFERROR(ROUND(BY441*$P441,2),"")</f>
        <v>134834.67</v>
      </c>
      <c r="CL441" s="258">
        <f t="shared" si="1168"/>
        <v>134834.67</v>
      </c>
      <c r="CM441" s="258">
        <f t="shared" si="1168"/>
        <v>154096.76</v>
      </c>
      <c r="CN441" s="258">
        <f t="shared" si="1168"/>
        <v>173358.86</v>
      </c>
      <c r="CP441" s="258" t="e">
        <f>VLOOKUP(G441,[2]Sheet1!$C$3:$G$310,5,0)</f>
        <v>#N/A</v>
      </c>
      <c r="CQ441" s="258" t="e">
        <f>VLOOKUP(G441,[3]KCBB0101!$C$3:$F$691,4,0)</f>
        <v>#N/A</v>
      </c>
    </row>
    <row r="442" s="258" customFormat="1" spans="1:95">
      <c r="A442" s="330"/>
      <c r="B442" s="347" t="s">
        <v>695</v>
      </c>
      <c r="C442" s="347" t="str">
        <f t="shared" si="1162"/>
        <v>14</v>
      </c>
      <c r="D442" s="347" t="str">
        <f t="shared" si="1160"/>
        <v>摩胎14寸</v>
      </c>
      <c r="E442" s="385" t="s">
        <v>720</v>
      </c>
      <c r="F442" s="385" t="s">
        <v>721</v>
      </c>
      <c r="G442" s="385" t="s">
        <v>722</v>
      </c>
      <c r="H442" s="347">
        <v>10000</v>
      </c>
      <c r="I442" s="386"/>
      <c r="J442" s="347">
        <v>18.5</v>
      </c>
      <c r="K442" s="347"/>
      <c r="L442" s="349">
        <f t="shared" si="1166"/>
        <v>0.697336561743341</v>
      </c>
      <c r="M442" s="349"/>
      <c r="N442" s="347"/>
      <c r="O442" s="347">
        <f>IFERROR(_xlfn.XLOOKUP(E442,轮胎重量!S:S,轮胎重量!P:P),IFERROR(_xlfn.XLOOKUP(E442,轮胎重量!AB:AB,轮胎重量!Y:Y),IFERROR(_xlfn.XLOOKUP(E442,轮胎重量!AK:AK,轮胎重量!AH:AH),IFERROR(_xlfn.XLOOKUP(E442,轮胎重量!AT:AT,轮胎重量!AQ:AQ),""))))</f>
        <v>3.18</v>
      </c>
      <c r="P442" s="350">
        <f t="shared" si="1157"/>
        <v>46.9368</v>
      </c>
      <c r="Q442" s="347">
        <f t="shared" si="1164"/>
        <v>0</v>
      </c>
      <c r="R442" s="347">
        <v>440</v>
      </c>
      <c r="S442" s="347">
        <v>440</v>
      </c>
      <c r="T442" s="347">
        <v>440</v>
      </c>
      <c r="U442" s="347">
        <v>440</v>
      </c>
      <c r="V442" s="347">
        <v>440</v>
      </c>
      <c r="W442" s="347">
        <v>440</v>
      </c>
      <c r="X442" s="347">
        <v>440</v>
      </c>
      <c r="Y442" s="347">
        <v>440</v>
      </c>
      <c r="Z442" s="347">
        <v>440</v>
      </c>
      <c r="AA442" s="347">
        <v>440</v>
      </c>
      <c r="AB442" s="347">
        <v>440</v>
      </c>
      <c r="AC442" s="347">
        <v>440</v>
      </c>
      <c r="AD442" s="347">
        <v>440</v>
      </c>
      <c r="AE442" s="347">
        <v>440</v>
      </c>
      <c r="AF442" s="347">
        <v>440</v>
      </c>
      <c r="AG442" s="347">
        <v>440</v>
      </c>
      <c r="AH442" s="347">
        <v>440</v>
      </c>
      <c r="AI442" s="347">
        <v>440</v>
      </c>
      <c r="AJ442" s="347">
        <v>440</v>
      </c>
      <c r="AK442" s="347">
        <v>440</v>
      </c>
      <c r="AL442" s="347">
        <v>440</v>
      </c>
      <c r="AM442" s="347">
        <v>440</v>
      </c>
      <c r="AN442" s="347">
        <v>440</v>
      </c>
      <c r="AO442" s="347">
        <v>440</v>
      </c>
      <c r="AP442" s="347">
        <v>440</v>
      </c>
      <c r="AQ442" s="347">
        <v>440</v>
      </c>
      <c r="AR442" s="347">
        <v>440</v>
      </c>
      <c r="AS442" s="347">
        <v>440</v>
      </c>
      <c r="AT442" s="347">
        <v>440</v>
      </c>
      <c r="AU442" s="347">
        <v>440</v>
      </c>
      <c r="AV442" s="347">
        <v>440</v>
      </c>
      <c r="AW442" s="347">
        <f t="shared" si="1153"/>
        <v>13640</v>
      </c>
      <c r="AX442" s="365">
        <f t="shared" si="1154"/>
        <v>43.3752</v>
      </c>
      <c r="AY442" s="365">
        <f t="shared" si="1155"/>
        <v>64.022</v>
      </c>
      <c r="BC442" s="330"/>
      <c r="BD442" s="330"/>
      <c r="BE442" s="330">
        <f t="shared" si="1139"/>
        <v>0</v>
      </c>
      <c r="BF442" s="330">
        <f t="shared" si="1140"/>
        <v>0</v>
      </c>
      <c r="BG442" s="330">
        <f t="shared" si="1141"/>
        <v>0</v>
      </c>
      <c r="BH442" s="330">
        <f t="shared" si="1142"/>
        <v>0</v>
      </c>
      <c r="BI442" s="330"/>
      <c r="BJ442" s="370" cm="1">
        <f t="array" ref="BJ442:BM442">_xlfn.LET(_xlpm.data,$R442:$AV442,_xlpm.starts,{1,8,16,23},_xlpm.lengths,{7,7,8,9},_xlpm.arr,_xlfn.MAP(_xlpm.starts,_xlpm.lengths,_xlfn.LAMBDA(_xlpm.s,_xlpm.l,SUM(INDEX(_xlpm.data,,_xlfn.SEQUENCE(,_xlpm.l,_xlpm.s))))),ROUND(_xlpm.arr*$O442/1000,2))</f>
        <v>9.79</v>
      </c>
      <c r="BK442" s="330">
        <v>9.79</v>
      </c>
      <c r="BL442" s="330">
        <v>11.19</v>
      </c>
      <c r="BM442" s="330">
        <v>12.59</v>
      </c>
      <c r="BN442" s="258">
        <f t="shared" si="1151"/>
        <v>43.36</v>
      </c>
      <c r="BO442" s="258">
        <v>0</v>
      </c>
      <c r="BP442" s="258">
        <v>0</v>
      </c>
      <c r="BQ442" s="258">
        <v>9.63</v>
      </c>
      <c r="BR442" s="258">
        <v>10.83</v>
      </c>
      <c r="BS442" s="382" t="s">
        <v>708</v>
      </c>
      <c r="BX442" s="382" t="s">
        <v>708</v>
      </c>
      <c r="BY442" s="258">
        <f t="shared" si="1095"/>
        <v>3080</v>
      </c>
      <c r="BZ442" s="258">
        <f t="shared" si="1096"/>
        <v>3080</v>
      </c>
      <c r="CA442" s="258">
        <f t="shared" si="1097"/>
        <v>3520</v>
      </c>
      <c r="CB442" s="258">
        <f t="shared" si="1098"/>
        <v>3960</v>
      </c>
      <c r="CD442" s="113"/>
      <c r="CE442" s="398">
        <f t="shared" si="1143"/>
        <v>9.79</v>
      </c>
      <c r="CF442" s="389">
        <f t="shared" si="1144"/>
        <v>9.79</v>
      </c>
      <c r="CG442" s="389">
        <f t="shared" si="1145"/>
        <v>11.19</v>
      </c>
      <c r="CH442" s="389">
        <f t="shared" si="1146"/>
        <v>12.59</v>
      </c>
      <c r="CI442" s="258">
        <f t="shared" si="1147"/>
        <v>43.36</v>
      </c>
      <c r="CJ442" s="113"/>
      <c r="CK442" s="258">
        <f t="shared" ref="CK442:CN442" si="1169">IFERROR(ROUND(BY442*$P442,2),"")</f>
        <v>144565.34</v>
      </c>
      <c r="CL442" s="258">
        <f t="shared" si="1169"/>
        <v>144565.34</v>
      </c>
      <c r="CM442" s="258">
        <f t="shared" si="1169"/>
        <v>165217.54</v>
      </c>
      <c r="CN442" s="258">
        <f t="shared" si="1169"/>
        <v>185869.73</v>
      </c>
      <c r="CP442" s="258" t="e">
        <f>VLOOKUP(G442,[2]Sheet1!$C$3:$G$310,5,0)</f>
        <v>#N/A</v>
      </c>
      <c r="CQ442" s="258" t="e">
        <f>VLOOKUP(G442,[3]KCBB0101!$C$3:$F$691,4,0)</f>
        <v>#N/A</v>
      </c>
    </row>
    <row r="443" s="258" customFormat="1" spans="1:95">
      <c r="A443" s="330"/>
      <c r="B443" s="347" t="s">
        <v>695</v>
      </c>
      <c r="C443" s="347" t="str">
        <f t="shared" si="1162"/>
        <v>14</v>
      </c>
      <c r="D443" s="347" t="str">
        <f t="shared" si="1160"/>
        <v>摩胎14寸</v>
      </c>
      <c r="E443" s="385" t="s">
        <v>723</v>
      </c>
      <c r="F443" s="385" t="s">
        <v>724</v>
      </c>
      <c r="G443" s="385" t="s">
        <v>725</v>
      </c>
      <c r="H443" s="347">
        <v>1500</v>
      </c>
      <c r="I443" s="386"/>
      <c r="J443" s="347">
        <v>19.2</v>
      </c>
      <c r="K443" s="347"/>
      <c r="L443" s="349">
        <f t="shared" si="1166"/>
        <v>0.68944099378882</v>
      </c>
      <c r="M443" s="349"/>
      <c r="N443" s="347"/>
      <c r="O443" s="347">
        <f>IFERROR(_xlfn.XLOOKUP(E443,轮胎重量!S:S,轮胎重量!P:P),IFERROR(_xlfn.XLOOKUP(E443,轮胎重量!AB:AB,轮胎重量!Y:Y),IFERROR(_xlfn.XLOOKUP(E443,轮胎重量!AK:AK,轮胎重量!AH:AH),IFERROR(_xlfn.XLOOKUP(E443,轮胎重量!AT:AT,轮胎重量!AQ:AQ),""))))</f>
        <v>2.345</v>
      </c>
      <c r="P443" s="350">
        <f t="shared" si="1157"/>
        <v>34.6122</v>
      </c>
      <c r="Q443" s="347">
        <f t="shared" si="1164"/>
        <v>0</v>
      </c>
      <c r="R443" s="347"/>
      <c r="S443" s="347"/>
      <c r="T443" s="347"/>
      <c r="U443" s="347"/>
      <c r="V443" s="347"/>
      <c r="W443" s="347"/>
      <c r="X443" s="347"/>
      <c r="Y443" s="347"/>
      <c r="Z443" s="347"/>
      <c r="AA443" s="347"/>
      <c r="AB443" s="347"/>
      <c r="AC443" s="347"/>
      <c r="AD443" s="347"/>
      <c r="AE443" s="347"/>
      <c r="AF443" s="347"/>
      <c r="AG443" s="347"/>
      <c r="AH443" s="347"/>
      <c r="AI443" s="347"/>
      <c r="AJ443" s="347"/>
      <c r="AK443" s="347"/>
      <c r="AL443" s="347"/>
      <c r="AM443" s="347"/>
      <c r="AN443" s="347"/>
      <c r="AO443" s="347"/>
      <c r="AP443" s="347">
        <v>920</v>
      </c>
      <c r="AQ443" s="347">
        <v>920</v>
      </c>
      <c r="AR443" s="347">
        <v>920</v>
      </c>
      <c r="AS443" s="347">
        <v>920</v>
      </c>
      <c r="AT443" s="347">
        <v>920</v>
      </c>
      <c r="AU443" s="347">
        <v>920</v>
      </c>
      <c r="AV443" s="347">
        <v>920</v>
      </c>
      <c r="AW443" s="347">
        <f t="shared" si="1153"/>
        <v>6440</v>
      </c>
      <c r="AX443" s="365">
        <f t="shared" si="1154"/>
        <v>15.1018</v>
      </c>
      <c r="AY443" s="365">
        <f t="shared" si="1155"/>
        <v>22.29</v>
      </c>
      <c r="AZ443" s="330">
        <v>64.5386</v>
      </c>
      <c r="BA443" s="330">
        <v>4.3771</v>
      </c>
      <c r="BB443" s="330">
        <v>6.7122</v>
      </c>
      <c r="BC443" s="330">
        <v>4.9187</v>
      </c>
      <c r="BD443" s="330"/>
      <c r="BE443" s="330">
        <f t="shared" si="1139"/>
        <v>415628.584</v>
      </c>
      <c r="BF443" s="330">
        <f t="shared" si="1140"/>
        <v>28188.524</v>
      </c>
      <c r="BG443" s="330">
        <f t="shared" si="1141"/>
        <v>43226.568</v>
      </c>
      <c r="BH443" s="330">
        <f t="shared" si="1142"/>
        <v>31676.428</v>
      </c>
      <c r="BI443" s="330"/>
      <c r="BJ443" s="370" cm="1">
        <f t="array" ref="BJ443:BM443">_xlfn.LET(_xlpm.data,$R443:$AV443,_xlpm.starts,{1,8,16,23},_xlpm.lengths,{7,7,8,9},_xlpm.arr,_xlfn.MAP(_xlpm.starts,_xlpm.lengths,_xlfn.LAMBDA(_xlpm.s,_xlpm.l,SUM(INDEX(_xlpm.data,,_xlfn.SEQUENCE(,_xlpm.l,_xlpm.s))))),ROUND(_xlpm.arr*$O443/1000,2))</f>
        <v>0</v>
      </c>
      <c r="BK443" s="330">
        <v>0</v>
      </c>
      <c r="BL443" s="330">
        <v>0</v>
      </c>
      <c r="BM443" s="330">
        <v>15.1</v>
      </c>
      <c r="BN443" s="258">
        <f t="shared" si="1151"/>
        <v>15.1</v>
      </c>
      <c r="BO443" s="258">
        <v>0</v>
      </c>
      <c r="BP443" s="258">
        <v>0</v>
      </c>
      <c r="BQ443" s="258">
        <v>40.26</v>
      </c>
      <c r="BR443" s="258">
        <v>45.29</v>
      </c>
      <c r="BS443" s="382" t="s">
        <v>708</v>
      </c>
      <c r="BX443" s="382" t="s">
        <v>708</v>
      </c>
      <c r="BY443" s="258">
        <f t="shared" si="1095"/>
        <v>0</v>
      </c>
      <c r="BZ443" s="258">
        <f t="shared" si="1096"/>
        <v>0</v>
      </c>
      <c r="CA443" s="258">
        <f t="shared" si="1097"/>
        <v>0</v>
      </c>
      <c r="CB443" s="258">
        <f t="shared" si="1098"/>
        <v>6440</v>
      </c>
      <c r="CD443" s="113"/>
      <c r="CE443" s="398">
        <f t="shared" si="1143"/>
        <v>0</v>
      </c>
      <c r="CF443" s="389">
        <f t="shared" si="1144"/>
        <v>0</v>
      </c>
      <c r="CG443" s="389">
        <f t="shared" si="1145"/>
        <v>0</v>
      </c>
      <c r="CH443" s="389">
        <f t="shared" si="1146"/>
        <v>15.1</v>
      </c>
      <c r="CI443" s="258">
        <f t="shared" si="1147"/>
        <v>15.1</v>
      </c>
      <c r="CJ443" s="113"/>
      <c r="CK443" s="258">
        <f t="shared" ref="CK443:CN443" si="1170">IFERROR(ROUND(BY443*$P443,2),"")</f>
        <v>0</v>
      </c>
      <c r="CL443" s="258">
        <f t="shared" si="1170"/>
        <v>0</v>
      </c>
      <c r="CM443" s="258">
        <f t="shared" si="1170"/>
        <v>0</v>
      </c>
      <c r="CN443" s="258">
        <f t="shared" si="1170"/>
        <v>222902.57</v>
      </c>
      <c r="CP443" s="258" t="e">
        <f>VLOOKUP(G443,[2]Sheet1!$C$3:$G$310,5,0)</f>
        <v>#N/A</v>
      </c>
      <c r="CQ443" s="258" t="e">
        <f>VLOOKUP(G443,[3]KCBB0101!$C$3:$F$691,4,0)</f>
        <v>#N/A</v>
      </c>
    </row>
    <row r="444" s="258" customFormat="1" spans="1:95">
      <c r="A444" s="330"/>
      <c r="B444" s="347" t="s">
        <v>695</v>
      </c>
      <c r="C444" s="347" t="str">
        <f t="shared" si="1162"/>
        <v>14</v>
      </c>
      <c r="D444" s="347" t="str">
        <f t="shared" si="1160"/>
        <v>摩胎14寸</v>
      </c>
      <c r="E444" s="385" t="s">
        <v>726</v>
      </c>
      <c r="F444" s="385" t="s">
        <v>727</v>
      </c>
      <c r="G444" s="385" t="s">
        <v>728</v>
      </c>
      <c r="H444" s="347">
        <v>6000</v>
      </c>
      <c r="I444" s="386"/>
      <c r="J444" s="347">
        <v>19.2</v>
      </c>
      <c r="K444" s="347"/>
      <c r="L444" s="349">
        <f t="shared" si="1166"/>
        <v>0.697336561743341</v>
      </c>
      <c r="M444" s="349"/>
      <c r="N444" s="347"/>
      <c r="O444" s="347">
        <f>IFERROR(_xlfn.XLOOKUP(E444,轮胎重量!S:S,轮胎重量!P:P),IFERROR(_xlfn.XLOOKUP(E444,轮胎重量!AB:AB,轮胎重量!Y:Y),IFERROR(_xlfn.XLOOKUP(E444,轮胎重量!AK:AK,轮胎重量!AH:AH),IFERROR(_xlfn.XLOOKUP(E444,轮胎重量!AT:AT,轮胎重量!AQ:AQ),""))))</f>
        <v>2.47</v>
      </c>
      <c r="P444" s="350">
        <f t="shared" si="1157"/>
        <v>36.4572</v>
      </c>
      <c r="Q444" s="347">
        <f t="shared" si="1164"/>
        <v>0</v>
      </c>
      <c r="R444" s="347"/>
      <c r="S444" s="347"/>
      <c r="T444" s="347"/>
      <c r="U444" s="347"/>
      <c r="V444" s="347"/>
      <c r="W444" s="347"/>
      <c r="X444" s="347"/>
      <c r="Y444" s="347"/>
      <c r="Z444" s="347"/>
      <c r="AA444" s="347"/>
      <c r="AB444" s="347"/>
      <c r="AC444" s="347"/>
      <c r="AD444" s="347"/>
      <c r="AE444" s="347"/>
      <c r="AF444" s="347"/>
      <c r="AG444" s="347"/>
      <c r="AH444" s="347"/>
      <c r="AI444" s="347"/>
      <c r="AJ444" s="347"/>
      <c r="AK444" s="347"/>
      <c r="AL444" s="347"/>
      <c r="AM444" s="347"/>
      <c r="AN444" s="347"/>
      <c r="AO444" s="347"/>
      <c r="AP444" s="347">
        <v>920</v>
      </c>
      <c r="AQ444" s="347">
        <v>920</v>
      </c>
      <c r="AR444" s="347">
        <v>920</v>
      </c>
      <c r="AS444" s="347">
        <v>920</v>
      </c>
      <c r="AT444" s="347">
        <v>920</v>
      </c>
      <c r="AU444" s="347">
        <v>920</v>
      </c>
      <c r="AV444" s="347">
        <v>920</v>
      </c>
      <c r="AW444" s="347">
        <f t="shared" si="1153"/>
        <v>6440</v>
      </c>
      <c r="AX444" s="365">
        <f t="shared" si="1154"/>
        <v>15.9068</v>
      </c>
      <c r="AY444" s="365">
        <f t="shared" si="1155"/>
        <v>23.478</v>
      </c>
      <c r="AZ444" s="368">
        <v>85.2179</v>
      </c>
      <c r="BA444" s="368">
        <v>6</v>
      </c>
      <c r="BB444" s="368">
        <v>9.2008</v>
      </c>
      <c r="BC444" s="368">
        <v>6.7424</v>
      </c>
      <c r="BD444" s="330"/>
      <c r="BE444" s="330">
        <f t="shared" si="1139"/>
        <v>548803.276</v>
      </c>
      <c r="BF444" s="330">
        <f t="shared" si="1140"/>
        <v>38640</v>
      </c>
      <c r="BG444" s="330">
        <f t="shared" si="1141"/>
        <v>59253.152</v>
      </c>
      <c r="BH444" s="330">
        <f t="shared" si="1142"/>
        <v>43421.056</v>
      </c>
      <c r="BI444" s="330"/>
      <c r="BJ444" s="370" cm="1">
        <f t="array" ref="BJ444:BM444">_xlfn.LET(_xlpm.data,$R444:$AV444,_xlpm.starts,{1,8,16,23},_xlpm.lengths,{7,7,8,9},_xlpm.arr,_xlfn.MAP(_xlpm.starts,_xlpm.lengths,_xlfn.LAMBDA(_xlpm.s,_xlpm.l,SUM(INDEX(_xlpm.data,,_xlfn.SEQUENCE(,_xlpm.l,_xlpm.s))))),ROUND(_xlpm.arr*$O444/1000,2))</f>
        <v>0</v>
      </c>
      <c r="BK444" s="330">
        <v>0</v>
      </c>
      <c r="BL444" s="330">
        <v>0</v>
      </c>
      <c r="BM444" s="330">
        <v>15.91</v>
      </c>
      <c r="BN444" s="258">
        <f t="shared" si="1151"/>
        <v>15.91</v>
      </c>
      <c r="BO444" s="258">
        <v>29.69</v>
      </c>
      <c r="BP444" s="258">
        <v>29.69</v>
      </c>
      <c r="BQ444" s="258">
        <v>33.93</v>
      </c>
      <c r="BR444" s="258">
        <v>38.17</v>
      </c>
      <c r="BS444" s="382" t="s">
        <v>708</v>
      </c>
      <c r="BX444" s="382" t="s">
        <v>708</v>
      </c>
      <c r="BY444" s="258">
        <f t="shared" si="1095"/>
        <v>0</v>
      </c>
      <c r="BZ444" s="258">
        <f t="shared" si="1096"/>
        <v>0</v>
      </c>
      <c r="CA444" s="258">
        <f t="shared" si="1097"/>
        <v>0</v>
      </c>
      <c r="CB444" s="258">
        <f t="shared" si="1098"/>
        <v>6440</v>
      </c>
      <c r="CD444" s="113"/>
      <c r="CE444" s="398">
        <f t="shared" si="1143"/>
        <v>0</v>
      </c>
      <c r="CF444" s="389">
        <f t="shared" si="1144"/>
        <v>0</v>
      </c>
      <c r="CG444" s="389">
        <f t="shared" si="1145"/>
        <v>0</v>
      </c>
      <c r="CH444" s="389">
        <f t="shared" si="1146"/>
        <v>15.91</v>
      </c>
      <c r="CI444" s="258">
        <f t="shared" si="1147"/>
        <v>15.91</v>
      </c>
      <c r="CJ444" s="113"/>
      <c r="CK444" s="258">
        <f t="shared" ref="CK444:CN444" si="1171">IFERROR(ROUND(BY444*$P444,2),"")</f>
        <v>0</v>
      </c>
      <c r="CL444" s="258">
        <f t="shared" si="1171"/>
        <v>0</v>
      </c>
      <c r="CM444" s="258">
        <f t="shared" si="1171"/>
        <v>0</v>
      </c>
      <c r="CN444" s="258">
        <f t="shared" si="1171"/>
        <v>234784.37</v>
      </c>
      <c r="CP444" s="258" t="e">
        <f>VLOOKUP(G444,[2]Sheet1!$C$3:$G$310,5,0)</f>
        <v>#N/A</v>
      </c>
      <c r="CQ444" s="258" t="e">
        <f>VLOOKUP(G444,[3]KCBB0101!$C$3:$F$691,4,0)</f>
        <v>#N/A</v>
      </c>
    </row>
    <row r="445" s="258" customFormat="1" spans="1:95">
      <c r="A445" s="330"/>
      <c r="B445" s="347" t="s">
        <v>695</v>
      </c>
      <c r="C445" s="347" t="str">
        <f t="shared" si="1162"/>
        <v>14</v>
      </c>
      <c r="D445" s="347" t="str">
        <f t="shared" ref="D445:D463" si="1172">"摩胎"&amp;C445&amp;"寸"</f>
        <v>摩胎14寸</v>
      </c>
      <c r="E445" s="385" t="s">
        <v>729</v>
      </c>
      <c r="F445" s="385" t="s">
        <v>730</v>
      </c>
      <c r="G445" s="385" t="s">
        <v>731</v>
      </c>
      <c r="H445" s="347">
        <v>6000</v>
      </c>
      <c r="I445" s="386"/>
      <c r="J445" s="347">
        <v>19.2</v>
      </c>
      <c r="K445" s="347"/>
      <c r="L445" s="349">
        <f>IF(J438="","",J438/(J438+$J$378/60))</f>
        <v>0.68944099378882</v>
      </c>
      <c r="M445" s="349"/>
      <c r="N445" s="347"/>
      <c r="O445" s="347">
        <f>IFERROR(_xlfn.XLOOKUP(E445,轮胎重量!S:S,轮胎重量!P:P),IFERROR(_xlfn.XLOOKUP(E445,轮胎重量!AB:AB,轮胎重量!Y:Y),IFERROR(_xlfn.XLOOKUP(E445,轮胎重量!AK:AK,轮胎重量!AH:AH),IFERROR(_xlfn.XLOOKUP(E445,轮胎重量!AT:AT,轮胎重量!AQ:AQ),""))))</f>
        <v>2.735</v>
      </c>
      <c r="P445" s="350">
        <f t="shared" ref="P445:P451" si="1173">O445*14.76</f>
        <v>40.3686</v>
      </c>
      <c r="Q445" s="347">
        <f t="shared" ref="Q445:Q454" si="1174">IFERROR(ROUND(1440/J445*I445*L446,0),"")</f>
        <v>0</v>
      </c>
      <c r="R445" s="347"/>
      <c r="S445" s="347"/>
      <c r="T445" s="347"/>
      <c r="U445" s="347"/>
      <c r="V445" s="347"/>
      <c r="W445" s="347"/>
      <c r="X445" s="347"/>
      <c r="Y445" s="347"/>
      <c r="Z445" s="347"/>
      <c r="AA445" s="347"/>
      <c r="AB445" s="347"/>
      <c r="AC445" s="347"/>
      <c r="AD445" s="347"/>
      <c r="AE445" s="347"/>
      <c r="AF445" s="347"/>
      <c r="AG445" s="347"/>
      <c r="AH445" s="347"/>
      <c r="AI445" s="347"/>
      <c r="AJ445" s="347"/>
      <c r="AK445" s="347"/>
      <c r="AL445" s="347"/>
      <c r="AM445" s="347"/>
      <c r="AN445" s="347"/>
      <c r="AO445" s="347"/>
      <c r="AP445" s="347">
        <v>460</v>
      </c>
      <c r="AQ445" s="347">
        <v>460</v>
      </c>
      <c r="AR445" s="347">
        <v>460</v>
      </c>
      <c r="AS445" s="347">
        <v>460</v>
      </c>
      <c r="AT445" s="347">
        <v>460</v>
      </c>
      <c r="AU445" s="347">
        <v>460</v>
      </c>
      <c r="AV445" s="347">
        <v>460</v>
      </c>
      <c r="AW445" s="347">
        <f t="shared" ref="AW445:AW475" si="1175">IF(SUM(R445:AV445)=0,"",SUM(R445:AV445))</f>
        <v>3220</v>
      </c>
      <c r="AX445" s="365">
        <f t="shared" ref="AX445:AX475" si="1176">IFERROR(AW445*O445/1000,"")</f>
        <v>8.8067</v>
      </c>
      <c r="AY445" s="365">
        <f t="shared" ref="AY445:AY475" si="1177">IFERROR(ROUND(AW445*P445/10000,3),"")</f>
        <v>12.999</v>
      </c>
      <c r="AZ445" s="330">
        <v>64.5386</v>
      </c>
      <c r="BA445" s="330">
        <v>4.3771</v>
      </c>
      <c r="BB445" s="330">
        <v>6.7122</v>
      </c>
      <c r="BC445" s="330">
        <v>4.9187</v>
      </c>
      <c r="BD445" s="330"/>
      <c r="BE445" s="330">
        <f t="shared" ref="BE445:BE454" si="1178">AZ445*AW445</f>
        <v>207814.292</v>
      </c>
      <c r="BF445" s="330">
        <f t="shared" ref="BF445:BF454" si="1179">BA445*AW445</f>
        <v>14094.262</v>
      </c>
      <c r="BG445" s="330">
        <f t="shared" ref="BG445:BG454" si="1180">BB445*AW445</f>
        <v>21613.284</v>
      </c>
      <c r="BH445" s="330">
        <f t="shared" ref="BH445:BH454" si="1181">BC445*AW445</f>
        <v>15838.214</v>
      </c>
      <c r="BI445" s="330"/>
      <c r="BJ445" s="370" cm="1">
        <f t="array" ref="BJ445:BM445">_xlfn.LET(_xlpm.data,$R445:$AV445,_xlpm.starts,{1,8,16,23},_xlpm.lengths,{7,7,8,9},_xlpm.arr,_xlfn.MAP(_xlpm.starts,_xlpm.lengths,_xlfn.LAMBDA(_xlpm.s,_xlpm.l,SUM(INDEX(_xlpm.data,,_xlfn.SEQUENCE(,_xlpm.l,_xlpm.s))))),ROUND(_xlpm.arr*$O445/1000,2))</f>
        <v>0</v>
      </c>
      <c r="BK445" s="330">
        <v>0</v>
      </c>
      <c r="BL445" s="330">
        <v>0</v>
      </c>
      <c r="BM445" s="330">
        <v>8.81</v>
      </c>
      <c r="BN445" s="258">
        <f t="shared" si="1151"/>
        <v>8.81</v>
      </c>
      <c r="BO445" s="258">
        <v>0</v>
      </c>
      <c r="BP445" s="258">
        <v>0</v>
      </c>
      <c r="BQ445" s="258">
        <v>40.26</v>
      </c>
      <c r="BR445" s="258">
        <v>45.29</v>
      </c>
      <c r="BS445" s="382" t="s">
        <v>708</v>
      </c>
      <c r="BX445" s="382" t="s">
        <v>708</v>
      </c>
      <c r="BY445" s="258">
        <f t="shared" si="1095"/>
        <v>0</v>
      </c>
      <c r="BZ445" s="258">
        <f t="shared" si="1096"/>
        <v>0</v>
      </c>
      <c r="CA445" s="258">
        <f t="shared" si="1097"/>
        <v>0</v>
      </c>
      <c r="CB445" s="258">
        <f t="shared" si="1098"/>
        <v>3220</v>
      </c>
      <c r="CD445" s="113"/>
      <c r="CE445" s="398">
        <f t="shared" ref="CE445:CE454" si="1182">ROUND(BY445*$O445/1000,2)</f>
        <v>0</v>
      </c>
      <c r="CF445" s="389">
        <f t="shared" ref="CF445:CF454" si="1183">ROUND(BZ445*$O445/1000,2)</f>
        <v>0</v>
      </c>
      <c r="CG445" s="389">
        <f t="shared" ref="CG445:CG454" si="1184">ROUND(CA445*$O445/1000,2)</f>
        <v>0</v>
      </c>
      <c r="CH445" s="389">
        <f t="shared" ref="CH445:CH454" si="1185">ROUND(CB445*$O445/1000,2)</f>
        <v>8.81</v>
      </c>
      <c r="CI445" s="258">
        <f t="shared" ref="CI445:CI454" si="1186">SUM(CE445:CH445)</f>
        <v>8.81</v>
      </c>
      <c r="CJ445" s="113"/>
      <c r="CK445" s="258">
        <f t="shared" ref="CK445:CN445" si="1187">IFERROR(ROUND(BY445*$P445,2),"")</f>
        <v>0</v>
      </c>
      <c r="CL445" s="258">
        <f t="shared" si="1187"/>
        <v>0</v>
      </c>
      <c r="CM445" s="258">
        <f t="shared" si="1187"/>
        <v>0</v>
      </c>
      <c r="CN445" s="258">
        <f t="shared" si="1187"/>
        <v>129986.89</v>
      </c>
      <c r="CO445" s="258">
        <f>SUM(CK445:CN445)</f>
        <v>129986.89</v>
      </c>
      <c r="CP445" s="258" t="e">
        <f>VLOOKUP(G445,[2]Sheet1!$C$3:$G$310,5,0)</f>
        <v>#N/A</v>
      </c>
      <c r="CQ445" s="258" t="e">
        <f>VLOOKUP(G445,[3]KCBB0101!$C$3:$F$691,4,0)</f>
        <v>#N/A</v>
      </c>
    </row>
    <row r="446" s="258" customFormat="1" spans="1:95">
      <c r="A446" s="330"/>
      <c r="B446" s="347" t="s">
        <v>695</v>
      </c>
      <c r="C446" s="347" t="str">
        <f t="shared" si="1162"/>
        <v>14</v>
      </c>
      <c r="D446" s="347" t="str">
        <f t="shared" si="1172"/>
        <v>摩胎14寸</v>
      </c>
      <c r="E446" s="385" t="s">
        <v>732</v>
      </c>
      <c r="F446" s="385" t="s">
        <v>733</v>
      </c>
      <c r="G446" s="385" t="s">
        <v>734</v>
      </c>
      <c r="H446" s="347">
        <v>3000</v>
      </c>
      <c r="I446" s="386"/>
      <c r="J446" s="347">
        <v>19.2</v>
      </c>
      <c r="K446" s="347"/>
      <c r="L446" s="349">
        <f t="shared" ref="L446:L455" si="1188">IF(J445="","",J445/(J445+$J$378/60))</f>
        <v>0.697336561743341</v>
      </c>
      <c r="M446" s="349"/>
      <c r="N446" s="347"/>
      <c r="O446" s="347">
        <f>IFERROR(_xlfn.XLOOKUP(E446,轮胎重量!S:S,轮胎重量!P:P),IFERROR(_xlfn.XLOOKUP(E446,轮胎重量!AB:AB,轮胎重量!Y:Y),IFERROR(_xlfn.XLOOKUP(E446,轮胎重量!AK:AK,轮胎重量!AH:AH),IFERROR(_xlfn.XLOOKUP(E446,轮胎重量!AT:AT,轮胎重量!AQ:AQ),""))))</f>
        <v>3.1</v>
      </c>
      <c r="P446" s="350">
        <f t="shared" si="1173"/>
        <v>45.756</v>
      </c>
      <c r="Q446" s="347">
        <f t="shared" si="1174"/>
        <v>0</v>
      </c>
      <c r="R446" s="347"/>
      <c r="S446" s="347"/>
      <c r="T446" s="347"/>
      <c r="U446" s="347"/>
      <c r="V446" s="347"/>
      <c r="W446" s="347"/>
      <c r="X446" s="347"/>
      <c r="Y446" s="347"/>
      <c r="Z446" s="347"/>
      <c r="AA446" s="347"/>
      <c r="AB446" s="347"/>
      <c r="AC446" s="347"/>
      <c r="AD446" s="347"/>
      <c r="AE446" s="347"/>
      <c r="AF446" s="347"/>
      <c r="AG446" s="347"/>
      <c r="AH446" s="347"/>
      <c r="AI446" s="347"/>
      <c r="AJ446" s="347"/>
      <c r="AK446" s="347"/>
      <c r="AL446" s="347"/>
      <c r="AM446" s="347"/>
      <c r="AN446" s="347"/>
      <c r="AO446" s="347"/>
      <c r="AP446" s="347">
        <v>440</v>
      </c>
      <c r="AQ446" s="347">
        <v>440</v>
      </c>
      <c r="AR446" s="347">
        <v>440</v>
      </c>
      <c r="AS446" s="347">
        <v>440</v>
      </c>
      <c r="AT446" s="347">
        <v>440</v>
      </c>
      <c r="AU446" s="347">
        <v>440</v>
      </c>
      <c r="AV446" s="347">
        <v>440</v>
      </c>
      <c r="AW446" s="347">
        <f t="shared" si="1175"/>
        <v>3080</v>
      </c>
      <c r="AX446" s="365">
        <f t="shared" si="1176"/>
        <v>9.548</v>
      </c>
      <c r="AY446" s="365">
        <f t="shared" si="1177"/>
        <v>14.093</v>
      </c>
      <c r="AZ446" s="368">
        <v>85.2179</v>
      </c>
      <c r="BA446" s="368">
        <v>6</v>
      </c>
      <c r="BB446" s="368">
        <v>9.2008</v>
      </c>
      <c r="BC446" s="368">
        <v>6.7424</v>
      </c>
      <c r="BD446" s="330"/>
      <c r="BE446" s="330">
        <f t="shared" si="1178"/>
        <v>262471.132</v>
      </c>
      <c r="BF446" s="330">
        <f t="shared" si="1179"/>
        <v>18480</v>
      </c>
      <c r="BG446" s="330">
        <f t="shared" si="1180"/>
        <v>28338.464</v>
      </c>
      <c r="BH446" s="330">
        <f t="shared" si="1181"/>
        <v>20766.592</v>
      </c>
      <c r="BI446" s="330"/>
      <c r="BJ446" s="370" cm="1">
        <f t="array" ref="BJ446:BM446">_xlfn.LET(_xlpm.data,$R446:$AV446,_xlpm.starts,{1,8,16,23},_xlpm.lengths,{7,7,8,9},_xlpm.arr,_xlfn.MAP(_xlpm.starts,_xlpm.lengths,_xlfn.LAMBDA(_xlpm.s,_xlpm.l,SUM(INDEX(_xlpm.data,,_xlfn.SEQUENCE(,_xlpm.l,_xlpm.s))))),ROUND(_xlpm.arr*$O446/1000,2))</f>
        <v>0</v>
      </c>
      <c r="BK446" s="330">
        <v>0</v>
      </c>
      <c r="BL446" s="330">
        <v>0</v>
      </c>
      <c r="BM446" s="330">
        <v>9.55</v>
      </c>
      <c r="BN446" s="258">
        <f t="shared" ref="BN446:BN454" si="1189">SUM(BJ446:BM446)</f>
        <v>9.55</v>
      </c>
      <c r="BO446" s="258">
        <v>29.69</v>
      </c>
      <c r="BP446" s="258">
        <v>29.69</v>
      </c>
      <c r="BQ446" s="258">
        <v>33.93</v>
      </c>
      <c r="BR446" s="258">
        <v>38.17</v>
      </c>
      <c r="BS446" s="382" t="s">
        <v>708</v>
      </c>
      <c r="BX446" s="382" t="s">
        <v>708</v>
      </c>
      <c r="BY446" s="258">
        <f t="shared" si="1095"/>
        <v>0</v>
      </c>
      <c r="BZ446" s="258">
        <f t="shared" si="1096"/>
        <v>0</v>
      </c>
      <c r="CA446" s="258">
        <f t="shared" si="1097"/>
        <v>0</v>
      </c>
      <c r="CB446" s="258">
        <f t="shared" si="1098"/>
        <v>3080</v>
      </c>
      <c r="CD446" s="113"/>
      <c r="CE446" s="398">
        <f t="shared" si="1182"/>
        <v>0</v>
      </c>
      <c r="CF446" s="389">
        <f t="shared" si="1183"/>
        <v>0</v>
      </c>
      <c r="CG446" s="389">
        <f t="shared" si="1184"/>
        <v>0</v>
      </c>
      <c r="CH446" s="389">
        <f t="shared" si="1185"/>
        <v>9.55</v>
      </c>
      <c r="CI446" s="258">
        <f t="shared" si="1186"/>
        <v>9.55</v>
      </c>
      <c r="CJ446" s="113"/>
      <c r="CK446" s="258">
        <f t="shared" ref="CK446:CN446" si="1190">IFERROR(ROUND(BY446*$P446,2),"")</f>
        <v>0</v>
      </c>
      <c r="CL446" s="258">
        <f t="shared" si="1190"/>
        <v>0</v>
      </c>
      <c r="CM446" s="258">
        <f t="shared" si="1190"/>
        <v>0</v>
      </c>
      <c r="CN446" s="258">
        <f t="shared" si="1190"/>
        <v>140928.48</v>
      </c>
      <c r="CP446" s="258" t="e">
        <f>VLOOKUP(G446,[2]Sheet1!$C$3:$G$310,5,0)</f>
        <v>#N/A</v>
      </c>
      <c r="CQ446" s="258" t="e">
        <f>VLOOKUP(G446,[3]KCBB0101!$C$3:$F$691,4,0)</f>
        <v>#N/A</v>
      </c>
    </row>
    <row r="447" ht="17" spans="2:95">
      <c r="B447" s="347" t="s">
        <v>695</v>
      </c>
      <c r="C447" s="347" t="str">
        <f t="shared" si="1162"/>
        <v>12</v>
      </c>
      <c r="D447" s="347" t="str">
        <f t="shared" si="1172"/>
        <v>摩胎12寸</v>
      </c>
      <c r="E447" s="385" t="s">
        <v>735</v>
      </c>
      <c r="F447" s="385" t="s">
        <v>736</v>
      </c>
      <c r="G447" s="385" t="s">
        <v>736</v>
      </c>
      <c r="H447" s="347">
        <v>3000</v>
      </c>
      <c r="I447" s="386"/>
      <c r="J447" s="347">
        <v>19.2</v>
      </c>
      <c r="K447" s="347"/>
      <c r="L447" s="349">
        <f t="shared" si="1188"/>
        <v>0.697336561743341</v>
      </c>
      <c r="M447" s="349"/>
      <c r="N447" s="347"/>
      <c r="O447" s="347">
        <f>IFERROR(_xlfn.XLOOKUP(E447,轮胎重量!S:S,轮胎重量!P:P),IFERROR(_xlfn.XLOOKUP(E447,轮胎重量!AB:AB,轮胎重量!Y:Y),IFERROR(_xlfn.XLOOKUP(E447,轮胎重量!AK:AK,轮胎重量!AH:AH),IFERROR(_xlfn.XLOOKUP(E447,轮胎重量!AT:AT,轮胎重量!AQ:AQ),""))))</f>
        <v>2.86</v>
      </c>
      <c r="P447" s="350">
        <f t="shared" si="1173"/>
        <v>42.2136</v>
      </c>
      <c r="Q447" s="347">
        <f t="shared" si="1174"/>
        <v>0</v>
      </c>
      <c r="R447" s="347">
        <v>220</v>
      </c>
      <c r="S447" s="347">
        <v>220</v>
      </c>
      <c r="T447" s="347">
        <v>220</v>
      </c>
      <c r="U447" s="347">
        <v>220</v>
      </c>
      <c r="V447" s="347">
        <v>220</v>
      </c>
      <c r="W447" s="347">
        <v>220</v>
      </c>
      <c r="X447" s="347">
        <v>220</v>
      </c>
      <c r="Y447" s="347">
        <v>220</v>
      </c>
      <c r="Z447" s="347">
        <v>220</v>
      </c>
      <c r="AA447" s="347">
        <v>220</v>
      </c>
      <c r="AB447" s="347">
        <v>220</v>
      </c>
      <c r="AC447" s="347">
        <v>220</v>
      </c>
      <c r="AD447" s="347">
        <v>220</v>
      </c>
      <c r="AE447" s="347">
        <v>220</v>
      </c>
      <c r="AF447" s="347">
        <v>220</v>
      </c>
      <c r="AG447" s="347">
        <v>220</v>
      </c>
      <c r="AH447" s="347">
        <v>220</v>
      </c>
      <c r="AI447" s="347">
        <v>220</v>
      </c>
      <c r="AJ447" s="347">
        <v>220</v>
      </c>
      <c r="AK447" s="347">
        <v>220</v>
      </c>
      <c r="AL447" s="347">
        <v>220</v>
      </c>
      <c r="AM447" s="347">
        <v>220</v>
      </c>
      <c r="AN447" s="347">
        <v>220</v>
      </c>
      <c r="AO447" s="347">
        <v>220</v>
      </c>
      <c r="AP447" s="347">
        <v>220</v>
      </c>
      <c r="AQ447" s="347">
        <v>220</v>
      </c>
      <c r="AR447" s="347">
        <v>220</v>
      </c>
      <c r="AS447" s="347">
        <v>220</v>
      </c>
      <c r="AT447" s="347">
        <v>220</v>
      </c>
      <c r="AU447" s="347">
        <v>220</v>
      </c>
      <c r="AV447" s="347">
        <v>220</v>
      </c>
      <c r="AW447" s="347">
        <f t="shared" si="1175"/>
        <v>6820</v>
      </c>
      <c r="AX447" s="365">
        <f t="shared" si="1176"/>
        <v>19.5052</v>
      </c>
      <c r="AY447" s="365">
        <f t="shared" si="1177"/>
        <v>28.79</v>
      </c>
      <c r="AZ447" s="368">
        <v>85.2179</v>
      </c>
      <c r="BA447" s="368">
        <v>6</v>
      </c>
      <c r="BB447" s="368">
        <v>9.2008</v>
      </c>
      <c r="BC447" s="368">
        <v>6.7424</v>
      </c>
      <c r="BE447" s="330">
        <f t="shared" si="1178"/>
        <v>581186.078</v>
      </c>
      <c r="BF447" s="330">
        <f t="shared" si="1179"/>
        <v>40920</v>
      </c>
      <c r="BG447" s="330">
        <f t="shared" si="1180"/>
        <v>62749.456</v>
      </c>
      <c r="BH447" s="330">
        <f t="shared" si="1181"/>
        <v>45983.168</v>
      </c>
      <c r="BJ447" s="370" cm="1">
        <f t="array" ref="BJ447:BM447">_xlfn.LET(_xlpm.data,$R447:$AV447,_xlpm.starts,{1,8,16,23},_xlpm.lengths,{7,7,8,9},_xlpm.arr,_xlfn.MAP(_xlpm.starts,_xlpm.lengths,_xlfn.LAMBDA(_xlpm.s,_xlpm.l,SUM(INDEX(_xlpm.data,,_xlfn.SEQUENCE(,_xlpm.l,_xlpm.s))))),ROUND(_xlpm.arr*$O447/1000,2))</f>
        <v>4.4</v>
      </c>
      <c r="BK447" s="330">
        <v>4.4</v>
      </c>
      <c r="BL447" s="330">
        <v>5.03</v>
      </c>
      <c r="BM447" s="330">
        <v>5.66</v>
      </c>
      <c r="BN447" s="258">
        <f t="shared" si="1189"/>
        <v>19.49</v>
      </c>
      <c r="BO447" s="258">
        <v>29.69</v>
      </c>
      <c r="BP447" s="258">
        <v>29.69</v>
      </c>
      <c r="BQ447" s="258">
        <v>33.93</v>
      </c>
      <c r="BR447" s="258">
        <v>38.17</v>
      </c>
      <c r="BS447" s="382" t="s">
        <v>708</v>
      </c>
      <c r="BX447" s="382" t="s">
        <v>708</v>
      </c>
      <c r="BY447" s="258">
        <f t="shared" si="1095"/>
        <v>1540</v>
      </c>
      <c r="BZ447" s="258">
        <f t="shared" si="1096"/>
        <v>1540</v>
      </c>
      <c r="CA447" s="258">
        <f t="shared" si="1097"/>
        <v>1760</v>
      </c>
      <c r="CB447" s="258">
        <f t="shared" si="1098"/>
        <v>1980</v>
      </c>
      <c r="CE447" s="398">
        <f t="shared" si="1182"/>
        <v>4.4</v>
      </c>
      <c r="CF447" s="389">
        <f t="shared" si="1183"/>
        <v>4.4</v>
      </c>
      <c r="CG447" s="389">
        <f t="shared" si="1184"/>
        <v>5.03</v>
      </c>
      <c r="CH447" s="389">
        <f t="shared" si="1185"/>
        <v>5.66</v>
      </c>
      <c r="CI447" s="258">
        <f t="shared" si="1186"/>
        <v>19.49</v>
      </c>
      <c r="CK447" s="258">
        <f t="shared" ref="CK447:CN447" si="1191">IFERROR(ROUND(BY447*$P447,2),"")</f>
        <v>65008.94</v>
      </c>
      <c r="CL447" s="258">
        <f t="shared" si="1191"/>
        <v>65008.94</v>
      </c>
      <c r="CM447" s="258">
        <f t="shared" si="1191"/>
        <v>74295.94</v>
      </c>
      <c r="CN447" s="258">
        <f t="shared" si="1191"/>
        <v>83582.93</v>
      </c>
      <c r="CP447" s="258" t="e">
        <f>VLOOKUP(G447,[2]Sheet1!$C$3:$G$310,5,0)</f>
        <v>#N/A</v>
      </c>
      <c r="CQ447" s="258" t="str">
        <f>VLOOKUP(G447,[3]KCBB0101!$C$3:$F$691,4,0)</f>
        <v>-</v>
      </c>
    </row>
    <row r="448" spans="2:95">
      <c r="B448" s="347" t="s">
        <v>695</v>
      </c>
      <c r="C448" s="347" t="str">
        <f t="shared" si="1162"/>
        <v>12</v>
      </c>
      <c r="D448" s="347" t="str">
        <f t="shared" si="1172"/>
        <v>摩胎12寸</v>
      </c>
      <c r="E448" s="385" t="s">
        <v>737</v>
      </c>
      <c r="F448" s="385" t="s">
        <v>738</v>
      </c>
      <c r="G448" s="385" t="s">
        <v>738</v>
      </c>
      <c r="H448" s="347">
        <v>6000</v>
      </c>
      <c r="I448" s="386"/>
      <c r="J448" s="347">
        <v>18.5</v>
      </c>
      <c r="K448" s="347"/>
      <c r="L448" s="349">
        <f t="shared" si="1188"/>
        <v>0.697336561743341</v>
      </c>
      <c r="M448" s="349"/>
      <c r="N448" s="347"/>
      <c r="O448" s="347">
        <f>IFERROR(_xlfn.XLOOKUP(E448,轮胎重量!S:S,轮胎重量!P:P),IFERROR(_xlfn.XLOOKUP(E448,轮胎重量!AB:AB,轮胎重量!Y:Y),IFERROR(_xlfn.XLOOKUP(E448,轮胎重量!AK:AK,轮胎重量!AH:AH),IFERROR(_xlfn.XLOOKUP(E448,轮胎重量!AT:AT,轮胎重量!AQ:AQ),""))))</f>
        <v>2.81</v>
      </c>
      <c r="P448" s="350">
        <f t="shared" si="1173"/>
        <v>41.4756</v>
      </c>
      <c r="Q448" s="347">
        <f t="shared" si="1174"/>
        <v>0</v>
      </c>
      <c r="R448" s="347">
        <v>220</v>
      </c>
      <c r="S448" s="347">
        <v>220</v>
      </c>
      <c r="T448" s="347">
        <v>220</v>
      </c>
      <c r="U448" s="347">
        <v>220</v>
      </c>
      <c r="V448" s="347">
        <v>220</v>
      </c>
      <c r="W448" s="347">
        <v>220</v>
      </c>
      <c r="X448" s="347">
        <v>220</v>
      </c>
      <c r="Y448" s="347">
        <v>220</v>
      </c>
      <c r="Z448" s="347">
        <v>220</v>
      </c>
      <c r="AA448" s="347">
        <v>220</v>
      </c>
      <c r="AB448" s="347">
        <v>220</v>
      </c>
      <c r="AC448" s="347">
        <v>220</v>
      </c>
      <c r="AD448" s="347">
        <v>220</v>
      </c>
      <c r="AE448" s="347">
        <v>220</v>
      </c>
      <c r="AF448" s="347">
        <v>220</v>
      </c>
      <c r="AG448" s="347">
        <v>220</v>
      </c>
      <c r="AH448" s="347">
        <v>220</v>
      </c>
      <c r="AI448" s="347">
        <v>220</v>
      </c>
      <c r="AJ448" s="347">
        <v>220</v>
      </c>
      <c r="AK448" s="347">
        <v>220</v>
      </c>
      <c r="AL448" s="347">
        <v>220</v>
      </c>
      <c r="AM448" s="347">
        <v>220</v>
      </c>
      <c r="AN448" s="347">
        <v>220</v>
      </c>
      <c r="AO448" s="347">
        <v>220</v>
      </c>
      <c r="AP448" s="347">
        <v>220</v>
      </c>
      <c r="AQ448" s="347">
        <v>220</v>
      </c>
      <c r="AR448" s="347">
        <v>220</v>
      </c>
      <c r="AS448" s="347">
        <v>220</v>
      </c>
      <c r="AT448" s="347">
        <v>220</v>
      </c>
      <c r="AU448" s="347">
        <v>220</v>
      </c>
      <c r="AV448" s="347">
        <v>220</v>
      </c>
      <c r="AW448" s="347">
        <f t="shared" si="1175"/>
        <v>6820</v>
      </c>
      <c r="AX448" s="365">
        <f t="shared" si="1176"/>
        <v>19.1642</v>
      </c>
      <c r="AY448" s="365">
        <f t="shared" si="1177"/>
        <v>28.286</v>
      </c>
      <c r="BE448" s="330">
        <f t="shared" si="1178"/>
        <v>0</v>
      </c>
      <c r="BF448" s="330">
        <f t="shared" si="1179"/>
        <v>0</v>
      </c>
      <c r="BG448" s="330">
        <f t="shared" si="1180"/>
        <v>0</v>
      </c>
      <c r="BH448" s="330">
        <f t="shared" si="1181"/>
        <v>0</v>
      </c>
      <c r="BJ448" s="370" cm="1">
        <f t="array" ref="BJ448:BM448">_xlfn.LET(_xlpm.data,$R448:$AV448,_xlpm.starts,{1,8,16,23},_xlpm.lengths,{7,7,8,9},_xlpm.arr,_xlfn.MAP(_xlpm.starts,_xlpm.lengths,_xlfn.LAMBDA(_xlpm.s,_xlpm.l,SUM(INDEX(_xlpm.data,,_xlfn.SEQUENCE(,_xlpm.l,_xlpm.s))))),ROUND(_xlpm.arr*$O448/1000,2))</f>
        <v>4.33</v>
      </c>
      <c r="BK448" s="330">
        <v>4.33</v>
      </c>
      <c r="BL448" s="330">
        <v>4.95</v>
      </c>
      <c r="BM448" s="330">
        <v>5.56</v>
      </c>
      <c r="BN448" s="258">
        <f t="shared" si="1189"/>
        <v>19.17</v>
      </c>
      <c r="BO448" s="258">
        <v>0</v>
      </c>
      <c r="BP448" s="258">
        <v>0</v>
      </c>
      <c r="BQ448" s="258">
        <v>9.63</v>
      </c>
      <c r="BR448" s="258">
        <v>10.83</v>
      </c>
      <c r="BS448" s="382" t="s">
        <v>708</v>
      </c>
      <c r="BX448" s="382" t="s">
        <v>708</v>
      </c>
      <c r="BY448" s="258">
        <f t="shared" si="1095"/>
        <v>1540</v>
      </c>
      <c r="BZ448" s="258">
        <f t="shared" si="1096"/>
        <v>1540</v>
      </c>
      <c r="CA448" s="258">
        <f t="shared" si="1097"/>
        <v>1760</v>
      </c>
      <c r="CB448" s="258">
        <f t="shared" si="1098"/>
        <v>1980</v>
      </c>
      <c r="CE448" s="398">
        <f t="shared" si="1182"/>
        <v>4.33</v>
      </c>
      <c r="CF448" s="389">
        <f t="shared" si="1183"/>
        <v>4.33</v>
      </c>
      <c r="CG448" s="389">
        <f t="shared" si="1184"/>
        <v>4.95</v>
      </c>
      <c r="CH448" s="389">
        <f t="shared" si="1185"/>
        <v>5.56</v>
      </c>
      <c r="CI448" s="258">
        <f t="shared" si="1186"/>
        <v>19.17</v>
      </c>
      <c r="CK448" s="258">
        <f t="shared" ref="CK448:CN448" si="1192">IFERROR(ROUND(BY448*$P448,2),"")</f>
        <v>63872.42</v>
      </c>
      <c r="CL448" s="258">
        <f t="shared" si="1192"/>
        <v>63872.42</v>
      </c>
      <c r="CM448" s="258">
        <f t="shared" si="1192"/>
        <v>72997.06</v>
      </c>
      <c r="CN448" s="258">
        <f t="shared" si="1192"/>
        <v>82121.69</v>
      </c>
      <c r="CP448" s="258" t="e">
        <f>VLOOKUP(G448,[2]Sheet1!$C$3:$G$310,5,0)</f>
        <v>#N/A</v>
      </c>
      <c r="CQ448" s="258" t="e">
        <f>VLOOKUP(G448,[3]KCBB0101!$C$3:$F$691,4,0)</f>
        <v>#N/A</v>
      </c>
    </row>
    <row r="449" ht="17" spans="2:95">
      <c r="B449" s="347" t="s">
        <v>695</v>
      </c>
      <c r="C449" s="347" t="str">
        <f t="shared" si="1162"/>
        <v>14</v>
      </c>
      <c r="D449" s="347" t="str">
        <f t="shared" si="1172"/>
        <v>摩胎14寸</v>
      </c>
      <c r="E449" s="385" t="s">
        <v>723</v>
      </c>
      <c r="F449" s="385" t="s">
        <v>739</v>
      </c>
      <c r="G449" s="385" t="s">
        <v>739</v>
      </c>
      <c r="H449" s="347">
        <v>3500</v>
      </c>
      <c r="I449" s="386"/>
      <c r="J449" s="347">
        <v>19.2</v>
      </c>
      <c r="K449" s="347"/>
      <c r="L449" s="349">
        <f t="shared" si="1188"/>
        <v>0.68944099378882</v>
      </c>
      <c r="M449" s="349"/>
      <c r="N449" s="347"/>
      <c r="O449" s="347">
        <f>IFERROR(_xlfn.XLOOKUP(E449,轮胎重量!S:S,轮胎重量!P:P),IFERROR(_xlfn.XLOOKUP(E449,轮胎重量!AB:AB,轮胎重量!Y:Y),IFERROR(_xlfn.XLOOKUP(E449,轮胎重量!AK:AK,轮胎重量!AH:AH),IFERROR(_xlfn.XLOOKUP(E449,轮胎重量!AT:AT,轮胎重量!AQ:AQ),""))))</f>
        <v>2.345</v>
      </c>
      <c r="P449" s="350">
        <f t="shared" si="1173"/>
        <v>34.6122</v>
      </c>
      <c r="Q449" s="347">
        <f t="shared" si="1174"/>
        <v>0</v>
      </c>
      <c r="R449" s="347">
        <v>690</v>
      </c>
      <c r="S449" s="347">
        <v>690</v>
      </c>
      <c r="T449" s="347">
        <v>690</v>
      </c>
      <c r="U449" s="347">
        <v>690</v>
      </c>
      <c r="V449" s="347">
        <v>690</v>
      </c>
      <c r="W449" s="347">
        <v>690</v>
      </c>
      <c r="X449" s="347">
        <v>690</v>
      </c>
      <c r="Y449" s="347">
        <v>690</v>
      </c>
      <c r="Z449" s="347">
        <v>690</v>
      </c>
      <c r="AA449" s="347">
        <v>690</v>
      </c>
      <c r="AB449" s="347">
        <v>690</v>
      </c>
      <c r="AC449" s="347">
        <v>690</v>
      </c>
      <c r="AD449" s="347">
        <v>690</v>
      </c>
      <c r="AE449" s="347">
        <v>690</v>
      </c>
      <c r="AF449" s="347">
        <v>690</v>
      </c>
      <c r="AG449" s="347">
        <v>690</v>
      </c>
      <c r="AH449" s="347">
        <v>690</v>
      </c>
      <c r="AI449" s="347">
        <v>690</v>
      </c>
      <c r="AJ449" s="347"/>
      <c r="AK449" s="347"/>
      <c r="AL449" s="347"/>
      <c r="AM449" s="347"/>
      <c r="AN449" s="347"/>
      <c r="AO449" s="347"/>
      <c r="AP449" s="347"/>
      <c r="AQ449" s="347"/>
      <c r="AR449" s="347"/>
      <c r="AS449" s="347"/>
      <c r="AT449" s="347"/>
      <c r="AU449" s="347"/>
      <c r="AV449" s="347"/>
      <c r="AW449" s="347">
        <f t="shared" si="1175"/>
        <v>12420</v>
      </c>
      <c r="AX449" s="365">
        <f t="shared" si="1176"/>
        <v>29.1249</v>
      </c>
      <c r="AY449" s="365">
        <f t="shared" si="1177"/>
        <v>42.988</v>
      </c>
      <c r="AZ449" s="330">
        <v>64.5386</v>
      </c>
      <c r="BA449" s="330">
        <v>4.3771</v>
      </c>
      <c r="BB449" s="330">
        <v>6.7122</v>
      </c>
      <c r="BC449" s="330">
        <v>4.9187</v>
      </c>
      <c r="BE449" s="330">
        <f t="shared" si="1178"/>
        <v>801569.412</v>
      </c>
      <c r="BF449" s="330">
        <f t="shared" si="1179"/>
        <v>54363.582</v>
      </c>
      <c r="BG449" s="330">
        <f t="shared" si="1180"/>
        <v>83365.524</v>
      </c>
      <c r="BH449" s="330">
        <f t="shared" si="1181"/>
        <v>61090.254</v>
      </c>
      <c r="BJ449" s="370" cm="1">
        <f t="array" ref="BJ449:BM449">_xlfn.LET(_xlpm.data,$R449:$AV449,_xlpm.starts,{1,8,16,23},_xlpm.lengths,{7,7,8,9},_xlpm.arr,_xlfn.MAP(_xlpm.starts,_xlpm.lengths,_xlfn.LAMBDA(_xlpm.s,_xlpm.l,SUM(INDEX(_xlpm.data,,_xlfn.SEQUENCE(,_xlpm.l,_xlpm.s))))),ROUND(_xlpm.arr*$O449/1000,2))</f>
        <v>11.33</v>
      </c>
      <c r="BK449" s="330">
        <v>11.33</v>
      </c>
      <c r="BL449" s="330">
        <v>4.85</v>
      </c>
      <c r="BM449" s="330">
        <v>0</v>
      </c>
      <c r="BN449" s="258">
        <f t="shared" si="1189"/>
        <v>27.51</v>
      </c>
      <c r="BO449" s="258">
        <v>0</v>
      </c>
      <c r="BP449" s="258">
        <v>0</v>
      </c>
      <c r="BQ449" s="258">
        <v>40.26</v>
      </c>
      <c r="BR449" s="258">
        <v>45.29</v>
      </c>
      <c r="BS449" s="382" t="s">
        <v>708</v>
      </c>
      <c r="BX449" s="382" t="s">
        <v>708</v>
      </c>
      <c r="BY449" s="258">
        <f t="shared" si="1095"/>
        <v>4830</v>
      </c>
      <c r="BZ449" s="258">
        <f t="shared" si="1096"/>
        <v>4830</v>
      </c>
      <c r="CA449" s="258">
        <f t="shared" si="1097"/>
        <v>2760</v>
      </c>
      <c r="CB449" s="258">
        <f t="shared" si="1098"/>
        <v>0</v>
      </c>
      <c r="CE449" s="398">
        <f t="shared" si="1182"/>
        <v>11.33</v>
      </c>
      <c r="CF449" s="389">
        <f t="shared" si="1183"/>
        <v>11.33</v>
      </c>
      <c r="CG449" s="389">
        <f t="shared" si="1184"/>
        <v>6.47</v>
      </c>
      <c r="CH449" s="389">
        <f t="shared" si="1185"/>
        <v>0</v>
      </c>
      <c r="CI449" s="258">
        <f t="shared" si="1186"/>
        <v>29.13</v>
      </c>
      <c r="CK449" s="258">
        <f t="shared" ref="CK449:CN449" si="1193">IFERROR(ROUND(BY449*$P449,2),"")</f>
        <v>167176.93</v>
      </c>
      <c r="CL449" s="258">
        <f t="shared" si="1193"/>
        <v>167176.93</v>
      </c>
      <c r="CM449" s="258">
        <f t="shared" si="1193"/>
        <v>95529.67</v>
      </c>
      <c r="CN449" s="258">
        <f t="shared" si="1193"/>
        <v>0</v>
      </c>
      <c r="CP449" s="258" t="e">
        <f>VLOOKUP(G449,[2]Sheet1!$C$3:$G$310,5,0)</f>
        <v>#N/A</v>
      </c>
      <c r="CQ449" s="258" t="str">
        <f>VLOOKUP(G449,[3]KCBB0101!$C$3:$F$691,4,0)</f>
        <v>-</v>
      </c>
    </row>
    <row r="450" s="258" customFormat="1" ht="17" spans="1:95">
      <c r="A450" s="330"/>
      <c r="B450" s="347" t="s">
        <v>695</v>
      </c>
      <c r="C450" s="347" t="str">
        <f t="shared" si="1162"/>
        <v>14</v>
      </c>
      <c r="D450" s="347" t="str">
        <f t="shared" si="1172"/>
        <v>摩胎14寸</v>
      </c>
      <c r="E450" s="385" t="s">
        <v>726</v>
      </c>
      <c r="F450" s="385" t="s">
        <v>740</v>
      </c>
      <c r="G450" s="385" t="s">
        <v>740</v>
      </c>
      <c r="H450" s="347">
        <v>1500</v>
      </c>
      <c r="I450" s="386"/>
      <c r="J450" s="347">
        <v>19.2</v>
      </c>
      <c r="K450" s="347"/>
      <c r="L450" s="349">
        <f t="shared" si="1188"/>
        <v>0.697336561743341</v>
      </c>
      <c r="M450" s="349"/>
      <c r="N450" s="347"/>
      <c r="O450" s="347">
        <f>IFERROR(_xlfn.XLOOKUP(E450,轮胎重量!S:S,轮胎重量!P:P),IFERROR(_xlfn.XLOOKUP(E450,轮胎重量!AB:AB,轮胎重量!Y:Y),IFERROR(_xlfn.XLOOKUP(E450,轮胎重量!AK:AK,轮胎重量!AH:AH),IFERROR(_xlfn.XLOOKUP(E450,轮胎重量!AT:AT,轮胎重量!AQ:AQ),""))))</f>
        <v>2.47</v>
      </c>
      <c r="P450" s="350">
        <f t="shared" si="1173"/>
        <v>36.4572</v>
      </c>
      <c r="Q450" s="347">
        <f t="shared" si="1174"/>
        <v>0</v>
      </c>
      <c r="R450" s="347">
        <v>230</v>
      </c>
      <c r="S450" s="347">
        <v>230</v>
      </c>
      <c r="T450" s="347">
        <v>230</v>
      </c>
      <c r="U450" s="347">
        <v>230</v>
      </c>
      <c r="V450" s="347">
        <v>230</v>
      </c>
      <c r="W450" s="347">
        <v>230</v>
      </c>
      <c r="X450" s="347">
        <v>230</v>
      </c>
      <c r="Y450" s="347">
        <v>230</v>
      </c>
      <c r="Z450" s="347">
        <v>230</v>
      </c>
      <c r="AA450" s="347">
        <v>230</v>
      </c>
      <c r="AB450" s="347">
        <v>230</v>
      </c>
      <c r="AC450" s="347">
        <v>230</v>
      </c>
      <c r="AD450" s="347">
        <v>230</v>
      </c>
      <c r="AE450" s="347">
        <v>230</v>
      </c>
      <c r="AF450" s="347">
        <v>230</v>
      </c>
      <c r="AG450" s="347">
        <v>230</v>
      </c>
      <c r="AH450" s="347">
        <v>230</v>
      </c>
      <c r="AI450" s="347">
        <v>230</v>
      </c>
      <c r="AJ450" s="347">
        <v>230</v>
      </c>
      <c r="AK450" s="347">
        <v>230</v>
      </c>
      <c r="AL450" s="347">
        <v>230</v>
      </c>
      <c r="AM450" s="347">
        <v>230</v>
      </c>
      <c r="AN450" s="347">
        <v>230</v>
      </c>
      <c r="AO450" s="347">
        <v>230</v>
      </c>
      <c r="AP450" s="347"/>
      <c r="AQ450" s="347"/>
      <c r="AR450" s="347"/>
      <c r="AS450" s="347"/>
      <c r="AT450" s="347"/>
      <c r="AU450" s="347"/>
      <c r="AV450" s="347"/>
      <c r="AW450" s="347">
        <f t="shared" si="1175"/>
        <v>5520</v>
      </c>
      <c r="AX450" s="365">
        <f t="shared" si="1176"/>
        <v>13.6344</v>
      </c>
      <c r="AY450" s="365">
        <f t="shared" si="1177"/>
        <v>20.124</v>
      </c>
      <c r="AZ450" s="368">
        <v>85.2179</v>
      </c>
      <c r="BA450" s="368">
        <v>6</v>
      </c>
      <c r="BB450" s="368">
        <v>9.2008</v>
      </c>
      <c r="BC450" s="368">
        <v>6.7424</v>
      </c>
      <c r="BD450" s="330"/>
      <c r="BE450" s="330">
        <f t="shared" si="1178"/>
        <v>470402.808</v>
      </c>
      <c r="BF450" s="330">
        <f t="shared" si="1179"/>
        <v>33120</v>
      </c>
      <c r="BG450" s="330">
        <f t="shared" si="1180"/>
        <v>50788.416</v>
      </c>
      <c r="BH450" s="330">
        <f t="shared" si="1181"/>
        <v>37218.048</v>
      </c>
      <c r="BI450" s="330"/>
      <c r="BJ450" s="370" cm="1">
        <f t="array" ref="BJ450:BM450">_xlfn.LET(_xlpm.data,$R450:$AV450,_xlpm.starts,{1,8,16,23},_xlpm.lengths,{7,7,8,9},_xlpm.arr,_xlfn.MAP(_xlpm.starts,_xlpm.lengths,_xlfn.LAMBDA(_xlpm.s,_xlpm.l,SUM(INDEX(_xlpm.data,,_xlfn.SEQUENCE(,_xlpm.l,_xlpm.s))))),ROUND(_xlpm.arr*$O450/1000,2))</f>
        <v>3.98</v>
      </c>
      <c r="BK450" s="330">
        <v>3.98</v>
      </c>
      <c r="BL450" s="330">
        <v>4.54</v>
      </c>
      <c r="BM450" s="330">
        <v>1.14</v>
      </c>
      <c r="BN450" s="258">
        <f t="shared" si="1189"/>
        <v>13.64</v>
      </c>
      <c r="BO450" s="258">
        <v>29.69</v>
      </c>
      <c r="BP450" s="258">
        <v>29.69</v>
      </c>
      <c r="BQ450" s="258">
        <v>33.93</v>
      </c>
      <c r="BR450" s="258">
        <v>38.17</v>
      </c>
      <c r="BS450" s="382" t="s">
        <v>708</v>
      </c>
      <c r="BX450" s="382" t="s">
        <v>708</v>
      </c>
      <c r="BY450" s="258">
        <f t="shared" si="1095"/>
        <v>1610</v>
      </c>
      <c r="BZ450" s="258">
        <f t="shared" si="1096"/>
        <v>1610</v>
      </c>
      <c r="CA450" s="258">
        <f t="shared" si="1097"/>
        <v>1840</v>
      </c>
      <c r="CB450" s="258">
        <f t="shared" si="1098"/>
        <v>460</v>
      </c>
      <c r="CD450" s="113"/>
      <c r="CE450" s="398">
        <f t="shared" si="1182"/>
        <v>3.98</v>
      </c>
      <c r="CF450" s="389">
        <f t="shared" si="1183"/>
        <v>3.98</v>
      </c>
      <c r="CG450" s="389">
        <f t="shared" si="1184"/>
        <v>4.54</v>
      </c>
      <c r="CH450" s="389">
        <f t="shared" si="1185"/>
        <v>1.14</v>
      </c>
      <c r="CI450" s="258">
        <f t="shared" si="1186"/>
        <v>13.64</v>
      </c>
      <c r="CJ450" s="113"/>
      <c r="CK450" s="258">
        <f t="shared" ref="CK450:CN450" si="1194">IFERROR(ROUND(BY450*$P450,2),"")</f>
        <v>58696.09</v>
      </c>
      <c r="CL450" s="258">
        <f t="shared" si="1194"/>
        <v>58696.09</v>
      </c>
      <c r="CM450" s="258">
        <f t="shared" si="1194"/>
        <v>67081.25</v>
      </c>
      <c r="CN450" s="258">
        <f t="shared" si="1194"/>
        <v>16770.31</v>
      </c>
      <c r="CP450" s="258" t="e">
        <f>VLOOKUP(G450,[2]Sheet1!$C$3:$G$310,5,0)</f>
        <v>#N/A</v>
      </c>
      <c r="CQ450" s="258" t="str">
        <f>VLOOKUP(G450,[3]KCBB0101!$C$3:$F$691,4,0)</f>
        <v>-</v>
      </c>
    </row>
    <row r="451" ht="15" customHeight="1" spans="2:95">
      <c r="B451" s="347" t="s">
        <v>695</v>
      </c>
      <c r="C451" s="347" t="str">
        <f t="shared" si="1162"/>
        <v>14</v>
      </c>
      <c r="D451" s="347" t="str">
        <f t="shared" si="1172"/>
        <v>摩胎14寸</v>
      </c>
      <c r="E451" s="385" t="s">
        <v>729</v>
      </c>
      <c r="F451" s="385" t="s">
        <v>741</v>
      </c>
      <c r="G451" s="385" t="s">
        <v>741</v>
      </c>
      <c r="H451" s="347">
        <v>12000</v>
      </c>
      <c r="I451" s="386"/>
      <c r="J451" s="347">
        <v>19.2</v>
      </c>
      <c r="K451" s="347"/>
      <c r="L451" s="349">
        <f t="shared" si="1188"/>
        <v>0.697336561743341</v>
      </c>
      <c r="M451" s="349"/>
      <c r="N451" s="347"/>
      <c r="O451" s="347">
        <f>IFERROR(_xlfn.XLOOKUP(E451,轮胎重量!S:S,轮胎重量!P:P),IFERROR(_xlfn.XLOOKUP(E451,轮胎重量!AB:AB,轮胎重量!Y:Y),IFERROR(_xlfn.XLOOKUP(E451,轮胎重量!AK:AK,轮胎重量!AH:AH),IFERROR(_xlfn.XLOOKUP(E451,轮胎重量!AT:AT,轮胎重量!AQ:AQ),""))))</f>
        <v>2.735</v>
      </c>
      <c r="P451" s="350">
        <f t="shared" si="1173"/>
        <v>40.3686</v>
      </c>
      <c r="Q451" s="347">
        <f t="shared" si="1174"/>
        <v>0</v>
      </c>
      <c r="R451" s="347">
        <v>230</v>
      </c>
      <c r="S451" s="347">
        <v>230</v>
      </c>
      <c r="T451" s="347">
        <v>230</v>
      </c>
      <c r="U451" s="347">
        <v>230</v>
      </c>
      <c r="V451" s="347">
        <v>230</v>
      </c>
      <c r="W451" s="347">
        <v>230</v>
      </c>
      <c r="X451" s="347">
        <v>230</v>
      </c>
      <c r="Y451" s="347">
        <v>230</v>
      </c>
      <c r="Z451" s="347">
        <v>230</v>
      </c>
      <c r="AA451" s="347">
        <v>230</v>
      </c>
      <c r="AB451" s="347">
        <v>230</v>
      </c>
      <c r="AC451" s="347">
        <v>230</v>
      </c>
      <c r="AD451" s="347">
        <v>230</v>
      </c>
      <c r="AE451" s="347">
        <v>230</v>
      </c>
      <c r="AF451" s="347">
        <v>230</v>
      </c>
      <c r="AG451" s="347">
        <v>230</v>
      </c>
      <c r="AH451" s="347">
        <v>230</v>
      </c>
      <c r="AI451" s="347">
        <v>230</v>
      </c>
      <c r="AJ451" s="347">
        <v>230</v>
      </c>
      <c r="AK451" s="347">
        <v>230</v>
      </c>
      <c r="AL451" s="347">
        <v>230</v>
      </c>
      <c r="AM451" s="347">
        <v>230</v>
      </c>
      <c r="AN451" s="347">
        <v>230</v>
      </c>
      <c r="AO451" s="347">
        <v>230</v>
      </c>
      <c r="AP451" s="347"/>
      <c r="AQ451" s="347"/>
      <c r="AR451" s="347"/>
      <c r="AS451" s="347"/>
      <c r="AT451" s="347"/>
      <c r="AU451" s="347"/>
      <c r="AV451" s="347"/>
      <c r="AW451" s="347">
        <f t="shared" si="1175"/>
        <v>5520</v>
      </c>
      <c r="AX451" s="365">
        <f t="shared" si="1176"/>
        <v>15.0972</v>
      </c>
      <c r="AY451" s="365">
        <f t="shared" si="1177"/>
        <v>22.283</v>
      </c>
      <c r="AZ451" s="368">
        <v>85.2179</v>
      </c>
      <c r="BA451" s="368">
        <v>6</v>
      </c>
      <c r="BB451" s="368">
        <v>9.2008</v>
      </c>
      <c r="BC451" s="368">
        <v>6.7424</v>
      </c>
      <c r="BE451" s="330">
        <f t="shared" si="1178"/>
        <v>470402.808</v>
      </c>
      <c r="BF451" s="330">
        <f t="shared" si="1179"/>
        <v>33120</v>
      </c>
      <c r="BG451" s="330">
        <f t="shared" si="1180"/>
        <v>50788.416</v>
      </c>
      <c r="BH451" s="330">
        <f t="shared" si="1181"/>
        <v>37218.048</v>
      </c>
      <c r="BJ451" s="370" cm="1">
        <f t="array" ref="BJ451:BM451">_xlfn.LET(_xlpm.data,$R451:$AV451,_xlpm.starts,{1,8,16,23},_xlpm.lengths,{7,7,8,9},_xlpm.arr,_xlfn.MAP(_xlpm.starts,_xlpm.lengths,_xlfn.LAMBDA(_xlpm.s,_xlpm.l,SUM(INDEX(_xlpm.data,,_xlfn.SEQUENCE(,_xlpm.l,_xlpm.s))))),ROUND(_xlpm.arr*$O451/1000,2))</f>
        <v>4.4</v>
      </c>
      <c r="BK451" s="330">
        <v>4.4</v>
      </c>
      <c r="BL451" s="330">
        <v>5.03</v>
      </c>
      <c r="BM451" s="330">
        <v>1.26</v>
      </c>
      <c r="BN451" s="258">
        <f t="shared" si="1189"/>
        <v>15.09</v>
      </c>
      <c r="BO451" s="258">
        <v>29.69</v>
      </c>
      <c r="BP451" s="258">
        <v>29.69</v>
      </c>
      <c r="BQ451" s="258">
        <v>33.93</v>
      </c>
      <c r="BR451" s="258">
        <v>38.17</v>
      </c>
      <c r="BS451" s="382" t="s">
        <v>708</v>
      </c>
      <c r="BX451" s="382" t="s">
        <v>708</v>
      </c>
      <c r="BY451" s="258">
        <f t="shared" si="1095"/>
        <v>1610</v>
      </c>
      <c r="BZ451" s="258">
        <f t="shared" si="1096"/>
        <v>1610</v>
      </c>
      <c r="CA451" s="258">
        <f t="shared" si="1097"/>
        <v>1840</v>
      </c>
      <c r="CB451" s="258">
        <f t="shared" si="1098"/>
        <v>460</v>
      </c>
      <c r="CE451" s="398">
        <f t="shared" si="1182"/>
        <v>4.4</v>
      </c>
      <c r="CF451" s="389">
        <f t="shared" si="1183"/>
        <v>4.4</v>
      </c>
      <c r="CG451" s="389">
        <f t="shared" si="1184"/>
        <v>5.03</v>
      </c>
      <c r="CH451" s="389">
        <f t="shared" si="1185"/>
        <v>1.26</v>
      </c>
      <c r="CI451" s="258">
        <f t="shared" si="1186"/>
        <v>15.09</v>
      </c>
      <c r="CK451" s="258">
        <f t="shared" ref="CK451:CN451" si="1195">IFERROR(ROUND(BY451*$P451,2),"")</f>
        <v>64993.45</v>
      </c>
      <c r="CL451" s="258">
        <f t="shared" si="1195"/>
        <v>64993.45</v>
      </c>
      <c r="CM451" s="258">
        <f t="shared" si="1195"/>
        <v>74278.22</v>
      </c>
      <c r="CN451" s="258">
        <f t="shared" si="1195"/>
        <v>18569.56</v>
      </c>
      <c r="CP451" s="258" t="e">
        <f>VLOOKUP(G451,[2]Sheet1!$C$3:$G$310,5,0)</f>
        <v>#N/A</v>
      </c>
      <c r="CQ451" s="258" t="str">
        <f>VLOOKUP(G451,[3]KCBB0101!$C$3:$F$691,4,0)</f>
        <v>-</v>
      </c>
    </row>
    <row r="452" ht="17" spans="2:95">
      <c r="B452" s="347" t="s">
        <v>695</v>
      </c>
      <c r="C452" s="347" t="str">
        <f t="shared" si="1162"/>
        <v>14</v>
      </c>
      <c r="D452" s="347" t="str">
        <f t="shared" si="1172"/>
        <v>摩胎14寸</v>
      </c>
      <c r="E452" s="385" t="s">
        <v>732</v>
      </c>
      <c r="F452" s="385" t="s">
        <v>742</v>
      </c>
      <c r="G452" s="385" t="s">
        <v>742</v>
      </c>
      <c r="H452" s="347">
        <v>12000</v>
      </c>
      <c r="I452" s="386"/>
      <c r="J452" s="347">
        <v>18.5</v>
      </c>
      <c r="K452" s="347"/>
      <c r="L452" s="349">
        <f t="shared" si="1188"/>
        <v>0.697336561743341</v>
      </c>
      <c r="M452" s="349"/>
      <c r="N452" s="347"/>
      <c r="O452" s="347">
        <f>IFERROR(_xlfn.XLOOKUP(E452,轮胎重量!S:S,轮胎重量!P:P),IFERROR(_xlfn.XLOOKUP(E452,轮胎重量!AB:AB,轮胎重量!Y:Y),IFERROR(_xlfn.XLOOKUP(E452,轮胎重量!AK:AK,轮胎重量!AH:AH),IFERROR(_xlfn.XLOOKUP(E452,轮胎重量!AT:AT,轮胎重量!AQ:AQ),""))))</f>
        <v>3.1</v>
      </c>
      <c r="P452" s="350">
        <f t="shared" ref="P452:P469" si="1196">O452*14.76</f>
        <v>45.756</v>
      </c>
      <c r="Q452" s="347">
        <f t="shared" si="1174"/>
        <v>0</v>
      </c>
      <c r="R452" s="347">
        <v>220</v>
      </c>
      <c r="S452" s="347">
        <v>220</v>
      </c>
      <c r="T452" s="347">
        <v>220</v>
      </c>
      <c r="U452" s="347">
        <v>220</v>
      </c>
      <c r="V452" s="347">
        <v>220</v>
      </c>
      <c r="W452" s="347">
        <v>220</v>
      </c>
      <c r="X452" s="347">
        <v>220</v>
      </c>
      <c r="Y452" s="347">
        <v>220</v>
      </c>
      <c r="Z452" s="347">
        <v>220</v>
      </c>
      <c r="AA452" s="347">
        <v>220</v>
      </c>
      <c r="AB452" s="347">
        <v>220</v>
      </c>
      <c r="AC452" s="347">
        <v>220</v>
      </c>
      <c r="AD452" s="347">
        <v>220</v>
      </c>
      <c r="AE452" s="347">
        <v>220</v>
      </c>
      <c r="AF452" s="347">
        <v>220</v>
      </c>
      <c r="AG452" s="347">
        <v>220</v>
      </c>
      <c r="AH452" s="347">
        <v>220</v>
      </c>
      <c r="AI452" s="347">
        <v>220</v>
      </c>
      <c r="AJ452" s="347">
        <v>440</v>
      </c>
      <c r="AK452" s="347">
        <v>440</v>
      </c>
      <c r="AL452" s="347">
        <v>440</v>
      </c>
      <c r="AM452" s="347">
        <v>440</v>
      </c>
      <c r="AN452" s="347">
        <v>440</v>
      </c>
      <c r="AO452" s="347">
        <v>440</v>
      </c>
      <c r="AP452" s="347"/>
      <c r="AQ452" s="347"/>
      <c r="AR452" s="347"/>
      <c r="AS452" s="347"/>
      <c r="AT452" s="347"/>
      <c r="AU452" s="347"/>
      <c r="AV452" s="347"/>
      <c r="AW452" s="347">
        <f t="shared" si="1175"/>
        <v>6600</v>
      </c>
      <c r="AX452" s="365">
        <f t="shared" si="1176"/>
        <v>20.46</v>
      </c>
      <c r="AY452" s="365">
        <f t="shared" si="1177"/>
        <v>30.199</v>
      </c>
      <c r="BE452" s="330">
        <f t="shared" si="1178"/>
        <v>0</v>
      </c>
      <c r="BF452" s="330">
        <f t="shared" si="1179"/>
        <v>0</v>
      </c>
      <c r="BG452" s="330">
        <f t="shared" si="1180"/>
        <v>0</v>
      </c>
      <c r="BH452" s="330">
        <f t="shared" si="1181"/>
        <v>0</v>
      </c>
      <c r="BJ452" s="370" cm="1">
        <f t="array" ref="BJ452:BM452">_xlfn.LET(_xlpm.data,$R452:$AV452,_xlpm.starts,{1,8,16,23},_xlpm.lengths,{7,7,8,9},_xlpm.arr,_xlfn.MAP(_xlpm.starts,_xlpm.lengths,_xlfn.LAMBDA(_xlpm.s,_xlpm.l,SUM(INDEX(_xlpm.data,,_xlfn.SEQUENCE(,_xlpm.l,_xlpm.s))))),ROUND(_xlpm.arr*$O452/1000,2))</f>
        <v>4.77</v>
      </c>
      <c r="BK452" s="330">
        <v>4.77</v>
      </c>
      <c r="BL452" s="330">
        <v>8.87</v>
      </c>
      <c r="BM452" s="330">
        <v>2.73</v>
      </c>
      <c r="BN452" s="258">
        <f t="shared" si="1189"/>
        <v>21.14</v>
      </c>
      <c r="BO452" s="258">
        <v>0</v>
      </c>
      <c r="BP452" s="258">
        <v>0</v>
      </c>
      <c r="BQ452" s="258">
        <v>9.63</v>
      </c>
      <c r="BR452" s="258">
        <v>10.83</v>
      </c>
      <c r="BS452" s="382" t="s">
        <v>708</v>
      </c>
      <c r="BX452" s="382" t="s">
        <v>708</v>
      </c>
      <c r="BY452" s="258">
        <f t="shared" si="1095"/>
        <v>1540</v>
      </c>
      <c r="BZ452" s="258">
        <f t="shared" si="1096"/>
        <v>1540</v>
      </c>
      <c r="CA452" s="258">
        <f t="shared" si="1097"/>
        <v>2640</v>
      </c>
      <c r="CB452" s="258">
        <f t="shared" si="1098"/>
        <v>880</v>
      </c>
      <c r="CE452" s="398">
        <f t="shared" si="1182"/>
        <v>4.77</v>
      </c>
      <c r="CF452" s="389">
        <f t="shared" si="1183"/>
        <v>4.77</v>
      </c>
      <c r="CG452" s="389">
        <f t="shared" si="1184"/>
        <v>8.18</v>
      </c>
      <c r="CH452" s="389">
        <f t="shared" si="1185"/>
        <v>2.73</v>
      </c>
      <c r="CI452" s="258">
        <f t="shared" si="1186"/>
        <v>20.45</v>
      </c>
      <c r="CK452" s="258">
        <f t="shared" ref="CK452:CN452" si="1197">IFERROR(ROUND(BY452*$P452,2),"")</f>
        <v>70464.24</v>
      </c>
      <c r="CL452" s="258">
        <f t="shared" si="1197"/>
        <v>70464.24</v>
      </c>
      <c r="CM452" s="258">
        <f t="shared" si="1197"/>
        <v>120795.84</v>
      </c>
      <c r="CN452" s="258">
        <f t="shared" si="1197"/>
        <v>40265.28</v>
      </c>
      <c r="CP452" s="258" t="e">
        <f>VLOOKUP(G452,[2]Sheet1!$C$3:$G$310,5,0)</f>
        <v>#N/A</v>
      </c>
      <c r="CQ452" s="258" t="str">
        <f>VLOOKUP(G452,[3]KCBB0101!$C$3:$F$691,4,0)</f>
        <v>-</v>
      </c>
    </row>
    <row r="453" spans="2:95">
      <c r="B453" s="347" t="s">
        <v>695</v>
      </c>
      <c r="C453" s="347" t="str">
        <f t="shared" si="1162"/>
        <v>12</v>
      </c>
      <c r="D453" s="347" t="str">
        <f t="shared" si="1172"/>
        <v>摩胎12寸</v>
      </c>
      <c r="E453" s="385" t="s">
        <v>743</v>
      </c>
      <c r="F453" s="385" t="s">
        <v>744</v>
      </c>
      <c r="G453" s="385" t="s">
        <v>744</v>
      </c>
      <c r="H453" s="347">
        <v>6000</v>
      </c>
      <c r="I453" s="386"/>
      <c r="J453" s="347">
        <v>19.2</v>
      </c>
      <c r="K453" s="347"/>
      <c r="L453" s="349">
        <f t="shared" si="1188"/>
        <v>0.68944099378882</v>
      </c>
      <c r="M453" s="349"/>
      <c r="N453" s="347"/>
      <c r="O453" s="347">
        <f>IFERROR(_xlfn.XLOOKUP(E453,轮胎重量!S:S,轮胎重量!P:P),IFERROR(_xlfn.XLOOKUP(E453,轮胎重量!AB:AB,轮胎重量!Y:Y),IFERROR(_xlfn.XLOOKUP(E453,轮胎重量!AK:AK,轮胎重量!AH:AH),IFERROR(_xlfn.XLOOKUP(E453,轮胎重量!AT:AT,轮胎重量!AQ:AQ),""))))</f>
        <v>2.86</v>
      </c>
      <c r="P453" s="350">
        <f t="shared" si="1196"/>
        <v>42.2136</v>
      </c>
      <c r="Q453" s="347">
        <f t="shared" si="1174"/>
        <v>0</v>
      </c>
      <c r="R453" s="347">
        <v>220</v>
      </c>
      <c r="S453" s="347">
        <v>220</v>
      </c>
      <c r="T453" s="347">
        <v>220</v>
      </c>
      <c r="U453" s="347">
        <v>220</v>
      </c>
      <c r="V453" s="347">
        <v>220</v>
      </c>
      <c r="W453" s="347">
        <v>220</v>
      </c>
      <c r="X453" s="347">
        <v>220</v>
      </c>
      <c r="Y453" s="347">
        <v>220</v>
      </c>
      <c r="Z453" s="347">
        <v>220</v>
      </c>
      <c r="AA453" s="347">
        <v>220</v>
      </c>
      <c r="AB453" s="347">
        <v>220</v>
      </c>
      <c r="AC453" s="347">
        <v>220</v>
      </c>
      <c r="AD453" s="347">
        <v>220</v>
      </c>
      <c r="AE453" s="347">
        <v>220</v>
      </c>
      <c r="AF453" s="347">
        <v>220</v>
      </c>
      <c r="AG453" s="347">
        <v>220</v>
      </c>
      <c r="AH453" s="347">
        <v>220</v>
      </c>
      <c r="AI453" s="347">
        <v>220</v>
      </c>
      <c r="AJ453" s="347">
        <v>220</v>
      </c>
      <c r="AK453" s="347">
        <v>220</v>
      </c>
      <c r="AL453" s="347">
        <v>220</v>
      </c>
      <c r="AM453" s="347">
        <v>220</v>
      </c>
      <c r="AN453" s="347">
        <v>220</v>
      </c>
      <c r="AO453" s="347">
        <v>220</v>
      </c>
      <c r="AP453" s="347">
        <v>220</v>
      </c>
      <c r="AQ453" s="347">
        <v>220</v>
      </c>
      <c r="AR453" s="347">
        <v>220</v>
      </c>
      <c r="AS453" s="347">
        <v>220</v>
      </c>
      <c r="AT453" s="347">
        <v>220</v>
      </c>
      <c r="AU453" s="347">
        <v>220</v>
      </c>
      <c r="AV453" s="347">
        <v>220</v>
      </c>
      <c r="AW453" s="347">
        <f t="shared" si="1175"/>
        <v>6820</v>
      </c>
      <c r="AX453" s="365">
        <f t="shared" si="1176"/>
        <v>19.5052</v>
      </c>
      <c r="AY453" s="365">
        <f t="shared" si="1177"/>
        <v>28.79</v>
      </c>
      <c r="AZ453" s="330">
        <v>64.5386</v>
      </c>
      <c r="BA453" s="330">
        <v>4.3771</v>
      </c>
      <c r="BB453" s="330">
        <v>6.7122</v>
      </c>
      <c r="BC453" s="330">
        <v>4.9187</v>
      </c>
      <c r="BE453" s="330">
        <f t="shared" si="1178"/>
        <v>440153.252</v>
      </c>
      <c r="BF453" s="330">
        <f t="shared" si="1179"/>
        <v>29851.822</v>
      </c>
      <c r="BG453" s="330">
        <f t="shared" si="1180"/>
        <v>45777.204</v>
      </c>
      <c r="BH453" s="330">
        <f t="shared" si="1181"/>
        <v>33545.534</v>
      </c>
      <c r="BJ453" s="370" cm="1">
        <f t="array" ref="BJ453:BM453">_xlfn.LET(_xlpm.data,$R453:$AV453,_xlpm.starts,{1,8,16,23},_xlpm.lengths,{7,7,8,9},_xlpm.arr,_xlfn.MAP(_xlpm.starts,_xlpm.lengths,_xlfn.LAMBDA(_xlpm.s,_xlpm.l,SUM(INDEX(_xlpm.data,,_xlfn.SEQUENCE(,_xlpm.l,_xlpm.s))))),ROUND(_xlpm.arr*$O453/1000,2))</f>
        <v>4.4</v>
      </c>
      <c r="BK453" s="330">
        <v>4.4</v>
      </c>
      <c r="BL453" s="330">
        <v>5.03</v>
      </c>
      <c r="BM453" s="330">
        <v>5.66</v>
      </c>
      <c r="BN453" s="258">
        <f t="shared" si="1189"/>
        <v>19.49</v>
      </c>
      <c r="BO453" s="258">
        <v>0</v>
      </c>
      <c r="BP453" s="258">
        <v>0</v>
      </c>
      <c r="BQ453" s="258">
        <v>40.26</v>
      </c>
      <c r="BR453" s="258">
        <v>45.29</v>
      </c>
      <c r="BS453" s="382" t="s">
        <v>708</v>
      </c>
      <c r="BX453" s="382" t="s">
        <v>708</v>
      </c>
      <c r="BY453" s="258">
        <f t="shared" si="1095"/>
        <v>1540</v>
      </c>
      <c r="BZ453" s="258">
        <f t="shared" si="1096"/>
        <v>1540</v>
      </c>
      <c r="CA453" s="258">
        <f t="shared" si="1097"/>
        <v>1760</v>
      </c>
      <c r="CB453" s="258">
        <f t="shared" si="1098"/>
        <v>1980</v>
      </c>
      <c r="CE453" s="398">
        <f t="shared" si="1182"/>
        <v>4.4</v>
      </c>
      <c r="CF453" s="389">
        <f t="shared" si="1183"/>
        <v>4.4</v>
      </c>
      <c r="CG453" s="389">
        <f t="shared" si="1184"/>
        <v>5.03</v>
      </c>
      <c r="CH453" s="389">
        <f t="shared" si="1185"/>
        <v>5.66</v>
      </c>
      <c r="CI453" s="258">
        <f t="shared" si="1186"/>
        <v>19.49</v>
      </c>
      <c r="CK453" s="258">
        <f t="shared" ref="CK453:CN453" si="1198">IFERROR(ROUND(BY453*$P453,2),"")</f>
        <v>65008.94</v>
      </c>
      <c r="CL453" s="258">
        <f t="shared" si="1198"/>
        <v>65008.94</v>
      </c>
      <c r="CM453" s="258">
        <f t="shared" si="1198"/>
        <v>74295.94</v>
      </c>
      <c r="CN453" s="258">
        <f t="shared" si="1198"/>
        <v>83582.93</v>
      </c>
      <c r="CP453" s="258" t="e">
        <f>VLOOKUP(G453,[2]Sheet1!$C$3:$G$310,5,0)</f>
        <v>#N/A</v>
      </c>
      <c r="CQ453" s="258" t="e">
        <f>VLOOKUP(G453,[3]KCBB0101!$C$3:$F$691,4,0)</f>
        <v>#N/A</v>
      </c>
    </row>
    <row r="454" spans="2:95">
      <c r="B454" s="347" t="s">
        <v>695</v>
      </c>
      <c r="C454" s="347" t="str">
        <f t="shared" si="1162"/>
        <v>12</v>
      </c>
      <c r="D454" s="347" t="str">
        <f t="shared" si="1172"/>
        <v>摩胎12寸</v>
      </c>
      <c r="E454" s="400" t="s">
        <v>745</v>
      </c>
      <c r="F454" s="385" t="s">
        <v>746</v>
      </c>
      <c r="G454" s="385" t="s">
        <v>746</v>
      </c>
      <c r="H454" s="347">
        <v>6000</v>
      </c>
      <c r="I454" s="386"/>
      <c r="J454" s="347">
        <v>19.2</v>
      </c>
      <c r="K454" s="347"/>
      <c r="L454" s="349">
        <f t="shared" si="1188"/>
        <v>0.697336561743341</v>
      </c>
      <c r="M454" s="349"/>
      <c r="N454" s="347"/>
      <c r="O454" s="347">
        <f>IFERROR(_xlfn.XLOOKUP(E454,轮胎重量!S:S,轮胎重量!P:P),IFERROR(_xlfn.XLOOKUP(E454,轮胎重量!AB:AB,轮胎重量!Y:Y),IFERROR(_xlfn.XLOOKUP(E454,轮胎重量!AK:AK,轮胎重量!AH:AH),IFERROR(_xlfn.XLOOKUP(E454,轮胎重量!AT:AT,轮胎重量!AQ:AQ),""))))</f>
        <v>2.81</v>
      </c>
      <c r="P454" s="350">
        <f t="shared" si="1196"/>
        <v>41.4756</v>
      </c>
      <c r="Q454" s="347">
        <f t="shared" si="1174"/>
        <v>0</v>
      </c>
      <c r="R454" s="347">
        <v>220</v>
      </c>
      <c r="S454" s="347">
        <v>220</v>
      </c>
      <c r="T454" s="347">
        <v>220</v>
      </c>
      <c r="U454" s="347">
        <v>220</v>
      </c>
      <c r="V454" s="347">
        <v>220</v>
      </c>
      <c r="W454" s="347">
        <v>220</v>
      </c>
      <c r="X454" s="347">
        <v>220</v>
      </c>
      <c r="Y454" s="347">
        <v>220</v>
      </c>
      <c r="Z454" s="347">
        <v>220</v>
      </c>
      <c r="AA454" s="347">
        <v>220</v>
      </c>
      <c r="AB454" s="347">
        <v>220</v>
      </c>
      <c r="AC454" s="347">
        <v>220</v>
      </c>
      <c r="AD454" s="347">
        <v>220</v>
      </c>
      <c r="AE454" s="347">
        <v>220</v>
      </c>
      <c r="AF454" s="347">
        <v>220</v>
      </c>
      <c r="AG454" s="347">
        <v>220</v>
      </c>
      <c r="AH454" s="347">
        <v>220</v>
      </c>
      <c r="AI454" s="347">
        <v>220</v>
      </c>
      <c r="AJ454" s="347">
        <v>220</v>
      </c>
      <c r="AK454" s="347">
        <v>220</v>
      </c>
      <c r="AL454" s="347">
        <v>220</v>
      </c>
      <c r="AM454" s="347">
        <v>220</v>
      </c>
      <c r="AN454" s="347">
        <v>220</v>
      </c>
      <c r="AO454" s="347">
        <v>220</v>
      </c>
      <c r="AP454" s="347">
        <v>220</v>
      </c>
      <c r="AQ454" s="347">
        <v>220</v>
      </c>
      <c r="AR454" s="347">
        <v>220</v>
      </c>
      <c r="AS454" s="347">
        <v>220</v>
      </c>
      <c r="AT454" s="347">
        <v>220</v>
      </c>
      <c r="AU454" s="347">
        <v>220</v>
      </c>
      <c r="AV454" s="347">
        <v>220</v>
      </c>
      <c r="AW454" s="347">
        <f t="shared" si="1175"/>
        <v>6820</v>
      </c>
      <c r="AX454" s="365">
        <f t="shared" si="1176"/>
        <v>19.1642</v>
      </c>
      <c r="AY454" s="365">
        <f t="shared" si="1177"/>
        <v>28.286</v>
      </c>
      <c r="AZ454" s="330"/>
      <c r="BA454" s="330"/>
      <c r="BB454" s="330"/>
      <c r="BE454" s="330">
        <f t="shared" si="1178"/>
        <v>0</v>
      </c>
      <c r="BF454" s="330">
        <f t="shared" si="1179"/>
        <v>0</v>
      </c>
      <c r="BG454" s="330">
        <f t="shared" si="1180"/>
        <v>0</v>
      </c>
      <c r="BH454" s="330">
        <f t="shared" si="1181"/>
        <v>0</v>
      </c>
      <c r="BJ454" s="370" cm="1">
        <f t="array" ref="BJ454:BM454">_xlfn.LET(_xlpm.data,$R454:$AV454,_xlpm.starts,{1,8,16,23},_xlpm.lengths,{7,7,8,9},_xlpm.arr,_xlfn.MAP(_xlpm.starts,_xlpm.lengths,_xlfn.LAMBDA(_xlpm.s,_xlpm.l,SUM(INDEX(_xlpm.data,,_xlfn.SEQUENCE(,_xlpm.l,_xlpm.s))))),ROUND(_xlpm.arr*$O454/1000,2))</f>
        <v>4.33</v>
      </c>
      <c r="BK454" s="330">
        <v>4.33</v>
      </c>
      <c r="BL454" s="330">
        <v>4.95</v>
      </c>
      <c r="BM454" s="330">
        <v>5.56</v>
      </c>
      <c r="BN454" s="258">
        <f t="shared" si="1189"/>
        <v>19.17</v>
      </c>
      <c r="BO454" s="258">
        <v>18.56</v>
      </c>
      <c r="BP454" s="258">
        <v>18.56</v>
      </c>
      <c r="BQ454" s="258">
        <v>21.21</v>
      </c>
      <c r="BR454" s="258">
        <v>23.86</v>
      </c>
      <c r="BS454" s="382" t="s">
        <v>708</v>
      </c>
      <c r="BX454" s="382" t="s">
        <v>708</v>
      </c>
      <c r="BY454" s="258">
        <f t="shared" si="1095"/>
        <v>1540</v>
      </c>
      <c r="BZ454" s="258">
        <f t="shared" si="1096"/>
        <v>1540</v>
      </c>
      <c r="CA454" s="258">
        <f t="shared" si="1097"/>
        <v>1760</v>
      </c>
      <c r="CB454" s="258">
        <f t="shared" si="1098"/>
        <v>1980</v>
      </c>
      <c r="CE454" s="398">
        <f t="shared" si="1182"/>
        <v>4.33</v>
      </c>
      <c r="CF454" s="389">
        <f t="shared" si="1183"/>
        <v>4.33</v>
      </c>
      <c r="CG454" s="389">
        <f t="shared" si="1184"/>
        <v>4.95</v>
      </c>
      <c r="CH454" s="389">
        <f t="shared" si="1185"/>
        <v>5.56</v>
      </c>
      <c r="CI454" s="258">
        <f t="shared" si="1186"/>
        <v>19.17</v>
      </c>
      <c r="CK454" s="258">
        <f t="shared" ref="CK454:CN454" si="1199">IFERROR(ROUND(BY454*$P454,2),"")</f>
        <v>63872.42</v>
      </c>
      <c r="CL454" s="258">
        <f t="shared" si="1199"/>
        <v>63872.42</v>
      </c>
      <c r="CM454" s="258">
        <f t="shared" si="1199"/>
        <v>72997.06</v>
      </c>
      <c r="CN454" s="258">
        <f t="shared" si="1199"/>
        <v>82121.69</v>
      </c>
      <c r="CP454" s="258" t="e">
        <f>VLOOKUP(G454,[2]Sheet1!$C$3:$G$310,5,0)</f>
        <v>#N/A</v>
      </c>
      <c r="CQ454" s="258" t="e">
        <f>VLOOKUP(G454,[3]KCBB0101!$C$3:$F$691,4,0)</f>
        <v>#N/A</v>
      </c>
    </row>
    <row r="455" spans="2:95">
      <c r="B455" s="347" t="s">
        <v>695</v>
      </c>
      <c r="C455" s="347" t="str">
        <f t="shared" si="1162"/>
        <v>14</v>
      </c>
      <c r="D455" s="347" t="str">
        <f t="shared" si="1172"/>
        <v>摩胎14寸</v>
      </c>
      <c r="E455" s="400" t="s">
        <v>747</v>
      </c>
      <c r="F455" s="385" t="s">
        <v>748</v>
      </c>
      <c r="G455" s="385" t="s">
        <v>748</v>
      </c>
      <c r="H455" s="347">
        <v>3000</v>
      </c>
      <c r="I455" s="386"/>
      <c r="J455" s="347">
        <v>19.2</v>
      </c>
      <c r="K455" s="347"/>
      <c r="L455" s="349">
        <f t="shared" si="1188"/>
        <v>0.697336561743341</v>
      </c>
      <c r="M455" s="349"/>
      <c r="N455" s="347"/>
      <c r="O455" s="347">
        <f>IFERROR(_xlfn.XLOOKUP(E455,轮胎重量!S:S,轮胎重量!P:P),IFERROR(_xlfn.XLOOKUP(E455,轮胎重量!AB:AB,轮胎重量!Y:Y),IFERROR(_xlfn.XLOOKUP(E455,轮胎重量!AK:AK,轮胎重量!AH:AH),IFERROR(_xlfn.XLOOKUP(E455,轮胎重量!AT:AT,轮胎重量!AQ:AQ),""))))</f>
        <v>2.21</v>
      </c>
      <c r="P455" s="350">
        <f t="shared" si="1196"/>
        <v>32.6196</v>
      </c>
      <c r="Q455" s="347">
        <f t="shared" ref="Q455:Q458" si="1200">IFERROR(ROUND(1440/J455*I455*L456,0),"")</f>
        <v>0</v>
      </c>
      <c r="R455" s="347"/>
      <c r="S455" s="347"/>
      <c r="T455" s="347"/>
      <c r="U455" s="347"/>
      <c r="V455" s="347"/>
      <c r="W455" s="347"/>
      <c r="X455" s="347"/>
      <c r="Y455" s="347"/>
      <c r="Z455" s="347"/>
      <c r="AA455" s="347"/>
      <c r="AB455" s="347"/>
      <c r="AC455" s="347"/>
      <c r="AD455" s="347"/>
      <c r="AE455" s="347">
        <v>220</v>
      </c>
      <c r="AF455" s="347">
        <v>220</v>
      </c>
      <c r="AG455" s="347">
        <v>220</v>
      </c>
      <c r="AH455" s="347">
        <v>220</v>
      </c>
      <c r="AI455" s="347">
        <v>220</v>
      </c>
      <c r="AJ455" s="347">
        <v>220</v>
      </c>
      <c r="AK455" s="347">
        <v>220</v>
      </c>
      <c r="AL455" s="347">
        <v>220</v>
      </c>
      <c r="AM455" s="347">
        <v>220</v>
      </c>
      <c r="AN455" s="347">
        <v>220</v>
      </c>
      <c r="AO455" s="347">
        <v>220</v>
      </c>
      <c r="AP455" s="347"/>
      <c r="AQ455" s="347"/>
      <c r="AR455" s="347"/>
      <c r="AS455" s="347"/>
      <c r="AT455" s="347"/>
      <c r="AU455" s="347"/>
      <c r="AV455" s="347"/>
      <c r="AW455" s="347">
        <f t="shared" si="1175"/>
        <v>2420</v>
      </c>
      <c r="AX455" s="365">
        <f t="shared" si="1176"/>
        <v>5.3482</v>
      </c>
      <c r="AY455" s="365">
        <f t="shared" si="1177"/>
        <v>7.894</v>
      </c>
      <c r="AZ455" s="330"/>
      <c r="BA455" s="330"/>
      <c r="BB455" s="330"/>
      <c r="BE455" s="330">
        <f t="shared" ref="BE455:BE458" si="1201">AZ455*AW455</f>
        <v>0</v>
      </c>
      <c r="BF455" s="330">
        <f t="shared" ref="BF455:BF458" si="1202">BA455*AW455</f>
        <v>0</v>
      </c>
      <c r="BG455" s="330">
        <f t="shared" ref="BG455:BG458" si="1203">BB455*AW455</f>
        <v>0</v>
      </c>
      <c r="BH455" s="330">
        <f t="shared" ref="BH455:BH458" si="1204">BC455*AW455</f>
        <v>0</v>
      </c>
      <c r="BJ455" s="370" cm="1">
        <f t="array" ref="BJ455:BM455">_xlfn.LET(_xlpm.data,$R455:$AV455,_xlpm.starts,{1,8,16,23},_xlpm.lengths,{7,7,8,9},_xlpm.arr,_xlfn.MAP(_xlpm.starts,_xlpm.lengths,_xlfn.LAMBDA(_xlpm.s,_xlpm.l,SUM(INDEX(_xlpm.data,,_xlfn.SEQUENCE(,_xlpm.l,_xlpm.s))))),ROUND(_xlpm.arr*$O455/1000,2))</f>
        <v>0</v>
      </c>
      <c r="BK455" s="330">
        <v>0.49</v>
      </c>
      <c r="BL455" s="330">
        <v>3.89</v>
      </c>
      <c r="BM455" s="330">
        <v>0.97</v>
      </c>
      <c r="BN455" s="258">
        <f t="shared" ref="BN455:BN458" si="1205">SUM(BJ455:BM455)</f>
        <v>5.35</v>
      </c>
      <c r="BO455" s="258">
        <v>18.56</v>
      </c>
      <c r="BP455" s="258">
        <v>18.56</v>
      </c>
      <c r="BQ455" s="258">
        <v>21.21</v>
      </c>
      <c r="BR455" s="258">
        <v>23.86</v>
      </c>
      <c r="BS455" s="382" t="s">
        <v>708</v>
      </c>
      <c r="BX455" s="382" t="s">
        <v>708</v>
      </c>
      <c r="BY455" s="258">
        <f t="shared" si="1095"/>
        <v>0</v>
      </c>
      <c r="BZ455" s="258">
        <f t="shared" si="1096"/>
        <v>220</v>
      </c>
      <c r="CA455" s="258">
        <f t="shared" si="1097"/>
        <v>1760</v>
      </c>
      <c r="CB455" s="258">
        <f t="shared" si="1098"/>
        <v>440</v>
      </c>
      <c r="CE455" s="398">
        <f t="shared" ref="CE455:CE459" si="1206">ROUND(BY455*$O455/1000,2)</f>
        <v>0</v>
      </c>
      <c r="CF455" s="389">
        <f t="shared" ref="CF455:CF459" si="1207">ROUND(BZ455*$O455/1000,2)</f>
        <v>0.49</v>
      </c>
      <c r="CG455" s="389">
        <f t="shared" ref="CG455:CG459" si="1208">ROUND(CA455*$O455/1000,2)</f>
        <v>3.89</v>
      </c>
      <c r="CH455" s="389">
        <f t="shared" ref="CH455:CH459" si="1209">ROUND(CB455*$O455/1000,2)</f>
        <v>0.97</v>
      </c>
      <c r="CI455" s="258">
        <f t="shared" ref="CI455:CI458" si="1210">SUM(CE455:CH455)</f>
        <v>5.35</v>
      </c>
      <c r="CK455" s="258">
        <f t="shared" ref="CK455:CN455" si="1211">IFERROR(ROUND(BY455*$P455,2),"")</f>
        <v>0</v>
      </c>
      <c r="CL455" s="258">
        <f t="shared" si="1211"/>
        <v>7176.31</v>
      </c>
      <c r="CM455" s="258">
        <f t="shared" si="1211"/>
        <v>57410.5</v>
      </c>
      <c r="CN455" s="258">
        <f t="shared" si="1211"/>
        <v>14352.62</v>
      </c>
      <c r="CP455" s="258" t="e">
        <f>VLOOKUP(G455,[2]Sheet1!$C$3:$G$310,5,0)</f>
        <v>#N/A</v>
      </c>
      <c r="CQ455" s="258" t="e">
        <f>VLOOKUP(G455,[3]KCBB0101!$C$3:$F$691,4,0)</f>
        <v>#N/A</v>
      </c>
    </row>
    <row r="456" customFormat="1" spans="1:95">
      <c r="A456" s="330"/>
      <c r="B456" s="347" t="s">
        <v>695</v>
      </c>
      <c r="C456" s="347" t="str">
        <f t="shared" si="1162"/>
        <v>14</v>
      </c>
      <c r="D456" s="347" t="str">
        <f t="shared" si="1172"/>
        <v>摩胎14寸</v>
      </c>
      <c r="E456" s="400" t="s">
        <v>749</v>
      </c>
      <c r="F456" s="385" t="s">
        <v>750</v>
      </c>
      <c r="G456" s="385" t="s">
        <v>750</v>
      </c>
      <c r="H456" s="347">
        <v>1500</v>
      </c>
      <c r="I456" s="386"/>
      <c r="J456" s="347">
        <v>19.2</v>
      </c>
      <c r="K456" s="347"/>
      <c r="L456" s="349">
        <f t="shared" ref="L456:L459" si="1212">IF(J455="","",J455/(J455+$J$378/60))</f>
        <v>0.697336561743341</v>
      </c>
      <c r="M456" s="349"/>
      <c r="N456" s="347"/>
      <c r="O456" s="347">
        <f>IFERROR(_xlfn.XLOOKUP(E456,轮胎重量!S:S,轮胎重量!P:P),IFERROR(_xlfn.XLOOKUP(E456,轮胎重量!AB:AB,轮胎重量!Y:Y),IFERROR(_xlfn.XLOOKUP(E456,轮胎重量!AK:AK,轮胎重量!AH:AH),IFERROR(_xlfn.XLOOKUP(E456,轮胎重量!AT:AT,轮胎重量!AQ:AQ),""))))</f>
        <v>2.395</v>
      </c>
      <c r="P456" s="350">
        <f t="shared" si="1196"/>
        <v>35.3502</v>
      </c>
      <c r="Q456" s="347">
        <f t="shared" si="1200"/>
        <v>0</v>
      </c>
      <c r="R456" s="347"/>
      <c r="S456" s="347"/>
      <c r="T456" s="347"/>
      <c r="U456" s="347"/>
      <c r="V456" s="347"/>
      <c r="W456" s="347"/>
      <c r="X456" s="347"/>
      <c r="Y456" s="347"/>
      <c r="Z456" s="347"/>
      <c r="AA456" s="347"/>
      <c r="AB456" s="347">
        <v>220</v>
      </c>
      <c r="AC456" s="347">
        <v>220</v>
      </c>
      <c r="AD456" s="347">
        <v>220</v>
      </c>
      <c r="AE456" s="347">
        <v>220</v>
      </c>
      <c r="AF456" s="347">
        <v>220</v>
      </c>
      <c r="AG456" s="347">
        <v>220</v>
      </c>
      <c r="AH456" s="347">
        <v>220</v>
      </c>
      <c r="AI456" s="347">
        <v>220</v>
      </c>
      <c r="AJ456" s="347">
        <v>220</v>
      </c>
      <c r="AK456" s="347">
        <v>220</v>
      </c>
      <c r="AL456" s="347">
        <v>220</v>
      </c>
      <c r="AM456" s="347">
        <v>220</v>
      </c>
      <c r="AN456" s="347">
        <v>220</v>
      </c>
      <c r="AO456" s="347">
        <v>220</v>
      </c>
      <c r="AP456" s="347">
        <v>220</v>
      </c>
      <c r="AQ456" s="347">
        <v>220</v>
      </c>
      <c r="AR456" s="347">
        <v>220</v>
      </c>
      <c r="AS456" s="347">
        <v>220</v>
      </c>
      <c r="AT456" s="347">
        <v>220</v>
      </c>
      <c r="AU456" s="347">
        <v>220</v>
      </c>
      <c r="AV456" s="347">
        <v>220</v>
      </c>
      <c r="AW456" s="347">
        <f t="shared" si="1175"/>
        <v>4620</v>
      </c>
      <c r="AX456" s="365">
        <f t="shared" si="1176"/>
        <v>11.0649</v>
      </c>
      <c r="AY456" s="365">
        <f t="shared" si="1177"/>
        <v>16.332</v>
      </c>
      <c r="AZ456" s="330"/>
      <c r="BA456" s="330"/>
      <c r="BB456" s="330"/>
      <c r="BC456" s="330"/>
      <c r="BD456" s="330"/>
      <c r="BE456" s="330">
        <f t="shared" si="1201"/>
        <v>0</v>
      </c>
      <c r="BF456" s="330">
        <f t="shared" si="1202"/>
        <v>0</v>
      </c>
      <c r="BG456" s="330">
        <f t="shared" si="1203"/>
        <v>0</v>
      </c>
      <c r="BH456" s="330">
        <f t="shared" si="1204"/>
        <v>0</v>
      </c>
      <c r="BI456" s="330"/>
      <c r="BJ456" s="370" cm="1">
        <f t="array" ref="BJ456:BM456">_xlfn.LET(_xlpm.data,$R456:$AV456,_xlpm.starts,{1,8,16,23},_xlpm.lengths,{7,7,8,9},_xlpm.arr,_xlfn.MAP(_xlpm.starts,_xlpm.lengths,_xlfn.LAMBDA(_xlpm.s,_xlpm.l,SUM(INDEX(_xlpm.data,,_xlfn.SEQUENCE(,_xlpm.l,_xlpm.s))))),ROUND(_xlpm.arr*$O456/1000,2))</f>
        <v>0</v>
      </c>
      <c r="BK456" s="330">
        <v>2.11</v>
      </c>
      <c r="BL456" s="330">
        <v>4.22</v>
      </c>
      <c r="BM456" s="330">
        <v>4.74</v>
      </c>
      <c r="BN456" s="258">
        <f t="shared" si="1205"/>
        <v>11.07</v>
      </c>
      <c r="BO456" s="258">
        <v>18.56</v>
      </c>
      <c r="BP456" s="258">
        <v>18.56</v>
      </c>
      <c r="BQ456" s="258">
        <v>21.21</v>
      </c>
      <c r="BR456" s="258">
        <v>23.86</v>
      </c>
      <c r="BS456" s="382" t="s">
        <v>708</v>
      </c>
      <c r="BT456" s="258"/>
      <c r="BU456" s="258"/>
      <c r="BV456" s="258"/>
      <c r="BW456" s="258"/>
      <c r="BX456" s="382" t="s">
        <v>708</v>
      </c>
      <c r="BY456" s="258">
        <f t="shared" si="1095"/>
        <v>0</v>
      </c>
      <c r="BZ456" s="258">
        <f t="shared" si="1096"/>
        <v>880</v>
      </c>
      <c r="CA456" s="258">
        <f t="shared" si="1097"/>
        <v>1760</v>
      </c>
      <c r="CB456" s="258">
        <f t="shared" si="1098"/>
        <v>1980</v>
      </c>
      <c r="CD456" s="405"/>
      <c r="CE456" s="398">
        <f t="shared" si="1206"/>
        <v>0</v>
      </c>
      <c r="CF456" s="389">
        <f t="shared" si="1207"/>
        <v>2.11</v>
      </c>
      <c r="CG456" s="389">
        <f t="shared" si="1208"/>
        <v>4.22</v>
      </c>
      <c r="CH456" s="389">
        <f t="shared" si="1209"/>
        <v>4.74</v>
      </c>
      <c r="CI456" s="258">
        <f t="shared" si="1210"/>
        <v>11.07</v>
      </c>
      <c r="CJ456" s="113"/>
      <c r="CK456" s="258">
        <f t="shared" ref="CK456:CN456" si="1213">IFERROR(ROUND(BY456*$P456,2),"")</f>
        <v>0</v>
      </c>
      <c r="CL456" s="258">
        <f t="shared" si="1213"/>
        <v>31108.18</v>
      </c>
      <c r="CM456" s="258">
        <f t="shared" si="1213"/>
        <v>62216.35</v>
      </c>
      <c r="CN456" s="258">
        <f t="shared" si="1213"/>
        <v>69993.4</v>
      </c>
      <c r="CO456" s="258">
        <f>SUM(CK456:CN456)</f>
        <v>163317.93</v>
      </c>
      <c r="CP456" s="258" t="e">
        <f>VLOOKUP(G456,[2]Sheet1!$C$3:$G$310,5,0)</f>
        <v>#N/A</v>
      </c>
      <c r="CQ456" s="258" t="e">
        <f>VLOOKUP(G456,[3]KCBB0101!$C$3:$F$691,4,0)</f>
        <v>#N/A</v>
      </c>
    </row>
    <row r="457" customFormat="1" spans="1:95">
      <c r="A457" s="330"/>
      <c r="B457" s="347" t="s">
        <v>695</v>
      </c>
      <c r="C457" s="347" t="str">
        <f t="shared" si="1162"/>
        <v>14</v>
      </c>
      <c r="D457" s="347" t="str">
        <f t="shared" si="1172"/>
        <v>摩胎14寸</v>
      </c>
      <c r="E457" s="400" t="s">
        <v>751</v>
      </c>
      <c r="F457" s="385" t="s">
        <v>752</v>
      </c>
      <c r="G457" s="385" t="s">
        <v>752</v>
      </c>
      <c r="H457" s="347">
        <v>1000</v>
      </c>
      <c r="I457" s="386"/>
      <c r="J457" s="347">
        <v>19.2</v>
      </c>
      <c r="K457" s="347"/>
      <c r="L457" s="349">
        <f t="shared" si="1212"/>
        <v>0.697336561743341</v>
      </c>
      <c r="M457" s="349"/>
      <c r="N457" s="347"/>
      <c r="O457" s="347">
        <f>IFERROR(_xlfn.XLOOKUP(E457,轮胎重量!S:S,轮胎重量!P:P),IFERROR(_xlfn.XLOOKUP(E457,轮胎重量!AB:AB,轮胎重量!Y:Y),IFERROR(_xlfn.XLOOKUP(E457,轮胎重量!AK:AK,轮胎重量!AH:AH),IFERROR(_xlfn.XLOOKUP(E457,轮胎重量!AT:AT,轮胎重量!AQ:AQ),""))))</f>
        <v>2.635</v>
      </c>
      <c r="P457" s="350">
        <f t="shared" si="1196"/>
        <v>38.8926</v>
      </c>
      <c r="Q457" s="347">
        <f t="shared" si="1200"/>
        <v>0</v>
      </c>
      <c r="R457" s="347"/>
      <c r="S457" s="347"/>
      <c r="T457" s="347"/>
      <c r="U457" s="347"/>
      <c r="V457" s="347"/>
      <c r="W457" s="347"/>
      <c r="X457" s="347"/>
      <c r="Y457" s="347"/>
      <c r="Z457" s="347"/>
      <c r="AA457" s="347"/>
      <c r="AB457" s="347">
        <v>220</v>
      </c>
      <c r="AC457" s="347">
        <v>220</v>
      </c>
      <c r="AD457" s="347">
        <v>220</v>
      </c>
      <c r="AE457" s="347">
        <v>220</v>
      </c>
      <c r="AF457" s="347">
        <v>220</v>
      </c>
      <c r="AG457" s="347">
        <v>220</v>
      </c>
      <c r="AH457" s="347">
        <v>220</v>
      </c>
      <c r="AI457" s="347">
        <v>220</v>
      </c>
      <c r="AJ457" s="347">
        <v>220</v>
      </c>
      <c r="AK457" s="347">
        <v>220</v>
      </c>
      <c r="AL457" s="347">
        <v>220</v>
      </c>
      <c r="AM457" s="347">
        <v>220</v>
      </c>
      <c r="AN457" s="347">
        <v>220</v>
      </c>
      <c r="AO457" s="347">
        <v>220</v>
      </c>
      <c r="AP457" s="347">
        <v>220</v>
      </c>
      <c r="AQ457" s="347">
        <v>220</v>
      </c>
      <c r="AR457" s="347">
        <v>220</v>
      </c>
      <c r="AS457" s="347">
        <v>220</v>
      </c>
      <c r="AT457" s="347">
        <v>220</v>
      </c>
      <c r="AU457" s="347">
        <v>220</v>
      </c>
      <c r="AV457" s="347">
        <v>220</v>
      </c>
      <c r="AW457" s="347">
        <f t="shared" si="1175"/>
        <v>4620</v>
      </c>
      <c r="AX457" s="365">
        <f t="shared" si="1176"/>
        <v>12.1737</v>
      </c>
      <c r="AY457" s="365">
        <f t="shared" si="1177"/>
        <v>17.968</v>
      </c>
      <c r="AZ457" s="330"/>
      <c r="BA457" s="330"/>
      <c r="BB457" s="330"/>
      <c r="BC457" s="330"/>
      <c r="BD457" s="330"/>
      <c r="BE457" s="330">
        <f t="shared" si="1201"/>
        <v>0</v>
      </c>
      <c r="BF457" s="330">
        <f t="shared" si="1202"/>
        <v>0</v>
      </c>
      <c r="BG457" s="330">
        <f t="shared" si="1203"/>
        <v>0</v>
      </c>
      <c r="BH457" s="330">
        <f t="shared" si="1204"/>
        <v>0</v>
      </c>
      <c r="BI457" s="330"/>
      <c r="BJ457" s="370" cm="1">
        <f t="array" ref="BJ457:BM457">_xlfn.LET(_xlpm.data,$R457:$AV457,_xlpm.starts,{1,8,16,23},_xlpm.lengths,{7,7,8,9},_xlpm.arr,_xlfn.MAP(_xlpm.starts,_xlpm.lengths,_xlfn.LAMBDA(_xlpm.s,_xlpm.l,SUM(INDEX(_xlpm.data,,_xlfn.SEQUENCE(,_xlpm.l,_xlpm.s))))),ROUND(_xlpm.arr*$O457/1000,2))</f>
        <v>0</v>
      </c>
      <c r="BK457" s="330">
        <v>2.32</v>
      </c>
      <c r="BL457" s="330">
        <v>4.64</v>
      </c>
      <c r="BM457" s="330">
        <v>5.22</v>
      </c>
      <c r="BN457" s="258">
        <f t="shared" si="1205"/>
        <v>12.18</v>
      </c>
      <c r="BO457" s="258">
        <v>18.56</v>
      </c>
      <c r="BP457" s="258">
        <v>18.56</v>
      </c>
      <c r="BQ457" s="258">
        <v>21.21</v>
      </c>
      <c r="BR457" s="258">
        <v>23.86</v>
      </c>
      <c r="BS457" s="382" t="s">
        <v>708</v>
      </c>
      <c r="BT457" s="258"/>
      <c r="BU457" s="258"/>
      <c r="BV457" s="258"/>
      <c r="BW457" s="258"/>
      <c r="BX457" s="382" t="s">
        <v>708</v>
      </c>
      <c r="BY457" s="258">
        <f t="shared" si="1095"/>
        <v>0</v>
      </c>
      <c r="BZ457" s="258">
        <f t="shared" si="1096"/>
        <v>880</v>
      </c>
      <c r="CA457" s="258">
        <f t="shared" si="1097"/>
        <v>1760</v>
      </c>
      <c r="CB457" s="258">
        <f t="shared" si="1098"/>
        <v>1980</v>
      </c>
      <c r="CD457" s="405"/>
      <c r="CE457" s="398">
        <f t="shared" si="1206"/>
        <v>0</v>
      </c>
      <c r="CF457" s="389">
        <f t="shared" si="1207"/>
        <v>2.32</v>
      </c>
      <c r="CG457" s="389">
        <f t="shared" si="1208"/>
        <v>4.64</v>
      </c>
      <c r="CH457" s="389">
        <f t="shared" si="1209"/>
        <v>5.22</v>
      </c>
      <c r="CI457" s="258">
        <f t="shared" si="1210"/>
        <v>12.18</v>
      </c>
      <c r="CJ457" s="113"/>
      <c r="CK457" s="258">
        <f t="shared" ref="CK457:CN457" si="1214">IFERROR(ROUND(BY457*$P457,2),"")</f>
        <v>0</v>
      </c>
      <c r="CL457" s="258">
        <f t="shared" si="1214"/>
        <v>34225.49</v>
      </c>
      <c r="CM457" s="258">
        <f t="shared" si="1214"/>
        <v>68450.98</v>
      </c>
      <c r="CN457" s="258">
        <f t="shared" si="1214"/>
        <v>77007.35</v>
      </c>
      <c r="CP457" s="258" t="e">
        <f>VLOOKUP(G457,[2]Sheet1!$C$3:$G$310,5,0)</f>
        <v>#N/A</v>
      </c>
      <c r="CQ457" s="258" t="e">
        <f>VLOOKUP(G457,[3]KCBB0101!$C$3:$F$691,4,0)</f>
        <v>#N/A</v>
      </c>
    </row>
    <row r="458" customFormat="1" spans="1:95">
      <c r="A458" s="330"/>
      <c r="B458" s="347" t="s">
        <v>695</v>
      </c>
      <c r="C458" s="347" t="str">
        <f t="shared" si="1162"/>
        <v>14</v>
      </c>
      <c r="D458" s="347" t="str">
        <f t="shared" si="1172"/>
        <v>摩胎14寸</v>
      </c>
      <c r="E458" s="400" t="s">
        <v>753</v>
      </c>
      <c r="F458" s="385" t="s">
        <v>754</v>
      </c>
      <c r="G458" s="385" t="s">
        <v>754</v>
      </c>
      <c r="H458" s="347">
        <v>1500</v>
      </c>
      <c r="I458" s="386"/>
      <c r="J458" s="347">
        <v>19.2</v>
      </c>
      <c r="K458" s="347"/>
      <c r="L458" s="349">
        <f t="shared" si="1212"/>
        <v>0.697336561743341</v>
      </c>
      <c r="M458" s="349"/>
      <c r="N458" s="347"/>
      <c r="O458" s="347">
        <f>IFERROR(_xlfn.XLOOKUP(E458,轮胎重量!S:S,轮胎重量!P:P),IFERROR(_xlfn.XLOOKUP(E458,轮胎重量!AB:AB,轮胎重量!Y:Y),IFERROR(_xlfn.XLOOKUP(E458,轮胎重量!AK:AK,轮胎重量!AH:AH),IFERROR(_xlfn.XLOOKUP(E458,轮胎重量!AT:AT,轮胎重量!AQ:AQ),""))))</f>
        <v>2.875</v>
      </c>
      <c r="P458" s="350">
        <f t="shared" si="1196"/>
        <v>42.435</v>
      </c>
      <c r="Q458" s="347">
        <f t="shared" si="1200"/>
        <v>0</v>
      </c>
      <c r="R458" s="347"/>
      <c r="S458" s="347"/>
      <c r="T458" s="347"/>
      <c r="U458" s="347"/>
      <c r="V458" s="347"/>
      <c r="W458" s="347"/>
      <c r="X458" s="347"/>
      <c r="Y458" s="347"/>
      <c r="Z458" s="347"/>
      <c r="AA458" s="347"/>
      <c r="AB458" s="347"/>
      <c r="AC458" s="347"/>
      <c r="AD458" s="347"/>
      <c r="AE458" s="347"/>
      <c r="AF458" s="347"/>
      <c r="AG458" s="347"/>
      <c r="AH458" s="347"/>
      <c r="AI458" s="347"/>
      <c r="AJ458" s="347">
        <v>220</v>
      </c>
      <c r="AK458" s="347">
        <v>220</v>
      </c>
      <c r="AL458" s="347">
        <v>220</v>
      </c>
      <c r="AM458" s="347">
        <v>220</v>
      </c>
      <c r="AN458" s="347">
        <v>220</v>
      </c>
      <c r="AO458" s="347">
        <v>220</v>
      </c>
      <c r="AP458" s="347">
        <v>220</v>
      </c>
      <c r="AQ458" s="347">
        <v>220</v>
      </c>
      <c r="AR458" s="347">
        <v>220</v>
      </c>
      <c r="AS458" s="347">
        <v>220</v>
      </c>
      <c r="AT458" s="347">
        <v>220</v>
      </c>
      <c r="AU458" s="347">
        <v>220</v>
      </c>
      <c r="AV458" s="347">
        <v>220</v>
      </c>
      <c r="AW458" s="347">
        <f t="shared" si="1175"/>
        <v>2860</v>
      </c>
      <c r="AX458" s="365">
        <f t="shared" si="1176"/>
        <v>8.2225</v>
      </c>
      <c r="AY458" s="365">
        <f t="shared" si="1177"/>
        <v>12.136</v>
      </c>
      <c r="AZ458" s="330"/>
      <c r="BA458" s="330"/>
      <c r="BB458" s="330"/>
      <c r="BC458" s="330"/>
      <c r="BD458" s="330"/>
      <c r="BE458" s="330">
        <f t="shared" si="1201"/>
        <v>0</v>
      </c>
      <c r="BF458" s="330">
        <f t="shared" si="1202"/>
        <v>0</v>
      </c>
      <c r="BG458" s="330">
        <f t="shared" si="1203"/>
        <v>0</v>
      </c>
      <c r="BH458" s="330">
        <f t="shared" si="1204"/>
        <v>0</v>
      </c>
      <c r="BI458" s="330"/>
      <c r="BJ458" s="370" cm="1">
        <f t="array" ref="BJ458:BM458">_xlfn.LET(_xlpm.data,$R458:$AV458,_xlpm.starts,{1,8,16,23},_xlpm.lengths,{7,7,8,9},_xlpm.arr,_xlfn.MAP(_xlpm.starts,_xlpm.lengths,_xlfn.LAMBDA(_xlpm.s,_xlpm.l,SUM(INDEX(_xlpm.data,,_xlfn.SEQUENCE(,_xlpm.l,_xlpm.s))))),ROUND(_xlpm.arr*$O458/1000,2))</f>
        <v>0</v>
      </c>
      <c r="BK458" s="330">
        <v>0</v>
      </c>
      <c r="BL458" s="330">
        <v>3.16</v>
      </c>
      <c r="BM458" s="330">
        <v>5.69</v>
      </c>
      <c r="BN458" s="258">
        <f t="shared" si="1205"/>
        <v>8.85</v>
      </c>
      <c r="BO458" s="258">
        <v>18.56</v>
      </c>
      <c r="BP458" s="258">
        <v>18.56</v>
      </c>
      <c r="BQ458" s="258">
        <v>21.21</v>
      </c>
      <c r="BR458" s="258">
        <v>23.86</v>
      </c>
      <c r="BS458" s="382" t="s">
        <v>708</v>
      </c>
      <c r="BT458" s="258"/>
      <c r="BU458" s="258"/>
      <c r="BV458" s="258"/>
      <c r="BW458" s="258"/>
      <c r="BX458" s="382" t="s">
        <v>708</v>
      </c>
      <c r="BY458" s="258">
        <f t="shared" si="1095"/>
        <v>0</v>
      </c>
      <c r="BZ458" s="258">
        <f t="shared" si="1096"/>
        <v>0</v>
      </c>
      <c r="CA458" s="258">
        <f t="shared" si="1097"/>
        <v>880</v>
      </c>
      <c r="CB458" s="258">
        <f t="shared" si="1098"/>
        <v>1980</v>
      </c>
      <c r="CD458" s="405"/>
      <c r="CE458" s="398">
        <f t="shared" si="1206"/>
        <v>0</v>
      </c>
      <c r="CF458" s="389">
        <f t="shared" si="1207"/>
        <v>0</v>
      </c>
      <c r="CG458" s="389">
        <f t="shared" si="1208"/>
        <v>2.53</v>
      </c>
      <c r="CH458" s="389">
        <f t="shared" si="1209"/>
        <v>5.69</v>
      </c>
      <c r="CI458" s="258">
        <f t="shared" si="1210"/>
        <v>8.22</v>
      </c>
      <c r="CJ458" s="113"/>
      <c r="CK458" s="258">
        <f t="shared" ref="CK458:CN458" si="1215">IFERROR(ROUND(BY458*$P458,2),"")</f>
        <v>0</v>
      </c>
      <c r="CL458" s="258">
        <f t="shared" si="1215"/>
        <v>0</v>
      </c>
      <c r="CM458" s="258">
        <f t="shared" si="1215"/>
        <v>37342.8</v>
      </c>
      <c r="CN458" s="258">
        <f t="shared" si="1215"/>
        <v>84021.3</v>
      </c>
      <c r="CP458" s="258" t="e">
        <f>VLOOKUP(G458,[2]Sheet1!$C$3:$G$310,5,0)</f>
        <v>#N/A</v>
      </c>
      <c r="CQ458" s="258" t="e">
        <f>VLOOKUP(G458,[3]KCBB0101!$C$3:$F$691,4,0)</f>
        <v>#N/A</v>
      </c>
    </row>
    <row r="459" customFormat="1" spans="1:95">
      <c r="A459" s="330"/>
      <c r="B459" s="347" t="s">
        <v>695</v>
      </c>
      <c r="C459" s="347" t="str">
        <f t="shared" si="1162"/>
        <v>14</v>
      </c>
      <c r="D459" s="347" t="str">
        <f t="shared" si="1172"/>
        <v>摩胎14寸</v>
      </c>
      <c r="E459" s="400" t="s">
        <v>755</v>
      </c>
      <c r="F459" s="385" t="s">
        <v>756</v>
      </c>
      <c r="G459" s="385" t="s">
        <v>756</v>
      </c>
      <c r="H459" s="347">
        <v>12000</v>
      </c>
      <c r="I459" s="386"/>
      <c r="J459" s="347">
        <v>19.2</v>
      </c>
      <c r="K459" s="347"/>
      <c r="L459" s="349">
        <f t="shared" si="1212"/>
        <v>0.697336561743341</v>
      </c>
      <c r="M459" s="349"/>
      <c r="N459" s="347"/>
      <c r="O459" s="347">
        <f>IFERROR(_xlfn.XLOOKUP(E459,轮胎重量!S:S,轮胎重量!P:P),IFERROR(_xlfn.XLOOKUP(E459,轮胎重量!AB:AB,轮胎重量!Y:Y),IFERROR(_xlfn.XLOOKUP(E459,轮胎重量!AK:AK,轮胎重量!AH:AH),IFERROR(_xlfn.XLOOKUP(E459,轮胎重量!AT:AT,轮胎重量!AQ:AQ),""))))</f>
        <v>3.28</v>
      </c>
      <c r="P459" s="350">
        <f t="shared" si="1196"/>
        <v>48.4128</v>
      </c>
      <c r="Q459" s="347">
        <f t="shared" ref="Q459:Q469" si="1216">IFERROR(ROUND(1440/J459*I459*L460,0),"")</f>
        <v>0</v>
      </c>
      <c r="R459" s="347"/>
      <c r="S459" s="347"/>
      <c r="T459" s="347"/>
      <c r="U459" s="347"/>
      <c r="V459" s="347"/>
      <c r="W459" s="347"/>
      <c r="X459" s="347"/>
      <c r="Y459" s="347"/>
      <c r="Z459" s="347"/>
      <c r="AA459" s="347"/>
      <c r="AB459" s="347"/>
      <c r="AC459" s="347"/>
      <c r="AD459" s="347"/>
      <c r="AE459" s="347"/>
      <c r="AF459" s="347"/>
      <c r="AG459" s="347"/>
      <c r="AH459" s="347"/>
      <c r="AI459" s="347"/>
      <c r="AJ459" s="347">
        <v>220</v>
      </c>
      <c r="AK459" s="347">
        <v>220</v>
      </c>
      <c r="AL459" s="347">
        <v>220</v>
      </c>
      <c r="AM459" s="347">
        <v>220</v>
      </c>
      <c r="AN459" s="347">
        <v>220</v>
      </c>
      <c r="AO459" s="347">
        <v>220</v>
      </c>
      <c r="AP459" s="347">
        <v>220</v>
      </c>
      <c r="AQ459" s="347">
        <v>220</v>
      </c>
      <c r="AR459" s="347">
        <v>220</v>
      </c>
      <c r="AS459" s="347">
        <v>220</v>
      </c>
      <c r="AT459" s="347">
        <v>220</v>
      </c>
      <c r="AU459" s="347">
        <v>220</v>
      </c>
      <c r="AV459" s="347">
        <v>220</v>
      </c>
      <c r="AW459" s="347">
        <f t="shared" si="1175"/>
        <v>2860</v>
      </c>
      <c r="AX459" s="365">
        <f t="shared" si="1176"/>
        <v>9.3808</v>
      </c>
      <c r="AY459" s="365">
        <f t="shared" si="1177"/>
        <v>13.846</v>
      </c>
      <c r="AZ459" s="330"/>
      <c r="BA459" s="330"/>
      <c r="BB459" s="330"/>
      <c r="BC459" s="330"/>
      <c r="BD459" s="330"/>
      <c r="BE459" s="330">
        <f t="shared" ref="BE459:BE469" si="1217">AZ459*AW459</f>
        <v>0</v>
      </c>
      <c r="BF459" s="330">
        <f t="shared" ref="BF459:BF469" si="1218">BA459*AW459</f>
        <v>0</v>
      </c>
      <c r="BG459" s="330">
        <f t="shared" ref="BG459:BG469" si="1219">BB459*AW459</f>
        <v>0</v>
      </c>
      <c r="BH459" s="330">
        <f t="shared" ref="BH459:BH469" si="1220">BC459*AW459</f>
        <v>0</v>
      </c>
      <c r="BI459" s="330"/>
      <c r="BJ459" s="370" cm="1">
        <f t="array" ref="BJ459:BM459">_xlfn.LET(_xlpm.data,$R459:$AV459,_xlpm.starts,{1,8,16,23},_xlpm.lengths,{7,7,8,9},_xlpm.arr,_xlfn.MAP(_xlpm.starts,_xlpm.lengths,_xlfn.LAMBDA(_xlpm.s,_xlpm.l,SUM(INDEX(_xlpm.data,,_xlfn.SEQUENCE(,_xlpm.l,_xlpm.s))))),ROUND(_xlpm.arr*$O459/1000,2))</f>
        <v>0</v>
      </c>
      <c r="BK459" s="330">
        <v>0</v>
      </c>
      <c r="BL459" s="330">
        <v>3.61</v>
      </c>
      <c r="BM459" s="330">
        <v>6.49</v>
      </c>
      <c r="BN459" s="258">
        <f t="shared" ref="BN459:BN469" si="1221">SUM(BJ459:BM459)</f>
        <v>10.1</v>
      </c>
      <c r="BO459" s="258">
        <v>18.56</v>
      </c>
      <c r="BP459" s="258">
        <v>18.56</v>
      </c>
      <c r="BQ459" s="258">
        <v>21.21</v>
      </c>
      <c r="BR459" s="258">
        <v>23.86</v>
      </c>
      <c r="BS459" s="382" t="s">
        <v>708</v>
      </c>
      <c r="BT459" s="258"/>
      <c r="BU459" s="258"/>
      <c r="BV459" s="258"/>
      <c r="BW459" s="258"/>
      <c r="BX459" s="382" t="s">
        <v>708</v>
      </c>
      <c r="BY459" s="258">
        <f t="shared" ref="BY459:BY467" si="1222">SUM(R459:X459)</f>
        <v>0</v>
      </c>
      <c r="BZ459" s="258">
        <f t="shared" ref="BZ459:BZ467" si="1223">SUM(Y459:AE459)</f>
        <v>0</v>
      </c>
      <c r="CA459" s="258">
        <f t="shared" ref="CA459:CA467" si="1224">SUM(AF459:AM459)</f>
        <v>880</v>
      </c>
      <c r="CB459" s="258">
        <f t="shared" ref="CB459:CB467" si="1225">SUM(AN459:AV459)</f>
        <v>1980</v>
      </c>
      <c r="CD459" s="405"/>
      <c r="CE459" s="398">
        <f t="shared" si="1206"/>
        <v>0</v>
      </c>
      <c r="CF459" s="389">
        <f t="shared" si="1207"/>
        <v>0</v>
      </c>
      <c r="CG459" s="389">
        <f t="shared" si="1208"/>
        <v>2.89</v>
      </c>
      <c r="CH459" s="389">
        <f t="shared" si="1209"/>
        <v>6.49</v>
      </c>
      <c r="CI459" s="258">
        <f t="shared" ref="CI459:CI469" si="1226">SUM(CE459:CH459)</f>
        <v>9.38</v>
      </c>
      <c r="CJ459" s="113"/>
      <c r="CK459" s="258">
        <f t="shared" ref="CK459:CN459" si="1227">IFERROR(ROUND(BY459*$P459,2),"")</f>
        <v>0</v>
      </c>
      <c r="CL459" s="258">
        <f t="shared" si="1227"/>
        <v>0</v>
      </c>
      <c r="CM459" s="258">
        <f t="shared" si="1227"/>
        <v>42603.26</v>
      </c>
      <c r="CN459" s="258">
        <f t="shared" si="1227"/>
        <v>95857.34</v>
      </c>
      <c r="CP459" s="258" t="e">
        <f>VLOOKUP(G459,[2]Sheet1!$C$3:$G$310,5,0)</f>
        <v>#N/A</v>
      </c>
      <c r="CQ459" s="258" t="e">
        <f>VLOOKUP(G459,[3]KCBB0101!$C$3:$F$691,4,0)</f>
        <v>#N/A</v>
      </c>
    </row>
    <row r="460" s="258" customFormat="1" spans="1:92">
      <c r="A460" s="330"/>
      <c r="B460" s="347" t="s">
        <v>695</v>
      </c>
      <c r="C460" s="347" t="str">
        <f t="shared" si="1162"/>
        <v/>
      </c>
      <c r="D460" s="347" t="str">
        <f t="shared" si="1172"/>
        <v>摩胎寸</v>
      </c>
      <c r="E460" s="400"/>
      <c r="F460" s="385"/>
      <c r="G460" s="385"/>
      <c r="H460" s="347">
        <v>12000</v>
      </c>
      <c r="I460" s="386"/>
      <c r="J460" s="347">
        <v>19.2</v>
      </c>
      <c r="K460" s="347"/>
      <c r="L460" s="349">
        <f t="shared" ref="L460:L467" si="1228">IF(J459="","",J459/(J459+$J$378/60))</f>
        <v>0.697336561743341</v>
      </c>
      <c r="M460" s="349"/>
      <c r="N460" s="347"/>
      <c r="O460" s="347">
        <f>IFERROR(_xlfn.XLOOKUP(E460,轮胎重量!S:S,轮胎重量!P:P),IFERROR(_xlfn.XLOOKUP(E460,轮胎重量!AB:AB,轮胎重量!Y:Y),IFERROR(_xlfn.XLOOKUP(E460,轮胎重量!AK:AK,轮胎重量!AH:AH),IFERROR(_xlfn.XLOOKUP(E460,轮胎重量!AT:AT,轮胎重量!AQ:AQ),""))))</f>
        <v>0</v>
      </c>
      <c r="P460" s="350">
        <f t="shared" si="1196"/>
        <v>0</v>
      </c>
      <c r="Q460" s="347">
        <f t="shared" si="1216"/>
        <v>0</v>
      </c>
      <c r="R460" s="347"/>
      <c r="S460" s="347"/>
      <c r="T460" s="347"/>
      <c r="U460" s="347"/>
      <c r="V460" s="347"/>
      <c r="W460" s="347"/>
      <c r="X460" s="347"/>
      <c r="Y460" s="347"/>
      <c r="Z460" s="347"/>
      <c r="AA460" s="347"/>
      <c r="AB460" s="347"/>
      <c r="AC460" s="347"/>
      <c r="AD460" s="347"/>
      <c r="AE460" s="347"/>
      <c r="AF460" s="347"/>
      <c r="AG460" s="347"/>
      <c r="AH460" s="347"/>
      <c r="AI460" s="347"/>
      <c r="AJ460" s="347"/>
      <c r="AK460" s="347"/>
      <c r="AL460" s="347"/>
      <c r="AM460" s="347"/>
      <c r="AN460" s="347"/>
      <c r="AO460" s="347"/>
      <c r="AP460" s="347"/>
      <c r="AQ460" s="347"/>
      <c r="AR460" s="347"/>
      <c r="AS460" s="347"/>
      <c r="AT460" s="347"/>
      <c r="AU460" s="347"/>
      <c r="AV460" s="347"/>
      <c r="AW460" s="347" t="str">
        <f t="shared" si="1175"/>
        <v/>
      </c>
      <c r="AX460" s="365" t="str">
        <f t="shared" si="1176"/>
        <v/>
      </c>
      <c r="AY460" s="365" t="str">
        <f t="shared" si="1177"/>
        <v/>
      </c>
      <c r="AZ460" s="330"/>
      <c r="BA460" s="330"/>
      <c r="BB460" s="330"/>
      <c r="BC460" s="330"/>
      <c r="BD460" s="330"/>
      <c r="BE460" s="330" t="e">
        <f t="shared" si="1217"/>
        <v>#VALUE!</v>
      </c>
      <c r="BF460" s="330" t="e">
        <f t="shared" si="1218"/>
        <v>#VALUE!</v>
      </c>
      <c r="BG460" s="330" t="e">
        <f t="shared" si="1219"/>
        <v>#VALUE!</v>
      </c>
      <c r="BH460" s="330" t="e">
        <f t="shared" si="1220"/>
        <v>#VALUE!</v>
      </c>
      <c r="BI460" s="330"/>
      <c r="BJ460" s="370" cm="1">
        <f t="array" ref="BJ460:BM460">_xlfn.LET(_xlpm.data,$R460:$AV460,_xlpm.starts,{1,8,16,23},_xlpm.lengths,{7,7,8,9},_xlpm.arr,_xlfn.MAP(_xlpm.starts,_xlpm.lengths,_xlfn.LAMBDA(_xlpm.s,_xlpm.l,SUM(INDEX(_xlpm.data,,_xlfn.SEQUENCE(,_xlpm.l,_xlpm.s))))),ROUND(_xlpm.arr*$O460/1000,2))</f>
        <v>0</v>
      </c>
      <c r="BK460" s="330">
        <v>0</v>
      </c>
      <c r="BL460" s="330">
        <v>0</v>
      </c>
      <c r="BM460" s="330">
        <v>0</v>
      </c>
      <c r="BN460" s="258">
        <f t="shared" si="1221"/>
        <v>0</v>
      </c>
      <c r="BO460" s="258">
        <v>18.56</v>
      </c>
      <c r="BP460" s="258">
        <v>18.56</v>
      </c>
      <c r="BQ460" s="258">
        <v>21.21</v>
      </c>
      <c r="BR460" s="258">
        <v>23.86</v>
      </c>
      <c r="BS460" s="382" t="s">
        <v>708</v>
      </c>
      <c r="BX460" s="382" t="s">
        <v>708</v>
      </c>
      <c r="BY460" s="258">
        <f t="shared" si="1222"/>
        <v>0</v>
      </c>
      <c r="BZ460" s="258">
        <f t="shared" si="1223"/>
        <v>0</v>
      </c>
      <c r="CA460" s="258">
        <f t="shared" si="1224"/>
        <v>0</v>
      </c>
      <c r="CB460" s="258">
        <f t="shared" si="1225"/>
        <v>0</v>
      </c>
      <c r="CD460" s="113"/>
      <c r="CE460" s="398">
        <f t="shared" ref="CE460:CH460" si="1229">ROUND(BY460*$O460/1000,2)</f>
        <v>0</v>
      </c>
      <c r="CF460" s="389">
        <f t="shared" si="1229"/>
        <v>0</v>
      </c>
      <c r="CG460" s="389">
        <f t="shared" si="1229"/>
        <v>0</v>
      </c>
      <c r="CH460" s="389">
        <f t="shared" si="1229"/>
        <v>0</v>
      </c>
      <c r="CI460" s="258">
        <f t="shared" si="1226"/>
        <v>0</v>
      </c>
      <c r="CJ460" s="113"/>
      <c r="CK460" s="258">
        <f t="shared" ref="CK460:CN460" si="1230">IFERROR(ROUND(BY460*$P460,2),"")</f>
        <v>0</v>
      </c>
      <c r="CL460" s="258">
        <f t="shared" si="1230"/>
        <v>0</v>
      </c>
      <c r="CM460" s="258">
        <f t="shared" si="1230"/>
        <v>0</v>
      </c>
      <c r="CN460" s="258">
        <f t="shared" si="1230"/>
        <v>0</v>
      </c>
    </row>
    <row r="461" s="258" customFormat="1" spans="1:93">
      <c r="A461" s="330"/>
      <c r="B461" s="347" t="s">
        <v>695</v>
      </c>
      <c r="C461" s="347" t="str">
        <f t="shared" si="1162"/>
        <v/>
      </c>
      <c r="D461" s="347" t="str">
        <f t="shared" si="1172"/>
        <v>摩胎寸</v>
      </c>
      <c r="E461" s="400"/>
      <c r="F461" s="385"/>
      <c r="G461" s="385"/>
      <c r="H461" s="347">
        <v>3000</v>
      </c>
      <c r="I461" s="386"/>
      <c r="J461" s="347">
        <v>19.2</v>
      </c>
      <c r="K461" s="347"/>
      <c r="L461" s="349">
        <f t="shared" si="1228"/>
        <v>0.697336561743341</v>
      </c>
      <c r="M461" s="349"/>
      <c r="N461" s="347"/>
      <c r="O461" s="347">
        <f>IFERROR(_xlfn.XLOOKUP(E461,轮胎重量!S:S,轮胎重量!P:P),IFERROR(_xlfn.XLOOKUP(E461,轮胎重量!AB:AB,轮胎重量!Y:Y),IFERROR(_xlfn.XLOOKUP(E461,轮胎重量!AK:AK,轮胎重量!AH:AH),IFERROR(_xlfn.XLOOKUP(E461,轮胎重量!AT:AT,轮胎重量!AQ:AQ),""))))</f>
        <v>0</v>
      </c>
      <c r="P461" s="350">
        <f t="shared" si="1196"/>
        <v>0</v>
      </c>
      <c r="Q461" s="347">
        <f t="shared" si="1216"/>
        <v>0</v>
      </c>
      <c r="R461" s="347"/>
      <c r="S461" s="347"/>
      <c r="T461" s="347"/>
      <c r="U461" s="347"/>
      <c r="V461" s="347"/>
      <c r="W461" s="347"/>
      <c r="X461" s="347"/>
      <c r="Y461" s="347"/>
      <c r="Z461" s="347"/>
      <c r="AA461" s="347"/>
      <c r="AB461" s="347"/>
      <c r="AC461" s="347"/>
      <c r="AD461" s="347"/>
      <c r="AE461" s="347"/>
      <c r="AF461" s="347"/>
      <c r="AG461" s="347"/>
      <c r="AH461" s="347"/>
      <c r="AI461" s="347"/>
      <c r="AJ461" s="347"/>
      <c r="AK461" s="347"/>
      <c r="AL461" s="347"/>
      <c r="AM461" s="347"/>
      <c r="AN461" s="347"/>
      <c r="AO461" s="347"/>
      <c r="AP461" s="347"/>
      <c r="AQ461" s="347"/>
      <c r="AR461" s="347"/>
      <c r="AS461" s="347"/>
      <c r="AT461" s="347"/>
      <c r="AU461" s="347"/>
      <c r="AV461" s="347"/>
      <c r="AW461" s="347" t="str">
        <f t="shared" si="1175"/>
        <v/>
      </c>
      <c r="AX461" s="365" t="str">
        <f t="shared" si="1176"/>
        <v/>
      </c>
      <c r="AY461" s="365" t="str">
        <f t="shared" si="1177"/>
        <v/>
      </c>
      <c r="AZ461" s="330"/>
      <c r="BA461" s="330"/>
      <c r="BB461" s="330"/>
      <c r="BC461" s="330"/>
      <c r="BD461" s="330"/>
      <c r="BE461" s="330" t="e">
        <f t="shared" si="1217"/>
        <v>#VALUE!</v>
      </c>
      <c r="BF461" s="330" t="e">
        <f t="shared" si="1218"/>
        <v>#VALUE!</v>
      </c>
      <c r="BG461" s="330" t="e">
        <f t="shared" si="1219"/>
        <v>#VALUE!</v>
      </c>
      <c r="BH461" s="330" t="e">
        <f t="shared" si="1220"/>
        <v>#VALUE!</v>
      </c>
      <c r="BI461" s="330"/>
      <c r="BJ461" s="370" cm="1">
        <f t="array" ref="BJ461:BM461">_xlfn.LET(_xlpm.data,$R461:$AV461,_xlpm.starts,{1,8,16,23},_xlpm.lengths,{7,7,8,9},_xlpm.arr,_xlfn.MAP(_xlpm.starts,_xlpm.lengths,_xlfn.LAMBDA(_xlpm.s,_xlpm.l,SUM(INDEX(_xlpm.data,,_xlfn.SEQUENCE(,_xlpm.l,_xlpm.s))))),ROUND(_xlpm.arr*$O461/1000,2))</f>
        <v>0</v>
      </c>
      <c r="BK461" s="330">
        <v>0</v>
      </c>
      <c r="BL461" s="330">
        <v>0</v>
      </c>
      <c r="BM461" s="330">
        <v>0</v>
      </c>
      <c r="BN461" s="258">
        <f t="shared" si="1221"/>
        <v>0</v>
      </c>
      <c r="BO461" s="258">
        <v>18.56</v>
      </c>
      <c r="BP461" s="258">
        <v>18.56</v>
      </c>
      <c r="BQ461" s="258">
        <v>21.21</v>
      </c>
      <c r="BR461" s="258">
        <v>23.86</v>
      </c>
      <c r="BS461" s="382" t="s">
        <v>708</v>
      </c>
      <c r="BX461" s="382" t="s">
        <v>708</v>
      </c>
      <c r="BY461" s="258">
        <f t="shared" si="1222"/>
        <v>0</v>
      </c>
      <c r="BZ461" s="258">
        <f t="shared" si="1223"/>
        <v>0</v>
      </c>
      <c r="CA461" s="258">
        <f t="shared" si="1224"/>
        <v>0</v>
      </c>
      <c r="CB461" s="258">
        <f t="shared" si="1225"/>
        <v>0</v>
      </c>
      <c r="CD461" s="113"/>
      <c r="CE461" s="398">
        <f t="shared" ref="CE461:CH461" si="1231">ROUND(BY461*$O461/1000,2)</f>
        <v>0</v>
      </c>
      <c r="CF461" s="389">
        <f t="shared" si="1231"/>
        <v>0</v>
      </c>
      <c r="CG461" s="389">
        <f t="shared" si="1231"/>
        <v>0</v>
      </c>
      <c r="CH461" s="389">
        <f t="shared" si="1231"/>
        <v>0</v>
      </c>
      <c r="CI461" s="258">
        <f t="shared" si="1226"/>
        <v>0</v>
      </c>
      <c r="CJ461" s="113"/>
      <c r="CK461" s="258">
        <f t="shared" ref="CK461:CN461" si="1232">IFERROR(ROUND(BY461*$P461,2),"")</f>
        <v>0</v>
      </c>
      <c r="CL461" s="258">
        <f t="shared" si="1232"/>
        <v>0</v>
      </c>
      <c r="CM461" s="258">
        <f t="shared" si="1232"/>
        <v>0</v>
      </c>
      <c r="CN461" s="258">
        <f t="shared" si="1232"/>
        <v>0</v>
      </c>
      <c r="CO461" s="258">
        <f t="shared" ref="CO461:CO464" si="1233">SUM(CK461:CN461)</f>
        <v>0</v>
      </c>
    </row>
    <row r="462" s="258" customFormat="1" spans="1:93">
      <c r="A462" s="330"/>
      <c r="B462" s="347" t="s">
        <v>695</v>
      </c>
      <c r="C462" s="347" t="str">
        <f t="shared" si="1162"/>
        <v/>
      </c>
      <c r="D462" s="347" t="str">
        <f t="shared" si="1172"/>
        <v>摩胎寸</v>
      </c>
      <c r="E462" s="400"/>
      <c r="F462" s="385"/>
      <c r="G462" s="385"/>
      <c r="H462" s="347">
        <v>3000</v>
      </c>
      <c r="I462" s="386"/>
      <c r="J462" s="347">
        <v>19.2</v>
      </c>
      <c r="K462" s="347"/>
      <c r="L462" s="349">
        <f t="shared" si="1228"/>
        <v>0.697336561743341</v>
      </c>
      <c r="M462" s="349"/>
      <c r="N462" s="347"/>
      <c r="O462" s="347">
        <f>IFERROR(_xlfn.XLOOKUP(E462,轮胎重量!S:S,轮胎重量!P:P),IFERROR(_xlfn.XLOOKUP(E462,轮胎重量!AB:AB,轮胎重量!Y:Y),IFERROR(_xlfn.XLOOKUP(E462,轮胎重量!AK:AK,轮胎重量!AH:AH),IFERROR(_xlfn.XLOOKUP(E462,轮胎重量!AT:AT,轮胎重量!AQ:AQ),""))))</f>
        <v>0</v>
      </c>
      <c r="P462" s="350">
        <f t="shared" si="1196"/>
        <v>0</v>
      </c>
      <c r="Q462" s="347">
        <f t="shared" si="1216"/>
        <v>0</v>
      </c>
      <c r="R462" s="347"/>
      <c r="S462" s="347"/>
      <c r="T462" s="347"/>
      <c r="U462" s="347"/>
      <c r="V462" s="347"/>
      <c r="W462" s="347"/>
      <c r="X462" s="347"/>
      <c r="Y462" s="347"/>
      <c r="Z462" s="347"/>
      <c r="AA462" s="347"/>
      <c r="AB462" s="347"/>
      <c r="AC462" s="347"/>
      <c r="AD462" s="347"/>
      <c r="AE462" s="347"/>
      <c r="AF462" s="347"/>
      <c r="AG462" s="347"/>
      <c r="AH462" s="347"/>
      <c r="AI462" s="347"/>
      <c r="AJ462" s="347"/>
      <c r="AK462" s="347"/>
      <c r="AL462" s="347"/>
      <c r="AM462" s="347"/>
      <c r="AN462" s="347"/>
      <c r="AO462" s="347"/>
      <c r="AP462" s="347"/>
      <c r="AQ462" s="347"/>
      <c r="AR462" s="347"/>
      <c r="AS462" s="347"/>
      <c r="AT462" s="347"/>
      <c r="AU462" s="347"/>
      <c r="AV462" s="347"/>
      <c r="AW462" s="347" t="str">
        <f t="shared" si="1175"/>
        <v/>
      </c>
      <c r="AX462" s="365" t="str">
        <f t="shared" si="1176"/>
        <v/>
      </c>
      <c r="AY462" s="365" t="str">
        <f t="shared" si="1177"/>
        <v/>
      </c>
      <c r="AZ462" s="330"/>
      <c r="BA462" s="330"/>
      <c r="BB462" s="330"/>
      <c r="BC462" s="330"/>
      <c r="BD462" s="330"/>
      <c r="BE462" s="330" t="e">
        <f t="shared" si="1217"/>
        <v>#VALUE!</v>
      </c>
      <c r="BF462" s="330" t="e">
        <f t="shared" si="1218"/>
        <v>#VALUE!</v>
      </c>
      <c r="BG462" s="330" t="e">
        <f t="shared" si="1219"/>
        <v>#VALUE!</v>
      </c>
      <c r="BH462" s="330" t="e">
        <f t="shared" si="1220"/>
        <v>#VALUE!</v>
      </c>
      <c r="BI462" s="330"/>
      <c r="BJ462" s="370" cm="1">
        <f t="array" ref="BJ462:BM462">_xlfn.LET(_xlpm.data,$R462:$AV462,_xlpm.starts,{1,8,16,23},_xlpm.lengths,{7,7,8,9},_xlpm.arr,_xlfn.MAP(_xlpm.starts,_xlpm.lengths,_xlfn.LAMBDA(_xlpm.s,_xlpm.l,SUM(INDEX(_xlpm.data,,_xlfn.SEQUENCE(,_xlpm.l,_xlpm.s))))),ROUND(_xlpm.arr*$O462/1000,2))</f>
        <v>0</v>
      </c>
      <c r="BK462" s="330">
        <v>0</v>
      </c>
      <c r="BL462" s="330">
        <v>0</v>
      </c>
      <c r="BM462" s="330">
        <v>0</v>
      </c>
      <c r="BN462" s="258">
        <f t="shared" si="1221"/>
        <v>0</v>
      </c>
      <c r="BO462" s="258">
        <v>18.56</v>
      </c>
      <c r="BP462" s="258">
        <v>18.56</v>
      </c>
      <c r="BQ462" s="258">
        <v>21.21</v>
      </c>
      <c r="BR462" s="258">
        <v>23.86</v>
      </c>
      <c r="BS462" s="382" t="s">
        <v>708</v>
      </c>
      <c r="BX462" s="382" t="s">
        <v>708</v>
      </c>
      <c r="BY462" s="258">
        <f t="shared" si="1222"/>
        <v>0</v>
      </c>
      <c r="BZ462" s="258">
        <f t="shared" si="1223"/>
        <v>0</v>
      </c>
      <c r="CA462" s="258">
        <f t="shared" si="1224"/>
        <v>0</v>
      </c>
      <c r="CB462" s="258">
        <f t="shared" si="1225"/>
        <v>0</v>
      </c>
      <c r="CD462" s="113"/>
      <c r="CE462" s="398">
        <f t="shared" ref="CE462:CH462" si="1234">ROUND(BY462*$O462/1000,2)</f>
        <v>0</v>
      </c>
      <c r="CF462" s="389">
        <f t="shared" si="1234"/>
        <v>0</v>
      </c>
      <c r="CG462" s="389">
        <f t="shared" si="1234"/>
        <v>0</v>
      </c>
      <c r="CH462" s="389">
        <f t="shared" si="1234"/>
        <v>0</v>
      </c>
      <c r="CI462" s="258">
        <f t="shared" si="1226"/>
        <v>0</v>
      </c>
      <c r="CJ462" s="113"/>
      <c r="CK462" s="258">
        <f t="shared" ref="CK462:CN462" si="1235">IFERROR(ROUND(BY462*$P462,2),"")</f>
        <v>0</v>
      </c>
      <c r="CL462" s="258">
        <f t="shared" si="1235"/>
        <v>0</v>
      </c>
      <c r="CM462" s="258">
        <f t="shared" si="1235"/>
        <v>0</v>
      </c>
      <c r="CN462" s="258">
        <f t="shared" si="1235"/>
        <v>0</v>
      </c>
      <c r="CO462" s="258">
        <f t="shared" si="1233"/>
        <v>0</v>
      </c>
    </row>
    <row r="463" s="258" customFormat="1" spans="1:93">
      <c r="A463" s="330"/>
      <c r="B463" s="347" t="s">
        <v>695</v>
      </c>
      <c r="C463" s="347" t="str">
        <f t="shared" si="1162"/>
        <v/>
      </c>
      <c r="D463" s="347" t="str">
        <f t="shared" si="1172"/>
        <v>摩胎寸</v>
      </c>
      <c r="E463" s="400"/>
      <c r="F463" s="385"/>
      <c r="G463" s="385"/>
      <c r="H463" s="347">
        <v>1000</v>
      </c>
      <c r="I463" s="386"/>
      <c r="J463" s="347">
        <v>19.2</v>
      </c>
      <c r="K463" s="347"/>
      <c r="L463" s="349">
        <f t="shared" si="1228"/>
        <v>0.697336561743341</v>
      </c>
      <c r="M463" s="349"/>
      <c r="N463" s="347"/>
      <c r="O463" s="347">
        <f>IFERROR(_xlfn.XLOOKUP(E463,轮胎重量!S:S,轮胎重量!P:P),IFERROR(_xlfn.XLOOKUP(E463,轮胎重量!AB:AB,轮胎重量!Y:Y),IFERROR(_xlfn.XLOOKUP(E463,轮胎重量!AK:AK,轮胎重量!AH:AH),IFERROR(_xlfn.XLOOKUP(E463,轮胎重量!AT:AT,轮胎重量!AQ:AQ),""))))</f>
        <v>0</v>
      </c>
      <c r="P463" s="350">
        <f t="shared" si="1196"/>
        <v>0</v>
      </c>
      <c r="Q463" s="347">
        <f>IFERROR(ROUND(1440/J463*I463*L468,0),"")</f>
        <v>0</v>
      </c>
      <c r="R463" s="347"/>
      <c r="S463" s="347"/>
      <c r="T463" s="347"/>
      <c r="U463" s="347"/>
      <c r="V463" s="347"/>
      <c r="W463" s="347"/>
      <c r="X463" s="347"/>
      <c r="Y463" s="347"/>
      <c r="Z463" s="347"/>
      <c r="AA463" s="347"/>
      <c r="AB463" s="347"/>
      <c r="AC463" s="347"/>
      <c r="AD463" s="347"/>
      <c r="AE463" s="347"/>
      <c r="AF463" s="347"/>
      <c r="AG463" s="347"/>
      <c r="AH463" s="347"/>
      <c r="AI463" s="347"/>
      <c r="AJ463" s="347"/>
      <c r="AK463" s="347"/>
      <c r="AL463" s="347"/>
      <c r="AM463" s="347"/>
      <c r="AN463" s="347"/>
      <c r="AO463" s="347"/>
      <c r="AP463" s="347"/>
      <c r="AQ463" s="347"/>
      <c r="AR463" s="347"/>
      <c r="AS463" s="347"/>
      <c r="AT463" s="347"/>
      <c r="AU463" s="347"/>
      <c r="AV463" s="347"/>
      <c r="AW463" s="347" t="str">
        <f t="shared" si="1175"/>
        <v/>
      </c>
      <c r="AX463" s="365" t="str">
        <f t="shared" si="1176"/>
        <v/>
      </c>
      <c r="AY463" s="365" t="str">
        <f t="shared" si="1177"/>
        <v/>
      </c>
      <c r="AZ463" s="330"/>
      <c r="BA463" s="330"/>
      <c r="BB463" s="330"/>
      <c r="BC463" s="330"/>
      <c r="BD463" s="330"/>
      <c r="BE463" s="330" t="e">
        <f t="shared" si="1217"/>
        <v>#VALUE!</v>
      </c>
      <c r="BF463" s="330" t="e">
        <f t="shared" si="1218"/>
        <v>#VALUE!</v>
      </c>
      <c r="BG463" s="330" t="e">
        <f t="shared" si="1219"/>
        <v>#VALUE!</v>
      </c>
      <c r="BH463" s="330" t="e">
        <f t="shared" si="1220"/>
        <v>#VALUE!</v>
      </c>
      <c r="BI463" s="330"/>
      <c r="BJ463" s="370" cm="1">
        <f t="array" ref="BJ463:BM463">_xlfn.LET(_xlpm.data,$R463:$AV463,_xlpm.starts,{1,8,16,23},_xlpm.lengths,{7,7,8,9},_xlpm.arr,_xlfn.MAP(_xlpm.starts,_xlpm.lengths,_xlfn.LAMBDA(_xlpm.s,_xlpm.l,SUM(INDEX(_xlpm.data,,_xlfn.SEQUENCE(,_xlpm.l,_xlpm.s))))),ROUND(_xlpm.arr*$O463/1000,2))</f>
        <v>0</v>
      </c>
      <c r="BK463" s="330">
        <v>0</v>
      </c>
      <c r="BL463" s="330">
        <v>0</v>
      </c>
      <c r="BM463" s="330">
        <v>0</v>
      </c>
      <c r="BN463" s="258">
        <f t="shared" si="1221"/>
        <v>0</v>
      </c>
      <c r="BO463" s="258">
        <v>18.56</v>
      </c>
      <c r="BP463" s="258">
        <v>18.56</v>
      </c>
      <c r="BQ463" s="258">
        <v>21.21</v>
      </c>
      <c r="BR463" s="258">
        <v>23.86</v>
      </c>
      <c r="BS463" s="382" t="s">
        <v>708</v>
      </c>
      <c r="BX463" s="382" t="s">
        <v>708</v>
      </c>
      <c r="BY463" s="258">
        <f t="shared" si="1222"/>
        <v>0</v>
      </c>
      <c r="BZ463" s="258">
        <f t="shared" si="1223"/>
        <v>0</v>
      </c>
      <c r="CA463" s="258">
        <f t="shared" si="1224"/>
        <v>0</v>
      </c>
      <c r="CB463" s="258">
        <f t="shared" si="1225"/>
        <v>0</v>
      </c>
      <c r="CD463" s="113"/>
      <c r="CE463" s="398">
        <f t="shared" ref="CE463:CH463" si="1236">ROUND(BY463*$O463/1000,2)</f>
        <v>0</v>
      </c>
      <c r="CF463" s="389">
        <f t="shared" si="1236"/>
        <v>0</v>
      </c>
      <c r="CG463" s="389">
        <f t="shared" si="1236"/>
        <v>0</v>
      </c>
      <c r="CH463" s="389">
        <f t="shared" si="1236"/>
        <v>0</v>
      </c>
      <c r="CI463" s="258">
        <f t="shared" si="1226"/>
        <v>0</v>
      </c>
      <c r="CJ463" s="113"/>
      <c r="CK463" s="258">
        <f t="shared" ref="CK463:CN463" si="1237">IFERROR(ROUND(BY463*$P463,2),"")</f>
        <v>0</v>
      </c>
      <c r="CL463" s="258">
        <f t="shared" si="1237"/>
        <v>0</v>
      </c>
      <c r="CM463" s="258">
        <f t="shared" si="1237"/>
        <v>0</v>
      </c>
      <c r="CN463" s="258">
        <f t="shared" si="1237"/>
        <v>0</v>
      </c>
      <c r="CO463" s="258">
        <f t="shared" si="1233"/>
        <v>0</v>
      </c>
    </row>
    <row r="464" s="258" customFormat="1" spans="1:93">
      <c r="A464" s="330"/>
      <c r="B464" s="347" t="s">
        <v>691</v>
      </c>
      <c r="C464" s="347" t="str">
        <f t="shared" ref="C462:C464" si="1238">IFERROR(MID(G464,FIND("-",G464)+1,1),"")</f>
        <v/>
      </c>
      <c r="D464" s="347" t="str">
        <f t="shared" ref="D464:D471" si="1239">"ATV"&amp;C464&amp;"寸"</f>
        <v>ATV寸</v>
      </c>
      <c r="E464" s="400"/>
      <c r="F464" s="385"/>
      <c r="G464" s="385"/>
      <c r="H464" s="347"/>
      <c r="I464" s="386"/>
      <c r="J464" s="347">
        <v>19.2</v>
      </c>
      <c r="K464" s="347"/>
      <c r="L464" s="349">
        <f>IF(J459="","",J459/(J459+$J$378/60))</f>
        <v>0.697336561743341</v>
      </c>
      <c r="M464" s="349"/>
      <c r="N464" s="347"/>
      <c r="O464" s="347">
        <f>IFERROR(_xlfn.XLOOKUP(E464,轮胎重量!S:S,轮胎重量!P:P),IFERROR(_xlfn.XLOOKUP(E464,轮胎重量!AB:AB,轮胎重量!Y:Y),IFERROR(_xlfn.XLOOKUP(E464,轮胎重量!AK:AK,轮胎重量!AH:AH),IFERROR(_xlfn.XLOOKUP(E464,轮胎重量!AT:AT,轮胎重量!AQ:AQ),""))))</f>
        <v>0</v>
      </c>
      <c r="P464" s="350">
        <f t="shared" si="1196"/>
        <v>0</v>
      </c>
      <c r="Q464" s="347">
        <f t="shared" si="1216"/>
        <v>0</v>
      </c>
      <c r="R464" s="347"/>
      <c r="S464" s="347"/>
      <c r="T464" s="347"/>
      <c r="U464" s="347"/>
      <c r="V464" s="347"/>
      <c r="W464" s="347"/>
      <c r="X464" s="347"/>
      <c r="Y464" s="347"/>
      <c r="Z464" s="347"/>
      <c r="AA464" s="347"/>
      <c r="AB464" s="347"/>
      <c r="AC464" s="347"/>
      <c r="AD464" s="347"/>
      <c r="AE464" s="347"/>
      <c r="AF464" s="347"/>
      <c r="AG464" s="347"/>
      <c r="AH464" s="347"/>
      <c r="AI464" s="347"/>
      <c r="AJ464" s="347"/>
      <c r="AK464" s="347"/>
      <c r="AL464" s="347"/>
      <c r="AM464" s="347"/>
      <c r="AN464" s="347"/>
      <c r="AO464" s="347"/>
      <c r="AP464" s="347"/>
      <c r="AQ464" s="347"/>
      <c r="AR464" s="347"/>
      <c r="AS464" s="347"/>
      <c r="AT464" s="347"/>
      <c r="AU464" s="347"/>
      <c r="AV464" s="347"/>
      <c r="AW464" s="347" t="str">
        <f t="shared" si="1175"/>
        <v/>
      </c>
      <c r="AX464" s="365" t="str">
        <f t="shared" si="1176"/>
        <v/>
      </c>
      <c r="AY464" s="365" t="str">
        <f t="shared" si="1177"/>
        <v/>
      </c>
      <c r="AZ464" s="330"/>
      <c r="BA464" s="330"/>
      <c r="BB464" s="330"/>
      <c r="BC464" s="330"/>
      <c r="BD464" s="330"/>
      <c r="BE464" s="330" t="e">
        <f t="shared" si="1217"/>
        <v>#VALUE!</v>
      </c>
      <c r="BF464" s="330" t="e">
        <f t="shared" si="1218"/>
        <v>#VALUE!</v>
      </c>
      <c r="BG464" s="330" t="e">
        <f t="shared" si="1219"/>
        <v>#VALUE!</v>
      </c>
      <c r="BH464" s="330" t="e">
        <f t="shared" si="1220"/>
        <v>#VALUE!</v>
      </c>
      <c r="BI464" s="330"/>
      <c r="BJ464" s="370" cm="1">
        <f t="array" ref="BJ464:BM464">_xlfn.LET(_xlpm.data,$R464:$AV464,_xlpm.starts,{1,8,16,23},_xlpm.lengths,{7,7,8,9},_xlpm.arr,_xlfn.MAP(_xlpm.starts,_xlpm.lengths,_xlfn.LAMBDA(_xlpm.s,_xlpm.l,SUM(INDEX(_xlpm.data,,_xlfn.SEQUENCE(,_xlpm.l,_xlpm.s))))),ROUND(_xlpm.arr*$O464/1000,2))</f>
        <v>0</v>
      </c>
      <c r="BK464" s="330">
        <v>0</v>
      </c>
      <c r="BL464" s="330">
        <v>0</v>
      </c>
      <c r="BM464" s="330">
        <v>0</v>
      </c>
      <c r="BN464" s="258">
        <f t="shared" si="1221"/>
        <v>0</v>
      </c>
      <c r="BO464" s="258">
        <v>18.56</v>
      </c>
      <c r="BP464" s="258">
        <v>18.56</v>
      </c>
      <c r="BQ464" s="258">
        <v>21.21</v>
      </c>
      <c r="BR464" s="258">
        <v>23.86</v>
      </c>
      <c r="BS464" s="115" t="s">
        <v>757</v>
      </c>
      <c r="BX464" s="115" t="s">
        <v>757</v>
      </c>
      <c r="BY464" s="258">
        <f t="shared" si="1222"/>
        <v>0</v>
      </c>
      <c r="BZ464" s="258">
        <f t="shared" si="1223"/>
        <v>0</v>
      </c>
      <c r="CA464" s="258">
        <f t="shared" si="1224"/>
        <v>0</v>
      </c>
      <c r="CB464" s="258">
        <f t="shared" si="1225"/>
        <v>0</v>
      </c>
      <c r="CD464" s="113"/>
      <c r="CE464" s="398">
        <f t="shared" ref="CE464:CH464" si="1240">ROUND(BY464*$O464/1000,2)</f>
        <v>0</v>
      </c>
      <c r="CF464" s="389">
        <f t="shared" si="1240"/>
        <v>0</v>
      </c>
      <c r="CG464" s="389">
        <f t="shared" si="1240"/>
        <v>0</v>
      </c>
      <c r="CH464" s="389">
        <f t="shared" si="1240"/>
        <v>0</v>
      </c>
      <c r="CI464" s="258">
        <f t="shared" si="1226"/>
        <v>0</v>
      </c>
      <c r="CJ464" s="113"/>
      <c r="CK464" s="258">
        <f t="shared" ref="CK464:CN464" si="1241">IFERROR(ROUND(BY464*$P464,2),"")</f>
        <v>0</v>
      </c>
      <c r="CL464" s="258">
        <f t="shared" si="1241"/>
        <v>0</v>
      </c>
      <c r="CM464" s="258">
        <f t="shared" si="1241"/>
        <v>0</v>
      </c>
      <c r="CN464" s="258">
        <f t="shared" si="1241"/>
        <v>0</v>
      </c>
      <c r="CO464" s="258">
        <f t="shared" si="1233"/>
        <v>0</v>
      </c>
    </row>
    <row r="465" s="258" customFormat="1" spans="1:95">
      <c r="A465" s="330"/>
      <c r="B465" s="347" t="s">
        <v>691</v>
      </c>
      <c r="C465" s="347" t="str">
        <f>IFERROR(MID(G465,FIND("-",G465)+1,2),"")</f>
        <v>12</v>
      </c>
      <c r="D465" s="347" t="str">
        <f t="shared" si="1239"/>
        <v>ATV12寸</v>
      </c>
      <c r="E465" s="400" t="s">
        <v>758</v>
      </c>
      <c r="F465" s="385"/>
      <c r="G465" s="385" t="s">
        <v>758</v>
      </c>
      <c r="H465" s="347">
        <v>4000</v>
      </c>
      <c r="I465" s="386"/>
      <c r="J465" s="347">
        <v>19.2</v>
      </c>
      <c r="K465" s="347"/>
      <c r="L465" s="349">
        <f t="shared" si="1228"/>
        <v>0.697336561743341</v>
      </c>
      <c r="M465" s="349"/>
      <c r="N465" s="347"/>
      <c r="O465" s="347">
        <f>IFERROR(_xlfn.XLOOKUP(E465,轮胎重量!S:S,轮胎重量!P:P),IFERROR(_xlfn.XLOOKUP(E465,轮胎重量!AB:AB,轮胎重量!Y:Y),IFERROR(_xlfn.XLOOKUP(E465,轮胎重量!AK:AK,轮胎重量!AH:AH),IFERROR(_xlfn.XLOOKUP(E465,轮胎重量!AT:AT,轮胎重量!AQ:AQ),""))))</f>
        <v>9.38</v>
      </c>
      <c r="P465" s="350">
        <f t="shared" si="1196"/>
        <v>138.4488</v>
      </c>
      <c r="Q465" s="347">
        <f t="shared" si="1216"/>
        <v>0</v>
      </c>
      <c r="R465" s="347">
        <v>130</v>
      </c>
      <c r="S465" s="347">
        <v>130</v>
      </c>
      <c r="T465" s="347">
        <v>130</v>
      </c>
      <c r="U465" s="347">
        <v>130</v>
      </c>
      <c r="V465" s="347">
        <v>130</v>
      </c>
      <c r="W465" s="347">
        <v>130</v>
      </c>
      <c r="X465" s="347">
        <v>130</v>
      </c>
      <c r="Y465" s="347">
        <v>130</v>
      </c>
      <c r="Z465" s="347">
        <v>130</v>
      </c>
      <c r="AA465" s="347">
        <v>130</v>
      </c>
      <c r="AB465" s="347">
        <v>130</v>
      </c>
      <c r="AC465" s="347">
        <v>130</v>
      </c>
      <c r="AD465" s="347">
        <v>130</v>
      </c>
      <c r="AE465" s="347">
        <v>130</v>
      </c>
      <c r="AF465" s="347">
        <v>130</v>
      </c>
      <c r="AG465" s="347">
        <v>130</v>
      </c>
      <c r="AH465" s="347">
        <v>130</v>
      </c>
      <c r="AI465" s="347">
        <v>130</v>
      </c>
      <c r="AJ465" s="347">
        <v>130</v>
      </c>
      <c r="AK465" s="347">
        <v>130</v>
      </c>
      <c r="AL465" s="347">
        <v>130</v>
      </c>
      <c r="AM465" s="347">
        <v>130</v>
      </c>
      <c r="AN465" s="347">
        <v>130</v>
      </c>
      <c r="AO465" s="347">
        <v>130</v>
      </c>
      <c r="AP465" s="347">
        <v>130</v>
      </c>
      <c r="AQ465" s="347">
        <v>130</v>
      </c>
      <c r="AR465" s="347">
        <v>130</v>
      </c>
      <c r="AS465" s="347">
        <v>130</v>
      </c>
      <c r="AT465" s="347">
        <v>130</v>
      </c>
      <c r="AU465" s="347">
        <v>130</v>
      </c>
      <c r="AV465" s="347">
        <v>130</v>
      </c>
      <c r="AW465" s="347">
        <f t="shared" si="1175"/>
        <v>4030</v>
      </c>
      <c r="AX465" s="365">
        <f t="shared" si="1176"/>
        <v>37.8014</v>
      </c>
      <c r="AY465" s="365">
        <f t="shared" si="1177"/>
        <v>55.795</v>
      </c>
      <c r="AZ465" s="330"/>
      <c r="BA465" s="330"/>
      <c r="BB465" s="330"/>
      <c r="BC465" s="330"/>
      <c r="BD465" s="330"/>
      <c r="BE465" s="330">
        <f t="shared" si="1217"/>
        <v>0</v>
      </c>
      <c r="BF465" s="330">
        <f t="shared" si="1218"/>
        <v>0</v>
      </c>
      <c r="BG465" s="330">
        <f t="shared" si="1219"/>
        <v>0</v>
      </c>
      <c r="BH465" s="330">
        <f t="shared" si="1220"/>
        <v>0</v>
      </c>
      <c r="BI465" s="330"/>
      <c r="BJ465" s="370" cm="1">
        <f t="array" ref="BJ465:BM465">_xlfn.LET(_xlpm.data,$R465:$AV465,_xlpm.starts,{1,8,16,23},_xlpm.lengths,{7,7,8,9},_xlpm.arr,_xlfn.MAP(_xlpm.starts,_xlpm.lengths,_xlfn.LAMBDA(_xlpm.s,_xlpm.l,SUM(INDEX(_xlpm.data,,_xlfn.SEQUENCE(,_xlpm.l,_xlpm.s))))),ROUND(_xlpm.arr*$O465/1000,2))</f>
        <v>8.54</v>
      </c>
      <c r="BK465" s="330">
        <v>8.54</v>
      </c>
      <c r="BL465" s="330">
        <v>9.76</v>
      </c>
      <c r="BM465" s="330">
        <v>10.97</v>
      </c>
      <c r="BN465" s="258">
        <f t="shared" si="1221"/>
        <v>37.81</v>
      </c>
      <c r="BO465" s="258">
        <v>18.56</v>
      </c>
      <c r="BP465" s="258">
        <v>18.56</v>
      </c>
      <c r="BQ465" s="258">
        <v>21.21</v>
      </c>
      <c r="BR465" s="258">
        <v>23.86</v>
      </c>
      <c r="BS465" s="115" t="s">
        <v>757</v>
      </c>
      <c r="BX465" s="115" t="s">
        <v>757</v>
      </c>
      <c r="BY465" s="258">
        <f t="shared" si="1222"/>
        <v>910</v>
      </c>
      <c r="BZ465" s="258">
        <f t="shared" si="1223"/>
        <v>910</v>
      </c>
      <c r="CA465" s="258">
        <f t="shared" si="1224"/>
        <v>1040</v>
      </c>
      <c r="CB465" s="258">
        <f t="shared" si="1225"/>
        <v>1170</v>
      </c>
      <c r="CD465" s="113"/>
      <c r="CE465" s="398">
        <f t="shared" ref="CE465:CH465" si="1242">ROUND(BY465*$O465/1000,2)</f>
        <v>8.54</v>
      </c>
      <c r="CF465" s="389">
        <f t="shared" si="1242"/>
        <v>8.54</v>
      </c>
      <c r="CG465" s="389">
        <f t="shared" si="1242"/>
        <v>9.76</v>
      </c>
      <c r="CH465" s="389">
        <f t="shared" si="1242"/>
        <v>10.97</v>
      </c>
      <c r="CI465" s="258">
        <f t="shared" si="1226"/>
        <v>37.81</v>
      </c>
      <c r="CJ465" s="113"/>
      <c r="CK465" s="258">
        <f t="shared" ref="CK465:CN465" si="1243">IFERROR(ROUND(BY465*$P465,2),"")</f>
        <v>125988.41</v>
      </c>
      <c r="CL465" s="258">
        <f t="shared" si="1243"/>
        <v>125988.41</v>
      </c>
      <c r="CM465" s="258">
        <f t="shared" si="1243"/>
        <v>143986.75</v>
      </c>
      <c r="CN465" s="258">
        <f t="shared" si="1243"/>
        <v>161985.1</v>
      </c>
      <c r="CP465" s="258" t="e">
        <f>VLOOKUP(G465,[2]Sheet1!$C$3:$G$310,5,0)</f>
        <v>#N/A</v>
      </c>
      <c r="CQ465" s="258" t="e">
        <f>VLOOKUP(G465,[3]KCBB0101!$C$3:$F$691,4,0)</f>
        <v>#N/A</v>
      </c>
    </row>
    <row r="466" s="258" customFormat="1" spans="1:95">
      <c r="A466" s="330"/>
      <c r="B466" s="347" t="s">
        <v>691</v>
      </c>
      <c r="C466" s="347" t="str">
        <f>IFERROR(MID(G466,FIND("-",G466)+1,2),"")</f>
        <v>12</v>
      </c>
      <c r="D466" s="347" t="str">
        <f t="shared" si="1239"/>
        <v>ATV12寸</v>
      </c>
      <c r="E466" s="385" t="s">
        <v>759</v>
      </c>
      <c r="F466" s="400"/>
      <c r="G466" s="385" t="s">
        <v>759</v>
      </c>
      <c r="H466" s="347">
        <v>4000</v>
      </c>
      <c r="I466" s="386"/>
      <c r="J466" s="347">
        <f>1200/60</f>
        <v>20</v>
      </c>
      <c r="K466" s="347"/>
      <c r="L466" s="349">
        <f t="shared" si="1228"/>
        <v>0.697336561743341</v>
      </c>
      <c r="M466" s="349"/>
      <c r="N466" s="347"/>
      <c r="O466" s="347">
        <f>IFERROR(_xlfn.XLOOKUP(E466,轮胎重量!S:S,轮胎重量!P:P),IFERROR(_xlfn.XLOOKUP(E466,轮胎重量!AB:AB,轮胎重量!Y:Y),IFERROR(_xlfn.XLOOKUP(E466,轮胎重量!AK:AK,轮胎重量!AH:AH),IFERROR(_xlfn.XLOOKUP(E466,轮胎重量!AT:AT,轮胎重量!AQ:AQ),""))))</f>
        <v>10.705</v>
      </c>
      <c r="P466" s="350">
        <f t="shared" si="1196"/>
        <v>158.0058</v>
      </c>
      <c r="Q466" s="347">
        <f t="shared" si="1216"/>
        <v>0</v>
      </c>
      <c r="R466" s="347">
        <v>130</v>
      </c>
      <c r="S466" s="347">
        <v>130</v>
      </c>
      <c r="T466" s="347">
        <v>130</v>
      </c>
      <c r="U466" s="347">
        <v>130</v>
      </c>
      <c r="V466" s="347">
        <v>130</v>
      </c>
      <c r="W466" s="347">
        <v>130</v>
      </c>
      <c r="X466" s="347">
        <v>130</v>
      </c>
      <c r="Y466" s="347">
        <v>130</v>
      </c>
      <c r="Z466" s="347">
        <v>130</v>
      </c>
      <c r="AA466" s="347">
        <v>130</v>
      </c>
      <c r="AB466" s="347">
        <v>130</v>
      </c>
      <c r="AC466" s="347">
        <v>130</v>
      </c>
      <c r="AD466" s="347">
        <v>130</v>
      </c>
      <c r="AE466" s="347">
        <v>130</v>
      </c>
      <c r="AF466" s="347">
        <v>130</v>
      </c>
      <c r="AG466" s="347">
        <v>130</v>
      </c>
      <c r="AH466" s="347">
        <v>130</v>
      </c>
      <c r="AI466" s="347">
        <v>130</v>
      </c>
      <c r="AJ466" s="347">
        <v>130</v>
      </c>
      <c r="AK466" s="347">
        <v>130</v>
      </c>
      <c r="AL466" s="347">
        <v>130</v>
      </c>
      <c r="AM466" s="347">
        <v>130</v>
      </c>
      <c r="AN466" s="347">
        <v>130</v>
      </c>
      <c r="AO466" s="347">
        <v>130</v>
      </c>
      <c r="AP466" s="347">
        <v>130</v>
      </c>
      <c r="AQ466" s="347">
        <v>130</v>
      </c>
      <c r="AR466" s="347">
        <v>130</v>
      </c>
      <c r="AS466" s="347">
        <v>130</v>
      </c>
      <c r="AT466" s="347">
        <v>130</v>
      </c>
      <c r="AU466" s="347">
        <v>130</v>
      </c>
      <c r="AV466" s="347">
        <v>130</v>
      </c>
      <c r="AW466" s="347">
        <f t="shared" si="1175"/>
        <v>4030</v>
      </c>
      <c r="AX466" s="365">
        <f t="shared" si="1176"/>
        <v>43.14115</v>
      </c>
      <c r="AY466" s="365">
        <f t="shared" si="1177"/>
        <v>63.676</v>
      </c>
      <c r="AZ466" s="330"/>
      <c r="BA466" s="330"/>
      <c r="BB466" s="330"/>
      <c r="BC466" s="330"/>
      <c r="BD466" s="330"/>
      <c r="BE466" s="330">
        <f t="shared" si="1217"/>
        <v>0</v>
      </c>
      <c r="BF466" s="330">
        <f t="shared" si="1218"/>
        <v>0</v>
      </c>
      <c r="BG466" s="330">
        <f t="shared" si="1219"/>
        <v>0</v>
      </c>
      <c r="BH466" s="330">
        <f t="shared" si="1220"/>
        <v>0</v>
      </c>
      <c r="BI466" s="330"/>
      <c r="BJ466" s="370" cm="1">
        <f t="array" ref="BJ466:BM466">_xlfn.LET(_xlpm.data,$R466:$AV466,_xlpm.starts,{1,8,16,23},_xlpm.lengths,{7,7,8,9},_xlpm.arr,_xlfn.MAP(_xlpm.starts,_xlpm.lengths,_xlfn.LAMBDA(_xlpm.s,_xlpm.l,SUM(INDEX(_xlpm.data,,_xlfn.SEQUENCE(,_xlpm.l,_xlpm.s))))),ROUND(_xlpm.arr*$O466/1000,2))</f>
        <v>9.74</v>
      </c>
      <c r="BK466" s="330">
        <v>9.74</v>
      </c>
      <c r="BL466" s="330">
        <v>11.13</v>
      </c>
      <c r="BM466" s="330">
        <v>12.52</v>
      </c>
      <c r="BN466" s="258">
        <f t="shared" si="1221"/>
        <v>43.13</v>
      </c>
      <c r="BO466" s="258">
        <v>1.51</v>
      </c>
      <c r="BP466" s="258">
        <v>1.51</v>
      </c>
      <c r="BQ466" s="258">
        <v>1.73</v>
      </c>
      <c r="BR466" s="258">
        <v>1.94</v>
      </c>
      <c r="BS466" s="115" t="s">
        <v>757</v>
      </c>
      <c r="BX466" s="115" t="s">
        <v>757</v>
      </c>
      <c r="BY466" s="258">
        <f t="shared" si="1222"/>
        <v>910</v>
      </c>
      <c r="BZ466" s="258">
        <f t="shared" si="1223"/>
        <v>910</v>
      </c>
      <c r="CA466" s="258">
        <f t="shared" si="1224"/>
        <v>1040</v>
      </c>
      <c r="CB466" s="258">
        <f t="shared" si="1225"/>
        <v>1170</v>
      </c>
      <c r="CD466" s="113"/>
      <c r="CE466" s="389">
        <f t="shared" ref="CE466:CH466" si="1244">ROUND(BY466*$O466/1000,2)</f>
        <v>9.74</v>
      </c>
      <c r="CF466" s="389">
        <f t="shared" si="1244"/>
        <v>9.74</v>
      </c>
      <c r="CG466" s="389">
        <f t="shared" si="1244"/>
        <v>11.13</v>
      </c>
      <c r="CH466" s="389">
        <f t="shared" si="1244"/>
        <v>12.52</v>
      </c>
      <c r="CI466" s="258">
        <f t="shared" si="1226"/>
        <v>43.13</v>
      </c>
      <c r="CJ466" s="113"/>
      <c r="CK466" s="258">
        <f t="shared" ref="CK466:CN466" si="1245">IFERROR(ROUND(BY466*$P466,2),"")</f>
        <v>143785.28</v>
      </c>
      <c r="CL466" s="258">
        <f t="shared" si="1245"/>
        <v>143785.28</v>
      </c>
      <c r="CM466" s="258">
        <f t="shared" si="1245"/>
        <v>164326.03</v>
      </c>
      <c r="CN466" s="258">
        <f t="shared" si="1245"/>
        <v>184866.79</v>
      </c>
      <c r="CO466" s="258">
        <f>SUM(CK466:CN466)</f>
        <v>636763.38</v>
      </c>
      <c r="CP466" s="258" t="e">
        <f>VLOOKUP(G466,[2]Sheet1!$C$3:$G$310,5,0)</f>
        <v>#N/A</v>
      </c>
      <c r="CQ466" s="258" t="e">
        <f>VLOOKUP(G466,[3]KCBB0101!$C$3:$F$691,4,0)</f>
        <v>#N/A</v>
      </c>
    </row>
    <row r="467" s="258" customFormat="1" ht="17" spans="1:95">
      <c r="A467" s="330"/>
      <c r="B467" s="347" t="s">
        <v>691</v>
      </c>
      <c r="C467" s="347" t="str">
        <f>IFERROR(MID(G467,FIND("-",G467)+1,2),"")</f>
        <v>12</v>
      </c>
      <c r="D467" s="347" t="str">
        <f t="shared" si="1239"/>
        <v>ATV12寸</v>
      </c>
      <c r="E467" s="385" t="s">
        <v>760</v>
      </c>
      <c r="F467" s="400"/>
      <c r="G467" s="385" t="s">
        <v>760</v>
      </c>
      <c r="H467" s="347">
        <v>1500</v>
      </c>
      <c r="I467" s="386"/>
      <c r="J467" s="347">
        <v>20</v>
      </c>
      <c r="K467" s="347"/>
      <c r="L467" s="349">
        <f t="shared" si="1228"/>
        <v>0.705882352941176</v>
      </c>
      <c r="M467" s="349"/>
      <c r="N467" s="347"/>
      <c r="O467" s="347">
        <f>IFERROR(_xlfn.XLOOKUP(E467,轮胎重量!S:S,轮胎重量!P:P),IFERROR(_xlfn.XLOOKUP(E467,轮胎重量!AB:AB,轮胎重量!Y:Y),IFERROR(_xlfn.XLOOKUP(E467,轮胎重量!AK:AK,轮胎重量!AH:AH),IFERROR(_xlfn.XLOOKUP(E467,轮胎重量!AT:AT,轮胎重量!AQ:AQ),""))))</f>
        <v>11.255</v>
      </c>
      <c r="P467" s="350">
        <f t="shared" si="1196"/>
        <v>166.1238</v>
      </c>
      <c r="Q467" s="347">
        <f t="shared" si="1216"/>
        <v>0</v>
      </c>
      <c r="R467" s="347"/>
      <c r="S467" s="347"/>
      <c r="T467" s="347"/>
      <c r="U467" s="347"/>
      <c r="V467" s="347"/>
      <c r="W467" s="347"/>
      <c r="X467" s="347"/>
      <c r="Y467" s="347"/>
      <c r="Z467" s="347"/>
      <c r="AA467" s="347"/>
      <c r="AB467" s="347">
        <v>60</v>
      </c>
      <c r="AC467" s="347">
        <v>60</v>
      </c>
      <c r="AD467" s="347">
        <v>60</v>
      </c>
      <c r="AE467" s="347">
        <v>60</v>
      </c>
      <c r="AF467" s="347">
        <v>60</v>
      </c>
      <c r="AG467" s="347">
        <v>60</v>
      </c>
      <c r="AH467" s="347">
        <v>60</v>
      </c>
      <c r="AI467" s="347">
        <v>60</v>
      </c>
      <c r="AJ467" s="347">
        <v>60</v>
      </c>
      <c r="AK467" s="347">
        <v>60</v>
      </c>
      <c r="AL467" s="347">
        <v>60</v>
      </c>
      <c r="AM467" s="347">
        <v>60</v>
      </c>
      <c r="AN467" s="347">
        <v>60</v>
      </c>
      <c r="AO467" s="347">
        <v>60</v>
      </c>
      <c r="AP467" s="347">
        <v>60</v>
      </c>
      <c r="AQ467" s="347">
        <v>60</v>
      </c>
      <c r="AR467" s="347">
        <v>60</v>
      </c>
      <c r="AS467" s="347">
        <v>60</v>
      </c>
      <c r="AT467" s="347">
        <v>60</v>
      </c>
      <c r="AU467" s="347">
        <v>60</v>
      </c>
      <c r="AV467" s="347">
        <v>60</v>
      </c>
      <c r="AW467" s="347">
        <f t="shared" si="1175"/>
        <v>1260</v>
      </c>
      <c r="AX467" s="365">
        <f t="shared" si="1176"/>
        <v>14.1813</v>
      </c>
      <c r="AY467" s="365">
        <f t="shared" si="1177"/>
        <v>20.932</v>
      </c>
      <c r="AZ467" s="330"/>
      <c r="BA467" s="330"/>
      <c r="BB467" s="330"/>
      <c r="BC467" s="330"/>
      <c r="BD467" s="330"/>
      <c r="BE467" s="330">
        <f t="shared" si="1217"/>
        <v>0</v>
      </c>
      <c r="BF467" s="330">
        <f t="shared" si="1218"/>
        <v>0</v>
      </c>
      <c r="BG467" s="330">
        <f t="shared" si="1219"/>
        <v>0</v>
      </c>
      <c r="BH467" s="330">
        <f t="shared" si="1220"/>
        <v>0</v>
      </c>
      <c r="BI467" s="330"/>
      <c r="BJ467" s="370" cm="1">
        <f t="array" ref="BJ467:BM467">_xlfn.LET(_xlpm.data,$R467:$AV467,_xlpm.starts,{1,8,16,23},_xlpm.lengths,{7,7,8,9},_xlpm.arr,_xlfn.MAP(_xlpm.starts,_xlpm.lengths,_xlfn.LAMBDA(_xlpm.s,_xlpm.l,SUM(INDEX(_xlpm.data,,_xlfn.SEQUENCE(,_xlpm.l,_xlpm.s))))),ROUND(_xlpm.arr*$O467/1000,2))</f>
        <v>0</v>
      </c>
      <c r="BK467" s="330">
        <v>2.7</v>
      </c>
      <c r="BL467" s="330">
        <v>5.4</v>
      </c>
      <c r="BM467" s="330">
        <v>6.08</v>
      </c>
      <c r="BN467" s="258">
        <f t="shared" si="1221"/>
        <v>14.18</v>
      </c>
      <c r="BO467" s="258">
        <v>1.35</v>
      </c>
      <c r="BP467" s="258">
        <v>1.35</v>
      </c>
      <c r="BQ467" s="258">
        <v>1.54</v>
      </c>
      <c r="BR467" s="258">
        <v>1.74</v>
      </c>
      <c r="BS467" s="115" t="s">
        <v>757</v>
      </c>
      <c r="BX467" s="258" t="s">
        <v>757</v>
      </c>
      <c r="BY467" s="258">
        <f t="shared" si="1222"/>
        <v>0</v>
      </c>
      <c r="BZ467" s="258">
        <f t="shared" si="1223"/>
        <v>240</v>
      </c>
      <c r="CA467" s="258">
        <f t="shared" si="1224"/>
        <v>480</v>
      </c>
      <c r="CB467" s="258">
        <f t="shared" si="1225"/>
        <v>540</v>
      </c>
      <c r="CD467" s="113"/>
      <c r="CE467" s="389">
        <f t="shared" ref="CE467:CH467" si="1246">ROUND(BY467*$O467/1000,2)</f>
        <v>0</v>
      </c>
      <c r="CF467" s="389">
        <f t="shared" si="1246"/>
        <v>2.7</v>
      </c>
      <c r="CG467" s="389">
        <f t="shared" si="1246"/>
        <v>5.4</v>
      </c>
      <c r="CH467" s="389">
        <f t="shared" si="1246"/>
        <v>6.08</v>
      </c>
      <c r="CI467" s="258">
        <f t="shared" si="1226"/>
        <v>14.18</v>
      </c>
      <c r="CJ467" s="113"/>
      <c r="CK467" s="258">
        <f t="shared" ref="CK467:CN467" si="1247">IFERROR(ROUND(BY467*$P467,2),"")</f>
        <v>0</v>
      </c>
      <c r="CL467" s="258">
        <f t="shared" si="1247"/>
        <v>39869.71</v>
      </c>
      <c r="CM467" s="258">
        <f t="shared" si="1247"/>
        <v>79739.42</v>
      </c>
      <c r="CN467" s="258">
        <f t="shared" si="1247"/>
        <v>89706.85</v>
      </c>
      <c r="CO467" s="258">
        <f>SUM(CK467:CN467)</f>
        <v>209315.98</v>
      </c>
      <c r="CP467" s="258" t="e">
        <f>VLOOKUP(G467,[2]Sheet1!$C$3:$G$310,5,0)</f>
        <v>#N/A</v>
      </c>
      <c r="CQ467" s="258" t="e">
        <f>VLOOKUP(G467,[3]KCBB0101!$C$3:$F$691,4,0)</f>
        <v>#N/A</v>
      </c>
    </row>
    <row r="468" s="258" customFormat="1" spans="1:95">
      <c r="A468" s="330"/>
      <c r="B468" s="347" t="s">
        <v>691</v>
      </c>
      <c r="C468" s="347" t="str">
        <f>IFERROR(MID(G468,FIND("-",G468)+1,2),"")</f>
        <v>12</v>
      </c>
      <c r="D468" s="347" t="str">
        <f t="shared" si="1239"/>
        <v>ATV12寸</v>
      </c>
      <c r="E468" s="400" t="s">
        <v>761</v>
      </c>
      <c r="F468" s="385"/>
      <c r="G468" s="385" t="s">
        <v>761</v>
      </c>
      <c r="H468" s="347">
        <v>1500</v>
      </c>
      <c r="I468" s="386"/>
      <c r="J468" s="347">
        <v>19.2</v>
      </c>
      <c r="K468" s="347"/>
      <c r="L468" s="349">
        <f>IF(J463="","",J463/(J463+$J$378/60))</f>
        <v>0.697336561743341</v>
      </c>
      <c r="M468" s="349"/>
      <c r="N468" s="347"/>
      <c r="O468" s="347">
        <f>IFERROR(_xlfn.XLOOKUP(E468,轮胎重量!S:S,轮胎重量!P:P),IFERROR(_xlfn.XLOOKUP(E468,轮胎重量!AB:AB,轮胎重量!Y:Y),IFERROR(_xlfn.XLOOKUP(E468,轮胎重量!AK:AK,轮胎重量!AH:AH),IFERROR(_xlfn.XLOOKUP(E468,轮胎重量!AT:AT,轮胎重量!AQ:AQ),""))))</f>
        <v>10.64</v>
      </c>
      <c r="P468" s="350">
        <f t="shared" si="1196"/>
        <v>157.0464</v>
      </c>
      <c r="Q468" s="347">
        <f t="shared" si="1216"/>
        <v>0</v>
      </c>
      <c r="R468" s="347"/>
      <c r="S468" s="347"/>
      <c r="T468" s="347"/>
      <c r="U468" s="347"/>
      <c r="V468" s="347"/>
      <c r="W468" s="347"/>
      <c r="X468" s="347"/>
      <c r="Y468" s="347"/>
      <c r="Z468" s="347"/>
      <c r="AA468" s="347"/>
      <c r="AB468" s="347">
        <v>60</v>
      </c>
      <c r="AC468" s="347">
        <v>60</v>
      </c>
      <c r="AD468" s="347">
        <v>60</v>
      </c>
      <c r="AE468" s="347">
        <v>60</v>
      </c>
      <c r="AF468" s="347">
        <v>60</v>
      </c>
      <c r="AG468" s="347">
        <v>60</v>
      </c>
      <c r="AH468" s="347">
        <v>60</v>
      </c>
      <c r="AI468" s="347">
        <v>60</v>
      </c>
      <c r="AJ468" s="347">
        <v>60</v>
      </c>
      <c r="AK468" s="347">
        <v>60</v>
      </c>
      <c r="AL468" s="347">
        <v>60</v>
      </c>
      <c r="AM468" s="347">
        <v>60</v>
      </c>
      <c r="AN468" s="347">
        <v>60</v>
      </c>
      <c r="AO468" s="347">
        <v>60</v>
      </c>
      <c r="AP468" s="347">
        <v>60</v>
      </c>
      <c r="AQ468" s="347">
        <v>60</v>
      </c>
      <c r="AR468" s="347">
        <v>60</v>
      </c>
      <c r="AS468" s="347">
        <v>60</v>
      </c>
      <c r="AT468" s="347">
        <v>60</v>
      </c>
      <c r="AU468" s="347">
        <v>60</v>
      </c>
      <c r="AV468" s="347">
        <v>60</v>
      </c>
      <c r="AW468" s="347">
        <f t="shared" si="1175"/>
        <v>1260</v>
      </c>
      <c r="AX468" s="365">
        <f t="shared" si="1176"/>
        <v>13.4064</v>
      </c>
      <c r="AY468" s="365">
        <f t="shared" si="1177"/>
        <v>19.788</v>
      </c>
      <c r="AZ468" s="330"/>
      <c r="BA468" s="330"/>
      <c r="BB468" s="330"/>
      <c r="BC468" s="330"/>
      <c r="BD468" s="330"/>
      <c r="BE468" s="330">
        <f t="shared" si="1217"/>
        <v>0</v>
      </c>
      <c r="BF468" s="330">
        <f t="shared" si="1218"/>
        <v>0</v>
      </c>
      <c r="BG468" s="330">
        <f t="shared" si="1219"/>
        <v>0</v>
      </c>
      <c r="BH468" s="330">
        <f t="shared" si="1220"/>
        <v>0</v>
      </c>
      <c r="BI468" s="330"/>
      <c r="BJ468" s="370" cm="1">
        <f t="array" ref="BJ468:BM468">_xlfn.LET(_xlpm.data,$R468:$AV468,_xlpm.starts,{1,8,16,23},_xlpm.lengths,{7,7,8,9},_xlpm.arr,_xlfn.MAP(_xlpm.starts,_xlpm.lengths,_xlfn.LAMBDA(_xlpm.s,_xlpm.l,SUM(INDEX(_xlpm.data,,_xlfn.SEQUENCE(,_xlpm.l,_xlpm.s))))),ROUND(_xlpm.arr*$O468/1000,2))</f>
        <v>0</v>
      </c>
      <c r="BK468" s="330">
        <v>2.55</v>
      </c>
      <c r="BL468" s="330">
        <v>5.11</v>
      </c>
      <c r="BM468" s="330">
        <v>5.75</v>
      </c>
      <c r="BN468" s="258">
        <f t="shared" si="1221"/>
        <v>13.41</v>
      </c>
      <c r="BO468" s="258">
        <v>18.56</v>
      </c>
      <c r="BP468" s="258">
        <v>18.56</v>
      </c>
      <c r="BQ468" s="258">
        <v>21.21</v>
      </c>
      <c r="BR468" s="258">
        <v>23.86</v>
      </c>
      <c r="BS468" s="115" t="s">
        <v>757</v>
      </c>
      <c r="BX468" s="115" t="s">
        <v>757</v>
      </c>
      <c r="BY468" s="258">
        <f t="shared" ref="BY468:BY488" si="1248">SUM(R468:X468)</f>
        <v>0</v>
      </c>
      <c r="BZ468" s="258">
        <f t="shared" ref="BZ468:BZ488" si="1249">SUM(Y468:AE468)</f>
        <v>240</v>
      </c>
      <c r="CA468" s="258">
        <f t="shared" ref="CA468:CA487" si="1250">SUM(AF468:AM468)</f>
        <v>480</v>
      </c>
      <c r="CB468" s="258">
        <f t="shared" ref="CB468:CB487" si="1251">SUM(AN468:AV468)</f>
        <v>540</v>
      </c>
      <c r="CD468" s="113"/>
      <c r="CE468" s="398">
        <f t="shared" ref="CE468:CH468" si="1252">ROUND(BY468*$O468/1000,2)</f>
        <v>0</v>
      </c>
      <c r="CF468" s="389">
        <f t="shared" si="1252"/>
        <v>2.55</v>
      </c>
      <c r="CG468" s="389">
        <f t="shared" si="1252"/>
        <v>5.11</v>
      </c>
      <c r="CH468" s="389">
        <f t="shared" si="1252"/>
        <v>5.75</v>
      </c>
      <c r="CI468" s="258">
        <f t="shared" si="1226"/>
        <v>13.41</v>
      </c>
      <c r="CJ468" s="113"/>
      <c r="CK468" s="258">
        <f t="shared" ref="CK468:CN468" si="1253">IFERROR(ROUND(BY468*$P468,2),"")</f>
        <v>0</v>
      </c>
      <c r="CL468" s="258">
        <f t="shared" si="1253"/>
        <v>37691.14</v>
      </c>
      <c r="CM468" s="258">
        <f t="shared" si="1253"/>
        <v>75382.27</v>
      </c>
      <c r="CN468" s="258">
        <f t="shared" si="1253"/>
        <v>84805.06</v>
      </c>
      <c r="CO468" s="258">
        <f>SUM(CK468:CN468)</f>
        <v>197878.47</v>
      </c>
      <c r="CP468" s="258" t="e">
        <f>VLOOKUP(G468,[2]Sheet1!$C$3:$G$310,5,0)</f>
        <v>#N/A</v>
      </c>
      <c r="CQ468" s="258" t="e">
        <f>VLOOKUP(G468,[3]KCBB0101!$C$3:$F$691,4,0)</f>
        <v>#N/A</v>
      </c>
    </row>
    <row r="469" s="258" customFormat="1" spans="1:92">
      <c r="A469" s="330"/>
      <c r="B469" s="347" t="s">
        <v>691</v>
      </c>
      <c r="C469" s="347"/>
      <c r="D469" s="347" t="str">
        <f t="shared" si="1239"/>
        <v>ATV寸</v>
      </c>
      <c r="E469" s="400"/>
      <c r="F469" s="385"/>
      <c r="G469" s="385"/>
      <c r="H469" s="347"/>
      <c r="I469" s="386"/>
      <c r="J469" s="347">
        <v>19.2</v>
      </c>
      <c r="K469" s="347"/>
      <c r="L469" s="349">
        <f>IF(J468="","",J468/(J468+$J$378/60))</f>
        <v>0.697336561743341</v>
      </c>
      <c r="M469" s="349"/>
      <c r="N469" s="347"/>
      <c r="O469" s="347">
        <f>IFERROR(_xlfn.XLOOKUP(E469,轮胎重量!S:S,轮胎重量!P:P),IFERROR(_xlfn.XLOOKUP(E469,轮胎重量!AB:AB,轮胎重量!Y:Y),IFERROR(_xlfn.XLOOKUP(E469,轮胎重量!AK:AK,轮胎重量!AH:AH),IFERROR(_xlfn.XLOOKUP(E469,轮胎重量!AT:AT,轮胎重量!AQ:AQ),""))))</f>
        <v>0</v>
      </c>
      <c r="P469" s="350">
        <f t="shared" si="1196"/>
        <v>0</v>
      </c>
      <c r="Q469" s="347">
        <f t="shared" si="1216"/>
        <v>0</v>
      </c>
      <c r="R469" s="347"/>
      <c r="S469" s="347"/>
      <c r="T469" s="347"/>
      <c r="U469" s="347"/>
      <c r="V469" s="347"/>
      <c r="W469" s="347"/>
      <c r="X469" s="347"/>
      <c r="Y469" s="347"/>
      <c r="Z469" s="347"/>
      <c r="AA469" s="347"/>
      <c r="AB469" s="347"/>
      <c r="AC469" s="347"/>
      <c r="AD469" s="347"/>
      <c r="AE469" s="347"/>
      <c r="AF469" s="347"/>
      <c r="AG469" s="347"/>
      <c r="AH469" s="347"/>
      <c r="AI469" s="347"/>
      <c r="AJ469" s="347"/>
      <c r="AK469" s="347"/>
      <c r="AL469" s="347"/>
      <c r="AM469" s="347"/>
      <c r="AN469" s="347"/>
      <c r="AO469" s="347"/>
      <c r="AP469" s="347"/>
      <c r="AQ469" s="347"/>
      <c r="AR469" s="347"/>
      <c r="AS469" s="347"/>
      <c r="AT469" s="347"/>
      <c r="AU469" s="347"/>
      <c r="AV469" s="347"/>
      <c r="AW469" s="347" t="str">
        <f t="shared" si="1175"/>
        <v/>
      </c>
      <c r="AX469" s="365" t="str">
        <f t="shared" si="1176"/>
        <v/>
      </c>
      <c r="AY469" s="365" t="str">
        <f t="shared" si="1177"/>
        <v/>
      </c>
      <c r="AZ469" s="330"/>
      <c r="BA469" s="330"/>
      <c r="BB469" s="330"/>
      <c r="BC469" s="330"/>
      <c r="BD469" s="330"/>
      <c r="BE469" s="330" t="e">
        <f t="shared" si="1217"/>
        <v>#VALUE!</v>
      </c>
      <c r="BF469" s="330" t="e">
        <f t="shared" si="1218"/>
        <v>#VALUE!</v>
      </c>
      <c r="BG469" s="330" t="e">
        <f t="shared" si="1219"/>
        <v>#VALUE!</v>
      </c>
      <c r="BH469" s="330" t="e">
        <f t="shared" si="1220"/>
        <v>#VALUE!</v>
      </c>
      <c r="BI469" s="330"/>
      <c r="BJ469" s="370" cm="1">
        <f t="array" ref="BJ469:BM469">_xlfn.LET(_xlpm.data,$R469:$AV469,_xlpm.starts,{1,8,16,23},_xlpm.lengths,{7,7,8,9},_xlpm.arr,_xlfn.MAP(_xlpm.starts,_xlpm.lengths,_xlfn.LAMBDA(_xlpm.s,_xlpm.l,SUM(INDEX(_xlpm.data,,_xlfn.SEQUENCE(,_xlpm.l,_xlpm.s))))),ROUND(_xlpm.arr*$O469/1000,2))</f>
        <v>0</v>
      </c>
      <c r="BK469" s="330">
        <v>0</v>
      </c>
      <c r="BL469" s="330">
        <v>0</v>
      </c>
      <c r="BM469" s="330">
        <v>0</v>
      </c>
      <c r="BN469" s="258">
        <f t="shared" si="1221"/>
        <v>0</v>
      </c>
      <c r="BO469" s="258">
        <v>18.56</v>
      </c>
      <c r="BP469" s="258">
        <v>18.56</v>
      </c>
      <c r="BQ469" s="258">
        <v>21.21</v>
      </c>
      <c r="BR469" s="258">
        <v>23.86</v>
      </c>
      <c r="BS469" s="115" t="s">
        <v>757</v>
      </c>
      <c r="BX469" s="115" t="s">
        <v>757</v>
      </c>
      <c r="BY469" s="258">
        <f t="shared" si="1248"/>
        <v>0</v>
      </c>
      <c r="BZ469" s="258">
        <f t="shared" si="1249"/>
        <v>0</v>
      </c>
      <c r="CA469" s="258">
        <f t="shared" si="1250"/>
        <v>0</v>
      </c>
      <c r="CB469" s="258">
        <f t="shared" si="1251"/>
        <v>0</v>
      </c>
      <c r="CD469" s="113"/>
      <c r="CE469" s="398">
        <f>ROUND(BY469*$O469/1000,2)</f>
        <v>0</v>
      </c>
      <c r="CF469" s="389">
        <f>ROUND(BZ469*$O469/1000,2)</f>
        <v>0</v>
      </c>
      <c r="CG469" s="389">
        <f>ROUND(CA469*$O469/1000,2)</f>
        <v>0</v>
      </c>
      <c r="CH469" s="389">
        <f>ROUND(CB469*$O469/1000,2)</f>
        <v>0</v>
      </c>
      <c r="CI469" s="258">
        <f t="shared" si="1226"/>
        <v>0</v>
      </c>
      <c r="CJ469" s="113"/>
      <c r="CK469" s="258">
        <f t="shared" ref="CK469:CN469" si="1254">IFERROR(ROUND(BY469*$P469,2),"")</f>
        <v>0</v>
      </c>
      <c r="CL469" s="258">
        <f t="shared" si="1254"/>
        <v>0</v>
      </c>
      <c r="CM469" s="258">
        <f t="shared" si="1254"/>
        <v>0</v>
      </c>
      <c r="CN469" s="258">
        <f t="shared" si="1254"/>
        <v>0</v>
      </c>
    </row>
    <row r="470" spans="2:93">
      <c r="B470" s="347" t="s">
        <v>691</v>
      </c>
      <c r="C470" s="347" t="str">
        <f>IFERROR(MID(G470,FIND("-",G470)+1,2),"")</f>
        <v/>
      </c>
      <c r="D470" s="347" t="str">
        <f t="shared" si="1239"/>
        <v>ATV寸</v>
      </c>
      <c r="E470" s="385"/>
      <c r="F470" s="400"/>
      <c r="G470" s="385"/>
      <c r="H470" s="347"/>
      <c r="I470" s="386"/>
      <c r="J470" s="347">
        <f>1200/60</f>
        <v>20</v>
      </c>
      <c r="K470" s="347"/>
      <c r="L470" s="349">
        <f t="shared" ref="L470:L480" si="1255">IF(J469="","",J469/(J469+$J$378/60))</f>
        <v>0.697336561743341</v>
      </c>
      <c r="M470" s="349"/>
      <c r="N470" s="347"/>
      <c r="O470" s="347">
        <f>IFERROR(_xlfn.XLOOKUP(E470,轮胎重量!S:S,轮胎重量!P:P),IFERROR(_xlfn.XLOOKUP(E470,轮胎重量!AB:AB,轮胎重量!Y:Y),IFERROR(_xlfn.XLOOKUP(E470,轮胎重量!AK:AK,轮胎重量!AH:AH),IFERROR(_xlfn.XLOOKUP(E470,轮胎重量!AT:AT,轮胎重量!AQ:AQ),""))))</f>
        <v>0</v>
      </c>
      <c r="P470" s="350">
        <f t="shared" ref="P470:P477" si="1256">O470*14.76</f>
        <v>0</v>
      </c>
      <c r="Q470" s="347">
        <f t="shared" ref="Q470:Q484" si="1257">IFERROR(ROUND(1440/J470*I470*L471,0),"")</f>
        <v>0</v>
      </c>
      <c r="R470" s="347"/>
      <c r="S470" s="347"/>
      <c r="T470" s="347"/>
      <c r="U470" s="347"/>
      <c r="V470" s="347"/>
      <c r="W470" s="347"/>
      <c r="X470" s="347"/>
      <c r="Y470" s="347"/>
      <c r="Z470" s="347"/>
      <c r="AA470" s="347"/>
      <c r="AB470" s="347"/>
      <c r="AC470" s="347"/>
      <c r="AD470" s="347"/>
      <c r="AE470" s="347"/>
      <c r="AF470" s="347"/>
      <c r="AG470" s="347"/>
      <c r="AH470" s="347"/>
      <c r="AI470" s="347"/>
      <c r="AJ470" s="347"/>
      <c r="AK470" s="347"/>
      <c r="AL470" s="347"/>
      <c r="AM470" s="347"/>
      <c r="AN470" s="347"/>
      <c r="AO470" s="347"/>
      <c r="AP470" s="347"/>
      <c r="AQ470" s="347"/>
      <c r="AR470" s="347"/>
      <c r="AS470" s="347"/>
      <c r="AT470" s="347"/>
      <c r="AU470" s="347"/>
      <c r="AV470" s="347"/>
      <c r="AW470" s="347" t="str">
        <f t="shared" si="1175"/>
        <v/>
      </c>
      <c r="AX470" s="365" t="str">
        <f t="shared" si="1176"/>
        <v/>
      </c>
      <c r="AY470" s="365" t="str">
        <f t="shared" si="1177"/>
        <v/>
      </c>
      <c r="AZ470" s="330"/>
      <c r="BA470" s="330"/>
      <c r="BB470" s="330"/>
      <c r="BE470" s="330" t="e">
        <f t="shared" ref="BE470:BE486" si="1258">AZ470*AW470</f>
        <v>#VALUE!</v>
      </c>
      <c r="BF470" s="330" t="e">
        <f t="shared" ref="BF470:BF486" si="1259">BA470*AW470</f>
        <v>#VALUE!</v>
      </c>
      <c r="BG470" s="330" t="e">
        <f t="shared" ref="BG470:BG486" si="1260">BB470*AW470</f>
        <v>#VALUE!</v>
      </c>
      <c r="BH470" s="330" t="e">
        <f t="shared" ref="BH470:BH486" si="1261">BC470*AW470</f>
        <v>#VALUE!</v>
      </c>
      <c r="BJ470" s="370" cm="1">
        <f t="array" ref="BJ470:BM470">_xlfn.LET(_xlpm.data,$R470:$AV470,_xlpm.starts,{1,8,16,23},_xlpm.lengths,{7,7,8,9},_xlpm.arr,_xlfn.MAP(_xlpm.starts,_xlpm.lengths,_xlfn.LAMBDA(_xlpm.s,_xlpm.l,SUM(INDEX(_xlpm.data,,_xlfn.SEQUENCE(,_xlpm.l,_xlpm.s))))),ROUND(_xlpm.arr*$O470/1000,2))</f>
        <v>0</v>
      </c>
      <c r="BK470" s="330">
        <v>0</v>
      </c>
      <c r="BL470" s="330">
        <v>0</v>
      </c>
      <c r="BM470" s="330">
        <v>0</v>
      </c>
      <c r="BN470" s="258">
        <f t="shared" ref="BN470:BN484" si="1262">SUM(BJ470:BM470)</f>
        <v>0</v>
      </c>
      <c r="BO470" s="258">
        <v>1.51</v>
      </c>
      <c r="BP470" s="258">
        <v>1.51</v>
      </c>
      <c r="BQ470" s="258">
        <v>1.73</v>
      </c>
      <c r="BR470" s="258">
        <v>1.94</v>
      </c>
      <c r="BS470" s="115" t="s">
        <v>757</v>
      </c>
      <c r="BX470" s="115" t="s">
        <v>757</v>
      </c>
      <c r="BY470" s="258">
        <f t="shared" si="1248"/>
        <v>0</v>
      </c>
      <c r="BZ470" s="258">
        <f t="shared" si="1249"/>
        <v>0</v>
      </c>
      <c r="CA470" s="258">
        <f t="shared" si="1250"/>
        <v>0</v>
      </c>
      <c r="CB470" s="258">
        <f t="shared" si="1251"/>
        <v>0</v>
      </c>
      <c r="CE470" s="389">
        <f t="shared" ref="CE470:CE484" si="1263">ROUND(BY470*$O470/1000,2)</f>
        <v>0</v>
      </c>
      <c r="CF470" s="389">
        <f t="shared" ref="CF470:CF484" si="1264">ROUND(BZ470*$O470/1000,2)</f>
        <v>0</v>
      </c>
      <c r="CG470" s="389">
        <f t="shared" ref="CG470:CG484" si="1265">ROUND(CA470*$O470/1000,2)</f>
        <v>0</v>
      </c>
      <c r="CH470" s="389">
        <f t="shared" ref="CH470:CH484" si="1266">ROUND(CB470*$O470/1000,2)</f>
        <v>0</v>
      </c>
      <c r="CI470" s="258">
        <f t="shared" ref="CI470:CI484" si="1267">SUM(CE470:CH470)</f>
        <v>0</v>
      </c>
      <c r="CK470" s="258">
        <f t="shared" ref="CK470:CN470" si="1268">IFERROR(ROUND(BY470*$P470,2),"")</f>
        <v>0</v>
      </c>
      <c r="CL470" s="258">
        <f t="shared" si="1268"/>
        <v>0</v>
      </c>
      <c r="CM470" s="258">
        <f t="shared" si="1268"/>
        <v>0</v>
      </c>
      <c r="CN470" s="258">
        <f t="shared" si="1268"/>
        <v>0</v>
      </c>
      <c r="CO470" s="258">
        <f t="shared" ref="CO470:CO485" si="1269">SUM(CK470:CN470)</f>
        <v>0</v>
      </c>
    </row>
    <row r="471" ht="17" spans="2:93">
      <c r="B471" s="347" t="s">
        <v>691</v>
      </c>
      <c r="C471" s="347" t="str">
        <f>IFERROR(MID(G471,FIND("-",G471)+1,2),"")</f>
        <v/>
      </c>
      <c r="D471" s="347" t="str">
        <f t="shared" si="1239"/>
        <v>ATV寸</v>
      </c>
      <c r="E471" s="385"/>
      <c r="F471" s="400"/>
      <c r="G471" s="385"/>
      <c r="H471" s="347"/>
      <c r="I471" s="386"/>
      <c r="J471" s="347">
        <v>20</v>
      </c>
      <c r="K471" s="347"/>
      <c r="L471" s="349">
        <f t="shared" si="1255"/>
        <v>0.705882352941176</v>
      </c>
      <c r="M471" s="349"/>
      <c r="N471" s="347"/>
      <c r="O471" s="347">
        <f>IFERROR(_xlfn.XLOOKUP(E471,轮胎重量!S:S,轮胎重量!P:P),IFERROR(_xlfn.XLOOKUP(E471,轮胎重量!AB:AB,轮胎重量!Y:Y),IFERROR(_xlfn.XLOOKUP(E471,轮胎重量!AK:AK,轮胎重量!AH:AH),IFERROR(_xlfn.XLOOKUP(E471,轮胎重量!AT:AT,轮胎重量!AQ:AQ),""))))</f>
        <v>0</v>
      </c>
      <c r="P471" s="350">
        <f t="shared" si="1256"/>
        <v>0</v>
      </c>
      <c r="Q471" s="347">
        <f t="shared" si="1257"/>
        <v>0</v>
      </c>
      <c r="R471" s="347"/>
      <c r="S471" s="347"/>
      <c r="T471" s="347"/>
      <c r="U471" s="347"/>
      <c r="V471" s="347"/>
      <c r="W471" s="347"/>
      <c r="X471" s="347"/>
      <c r="Y471" s="347"/>
      <c r="Z471" s="347"/>
      <c r="AA471" s="347"/>
      <c r="AB471" s="347"/>
      <c r="AC471" s="347"/>
      <c r="AD471" s="347"/>
      <c r="AE471" s="347"/>
      <c r="AF471" s="347"/>
      <c r="AG471" s="347"/>
      <c r="AH471" s="347"/>
      <c r="AI471" s="347"/>
      <c r="AJ471" s="347"/>
      <c r="AK471" s="347"/>
      <c r="AL471" s="347"/>
      <c r="AM471" s="347"/>
      <c r="AN471" s="347"/>
      <c r="AO471" s="347"/>
      <c r="AP471" s="347"/>
      <c r="AQ471" s="347"/>
      <c r="AR471" s="347"/>
      <c r="AS471" s="347"/>
      <c r="AT471" s="347"/>
      <c r="AU471" s="347"/>
      <c r="AV471" s="347"/>
      <c r="AW471" s="347" t="str">
        <f t="shared" si="1175"/>
        <v/>
      </c>
      <c r="AX471" s="365" t="str">
        <f t="shared" si="1176"/>
        <v/>
      </c>
      <c r="AY471" s="365" t="str">
        <f t="shared" si="1177"/>
        <v/>
      </c>
      <c r="AZ471" s="330"/>
      <c r="BA471" s="330"/>
      <c r="BB471" s="330"/>
      <c r="BE471" s="330" t="e">
        <f t="shared" si="1258"/>
        <v>#VALUE!</v>
      </c>
      <c r="BF471" s="330" t="e">
        <f t="shared" si="1259"/>
        <v>#VALUE!</v>
      </c>
      <c r="BG471" s="330" t="e">
        <f t="shared" si="1260"/>
        <v>#VALUE!</v>
      </c>
      <c r="BH471" s="330" t="e">
        <f t="shared" si="1261"/>
        <v>#VALUE!</v>
      </c>
      <c r="BJ471" s="370" cm="1">
        <f t="array" ref="BJ471:BM471">_xlfn.LET(_xlpm.data,$R471:$AV471,_xlpm.starts,{1,8,16,23},_xlpm.lengths,{7,7,8,9},_xlpm.arr,_xlfn.MAP(_xlpm.starts,_xlpm.lengths,_xlfn.LAMBDA(_xlpm.s,_xlpm.l,SUM(INDEX(_xlpm.data,,_xlfn.SEQUENCE(,_xlpm.l,_xlpm.s))))),ROUND(_xlpm.arr*$O471/1000,2))</f>
        <v>0</v>
      </c>
      <c r="BK471" s="330">
        <v>0</v>
      </c>
      <c r="BL471" s="330">
        <v>0</v>
      </c>
      <c r="BM471" s="330">
        <v>0</v>
      </c>
      <c r="BN471" s="258">
        <f t="shared" si="1262"/>
        <v>0</v>
      </c>
      <c r="BO471" s="258">
        <v>1.35</v>
      </c>
      <c r="BP471" s="258">
        <v>1.35</v>
      </c>
      <c r="BQ471" s="258">
        <v>1.54</v>
      </c>
      <c r="BR471" s="258">
        <v>1.74</v>
      </c>
      <c r="BS471" s="115" t="s">
        <v>757</v>
      </c>
      <c r="BX471" s="258" t="s">
        <v>757</v>
      </c>
      <c r="BY471" s="258">
        <f t="shared" si="1248"/>
        <v>0</v>
      </c>
      <c r="BZ471" s="258">
        <f t="shared" si="1249"/>
        <v>0</v>
      </c>
      <c r="CA471" s="258">
        <f t="shared" si="1250"/>
        <v>0</v>
      </c>
      <c r="CB471" s="258">
        <f t="shared" si="1251"/>
        <v>0</v>
      </c>
      <c r="CE471" s="389">
        <f t="shared" si="1263"/>
        <v>0</v>
      </c>
      <c r="CF471" s="389">
        <f t="shared" si="1264"/>
        <v>0</v>
      </c>
      <c r="CG471" s="389">
        <f t="shared" si="1265"/>
        <v>0</v>
      </c>
      <c r="CH471" s="389">
        <f t="shared" si="1266"/>
        <v>0</v>
      </c>
      <c r="CI471" s="258">
        <f t="shared" si="1267"/>
        <v>0</v>
      </c>
      <c r="CK471" s="258">
        <f t="shared" ref="CK471:CN471" si="1270">IFERROR(ROUND(BY471*$P471,2),"")</f>
        <v>0</v>
      </c>
      <c r="CL471" s="258">
        <f t="shared" si="1270"/>
        <v>0</v>
      </c>
      <c r="CM471" s="258">
        <f t="shared" si="1270"/>
        <v>0</v>
      </c>
      <c r="CN471" s="258">
        <f t="shared" si="1270"/>
        <v>0</v>
      </c>
      <c r="CO471" s="258">
        <f t="shared" si="1269"/>
        <v>0</v>
      </c>
    </row>
    <row r="472" s="258" customFormat="1" ht="17" spans="1:93">
      <c r="A472" s="330"/>
      <c r="B472" s="347"/>
      <c r="C472" s="347"/>
      <c r="D472" s="347"/>
      <c r="E472" s="385"/>
      <c r="F472" s="400"/>
      <c r="G472" s="385"/>
      <c r="H472" s="347"/>
      <c r="I472" s="386"/>
      <c r="J472" s="347">
        <f>1200/60</f>
        <v>20</v>
      </c>
      <c r="K472" s="347"/>
      <c r="L472" s="349">
        <f t="shared" si="1255"/>
        <v>0.705882352941176</v>
      </c>
      <c r="M472" s="349"/>
      <c r="N472" s="347"/>
      <c r="O472" s="347">
        <f>IFERROR(_xlfn.XLOOKUP(E472,轮胎重量!S:S,轮胎重量!P:P),IFERROR(_xlfn.XLOOKUP(E472,轮胎重量!AB:AB,轮胎重量!Y:Y),IFERROR(_xlfn.XLOOKUP(E472,轮胎重量!AK:AK,轮胎重量!AH:AH),IFERROR(_xlfn.XLOOKUP(E472,轮胎重量!AT:AT,轮胎重量!AQ:AQ),""))))</f>
        <v>0</v>
      </c>
      <c r="P472" s="350">
        <f t="shared" si="1256"/>
        <v>0</v>
      </c>
      <c r="Q472" s="347">
        <f t="shared" si="1257"/>
        <v>0</v>
      </c>
      <c r="R472" s="347"/>
      <c r="S472" s="347"/>
      <c r="T472" s="347"/>
      <c r="U472" s="347"/>
      <c r="V472" s="347"/>
      <c r="W472" s="347"/>
      <c r="X472" s="347"/>
      <c r="Y472" s="347"/>
      <c r="Z472" s="347"/>
      <c r="AA472" s="347"/>
      <c r="AB472" s="347"/>
      <c r="AC472" s="347"/>
      <c r="AD472" s="347"/>
      <c r="AE472" s="347"/>
      <c r="AF472" s="347"/>
      <c r="AG472" s="347"/>
      <c r="AH472" s="347"/>
      <c r="AI472" s="347"/>
      <c r="AJ472" s="347"/>
      <c r="AK472" s="347"/>
      <c r="AL472" s="347"/>
      <c r="AM472" s="347"/>
      <c r="AN472" s="347"/>
      <c r="AO472" s="347"/>
      <c r="AP472" s="347"/>
      <c r="AQ472" s="347"/>
      <c r="AR472" s="347"/>
      <c r="AS472" s="347"/>
      <c r="AT472" s="347"/>
      <c r="AU472" s="347"/>
      <c r="AV472" s="347"/>
      <c r="AW472" s="347" t="str">
        <f t="shared" si="1175"/>
        <v/>
      </c>
      <c r="AX472" s="365" t="str">
        <f t="shared" si="1176"/>
        <v/>
      </c>
      <c r="AY472" s="365" t="str">
        <f t="shared" si="1177"/>
        <v/>
      </c>
      <c r="AZ472" s="330"/>
      <c r="BA472" s="330"/>
      <c r="BB472" s="330"/>
      <c r="BC472" s="330"/>
      <c r="BD472" s="330"/>
      <c r="BE472" s="330" t="e">
        <f t="shared" si="1258"/>
        <v>#VALUE!</v>
      </c>
      <c r="BF472" s="330" t="e">
        <f t="shared" si="1259"/>
        <v>#VALUE!</v>
      </c>
      <c r="BG472" s="330" t="e">
        <f t="shared" si="1260"/>
        <v>#VALUE!</v>
      </c>
      <c r="BH472" s="330" t="e">
        <f t="shared" si="1261"/>
        <v>#VALUE!</v>
      </c>
      <c r="BI472" s="330"/>
      <c r="BJ472" s="370" cm="1">
        <f t="array" ref="BJ472:BM472">_xlfn.LET(_xlpm.data,$R472:$AV472,_xlpm.starts,{1,8,16,23},_xlpm.lengths,{7,7,8,9},_xlpm.arr,_xlfn.MAP(_xlpm.starts,_xlpm.lengths,_xlfn.LAMBDA(_xlpm.s,_xlpm.l,SUM(INDEX(_xlpm.data,,_xlfn.SEQUENCE(,_xlpm.l,_xlpm.s))))),ROUND(_xlpm.arr*$O472/1000,2))</f>
        <v>0</v>
      </c>
      <c r="BK472" s="330">
        <v>0</v>
      </c>
      <c r="BL472" s="330">
        <v>0</v>
      </c>
      <c r="BM472" s="330">
        <v>0</v>
      </c>
      <c r="BN472" s="258">
        <f t="shared" si="1262"/>
        <v>0</v>
      </c>
      <c r="BO472" s="258">
        <v>1.51</v>
      </c>
      <c r="BP472" s="258">
        <v>1.51</v>
      </c>
      <c r="BQ472" s="258">
        <v>1.73</v>
      </c>
      <c r="BR472" s="258">
        <v>1.94</v>
      </c>
      <c r="BS472" s="115" t="s">
        <v>757</v>
      </c>
      <c r="BX472" s="258" t="s">
        <v>757</v>
      </c>
      <c r="BY472" s="258">
        <f t="shared" si="1248"/>
        <v>0</v>
      </c>
      <c r="BZ472" s="258">
        <f t="shared" si="1249"/>
        <v>0</v>
      </c>
      <c r="CA472" s="258">
        <f t="shared" si="1250"/>
        <v>0</v>
      </c>
      <c r="CB472" s="258">
        <f t="shared" si="1251"/>
        <v>0</v>
      </c>
      <c r="CD472" s="113"/>
      <c r="CE472" s="389">
        <f t="shared" si="1263"/>
        <v>0</v>
      </c>
      <c r="CF472" s="389">
        <f t="shared" si="1264"/>
        <v>0</v>
      </c>
      <c r="CG472" s="389">
        <f t="shared" si="1265"/>
        <v>0</v>
      </c>
      <c r="CH472" s="389">
        <f t="shared" si="1266"/>
        <v>0</v>
      </c>
      <c r="CI472" s="258">
        <f t="shared" si="1267"/>
        <v>0</v>
      </c>
      <c r="CJ472" s="113"/>
      <c r="CK472" s="258">
        <f t="shared" ref="CK472:CN472" si="1271">IFERROR(ROUND(BY472*$P472,2),"")</f>
        <v>0</v>
      </c>
      <c r="CL472" s="258">
        <f t="shared" si="1271"/>
        <v>0</v>
      </c>
      <c r="CM472" s="258">
        <f t="shared" si="1271"/>
        <v>0</v>
      </c>
      <c r="CN472" s="258">
        <f t="shared" si="1271"/>
        <v>0</v>
      </c>
      <c r="CO472" s="258">
        <f t="shared" si="1269"/>
        <v>0</v>
      </c>
    </row>
    <row r="473" s="258" customFormat="1" spans="1:95">
      <c r="A473" s="330"/>
      <c r="B473" s="347" t="s">
        <v>691</v>
      </c>
      <c r="C473" s="347" t="str">
        <f>IFERROR(MID(G473,FIND("-",G473)+1,2),"")</f>
        <v>12</v>
      </c>
      <c r="D473" s="347" t="str">
        <f t="shared" ref="D473:D478" si="1272">"ATD"&amp;C473&amp;"寸"</f>
        <v>ATD12寸</v>
      </c>
      <c r="E473" s="385" t="s">
        <v>762</v>
      </c>
      <c r="F473" s="400"/>
      <c r="G473" s="401" t="s">
        <v>289</v>
      </c>
      <c r="H473" s="347">
        <v>160</v>
      </c>
      <c r="I473" s="386">
        <v>2</v>
      </c>
      <c r="J473" s="347">
        <v>20</v>
      </c>
      <c r="K473" s="347"/>
      <c r="L473" s="349">
        <f t="shared" si="1255"/>
        <v>0.705882352941176</v>
      </c>
      <c r="M473" s="349"/>
      <c r="N473" s="347"/>
      <c r="O473" s="347">
        <f>IFERROR(_xlfn.XLOOKUP(E473,轮胎重量!S:S,轮胎重量!P:P),IFERROR(_xlfn.XLOOKUP(E473,轮胎重量!AB:AB,轮胎重量!Y:Y),IFERROR(_xlfn.XLOOKUP(E473,轮胎重量!AK:AK,轮胎重量!AH:AH),IFERROR(_xlfn.XLOOKUP(E473,轮胎重量!AT:AT,轮胎重量!AQ:AQ),""))))</f>
        <v>11.99</v>
      </c>
      <c r="P473" s="350">
        <f t="shared" si="1256"/>
        <v>176.9724</v>
      </c>
      <c r="Q473" s="347">
        <f t="shared" si="1257"/>
        <v>102</v>
      </c>
      <c r="R473" s="347"/>
      <c r="S473" s="347"/>
      <c r="T473" s="347"/>
      <c r="U473" s="347"/>
      <c r="V473" s="347"/>
      <c r="W473" s="347"/>
      <c r="X473" s="347"/>
      <c r="Y473" s="347"/>
      <c r="Z473" s="347">
        <v>100</v>
      </c>
      <c r="AA473" s="347">
        <v>100</v>
      </c>
      <c r="AB473" s="347"/>
      <c r="AC473" s="347"/>
      <c r="AD473" s="347"/>
      <c r="AE473" s="347"/>
      <c r="AF473" s="347"/>
      <c r="AG473" s="347"/>
      <c r="AH473" s="347"/>
      <c r="AI473" s="347"/>
      <c r="AJ473" s="347"/>
      <c r="AK473" s="347"/>
      <c r="AL473" s="347"/>
      <c r="AM473" s="347"/>
      <c r="AN473" s="347"/>
      <c r="AO473" s="347"/>
      <c r="AP473" s="347"/>
      <c r="AQ473" s="347"/>
      <c r="AR473" s="347"/>
      <c r="AS473" s="347"/>
      <c r="AT473" s="347"/>
      <c r="AU473" s="347"/>
      <c r="AV473" s="347"/>
      <c r="AW473" s="347">
        <v>3000</v>
      </c>
      <c r="AX473" s="365">
        <f t="shared" si="1176"/>
        <v>35.97</v>
      </c>
      <c r="AY473" s="365">
        <f t="shared" si="1177"/>
        <v>53.092</v>
      </c>
      <c r="AZ473" s="330"/>
      <c r="BA473" s="330"/>
      <c r="BB473" s="330"/>
      <c r="BC473" s="330"/>
      <c r="BD473" s="330"/>
      <c r="BE473" s="330">
        <f t="shared" si="1258"/>
        <v>0</v>
      </c>
      <c r="BF473" s="330">
        <f t="shared" si="1259"/>
        <v>0</v>
      </c>
      <c r="BG473" s="330">
        <f t="shared" si="1260"/>
        <v>0</v>
      </c>
      <c r="BH473" s="330">
        <f t="shared" si="1261"/>
        <v>0</v>
      </c>
      <c r="BI473" s="330"/>
      <c r="BJ473" s="370" cm="1">
        <f t="array" ref="BJ473:BM473">_xlfn.LET(_xlpm.data,$R473:$AV473,_xlpm.starts,{1,8,16,23},_xlpm.lengths,{7,7,8,9},_xlpm.arr,_xlfn.MAP(_xlpm.starts,_xlpm.lengths,_xlfn.LAMBDA(_xlpm.s,_xlpm.l,SUM(INDEX(_xlpm.data,,_xlfn.SEQUENCE(,_xlpm.l,_xlpm.s))))),ROUND(_xlpm.arr*$O473/1000,2))</f>
        <v>0</v>
      </c>
      <c r="BK473" s="330">
        <v>2.4</v>
      </c>
      <c r="BL473" s="330">
        <v>0</v>
      </c>
      <c r="BM473" s="330">
        <v>0</v>
      </c>
      <c r="BN473" s="258">
        <f t="shared" si="1262"/>
        <v>2.4</v>
      </c>
      <c r="BO473" s="258">
        <v>1.35</v>
      </c>
      <c r="BP473" s="258">
        <v>1.35</v>
      </c>
      <c r="BQ473" s="258">
        <v>1.54</v>
      </c>
      <c r="BR473" s="258">
        <v>1.74</v>
      </c>
      <c r="BS473" s="115" t="s">
        <v>97</v>
      </c>
      <c r="BX473" s="115" t="s">
        <v>97</v>
      </c>
      <c r="BY473" s="258">
        <f t="shared" si="1248"/>
        <v>0</v>
      </c>
      <c r="BZ473" s="258">
        <f t="shared" si="1249"/>
        <v>200</v>
      </c>
      <c r="CA473" s="258">
        <f t="shared" si="1250"/>
        <v>0</v>
      </c>
      <c r="CB473" s="258">
        <f t="shared" si="1251"/>
        <v>0</v>
      </c>
      <c r="CD473" s="113"/>
      <c r="CE473" s="389">
        <f t="shared" si="1263"/>
        <v>0</v>
      </c>
      <c r="CF473" s="389">
        <f t="shared" si="1264"/>
        <v>2.4</v>
      </c>
      <c r="CG473" s="389">
        <f t="shared" si="1265"/>
        <v>0</v>
      </c>
      <c r="CH473" s="389">
        <f t="shared" si="1266"/>
        <v>0</v>
      </c>
      <c r="CI473" s="258">
        <f t="shared" si="1267"/>
        <v>2.4</v>
      </c>
      <c r="CJ473" s="113"/>
      <c r="CK473" s="258">
        <f t="shared" ref="CK473:CN473" si="1273">IFERROR(ROUND(BY473*$P473,2),"")</f>
        <v>0</v>
      </c>
      <c r="CL473" s="258">
        <f t="shared" si="1273"/>
        <v>35394.48</v>
      </c>
      <c r="CM473" s="258">
        <f t="shared" si="1273"/>
        <v>0</v>
      </c>
      <c r="CN473" s="258">
        <f t="shared" si="1273"/>
        <v>0</v>
      </c>
      <c r="CO473" s="258">
        <f t="shared" si="1269"/>
        <v>35394.48</v>
      </c>
      <c r="CP473" s="258">
        <v>3000</v>
      </c>
      <c r="CQ473" s="258" t="e">
        <f>VLOOKUP(G473,[3]KCBB0101!$C$3:$F$691,4,0)</f>
        <v>#N/A</v>
      </c>
    </row>
    <row r="474" s="258" customFormat="1" spans="1:95">
      <c r="A474" s="330"/>
      <c r="B474" s="347" t="s">
        <v>691</v>
      </c>
      <c r="C474" s="347" t="str">
        <f>IFERROR(MID(G474,FIND("-",G474)+1,2),"")</f>
        <v>12</v>
      </c>
      <c r="D474" s="347" t="str">
        <f t="shared" si="1272"/>
        <v>ATD12寸</v>
      </c>
      <c r="E474" s="385" t="str">
        <f t="shared" ref="E473:E476" si="1274">LEFT(REPLACE(G474,1,2,""),FIND("[",REPLACE(G474,1,2,""))-1)&amp;"-"&amp;MID(REPLACE(G474,1,2,""),FIND("[",REPLACE(G474,1,2,""))+1,FIND("]",REPLACE(G474,1,2,""))-FIND("[",REPLACE(G474,1,2,""))-1)</f>
        <v>26×12-12-8PR-STRONG GUARD R1</v>
      </c>
      <c r="F474" s="400"/>
      <c r="G474" s="401" t="s">
        <v>294</v>
      </c>
      <c r="H474" s="347">
        <v>250</v>
      </c>
      <c r="I474" s="386">
        <v>2</v>
      </c>
      <c r="J474" s="347">
        <f>1200/60</f>
        <v>20</v>
      </c>
      <c r="K474" s="347"/>
      <c r="L474" s="349">
        <f t="shared" si="1255"/>
        <v>0.705882352941176</v>
      </c>
      <c r="M474" s="349"/>
      <c r="N474" s="347"/>
      <c r="O474" s="347">
        <f>IFERROR(_xlfn.XLOOKUP(E474,轮胎重量!S:S,轮胎重量!P:P),IFERROR(_xlfn.XLOOKUP(E474,轮胎重量!AB:AB,轮胎重量!Y:Y),IFERROR(_xlfn.XLOOKUP(E474,轮胎重量!AK:AK,轮胎重量!AH:AH),IFERROR(_xlfn.XLOOKUP(E474,轮胎重量!AT:AT,轮胎重量!AQ:AQ),""))))</f>
        <v>21.41</v>
      </c>
      <c r="P474" s="350">
        <f t="shared" si="1256"/>
        <v>316.0116</v>
      </c>
      <c r="Q474" s="347">
        <f t="shared" si="1257"/>
        <v>102</v>
      </c>
      <c r="R474" s="347"/>
      <c r="S474" s="347"/>
      <c r="T474" s="347"/>
      <c r="U474" s="347"/>
      <c r="V474" s="347"/>
      <c r="W474" s="347">
        <v>100</v>
      </c>
      <c r="X474" s="347">
        <v>100</v>
      </c>
      <c r="Y474" s="347">
        <v>100</v>
      </c>
      <c r="Z474" s="347"/>
      <c r="AA474" s="347"/>
      <c r="AB474" s="347"/>
      <c r="AC474" s="347"/>
      <c r="AD474" s="347"/>
      <c r="AE474" s="347"/>
      <c r="AF474" s="347"/>
      <c r="AG474" s="347"/>
      <c r="AH474" s="347"/>
      <c r="AI474" s="347"/>
      <c r="AJ474" s="347"/>
      <c r="AK474" s="347"/>
      <c r="AL474" s="347"/>
      <c r="AM474" s="347"/>
      <c r="AN474" s="347"/>
      <c r="AO474" s="347"/>
      <c r="AP474" s="347"/>
      <c r="AQ474" s="347"/>
      <c r="AR474" s="347"/>
      <c r="AS474" s="347"/>
      <c r="AT474" s="347"/>
      <c r="AU474" s="347"/>
      <c r="AV474" s="347"/>
      <c r="AW474" s="347">
        <v>3000</v>
      </c>
      <c r="AX474" s="365">
        <f t="shared" si="1176"/>
        <v>64.23</v>
      </c>
      <c r="AY474" s="365">
        <f t="shared" si="1177"/>
        <v>94.803</v>
      </c>
      <c r="AZ474" s="330"/>
      <c r="BA474" s="330"/>
      <c r="BB474" s="330"/>
      <c r="BC474" s="330"/>
      <c r="BD474" s="330"/>
      <c r="BE474" s="330">
        <f t="shared" si="1258"/>
        <v>0</v>
      </c>
      <c r="BF474" s="330">
        <f t="shared" si="1259"/>
        <v>0</v>
      </c>
      <c r="BG474" s="330">
        <f t="shared" si="1260"/>
        <v>0</v>
      </c>
      <c r="BH474" s="330">
        <f t="shared" si="1261"/>
        <v>0</v>
      </c>
      <c r="BI474" s="330"/>
      <c r="BJ474" s="370" cm="1">
        <f t="array" ref="BJ474:BM474">_xlfn.LET(_xlpm.data,$R474:$AV474,_xlpm.starts,{1,8,16,23},_xlpm.lengths,{7,7,8,9},_xlpm.arr,_xlfn.MAP(_xlpm.starts,_xlpm.lengths,_xlfn.LAMBDA(_xlpm.s,_xlpm.l,SUM(INDEX(_xlpm.data,,_xlfn.SEQUENCE(,_xlpm.l,_xlpm.s))))),ROUND(_xlpm.arr*$O474/1000,2))</f>
        <v>4.28</v>
      </c>
      <c r="BK474" s="330">
        <v>2.14</v>
      </c>
      <c r="BL474" s="330">
        <v>0</v>
      </c>
      <c r="BM474" s="330">
        <v>0</v>
      </c>
      <c r="BN474" s="258">
        <f t="shared" si="1262"/>
        <v>6.42</v>
      </c>
      <c r="BO474" s="258">
        <v>0.13</v>
      </c>
      <c r="BP474" s="258">
        <v>0.86</v>
      </c>
      <c r="BQ474" s="258">
        <v>1.73</v>
      </c>
      <c r="BR474" s="258">
        <v>1.94</v>
      </c>
      <c r="BS474" s="115" t="s">
        <v>97</v>
      </c>
      <c r="BX474" s="115" t="s">
        <v>97</v>
      </c>
      <c r="BY474" s="258">
        <f t="shared" si="1248"/>
        <v>200</v>
      </c>
      <c r="BZ474" s="258">
        <f t="shared" si="1249"/>
        <v>100</v>
      </c>
      <c r="CA474" s="258">
        <f t="shared" si="1250"/>
        <v>0</v>
      </c>
      <c r="CB474" s="258">
        <f t="shared" si="1251"/>
        <v>0</v>
      </c>
      <c r="CD474" s="113"/>
      <c r="CE474" s="389">
        <f t="shared" si="1263"/>
        <v>4.28</v>
      </c>
      <c r="CF474" s="389">
        <f t="shared" si="1264"/>
        <v>2.14</v>
      </c>
      <c r="CG474" s="389">
        <f t="shared" si="1265"/>
        <v>0</v>
      </c>
      <c r="CH474" s="389">
        <f t="shared" si="1266"/>
        <v>0</v>
      </c>
      <c r="CI474" s="258">
        <f t="shared" si="1267"/>
        <v>6.42</v>
      </c>
      <c r="CJ474" s="113"/>
      <c r="CK474" s="258">
        <f t="shared" ref="CK474:CN474" si="1275">IFERROR(ROUND(BY474*$P474,2),"")</f>
        <v>63202.32</v>
      </c>
      <c r="CL474" s="258">
        <f t="shared" si="1275"/>
        <v>31601.16</v>
      </c>
      <c r="CM474" s="258">
        <f t="shared" si="1275"/>
        <v>0</v>
      </c>
      <c r="CN474" s="258">
        <f t="shared" si="1275"/>
        <v>0</v>
      </c>
      <c r="CO474" s="258">
        <f t="shared" si="1269"/>
        <v>94803.48</v>
      </c>
      <c r="CP474" s="258">
        <f>VLOOKUP(G474,[2]Sheet1!$C$3:$G$310,5,0)</f>
        <v>3000</v>
      </c>
      <c r="CQ474" s="258" t="e">
        <f>VLOOKUP(G474,[3]KCBB0101!$C$3:$F$691,4,0)</f>
        <v>#N/A</v>
      </c>
    </row>
    <row r="475" s="258" customFormat="1" spans="1:95">
      <c r="A475" s="330"/>
      <c r="B475" s="347" t="s">
        <v>691</v>
      </c>
      <c r="C475" s="347" t="str">
        <f>IFERROR(MID(G475,FIND("-",G475)+1,2),"")</f>
        <v>15</v>
      </c>
      <c r="D475" s="347" t="str">
        <f t="shared" si="1272"/>
        <v>ATD15寸</v>
      </c>
      <c r="E475" s="385" t="str">
        <f t="shared" si="1274"/>
        <v>27×8.5-15-8PR-STRONG GUARD SS</v>
      </c>
      <c r="F475" s="400"/>
      <c r="G475" s="401" t="s">
        <v>298</v>
      </c>
      <c r="H475" s="347">
        <v>420</v>
      </c>
      <c r="I475" s="386">
        <v>2</v>
      </c>
      <c r="J475" s="347">
        <v>20</v>
      </c>
      <c r="K475" s="347"/>
      <c r="L475" s="349">
        <f t="shared" si="1255"/>
        <v>0.705882352941176</v>
      </c>
      <c r="M475" s="349"/>
      <c r="N475" s="347"/>
      <c r="O475" s="347">
        <f>IFERROR(_xlfn.XLOOKUP(E475,轮胎重量!S:S,轮胎重量!P:P),IFERROR(_xlfn.XLOOKUP(E475,轮胎重量!AB:AB,轮胎重量!Y:Y),IFERROR(_xlfn.XLOOKUP(E475,轮胎重量!AK:AK,轮胎重量!AH:AH),IFERROR(_xlfn.XLOOKUP(E475,轮胎重量!AT:AT,轮胎重量!AQ:AQ),""))))</f>
        <v>15.58</v>
      </c>
      <c r="P475" s="350">
        <f t="shared" si="1256"/>
        <v>229.9608</v>
      </c>
      <c r="Q475" s="347">
        <f t="shared" si="1257"/>
        <v>102</v>
      </c>
      <c r="R475" s="347"/>
      <c r="S475" s="347"/>
      <c r="T475" s="347"/>
      <c r="U475" s="347"/>
      <c r="V475" s="347"/>
      <c r="W475" s="347"/>
      <c r="X475" s="347"/>
      <c r="Y475" s="347"/>
      <c r="Z475" s="347"/>
      <c r="AA475" s="347"/>
      <c r="AB475" s="347">
        <v>100</v>
      </c>
      <c r="AC475" s="347">
        <v>100</v>
      </c>
      <c r="AD475" s="347">
        <v>100</v>
      </c>
      <c r="AE475" s="347">
        <v>100</v>
      </c>
      <c r="AF475" s="347">
        <v>100</v>
      </c>
      <c r="AG475" s="347"/>
      <c r="AH475" s="347"/>
      <c r="AI475" s="347"/>
      <c r="AJ475" s="347"/>
      <c r="AK475" s="347"/>
      <c r="AL475" s="347"/>
      <c r="AM475" s="347"/>
      <c r="AN475" s="347"/>
      <c r="AO475" s="347"/>
      <c r="AP475" s="347"/>
      <c r="AQ475" s="347"/>
      <c r="AR475" s="347"/>
      <c r="AS475" s="347"/>
      <c r="AT475" s="347"/>
      <c r="AU475" s="347"/>
      <c r="AV475" s="347"/>
      <c r="AW475" s="347">
        <v>3000</v>
      </c>
      <c r="AX475" s="365">
        <f t="shared" si="1176"/>
        <v>46.74</v>
      </c>
      <c r="AY475" s="365">
        <f t="shared" si="1177"/>
        <v>68.988</v>
      </c>
      <c r="AZ475" s="330"/>
      <c r="BA475" s="330"/>
      <c r="BB475" s="330"/>
      <c r="BC475" s="330"/>
      <c r="BD475" s="330"/>
      <c r="BE475" s="330">
        <f t="shared" si="1258"/>
        <v>0</v>
      </c>
      <c r="BF475" s="330">
        <f t="shared" si="1259"/>
        <v>0</v>
      </c>
      <c r="BG475" s="330">
        <f t="shared" si="1260"/>
        <v>0</v>
      </c>
      <c r="BH475" s="330">
        <f t="shared" si="1261"/>
        <v>0</v>
      </c>
      <c r="BI475" s="330"/>
      <c r="BJ475" s="370" cm="1">
        <f t="array" ref="BJ475:BM475">_xlfn.LET(_xlpm.data,$R475:$AV475,_xlpm.starts,{1,8,16,23},_xlpm.lengths,{7,7,8,9},_xlpm.arr,_xlfn.MAP(_xlpm.starts,_xlpm.lengths,_xlfn.LAMBDA(_xlpm.s,_xlpm.l,SUM(INDEX(_xlpm.data,,_xlfn.SEQUENCE(,_xlpm.l,_xlpm.s))))),ROUND(_xlpm.arr*$O475/1000,2))</f>
        <v>0</v>
      </c>
      <c r="BK475" s="330">
        <v>6.23</v>
      </c>
      <c r="BL475" s="330">
        <v>0</v>
      </c>
      <c r="BM475" s="330">
        <v>0</v>
      </c>
      <c r="BN475" s="258">
        <f t="shared" si="1262"/>
        <v>6.23</v>
      </c>
      <c r="BO475" s="258">
        <v>0.12</v>
      </c>
      <c r="BP475" s="258">
        <v>0.77</v>
      </c>
      <c r="BQ475" s="258">
        <v>1.54</v>
      </c>
      <c r="BR475" s="258">
        <v>1.74</v>
      </c>
      <c r="BS475" s="115" t="s">
        <v>97</v>
      </c>
      <c r="BX475" s="115" t="s">
        <v>97</v>
      </c>
      <c r="BY475" s="258">
        <f t="shared" si="1248"/>
        <v>0</v>
      </c>
      <c r="BZ475" s="258">
        <f t="shared" si="1249"/>
        <v>400</v>
      </c>
      <c r="CA475" s="258">
        <f t="shared" si="1250"/>
        <v>100</v>
      </c>
      <c r="CB475" s="258">
        <f t="shared" si="1251"/>
        <v>0</v>
      </c>
      <c r="CD475" s="113"/>
      <c r="CE475" s="389">
        <f t="shared" si="1263"/>
        <v>0</v>
      </c>
      <c r="CF475" s="389">
        <f t="shared" si="1264"/>
        <v>6.23</v>
      </c>
      <c r="CG475" s="389">
        <f t="shared" si="1265"/>
        <v>1.56</v>
      </c>
      <c r="CH475" s="389">
        <f t="shared" si="1266"/>
        <v>0</v>
      </c>
      <c r="CI475" s="258">
        <f t="shared" si="1267"/>
        <v>7.79</v>
      </c>
      <c r="CJ475" s="113"/>
      <c r="CK475" s="258">
        <f t="shared" ref="CK475:CN475" si="1276">IFERROR(ROUND(BY475*$P475,2),"")</f>
        <v>0</v>
      </c>
      <c r="CL475" s="258">
        <f t="shared" si="1276"/>
        <v>91984.32</v>
      </c>
      <c r="CM475" s="258">
        <f t="shared" si="1276"/>
        <v>22996.08</v>
      </c>
      <c r="CN475" s="258">
        <f t="shared" si="1276"/>
        <v>0</v>
      </c>
      <c r="CO475" s="258">
        <f t="shared" si="1269"/>
        <v>114980.4</v>
      </c>
      <c r="CP475" s="258">
        <f>VLOOKUP(G475,[2]Sheet1!$C$3:$G$310,5,0)</f>
        <v>3000</v>
      </c>
      <c r="CQ475" s="258" t="e">
        <f>VLOOKUP(G475,[3]KCBB0101!$C$3:$F$691,4,0)</f>
        <v>#N/A</v>
      </c>
    </row>
    <row r="476" s="258" customFormat="1" spans="1:95">
      <c r="A476" s="330"/>
      <c r="B476" s="347" t="s">
        <v>691</v>
      </c>
      <c r="C476" s="347" t="str">
        <f>IFERROR(MID(G476,FIND("-",G476)+1,2),"")</f>
        <v>15</v>
      </c>
      <c r="D476" s="347" t="str">
        <f t="shared" si="1272"/>
        <v>ATD15寸</v>
      </c>
      <c r="E476" s="385" t="s">
        <v>763</v>
      </c>
      <c r="F476" s="400"/>
      <c r="G476" s="401" t="s">
        <v>302</v>
      </c>
      <c r="H476" s="347">
        <v>100</v>
      </c>
      <c r="I476" s="386">
        <v>2</v>
      </c>
      <c r="J476" s="347">
        <v>20</v>
      </c>
      <c r="K476" s="347"/>
      <c r="L476" s="349">
        <f t="shared" si="1255"/>
        <v>0.705882352941176</v>
      </c>
      <c r="M476" s="349"/>
      <c r="N476" s="347"/>
      <c r="O476" s="347">
        <f>IFERROR(_xlfn.XLOOKUP(E476,轮胎重量!S:S,轮胎重量!P:P),IFERROR(_xlfn.XLOOKUP(E476,轮胎重量!AB:AB,轮胎重量!Y:Y),IFERROR(_xlfn.XLOOKUP(E476,轮胎重量!AK:AK,轮胎重量!AH:AH),IFERROR(_xlfn.XLOOKUP(E476,轮胎重量!AT:AT,轮胎重量!AQ:AQ),""))))</f>
        <v>24.96</v>
      </c>
      <c r="P476" s="350">
        <f t="shared" si="1256"/>
        <v>368.4096</v>
      </c>
      <c r="Q476" s="347">
        <f t="shared" si="1257"/>
        <v>102</v>
      </c>
      <c r="R476" s="347"/>
      <c r="S476" s="347"/>
      <c r="T476" s="347"/>
      <c r="U476" s="347"/>
      <c r="V476" s="347"/>
      <c r="W476" s="347"/>
      <c r="X476" s="347"/>
      <c r="Y476" s="347"/>
      <c r="Z476" s="347"/>
      <c r="AA476" s="347"/>
      <c r="AB476" s="347"/>
      <c r="AC476" s="347"/>
      <c r="AD476" s="347"/>
      <c r="AE476" s="347"/>
      <c r="AF476" s="347"/>
      <c r="AG476" s="347">
        <v>100</v>
      </c>
      <c r="AH476" s="347">
        <v>100</v>
      </c>
      <c r="AI476" s="347"/>
      <c r="AJ476" s="347"/>
      <c r="AK476" s="347"/>
      <c r="AL476" s="347"/>
      <c r="AM476" s="347"/>
      <c r="AN476" s="347"/>
      <c r="AO476" s="347"/>
      <c r="AP476" s="347"/>
      <c r="AQ476" s="347"/>
      <c r="AR476" s="347"/>
      <c r="AS476" s="347"/>
      <c r="AT476" s="347"/>
      <c r="AU476" s="347"/>
      <c r="AV476" s="347"/>
      <c r="AW476" s="347">
        <v>3000</v>
      </c>
      <c r="AX476" s="365">
        <f t="shared" ref="AX476:AX481" si="1277">IFERROR(AW476*O476/1000,"")</f>
        <v>74.88</v>
      </c>
      <c r="AY476" s="365">
        <f t="shared" ref="AY476:AY481" si="1278">IFERROR(ROUND(AW476*P476/10000,3),"")</f>
        <v>110.523</v>
      </c>
      <c r="AZ476" s="330"/>
      <c r="BA476" s="330"/>
      <c r="BB476" s="330"/>
      <c r="BC476" s="330"/>
      <c r="BD476" s="330"/>
      <c r="BE476" s="330">
        <f t="shared" si="1258"/>
        <v>0</v>
      </c>
      <c r="BF476" s="330">
        <f t="shared" si="1259"/>
        <v>0</v>
      </c>
      <c r="BG476" s="330">
        <f t="shared" si="1260"/>
        <v>0</v>
      </c>
      <c r="BH476" s="330">
        <f t="shared" si="1261"/>
        <v>0</v>
      </c>
      <c r="BI476" s="330"/>
      <c r="BJ476" s="370" cm="1">
        <f t="array" ref="BJ476:BM476">_xlfn.LET(_xlpm.data,$R476:$AV476,_xlpm.starts,{1,8,16,23},_xlpm.lengths,{7,7,8,9},_xlpm.arr,_xlfn.MAP(_xlpm.starts,_xlpm.lengths,_xlfn.LAMBDA(_xlpm.s,_xlpm.l,SUM(INDEX(_xlpm.data,,_xlfn.SEQUENCE(,_xlpm.l,_xlpm.s))))),ROUND(_xlpm.arr*$O476/1000,2))</f>
        <v>0</v>
      </c>
      <c r="BK476" s="330">
        <v>0</v>
      </c>
      <c r="BL476" s="330">
        <v>4.99</v>
      </c>
      <c r="BM476" s="330">
        <v>0</v>
      </c>
      <c r="BN476" s="258">
        <f t="shared" si="1262"/>
        <v>4.99</v>
      </c>
      <c r="BO476" s="258">
        <v>0.12</v>
      </c>
      <c r="BP476" s="258">
        <v>0.77</v>
      </c>
      <c r="BQ476" s="258">
        <v>1.54</v>
      </c>
      <c r="BR476" s="258">
        <v>1.74</v>
      </c>
      <c r="BS476" s="115" t="s">
        <v>97</v>
      </c>
      <c r="BX476" s="115" t="s">
        <v>97</v>
      </c>
      <c r="BY476" s="258">
        <f t="shared" si="1248"/>
        <v>0</v>
      </c>
      <c r="BZ476" s="258">
        <f t="shared" si="1249"/>
        <v>0</v>
      </c>
      <c r="CA476" s="258">
        <f t="shared" si="1250"/>
        <v>200</v>
      </c>
      <c r="CB476" s="258">
        <f t="shared" si="1251"/>
        <v>0</v>
      </c>
      <c r="CD476" s="113"/>
      <c r="CE476" s="389">
        <f t="shared" si="1263"/>
        <v>0</v>
      </c>
      <c r="CF476" s="389">
        <f t="shared" si="1264"/>
        <v>0</v>
      </c>
      <c r="CG476" s="389">
        <f t="shared" si="1265"/>
        <v>4.99</v>
      </c>
      <c r="CH476" s="389">
        <f t="shared" si="1266"/>
        <v>0</v>
      </c>
      <c r="CI476" s="258">
        <f t="shared" si="1267"/>
        <v>4.99</v>
      </c>
      <c r="CJ476" s="113"/>
      <c r="CK476" s="258">
        <f t="shared" ref="CK476:CN476" si="1279">IFERROR(ROUND(BY476*$P476,2),"")</f>
        <v>0</v>
      </c>
      <c r="CL476" s="258">
        <f t="shared" si="1279"/>
        <v>0</v>
      </c>
      <c r="CM476" s="258">
        <f t="shared" si="1279"/>
        <v>73681.92</v>
      </c>
      <c r="CN476" s="258">
        <f t="shared" si="1279"/>
        <v>0</v>
      </c>
      <c r="CO476" s="258">
        <f t="shared" si="1269"/>
        <v>73681.92</v>
      </c>
      <c r="CP476" s="258">
        <v>3000</v>
      </c>
      <c r="CQ476" s="258" t="e">
        <f>VLOOKUP(G476,[3]KCBB0101!$C$3:$F$691,4,0)</f>
        <v>#N/A</v>
      </c>
    </row>
    <row r="477" s="258" customFormat="1" spans="1:95">
      <c r="A477" s="330"/>
      <c r="B477" s="347" t="s">
        <v>691</v>
      </c>
      <c r="C477" s="347">
        <v>12</v>
      </c>
      <c r="D477" s="347" t="str">
        <f t="shared" si="1272"/>
        <v>ATD12寸</v>
      </c>
      <c r="E477" s="385" t="s">
        <v>764</v>
      </c>
      <c r="F477" s="400"/>
      <c r="G477" s="372" t="s">
        <v>198</v>
      </c>
      <c r="H477" s="347">
        <v>180</v>
      </c>
      <c r="I477" s="386">
        <v>2</v>
      </c>
      <c r="J477" s="347">
        <v>20</v>
      </c>
      <c r="K477" s="347"/>
      <c r="L477" s="349">
        <f t="shared" si="1255"/>
        <v>0.705882352941176</v>
      </c>
      <c r="M477" s="349"/>
      <c r="N477" s="347"/>
      <c r="O477" s="347">
        <f>IFERROR(_xlfn.XLOOKUP(E477,轮胎重量!S:S,轮胎重量!P:P),IFERROR(_xlfn.XLOOKUP(E477,轮胎重量!AB:AB,轮胎重量!Y:Y),IFERROR(_xlfn.XLOOKUP(E477,轮胎重量!AK:AK,轮胎重量!AH:AH),IFERROR(_xlfn.XLOOKUP(E477,轮胎重量!AT:AT,轮胎重量!AQ:AQ),""))))</f>
        <v>8.98</v>
      </c>
      <c r="P477" s="350">
        <f t="shared" si="1256"/>
        <v>132.5448</v>
      </c>
      <c r="Q477" s="347">
        <f t="shared" si="1257"/>
        <v>102</v>
      </c>
      <c r="R477" s="347"/>
      <c r="S477" s="347"/>
      <c r="T477" s="347"/>
      <c r="U477" s="347"/>
      <c r="V477" s="347"/>
      <c r="W477" s="347"/>
      <c r="X477" s="347"/>
      <c r="Y477" s="347"/>
      <c r="Z477" s="347"/>
      <c r="AA477" s="347"/>
      <c r="AB477" s="347"/>
      <c r="AC477" s="347"/>
      <c r="AD477" s="347"/>
      <c r="AE477" s="347"/>
      <c r="AF477" s="347"/>
      <c r="AG477" s="347"/>
      <c r="AH477" s="347"/>
      <c r="AI477" s="347">
        <v>100</v>
      </c>
      <c r="AJ477" s="347">
        <v>100</v>
      </c>
      <c r="AK477" s="347"/>
      <c r="AL477" s="347"/>
      <c r="AM477" s="347"/>
      <c r="AN477" s="347"/>
      <c r="AO477" s="347"/>
      <c r="AP477" s="347"/>
      <c r="AQ477" s="347"/>
      <c r="AR477" s="347"/>
      <c r="AS477" s="347"/>
      <c r="AT477" s="347"/>
      <c r="AU477" s="347"/>
      <c r="AV477" s="347"/>
      <c r="AW477" s="347">
        <v>3000</v>
      </c>
      <c r="AX477" s="365">
        <f t="shared" si="1277"/>
        <v>26.94</v>
      </c>
      <c r="AY477" s="365">
        <f t="shared" si="1278"/>
        <v>39.763</v>
      </c>
      <c r="AZ477" s="330"/>
      <c r="BA477" s="330"/>
      <c r="BB477" s="330"/>
      <c r="BC477" s="330"/>
      <c r="BD477" s="330"/>
      <c r="BE477" s="330">
        <f t="shared" si="1258"/>
        <v>0</v>
      </c>
      <c r="BF477" s="330">
        <f t="shared" si="1259"/>
        <v>0</v>
      </c>
      <c r="BG477" s="330">
        <f t="shared" si="1260"/>
        <v>0</v>
      </c>
      <c r="BH477" s="330">
        <f t="shared" si="1261"/>
        <v>0</v>
      </c>
      <c r="BI477" s="330"/>
      <c r="BJ477" s="370" cm="1">
        <f t="array" ref="BJ477:BM477">_xlfn.LET(_xlpm.data,$R477:$AV477,_xlpm.starts,{1,8,16,23},_xlpm.lengths,{7,7,8,9},_xlpm.arr,_xlfn.MAP(_xlpm.starts,_xlpm.lengths,_xlfn.LAMBDA(_xlpm.s,_xlpm.l,SUM(INDEX(_xlpm.data,,_xlfn.SEQUENCE(,_xlpm.l,_xlpm.s))))),ROUND(_xlpm.arr*$O477/1000,2))</f>
        <v>0</v>
      </c>
      <c r="BK477" s="330">
        <v>0</v>
      </c>
      <c r="BL477" s="330">
        <v>1.8</v>
      </c>
      <c r="BM477" s="330">
        <v>0</v>
      </c>
      <c r="BN477" s="258">
        <f t="shared" si="1262"/>
        <v>1.8</v>
      </c>
      <c r="BO477" s="258">
        <v>0.12</v>
      </c>
      <c r="BP477" s="258">
        <v>0.77</v>
      </c>
      <c r="BQ477" s="258">
        <v>1.54</v>
      </c>
      <c r="BR477" s="258">
        <v>1.74</v>
      </c>
      <c r="BS477" s="115" t="s">
        <v>97</v>
      </c>
      <c r="BX477" s="115" t="s">
        <v>97</v>
      </c>
      <c r="BY477" s="258">
        <f t="shared" si="1248"/>
        <v>0</v>
      </c>
      <c r="BZ477" s="258">
        <f t="shared" si="1249"/>
        <v>0</v>
      </c>
      <c r="CA477" s="258">
        <f t="shared" si="1250"/>
        <v>200</v>
      </c>
      <c r="CB477" s="258">
        <f t="shared" si="1251"/>
        <v>0</v>
      </c>
      <c r="CD477" s="113"/>
      <c r="CE477" s="389">
        <f t="shared" si="1263"/>
        <v>0</v>
      </c>
      <c r="CF477" s="389">
        <f t="shared" si="1264"/>
        <v>0</v>
      </c>
      <c r="CG477" s="389">
        <f t="shared" si="1265"/>
        <v>1.8</v>
      </c>
      <c r="CH477" s="389">
        <f t="shared" si="1266"/>
        <v>0</v>
      </c>
      <c r="CI477" s="258">
        <f t="shared" si="1267"/>
        <v>1.8</v>
      </c>
      <c r="CJ477" s="113"/>
      <c r="CK477" s="258">
        <f t="shared" ref="CK477:CN477" si="1280">IFERROR(ROUND(BY477*$P477,2),"")</f>
        <v>0</v>
      </c>
      <c r="CL477" s="258">
        <f t="shared" si="1280"/>
        <v>0</v>
      </c>
      <c r="CM477" s="258">
        <f t="shared" si="1280"/>
        <v>26508.96</v>
      </c>
      <c r="CN477" s="258">
        <f t="shared" si="1280"/>
        <v>0</v>
      </c>
      <c r="CO477" s="258">
        <f t="shared" si="1269"/>
        <v>26508.96</v>
      </c>
      <c r="CP477" s="258" t="e">
        <f>VLOOKUP(G477,[2]Sheet1!$C$3:$G$310,5,0)</f>
        <v>#N/A</v>
      </c>
      <c r="CQ477" s="258" t="e">
        <f>VLOOKUP(G477,[3]KCBB0101!$C$3:$F$691,4,0)</f>
        <v>#N/A</v>
      </c>
    </row>
    <row r="478" s="258" customFormat="1" spans="1:95">
      <c r="A478" s="330"/>
      <c r="B478" s="347" t="s">
        <v>691</v>
      </c>
      <c r="C478" s="347">
        <v>16.1</v>
      </c>
      <c r="D478" s="347" t="str">
        <f t="shared" si="1272"/>
        <v>ATD16.1寸</v>
      </c>
      <c r="E478" s="400" t="s">
        <v>765</v>
      </c>
      <c r="F478" s="400"/>
      <c r="G478" s="372" t="s">
        <v>202</v>
      </c>
      <c r="H478" s="347">
        <v>140</v>
      </c>
      <c r="I478" s="386"/>
      <c r="J478" s="347">
        <v>20</v>
      </c>
      <c r="K478" s="347"/>
      <c r="L478" s="349">
        <f t="shared" si="1255"/>
        <v>0.705882352941176</v>
      </c>
      <c r="M478" s="349"/>
      <c r="N478" s="347"/>
      <c r="O478" s="347">
        <f>IFERROR(_xlfn.XLOOKUP(E478,轮胎重量!S:S,轮胎重量!P:P),IFERROR(_xlfn.XLOOKUP(E478,轮胎重量!AB:AB,轮胎重量!Y:Y),IFERROR(_xlfn.XLOOKUP(E478,轮胎重量!AK:AK,轮胎重量!AH:AH),IFERROR(_xlfn.XLOOKUP(E478,轮胎重量!AT:AT,轮胎重量!AQ:AQ),""))))</f>
        <v>54.27</v>
      </c>
      <c r="P478" s="347"/>
      <c r="Q478" s="347">
        <f>IFERROR(ROUND(1440/J478*I478*L481,0),"")</f>
        <v>0</v>
      </c>
      <c r="R478" s="347"/>
      <c r="S478" s="347"/>
      <c r="T478" s="347"/>
      <c r="U478" s="347"/>
      <c r="V478" s="347"/>
      <c r="W478" s="347"/>
      <c r="X478" s="347"/>
      <c r="Y478" s="347"/>
      <c r="Z478" s="347"/>
      <c r="AA478" s="347"/>
      <c r="AB478" s="347"/>
      <c r="AC478" s="347"/>
      <c r="AD478" s="347"/>
      <c r="AE478" s="347"/>
      <c r="AF478" s="347"/>
      <c r="AG478" s="347"/>
      <c r="AH478" s="347"/>
      <c r="AI478" s="347"/>
      <c r="AJ478" s="347"/>
      <c r="AK478" s="347">
        <v>100</v>
      </c>
      <c r="AL478" s="347">
        <v>100</v>
      </c>
      <c r="AM478" s="347"/>
      <c r="AN478" s="347"/>
      <c r="AO478" s="347"/>
      <c r="AP478" s="347"/>
      <c r="AQ478" s="347"/>
      <c r="AR478" s="347"/>
      <c r="AS478" s="347"/>
      <c r="AT478" s="347"/>
      <c r="AU478" s="347"/>
      <c r="AV478" s="347"/>
      <c r="AW478" s="347">
        <v>3000</v>
      </c>
      <c r="AX478" s="365">
        <f t="shared" si="1277"/>
        <v>162.81</v>
      </c>
      <c r="AY478" s="365">
        <f t="shared" si="1278"/>
        <v>0</v>
      </c>
      <c r="AZ478" s="330"/>
      <c r="BA478" s="330"/>
      <c r="BB478" s="330"/>
      <c r="BC478" s="330"/>
      <c r="BD478" s="330"/>
      <c r="BE478" s="330">
        <f t="shared" si="1258"/>
        <v>0</v>
      </c>
      <c r="BF478" s="330">
        <f t="shared" si="1259"/>
        <v>0</v>
      </c>
      <c r="BG478" s="330">
        <f t="shared" si="1260"/>
        <v>0</v>
      </c>
      <c r="BH478" s="330">
        <f t="shared" si="1261"/>
        <v>0</v>
      </c>
      <c r="BI478" s="330"/>
      <c r="BJ478" s="370" cm="1">
        <f t="array" ref="BJ478:BM478">_xlfn.LET(_xlpm.data,$R478:$AV478,_xlpm.starts,{1,8,16,23},_xlpm.lengths,{7,7,8,9},_xlpm.arr,_xlfn.MAP(_xlpm.starts,_xlpm.lengths,_xlfn.LAMBDA(_xlpm.s,_xlpm.l,SUM(INDEX(_xlpm.data,,_xlfn.SEQUENCE(,_xlpm.l,_xlpm.s))))),ROUND(_xlpm.arr*$O478/1000,2))</f>
        <v>0</v>
      </c>
      <c r="BK478" s="330">
        <v>0</v>
      </c>
      <c r="BL478" s="330">
        <v>10.85</v>
      </c>
      <c r="BM478" s="330">
        <v>0</v>
      </c>
      <c r="BN478" s="258">
        <f t="shared" si="1262"/>
        <v>10.85</v>
      </c>
      <c r="BO478" s="258">
        <v>0.12</v>
      </c>
      <c r="BP478" s="258">
        <v>0.77</v>
      </c>
      <c r="BQ478" s="258">
        <v>1.54</v>
      </c>
      <c r="BR478" s="258">
        <v>1.74</v>
      </c>
      <c r="BS478" s="115" t="s">
        <v>97</v>
      </c>
      <c r="BX478" s="115" t="s">
        <v>97</v>
      </c>
      <c r="BY478" s="258">
        <f t="shared" si="1248"/>
        <v>0</v>
      </c>
      <c r="BZ478" s="258">
        <f t="shared" si="1249"/>
        <v>0</v>
      </c>
      <c r="CA478" s="258">
        <f t="shared" si="1250"/>
        <v>200</v>
      </c>
      <c r="CB478" s="258">
        <f t="shared" si="1251"/>
        <v>0</v>
      </c>
      <c r="CD478" s="113"/>
      <c r="CE478" s="389">
        <f t="shared" si="1263"/>
        <v>0</v>
      </c>
      <c r="CF478" s="389">
        <f t="shared" si="1264"/>
        <v>0</v>
      </c>
      <c r="CG478" s="389">
        <f t="shared" si="1265"/>
        <v>10.85</v>
      </c>
      <c r="CH478" s="389">
        <f t="shared" si="1266"/>
        <v>0</v>
      </c>
      <c r="CI478" s="258">
        <f t="shared" si="1267"/>
        <v>10.85</v>
      </c>
      <c r="CJ478" s="113"/>
      <c r="CK478" s="258">
        <f t="shared" ref="CK478:CN478" si="1281">IFERROR(ROUND(BY478*$P478,2),"")</f>
        <v>0</v>
      </c>
      <c r="CL478" s="258">
        <f t="shared" si="1281"/>
        <v>0</v>
      </c>
      <c r="CM478" s="258">
        <f t="shared" si="1281"/>
        <v>0</v>
      </c>
      <c r="CN478" s="258">
        <f t="shared" si="1281"/>
        <v>0</v>
      </c>
      <c r="CO478" s="258">
        <f t="shared" si="1269"/>
        <v>0</v>
      </c>
      <c r="CP478" s="258" t="e">
        <f>VLOOKUP(G478,[2]Sheet1!$C$3:$G$310,5,0)</f>
        <v>#N/A</v>
      </c>
      <c r="CQ478" s="258" t="e">
        <f>VLOOKUP(G478,[3]KCBB0101!$C$3:$F$691,4,0)</f>
        <v>#N/A</v>
      </c>
    </row>
    <row r="479" s="258" customFormat="1" spans="1:93">
      <c r="A479" s="330"/>
      <c r="B479" s="347"/>
      <c r="C479" s="347"/>
      <c r="D479" s="347"/>
      <c r="E479" s="400"/>
      <c r="F479" s="400"/>
      <c r="G479" s="385"/>
      <c r="H479" s="347"/>
      <c r="I479" s="386"/>
      <c r="J479" s="347">
        <v>20</v>
      </c>
      <c r="K479" s="347"/>
      <c r="L479" s="349">
        <f>IF(J476="","",J476/(J476+$J$378/60))</f>
        <v>0.705882352941176</v>
      </c>
      <c r="M479" s="349"/>
      <c r="N479" s="347"/>
      <c r="O479" s="347">
        <f>IFERROR(_xlfn.XLOOKUP(E479,轮胎重量!S:S,轮胎重量!P:P),IFERROR(_xlfn.XLOOKUP(E479,轮胎重量!AB:AB,轮胎重量!Y:Y),IFERROR(_xlfn.XLOOKUP(E479,轮胎重量!AK:AK,轮胎重量!AH:AH),IFERROR(_xlfn.XLOOKUP(E479,轮胎重量!AT:AT,轮胎重量!AQ:AQ),""))))</f>
        <v>0</v>
      </c>
      <c r="P479" s="347"/>
      <c r="Q479" s="347">
        <f t="shared" ref="Q479:Q486" si="1282">IFERROR(ROUND(1440/J479*I479*L480,0),"")</f>
        <v>0</v>
      </c>
      <c r="R479" s="347"/>
      <c r="S479" s="347"/>
      <c r="T479" s="347"/>
      <c r="U479" s="347"/>
      <c r="V479" s="347"/>
      <c r="W479" s="347"/>
      <c r="X479" s="347"/>
      <c r="Y479" s="347"/>
      <c r="Z479" s="347"/>
      <c r="AA479" s="347"/>
      <c r="AB479" s="347"/>
      <c r="AC479" s="347"/>
      <c r="AD479" s="347"/>
      <c r="AE479" s="347"/>
      <c r="AF479" s="347"/>
      <c r="AG479" s="347"/>
      <c r="AH479" s="347"/>
      <c r="AI479" s="347"/>
      <c r="AJ479" s="347"/>
      <c r="AK479" s="347"/>
      <c r="AL479" s="347"/>
      <c r="AM479" s="347"/>
      <c r="AN479" s="347"/>
      <c r="AO479" s="347"/>
      <c r="AP479" s="347"/>
      <c r="AQ479" s="347"/>
      <c r="AR479" s="347"/>
      <c r="AS479" s="347"/>
      <c r="AT479" s="347"/>
      <c r="AU479" s="347"/>
      <c r="AV479" s="347"/>
      <c r="AW479" s="347" t="str">
        <f t="shared" ref="AW476:AW481" si="1283">IF(SUM(R479:AV479)=0,"",SUM(R479:AV479))</f>
        <v/>
      </c>
      <c r="AX479" s="365" t="str">
        <f t="shared" si="1277"/>
        <v/>
      </c>
      <c r="AY479" s="365" t="str">
        <f t="shared" si="1278"/>
        <v/>
      </c>
      <c r="AZ479" s="330"/>
      <c r="BA479" s="330"/>
      <c r="BB479" s="330"/>
      <c r="BC479" s="330"/>
      <c r="BD479" s="330"/>
      <c r="BE479" s="330" t="e">
        <f t="shared" si="1258"/>
        <v>#VALUE!</v>
      </c>
      <c r="BF479" s="330" t="e">
        <f t="shared" si="1259"/>
        <v>#VALUE!</v>
      </c>
      <c r="BG479" s="330" t="e">
        <f t="shared" si="1260"/>
        <v>#VALUE!</v>
      </c>
      <c r="BH479" s="330" t="e">
        <f t="shared" si="1261"/>
        <v>#VALUE!</v>
      </c>
      <c r="BI479" s="330"/>
      <c r="BJ479" s="370" cm="1">
        <f t="array" ref="BJ479:BM479">_xlfn.LET(_xlpm.data,$R479:$AV479,_xlpm.starts,{1,8,16,23},_xlpm.lengths,{7,7,8,9},_xlpm.arr,_xlfn.MAP(_xlpm.starts,_xlpm.lengths,_xlfn.LAMBDA(_xlpm.s,_xlpm.l,SUM(INDEX(_xlpm.data,,_xlfn.SEQUENCE(,_xlpm.l,_xlpm.s))))),ROUND(_xlpm.arr*$O479/1000,2))</f>
        <v>0</v>
      </c>
      <c r="BK479" s="330">
        <v>0</v>
      </c>
      <c r="BL479" s="330">
        <v>0</v>
      </c>
      <c r="BM479" s="330">
        <v>0</v>
      </c>
      <c r="BN479" s="258">
        <f t="shared" si="1262"/>
        <v>0</v>
      </c>
      <c r="BO479" s="258">
        <v>0.12</v>
      </c>
      <c r="BP479" s="258">
        <v>0.77</v>
      </c>
      <c r="BQ479" s="258">
        <v>1.54</v>
      </c>
      <c r="BR479" s="258">
        <v>1.74</v>
      </c>
      <c r="BS479" s="115" t="s">
        <v>97</v>
      </c>
      <c r="BX479" s="115" t="s">
        <v>97</v>
      </c>
      <c r="BY479" s="258">
        <f t="shared" si="1248"/>
        <v>0</v>
      </c>
      <c r="BZ479" s="258">
        <f t="shared" si="1249"/>
        <v>0</v>
      </c>
      <c r="CA479" s="258">
        <f t="shared" si="1250"/>
        <v>0</v>
      </c>
      <c r="CB479" s="258">
        <f t="shared" si="1251"/>
        <v>0</v>
      </c>
      <c r="CD479" s="113"/>
      <c r="CE479" s="389">
        <f t="shared" si="1263"/>
        <v>0</v>
      </c>
      <c r="CF479" s="389">
        <f t="shared" si="1264"/>
        <v>0</v>
      </c>
      <c r="CG479" s="389">
        <f t="shared" si="1265"/>
        <v>0</v>
      </c>
      <c r="CH479" s="389">
        <f t="shared" si="1266"/>
        <v>0</v>
      </c>
      <c r="CI479" s="258">
        <f t="shared" si="1267"/>
        <v>0</v>
      </c>
      <c r="CJ479" s="113"/>
      <c r="CK479" s="258">
        <f t="shared" ref="CK479:CN479" si="1284">IFERROR(ROUND(BY479*$P479,2),"")</f>
        <v>0</v>
      </c>
      <c r="CL479" s="258">
        <f t="shared" si="1284"/>
        <v>0</v>
      </c>
      <c r="CM479" s="258">
        <f t="shared" si="1284"/>
        <v>0</v>
      </c>
      <c r="CN479" s="258">
        <f t="shared" si="1284"/>
        <v>0</v>
      </c>
      <c r="CO479" s="258">
        <f t="shared" si="1269"/>
        <v>0</v>
      </c>
    </row>
    <row r="480" s="258" customFormat="1" ht="17" spans="1:95">
      <c r="A480" s="330"/>
      <c r="B480" s="347" t="s">
        <v>695</v>
      </c>
      <c r="C480" s="347" t="str">
        <f>IFERROR(MID(E480,FIND("-",E480)+1,2),"")</f>
        <v>25</v>
      </c>
      <c r="D480" s="347" t="str">
        <f>"工程胎"&amp;C480&amp;"寸"</f>
        <v>工程胎25寸</v>
      </c>
      <c r="E480" s="385" t="str">
        <f>LEFT(REPLACE(G480,1,2,""),FIND("[",REPLACE(G480,1,2,""))-1)&amp;"-"&amp;MID(REPLACE(G480,1,2,""),FIND("[",REPLACE(G480,1,2,""))+1,FIND("]",REPLACE(G480,1,2,""))-FIND("[",REPLACE(G480,1,2,""))-1)</f>
        <v>23.5-25-20PR-T318</v>
      </c>
      <c r="F480" s="373"/>
      <c r="G480" s="385" t="s">
        <v>359</v>
      </c>
      <c r="H480" s="347">
        <v>40</v>
      </c>
      <c r="I480" s="354">
        <v>2</v>
      </c>
      <c r="J480" s="354">
        <v>85</v>
      </c>
      <c r="K480" s="347"/>
      <c r="L480" s="349">
        <f>IF(J479="","",J479/(J479+$J$378/60))</f>
        <v>0.705882352941176</v>
      </c>
      <c r="M480" s="402"/>
      <c r="N480" s="354"/>
      <c r="O480" s="354">
        <f>IFERROR(_xlfn.XLOOKUP(E480,轮胎重量!S:S,轮胎重量!P:P),"")</f>
        <v>216.7</v>
      </c>
      <c r="P480" s="350">
        <f>O480*14.76</f>
        <v>3198.492</v>
      </c>
      <c r="Q480" s="354">
        <f t="shared" si="1282"/>
        <v>31</v>
      </c>
      <c r="R480" s="354">
        <v>12</v>
      </c>
      <c r="S480" s="354">
        <v>12</v>
      </c>
      <c r="T480" s="354">
        <v>12</v>
      </c>
      <c r="U480" s="354">
        <v>12</v>
      </c>
      <c r="V480" s="354"/>
      <c r="W480" s="354"/>
      <c r="X480" s="354"/>
      <c r="Y480" s="354"/>
      <c r="Z480" s="354"/>
      <c r="AA480" s="354"/>
      <c r="AB480" s="354"/>
      <c r="AC480" s="354"/>
      <c r="AD480" s="354"/>
      <c r="AE480" s="354"/>
      <c r="AF480" s="354"/>
      <c r="AG480" s="354"/>
      <c r="AH480" s="354"/>
      <c r="AI480" s="354"/>
      <c r="AJ480" s="354"/>
      <c r="AK480" s="354"/>
      <c r="AL480" s="354"/>
      <c r="AM480" s="354"/>
      <c r="AN480" s="354"/>
      <c r="AO480" s="354"/>
      <c r="AP480" s="354"/>
      <c r="AQ480" s="354"/>
      <c r="AR480" s="354"/>
      <c r="AS480" s="354"/>
      <c r="AT480" s="354"/>
      <c r="AU480" s="354"/>
      <c r="AV480" s="354"/>
      <c r="AW480" s="347">
        <f t="shared" si="1283"/>
        <v>48</v>
      </c>
      <c r="AX480" s="365">
        <f t="shared" si="1277"/>
        <v>10.4016</v>
      </c>
      <c r="AY480" s="365">
        <f t="shared" si="1278"/>
        <v>15.353</v>
      </c>
      <c r="AZ480" s="368">
        <v>2105.4655</v>
      </c>
      <c r="BA480" s="368">
        <v>133.3057</v>
      </c>
      <c r="BB480" s="368">
        <v>179.267</v>
      </c>
      <c r="BC480" s="368">
        <v>216.1879</v>
      </c>
      <c r="BD480" s="330"/>
      <c r="BE480" s="330">
        <f t="shared" si="1258"/>
        <v>101062.344</v>
      </c>
      <c r="BF480" s="330">
        <f t="shared" si="1259"/>
        <v>6398.6736</v>
      </c>
      <c r="BG480" s="330">
        <f t="shared" si="1260"/>
        <v>8604.816</v>
      </c>
      <c r="BH480" s="330">
        <f t="shared" si="1261"/>
        <v>10377.0192</v>
      </c>
      <c r="BI480" s="330"/>
      <c r="BJ480" s="370" cm="1">
        <f t="array" ref="BJ480:BM480">_xlfn.LET(_xlpm.data,$R480:$AV480,_xlpm.starts,{1,8,16,23},_xlpm.lengths,{7,7,8,9},_xlpm.arr,_xlfn.MAP(_xlpm.starts,_xlpm.lengths,_xlfn.LAMBDA(_xlpm.s,_xlpm.l,SUM(INDEX(_xlpm.data,,_xlfn.SEQUENCE(,_xlpm.l,_xlpm.s))))),ROUND(_xlpm.arr*$O480/1000,2))</f>
        <v>10.4</v>
      </c>
      <c r="BK480" s="330">
        <v>0</v>
      </c>
      <c r="BL480" s="330">
        <v>0</v>
      </c>
      <c r="BM480" s="330">
        <v>0</v>
      </c>
      <c r="BN480" s="258">
        <f t="shared" si="1262"/>
        <v>10.4</v>
      </c>
      <c r="BO480" s="258">
        <v>41.26</v>
      </c>
      <c r="BP480" s="258">
        <v>41.26</v>
      </c>
      <c r="BQ480" s="258">
        <v>47.15</v>
      </c>
      <c r="BR480" s="258">
        <v>53.05</v>
      </c>
      <c r="BS480" s="382" t="s">
        <v>361</v>
      </c>
      <c r="BX480" s="371" t="s">
        <v>361</v>
      </c>
      <c r="BY480" s="258">
        <f t="shared" si="1248"/>
        <v>48</v>
      </c>
      <c r="BZ480" s="258">
        <f t="shared" si="1249"/>
        <v>0</v>
      </c>
      <c r="CA480" s="258">
        <f t="shared" si="1250"/>
        <v>0</v>
      </c>
      <c r="CB480" s="258">
        <f t="shared" si="1251"/>
        <v>0</v>
      </c>
      <c r="CD480" s="113"/>
      <c r="CE480" s="389">
        <f t="shared" si="1263"/>
        <v>10.4</v>
      </c>
      <c r="CF480" s="389">
        <f t="shared" si="1264"/>
        <v>0</v>
      </c>
      <c r="CG480" s="389">
        <f t="shared" si="1265"/>
        <v>0</v>
      </c>
      <c r="CH480" s="389">
        <f t="shared" si="1266"/>
        <v>0</v>
      </c>
      <c r="CI480" s="258">
        <f t="shared" si="1267"/>
        <v>10.4</v>
      </c>
      <c r="CJ480" s="113"/>
      <c r="CK480" s="258">
        <f t="shared" ref="CK480:CN480" si="1285">IFERROR(ROUND(BY480*$P480,2),"")</f>
        <v>153527.62</v>
      </c>
      <c r="CL480" s="258">
        <f t="shared" si="1285"/>
        <v>0</v>
      </c>
      <c r="CM480" s="258">
        <f t="shared" si="1285"/>
        <v>0</v>
      </c>
      <c r="CN480" s="258">
        <f t="shared" si="1285"/>
        <v>0</v>
      </c>
      <c r="CO480" s="258">
        <f t="shared" si="1269"/>
        <v>153527.62</v>
      </c>
      <c r="CP480" s="258" t="e">
        <f>VLOOKUP(G480,[2]Sheet1!$C$3:$G$310,5,0)</f>
        <v>#N/A</v>
      </c>
      <c r="CQ480" s="258">
        <f>VLOOKUP(G480,[3]KCBB0101!$C$3:$F$691,4,0)</f>
        <v>6000</v>
      </c>
    </row>
    <row r="481" s="258" customFormat="1" ht="17" spans="1:95">
      <c r="A481" s="330"/>
      <c r="B481" s="347" t="s">
        <v>695</v>
      </c>
      <c r="C481" s="347" t="str">
        <f>IFERROR(MID(E481,FIND("-",E481)+1,2),"")</f>
        <v>25</v>
      </c>
      <c r="D481" s="347" t="str">
        <f>"工程胎"&amp;C481&amp;"寸"</f>
        <v>工程胎25寸</v>
      </c>
      <c r="E481" s="385" t="str">
        <f>LEFT(REPLACE(G481,1,2,""),FIND("[",REPLACE(G481,1,2,""))-1)&amp;"-"&amp;MID(REPLACE(G481,1,2,""),FIND("[",REPLACE(G481,1,2,""))+1,FIND("]",REPLACE(G481,1,2,""))-FIND("[",REPLACE(G481,1,2,""))-1)</f>
        <v>23.5-25-24PR-CL728</v>
      </c>
      <c r="F481" s="373"/>
      <c r="G481" s="385" t="s">
        <v>362</v>
      </c>
      <c r="H481" s="347">
        <v>240</v>
      </c>
      <c r="I481" s="354">
        <v>2</v>
      </c>
      <c r="J481" s="354">
        <v>85</v>
      </c>
      <c r="K481" s="347"/>
      <c r="L481" s="349">
        <f>IF(J480="","",J480/(J480+$J$378/60))</f>
        <v>0.910714285714286</v>
      </c>
      <c r="M481" s="402"/>
      <c r="N481" s="354"/>
      <c r="O481" s="354">
        <f>IFERROR(_xlfn.XLOOKUP(E481,轮胎重量!S:S,轮胎重量!P:P),"")</f>
        <v>216.7</v>
      </c>
      <c r="P481" s="347">
        <f>IFERROR(_xlfn.XLOOKUP(E481,硫化工艺!I:I,硫化工艺!J:J),"")</f>
        <v>3726.2449</v>
      </c>
      <c r="Q481" s="354">
        <f t="shared" si="1282"/>
        <v>31</v>
      </c>
      <c r="R481" s="354"/>
      <c r="S481" s="354"/>
      <c r="T481" s="354"/>
      <c r="U481" s="354"/>
      <c r="V481" s="354">
        <v>12</v>
      </c>
      <c r="W481" s="354">
        <v>12</v>
      </c>
      <c r="X481" s="354">
        <v>12</v>
      </c>
      <c r="Y481" s="354">
        <v>12</v>
      </c>
      <c r="Z481" s="354">
        <v>12</v>
      </c>
      <c r="AA481" s="354">
        <v>12</v>
      </c>
      <c r="AB481" s="354">
        <v>12</v>
      </c>
      <c r="AC481" s="354">
        <v>12</v>
      </c>
      <c r="AD481" s="354">
        <v>12</v>
      </c>
      <c r="AE481" s="354">
        <v>12</v>
      </c>
      <c r="AF481" s="354">
        <v>12</v>
      </c>
      <c r="AG481" s="354">
        <v>12</v>
      </c>
      <c r="AH481" s="354">
        <v>12</v>
      </c>
      <c r="AI481" s="354">
        <v>12</v>
      </c>
      <c r="AJ481" s="354">
        <v>12</v>
      </c>
      <c r="AK481" s="354">
        <v>12</v>
      </c>
      <c r="AL481" s="354">
        <v>12</v>
      </c>
      <c r="AM481" s="354">
        <v>12</v>
      </c>
      <c r="AN481" s="354">
        <v>12</v>
      </c>
      <c r="AO481" s="354">
        <v>12</v>
      </c>
      <c r="AP481" s="354">
        <v>12</v>
      </c>
      <c r="AQ481" s="354">
        <v>12</v>
      </c>
      <c r="AR481" s="354">
        <v>12</v>
      </c>
      <c r="AS481" s="354">
        <v>12</v>
      </c>
      <c r="AT481" s="354">
        <v>12</v>
      </c>
      <c r="AU481" s="354">
        <v>12</v>
      </c>
      <c r="AV481" s="354">
        <v>12</v>
      </c>
      <c r="AW481" s="347">
        <f t="shared" si="1283"/>
        <v>324</v>
      </c>
      <c r="AX481" s="365">
        <f t="shared" si="1277"/>
        <v>70.2108</v>
      </c>
      <c r="AY481" s="365">
        <f t="shared" si="1278"/>
        <v>120.73</v>
      </c>
      <c r="AZ481" s="368">
        <v>2105.4655</v>
      </c>
      <c r="BA481" s="368">
        <v>133.3057</v>
      </c>
      <c r="BB481" s="368">
        <v>179.267</v>
      </c>
      <c r="BC481" s="368">
        <v>216.1879</v>
      </c>
      <c r="BD481" s="330"/>
      <c r="BE481" s="330">
        <f t="shared" si="1258"/>
        <v>682170.822</v>
      </c>
      <c r="BF481" s="330">
        <f t="shared" si="1259"/>
        <v>43191.0468</v>
      </c>
      <c r="BG481" s="330">
        <f t="shared" si="1260"/>
        <v>58082.508</v>
      </c>
      <c r="BH481" s="330">
        <f t="shared" si="1261"/>
        <v>70044.8796</v>
      </c>
      <c r="BI481" s="330"/>
      <c r="BJ481" s="370" cm="1">
        <f t="array" ref="BJ481:BM481">_xlfn.LET(_xlpm.data,$R481:$AV481,_xlpm.starts,{1,8,16,23},_xlpm.lengths,{7,7,8,9},_xlpm.arr,_xlfn.MAP(_xlpm.starts,_xlpm.lengths,_xlfn.LAMBDA(_xlpm.s,_xlpm.l,SUM(INDEX(_xlpm.data,,_xlfn.SEQUENCE(,_xlpm.l,_xlpm.s))))),ROUND(_xlpm.arr*$O481/1000,2))</f>
        <v>7.8</v>
      </c>
      <c r="BK481" s="330">
        <v>18.2</v>
      </c>
      <c r="BL481" s="330">
        <v>20.8</v>
      </c>
      <c r="BM481" s="330">
        <v>23.4</v>
      </c>
      <c r="BN481" s="258">
        <f t="shared" si="1262"/>
        <v>70.2</v>
      </c>
      <c r="BO481" s="258">
        <v>41.26</v>
      </c>
      <c r="BP481" s="258">
        <v>41.26</v>
      </c>
      <c r="BQ481" s="258">
        <v>47.15</v>
      </c>
      <c r="BR481" s="258">
        <v>53.05</v>
      </c>
      <c r="BS481" s="382" t="s">
        <v>361</v>
      </c>
      <c r="BX481" s="371" t="s">
        <v>361</v>
      </c>
      <c r="BY481" s="258">
        <f t="shared" si="1248"/>
        <v>36</v>
      </c>
      <c r="BZ481" s="258">
        <f t="shared" si="1249"/>
        <v>84</v>
      </c>
      <c r="CA481" s="258">
        <f t="shared" si="1250"/>
        <v>96</v>
      </c>
      <c r="CB481" s="258">
        <f t="shared" si="1251"/>
        <v>108</v>
      </c>
      <c r="CD481" s="113"/>
      <c r="CE481" s="389">
        <f t="shared" si="1263"/>
        <v>7.8</v>
      </c>
      <c r="CF481" s="389">
        <f t="shared" si="1264"/>
        <v>18.2</v>
      </c>
      <c r="CG481" s="389">
        <f t="shared" si="1265"/>
        <v>20.8</v>
      </c>
      <c r="CH481" s="389">
        <f t="shared" si="1266"/>
        <v>23.4</v>
      </c>
      <c r="CI481" s="258">
        <f t="shared" si="1267"/>
        <v>70.2</v>
      </c>
      <c r="CJ481" s="113"/>
      <c r="CK481" s="258">
        <f t="shared" ref="CK481:CN481" si="1286">IFERROR(ROUND(BY481*$P481,2),"")</f>
        <v>134144.82</v>
      </c>
      <c r="CL481" s="258">
        <f t="shared" si="1286"/>
        <v>313004.57</v>
      </c>
      <c r="CM481" s="258">
        <f t="shared" si="1286"/>
        <v>357719.51</v>
      </c>
      <c r="CN481" s="258">
        <f t="shared" si="1286"/>
        <v>402434.45</v>
      </c>
      <c r="CO481" s="258">
        <f t="shared" si="1269"/>
        <v>1207303.35</v>
      </c>
      <c r="CP481" s="258" t="e">
        <f>VLOOKUP(G481,[2]Sheet1!$C$3:$G$310,5,0)</f>
        <v>#N/A</v>
      </c>
      <c r="CQ481" s="258" t="e">
        <f>VLOOKUP(G481,[3]KCBB0101!$C$3:$F$691,4,0)</f>
        <v>#N/A</v>
      </c>
    </row>
    <row r="482" ht="17" spans="2:95">
      <c r="B482" s="347" t="s">
        <v>695</v>
      </c>
      <c r="C482" s="347" t="str">
        <f t="shared" ref="C482:C487" si="1287">IFERROR(MID(E482,FIND("-",E482)+1,2),"")</f>
        <v>25</v>
      </c>
      <c r="D482" s="347" t="str">
        <f t="shared" ref="D482:D487" si="1288">"工程胎"&amp;C482&amp;"寸"</f>
        <v>工程胎25寸</v>
      </c>
      <c r="E482" s="385" t="str">
        <f>LEFT(REPLACE(G482,1,2,""),FIND("[",REPLACE(G482,1,2,""))-1)&amp;"-"&amp;MID(REPLACE(G482,1,2,""),FIND("[",REPLACE(G482,1,2,""))+1,FIND("]",REPLACE(G482,1,2,""))-FIND("[",REPLACE(G482,1,2,""))-1)</f>
        <v>23.5-25-24PR-EL36A</v>
      </c>
      <c r="F482" s="373"/>
      <c r="G482" s="385" t="s">
        <v>766</v>
      </c>
      <c r="H482" s="347"/>
      <c r="I482" s="354">
        <v>2</v>
      </c>
      <c r="J482" s="354">
        <v>85</v>
      </c>
      <c r="K482" s="347"/>
      <c r="L482" s="349">
        <f>IF(J481="","",J481/(J481+$J$378/60))</f>
        <v>0.910714285714286</v>
      </c>
      <c r="M482" s="402"/>
      <c r="N482" s="354"/>
      <c r="O482" s="354">
        <f>IFERROR(_xlfn.XLOOKUP(E482,轮胎重量!S:S,轮胎重量!P:P),"")</f>
        <v>211.2</v>
      </c>
      <c r="P482" s="347">
        <f>IFERROR(_xlfn.XLOOKUP(E482,硫化工艺!I:I,硫化工艺!J:J),"")</f>
        <v>3138.852</v>
      </c>
      <c r="Q482" s="354">
        <f t="shared" si="1282"/>
        <v>30</v>
      </c>
      <c r="R482" s="354">
        <v>24</v>
      </c>
      <c r="S482" s="354">
        <v>24</v>
      </c>
      <c r="T482" s="354">
        <v>24</v>
      </c>
      <c r="U482" s="354">
        <v>24</v>
      </c>
      <c r="V482" s="354">
        <v>24</v>
      </c>
      <c r="W482" s="354">
        <v>24</v>
      </c>
      <c r="X482" s="354">
        <v>24</v>
      </c>
      <c r="Y482" s="354">
        <v>24</v>
      </c>
      <c r="Z482" s="354">
        <v>24</v>
      </c>
      <c r="AA482" s="354">
        <v>24</v>
      </c>
      <c r="AB482" s="354">
        <v>24</v>
      </c>
      <c r="AC482" s="354">
        <v>24</v>
      </c>
      <c r="AD482" s="354">
        <v>24</v>
      </c>
      <c r="AE482" s="354">
        <v>24</v>
      </c>
      <c r="AF482" s="354">
        <v>24</v>
      </c>
      <c r="AG482" s="354">
        <v>24</v>
      </c>
      <c r="AH482" s="354">
        <v>24</v>
      </c>
      <c r="AI482" s="354">
        <v>24</v>
      </c>
      <c r="AJ482" s="354">
        <v>24</v>
      </c>
      <c r="AK482" s="354">
        <v>24</v>
      </c>
      <c r="AL482" s="354">
        <v>24</v>
      </c>
      <c r="AM482" s="354">
        <v>24</v>
      </c>
      <c r="AN482" s="354">
        <v>24</v>
      </c>
      <c r="AO482" s="354">
        <v>24</v>
      </c>
      <c r="AP482" s="354">
        <v>24</v>
      </c>
      <c r="AQ482" s="354">
        <v>24</v>
      </c>
      <c r="AR482" s="354">
        <v>24</v>
      </c>
      <c r="AS482" s="354">
        <v>24</v>
      </c>
      <c r="AT482" s="354">
        <v>24</v>
      </c>
      <c r="AU482" s="354">
        <v>24</v>
      </c>
      <c r="AV482" s="354">
        <v>24</v>
      </c>
      <c r="AW482" s="347">
        <f t="shared" ref="AW482:AW487" si="1289">IF(SUM(R482:AV482)=0,"",SUM(R482:AV482))</f>
        <v>744</v>
      </c>
      <c r="AX482" s="365">
        <f t="shared" ref="AX482:AX487" si="1290">IFERROR(AW482*O482/1000,"")</f>
        <v>157.1328</v>
      </c>
      <c r="AY482" s="365">
        <f t="shared" ref="AY482:AY487" si="1291">IFERROR(ROUND(AW482*P482/10000,3),"")</f>
        <v>233.531</v>
      </c>
      <c r="AZ482" s="368">
        <v>2105.4655</v>
      </c>
      <c r="BA482" s="368">
        <v>133.3057</v>
      </c>
      <c r="BB482" s="368">
        <v>179.267</v>
      </c>
      <c r="BC482" s="368">
        <v>216.1879</v>
      </c>
      <c r="BE482" s="330">
        <f t="shared" si="1258"/>
        <v>1566466.332</v>
      </c>
      <c r="BF482" s="330">
        <f t="shared" si="1259"/>
        <v>99179.4408</v>
      </c>
      <c r="BG482" s="330">
        <f t="shared" si="1260"/>
        <v>133374.648</v>
      </c>
      <c r="BH482" s="330">
        <f t="shared" si="1261"/>
        <v>160843.7976</v>
      </c>
      <c r="BJ482" s="370" cm="1">
        <f t="array" ref="BJ482:BM482">_xlfn.LET(_xlpm.data,$R482:$AV482,_xlpm.starts,{1,8,16,23},_xlpm.lengths,{7,7,8,9},_xlpm.arr,_xlfn.MAP(_xlpm.starts,_xlpm.lengths,_xlfn.LAMBDA(_xlpm.s,_xlpm.l,SUM(INDEX(_xlpm.data,,_xlfn.SEQUENCE(,_xlpm.l,_xlpm.s))))),ROUND(_xlpm.arr*$O482/1000,2))</f>
        <v>35.48</v>
      </c>
      <c r="BK482" s="330">
        <v>35.48</v>
      </c>
      <c r="BL482" s="330">
        <v>40.55</v>
      </c>
      <c r="BM482" s="330">
        <v>45.62</v>
      </c>
      <c r="BN482" s="258">
        <f t="shared" si="1262"/>
        <v>157.13</v>
      </c>
      <c r="BO482" s="258">
        <v>41.26</v>
      </c>
      <c r="BP482" s="258">
        <v>41.26</v>
      </c>
      <c r="BQ482" s="258">
        <v>47.15</v>
      </c>
      <c r="BR482" s="258">
        <v>53.05</v>
      </c>
      <c r="BS482" s="382" t="s">
        <v>361</v>
      </c>
      <c r="BX482" s="371" t="s">
        <v>361</v>
      </c>
      <c r="BY482" s="258">
        <f t="shared" si="1248"/>
        <v>168</v>
      </c>
      <c r="BZ482" s="258">
        <f t="shared" si="1249"/>
        <v>168</v>
      </c>
      <c r="CA482" s="258">
        <f t="shared" si="1250"/>
        <v>192</v>
      </c>
      <c r="CB482" s="258">
        <f t="shared" si="1251"/>
        <v>216</v>
      </c>
      <c r="CE482" s="389">
        <f t="shared" si="1263"/>
        <v>35.48</v>
      </c>
      <c r="CF482" s="389">
        <f t="shared" si="1264"/>
        <v>35.48</v>
      </c>
      <c r="CG482" s="389">
        <f t="shared" si="1265"/>
        <v>40.55</v>
      </c>
      <c r="CH482" s="389">
        <f t="shared" si="1266"/>
        <v>45.62</v>
      </c>
      <c r="CI482" s="258">
        <f t="shared" si="1267"/>
        <v>157.13</v>
      </c>
      <c r="CK482" s="258">
        <f t="shared" ref="CK482:CN482" si="1292">IFERROR(ROUND(BY482*$P482,2),"")</f>
        <v>527327.14</v>
      </c>
      <c r="CL482" s="258">
        <f t="shared" si="1292"/>
        <v>527327.14</v>
      </c>
      <c r="CM482" s="258">
        <f t="shared" si="1292"/>
        <v>602659.58</v>
      </c>
      <c r="CN482" s="258">
        <f t="shared" si="1292"/>
        <v>677992.03</v>
      </c>
      <c r="CO482" s="258">
        <f t="shared" si="1269"/>
        <v>2335305.89</v>
      </c>
      <c r="CP482" s="258" t="e">
        <f>VLOOKUP(G482,[2]Sheet1!$C$3:$G$310,5,0)</f>
        <v>#N/A</v>
      </c>
      <c r="CQ482" s="258">
        <f>VLOOKUP(G482,[3]KCBB0101!$C$3:$F$691,4,0)</f>
        <v>1608</v>
      </c>
    </row>
    <row r="483" ht="17" spans="2:95">
      <c r="B483" s="347" t="s">
        <v>695</v>
      </c>
      <c r="C483" s="347" t="str">
        <f t="shared" si="1287"/>
        <v>25</v>
      </c>
      <c r="D483" s="347" t="str">
        <f t="shared" si="1288"/>
        <v>工程胎25寸</v>
      </c>
      <c r="E483" s="385" t="str">
        <f>LEFT(REPLACE(G483,1,2,""),FIND("[",REPLACE(G483,1,2,""))-1)&amp;"-"&amp;MID(REPLACE(G483,1,2,""),FIND("[",REPLACE(G483,1,2,""))+1,FIND("]",REPLACE(G483,1,2,""))-FIND("[",REPLACE(G483,1,2,""))-1)</f>
        <v>23.5-25-24PR-DF60</v>
      </c>
      <c r="F483" s="373"/>
      <c r="G483" s="385" t="s">
        <v>767</v>
      </c>
      <c r="H483" s="347"/>
      <c r="I483" s="354">
        <v>2</v>
      </c>
      <c r="J483" s="354">
        <v>85</v>
      </c>
      <c r="K483" s="347"/>
      <c r="L483" s="402">
        <v>0.891411589895988</v>
      </c>
      <c r="M483" s="402"/>
      <c r="N483" s="354"/>
      <c r="O483" s="354">
        <f>IFERROR(_xlfn.XLOOKUP(E483,轮胎重量!S:S,轮胎重量!P:P),"")</f>
        <v>211.2</v>
      </c>
      <c r="P483" s="347">
        <f>IFERROR(_xlfn.XLOOKUP(E483,硫化工艺!I:I,硫化工艺!J:J),"")</f>
        <v>3134.729059</v>
      </c>
      <c r="Q483" s="354">
        <f t="shared" si="1282"/>
        <v>30</v>
      </c>
      <c r="R483" s="354">
        <v>24</v>
      </c>
      <c r="S483" s="354">
        <v>24</v>
      </c>
      <c r="T483" s="354">
        <v>24</v>
      </c>
      <c r="U483" s="354">
        <v>24</v>
      </c>
      <c r="V483" s="354">
        <v>24</v>
      </c>
      <c r="W483" s="354">
        <v>24</v>
      </c>
      <c r="X483" s="354">
        <v>24</v>
      </c>
      <c r="Y483" s="354">
        <v>24</v>
      </c>
      <c r="Z483" s="354">
        <v>24</v>
      </c>
      <c r="AA483" s="354">
        <v>24</v>
      </c>
      <c r="AB483" s="354">
        <v>24</v>
      </c>
      <c r="AC483" s="354">
        <v>24</v>
      </c>
      <c r="AD483" s="354">
        <v>24</v>
      </c>
      <c r="AE483" s="354">
        <v>24</v>
      </c>
      <c r="AF483" s="354">
        <v>24</v>
      </c>
      <c r="AG483" s="354">
        <v>24</v>
      </c>
      <c r="AH483" s="354">
        <v>24</v>
      </c>
      <c r="AI483" s="354">
        <v>24</v>
      </c>
      <c r="AJ483" s="354">
        <v>24</v>
      </c>
      <c r="AK483" s="354">
        <v>24</v>
      </c>
      <c r="AL483" s="354">
        <v>24</v>
      </c>
      <c r="AM483" s="354">
        <v>24</v>
      </c>
      <c r="AN483" s="354">
        <v>24</v>
      </c>
      <c r="AO483" s="354">
        <v>24</v>
      </c>
      <c r="AP483" s="354">
        <v>24</v>
      </c>
      <c r="AQ483" s="354">
        <v>24</v>
      </c>
      <c r="AR483" s="354">
        <v>24</v>
      </c>
      <c r="AS483" s="354">
        <v>24</v>
      </c>
      <c r="AT483" s="354">
        <v>24</v>
      </c>
      <c r="AU483" s="354">
        <v>24</v>
      </c>
      <c r="AV483" s="354">
        <v>24</v>
      </c>
      <c r="AW483" s="347">
        <f t="shared" si="1289"/>
        <v>744</v>
      </c>
      <c r="AX483" s="365">
        <f t="shared" si="1290"/>
        <v>157.1328</v>
      </c>
      <c r="AY483" s="365">
        <f t="shared" si="1291"/>
        <v>233.224</v>
      </c>
      <c r="AZ483" s="368">
        <v>2105.4655</v>
      </c>
      <c r="BA483" s="368">
        <v>133.3057</v>
      </c>
      <c r="BB483" s="368">
        <v>179.267</v>
      </c>
      <c r="BC483" s="368">
        <v>216.1879</v>
      </c>
      <c r="BE483" s="330">
        <f t="shared" si="1258"/>
        <v>1566466.332</v>
      </c>
      <c r="BF483" s="330">
        <f t="shared" si="1259"/>
        <v>99179.4408</v>
      </c>
      <c r="BG483" s="330">
        <f t="shared" si="1260"/>
        <v>133374.648</v>
      </c>
      <c r="BH483" s="330">
        <f t="shared" si="1261"/>
        <v>160843.7976</v>
      </c>
      <c r="BJ483" s="370" cm="1">
        <f t="array" ref="BJ483:BM483">_xlfn.LET(_xlpm.data,$R483:$AV483,_xlpm.starts,{1,8,16,23},_xlpm.lengths,{7,7,8,9},_xlpm.arr,_xlfn.MAP(_xlpm.starts,_xlpm.lengths,_xlfn.LAMBDA(_xlpm.s,_xlpm.l,SUM(INDEX(_xlpm.data,,_xlfn.SEQUENCE(,_xlpm.l,_xlpm.s))))),ROUND(_xlpm.arr*$O483/1000,2))</f>
        <v>35.48</v>
      </c>
      <c r="BK483" s="330">
        <v>35.48</v>
      </c>
      <c r="BL483" s="330">
        <v>40.55</v>
      </c>
      <c r="BM483" s="330">
        <v>45.62</v>
      </c>
      <c r="BN483" s="258">
        <f t="shared" si="1262"/>
        <v>157.13</v>
      </c>
      <c r="BO483" s="258">
        <v>41.26</v>
      </c>
      <c r="BP483" s="258">
        <v>41.26</v>
      </c>
      <c r="BQ483" s="258">
        <v>47.15</v>
      </c>
      <c r="BR483" s="258">
        <v>53.05</v>
      </c>
      <c r="BS483" s="382" t="s">
        <v>361</v>
      </c>
      <c r="BX483" s="371" t="s">
        <v>361</v>
      </c>
      <c r="BY483" s="258">
        <f t="shared" si="1248"/>
        <v>168</v>
      </c>
      <c r="BZ483" s="258">
        <f t="shared" si="1249"/>
        <v>168</v>
      </c>
      <c r="CA483" s="258">
        <f t="shared" si="1250"/>
        <v>192</v>
      </c>
      <c r="CB483" s="258">
        <f t="shared" si="1251"/>
        <v>216</v>
      </c>
      <c r="CE483" s="389">
        <f t="shared" si="1263"/>
        <v>35.48</v>
      </c>
      <c r="CF483" s="389">
        <f t="shared" si="1264"/>
        <v>35.48</v>
      </c>
      <c r="CG483" s="389">
        <f t="shared" si="1265"/>
        <v>40.55</v>
      </c>
      <c r="CH483" s="389">
        <f t="shared" si="1266"/>
        <v>45.62</v>
      </c>
      <c r="CI483" s="258">
        <f t="shared" si="1267"/>
        <v>157.13</v>
      </c>
      <c r="CK483" s="258">
        <f t="shared" ref="CK483:CN483" si="1293">IFERROR(ROUND(BY483*$P483,2),"")</f>
        <v>526634.48</v>
      </c>
      <c r="CL483" s="258">
        <f t="shared" si="1293"/>
        <v>526634.48</v>
      </c>
      <c r="CM483" s="258">
        <f t="shared" si="1293"/>
        <v>601867.98</v>
      </c>
      <c r="CN483" s="258">
        <f t="shared" si="1293"/>
        <v>677101.48</v>
      </c>
      <c r="CO483" s="258">
        <f t="shared" si="1269"/>
        <v>2332238.42</v>
      </c>
      <c r="CP483" s="258" t="e">
        <f>VLOOKUP(G483,[2]Sheet1!$C$3:$G$310,5,0)</f>
        <v>#N/A</v>
      </c>
      <c r="CQ483" s="258" t="e">
        <f>VLOOKUP(G483,[3]KCBB0101!$C$3:$F$691,4,0)</f>
        <v>#N/A</v>
      </c>
    </row>
    <row r="484" ht="17" spans="2:93">
      <c r="B484" s="347" t="s">
        <v>695</v>
      </c>
      <c r="C484" s="347" t="str">
        <f t="shared" si="1287"/>
        <v>25</v>
      </c>
      <c r="D484" s="347" t="str">
        <f t="shared" si="1288"/>
        <v>工程胎25寸</v>
      </c>
      <c r="E484" s="385" t="s">
        <v>768</v>
      </c>
      <c r="F484" s="373"/>
      <c r="G484" s="385" t="s">
        <v>769</v>
      </c>
      <c r="H484" s="347">
        <v>80</v>
      </c>
      <c r="I484" s="354">
        <v>4</v>
      </c>
      <c r="J484" s="354">
        <v>85</v>
      </c>
      <c r="K484" s="347"/>
      <c r="L484" s="402">
        <v>0.891411589895988</v>
      </c>
      <c r="M484" s="402"/>
      <c r="N484" s="354"/>
      <c r="O484" s="354">
        <f>IFERROR(_xlfn.XLOOKUP(E484,轮胎重量!S:S,轮胎重量!P:P),"")</f>
        <v>118.9</v>
      </c>
      <c r="P484" s="350">
        <f>O484*14.76</f>
        <v>1754.964</v>
      </c>
      <c r="Q484" s="354">
        <f t="shared" si="1282"/>
        <v>60</v>
      </c>
      <c r="R484" s="354"/>
      <c r="S484" s="354"/>
      <c r="T484" s="354"/>
      <c r="U484" s="354"/>
      <c r="V484" s="354"/>
      <c r="W484" s="354"/>
      <c r="X484" s="354"/>
      <c r="Y484" s="354"/>
      <c r="Z484" s="354"/>
      <c r="AA484" s="354"/>
      <c r="AB484" s="354"/>
      <c r="AC484" s="354"/>
      <c r="AD484" s="354"/>
      <c r="AE484" s="354"/>
      <c r="AF484" s="354"/>
      <c r="AG484" s="354"/>
      <c r="AH484" s="354"/>
      <c r="AI484" s="354"/>
      <c r="AJ484" s="354"/>
      <c r="AK484" s="354"/>
      <c r="AL484" s="354"/>
      <c r="AM484" s="354"/>
      <c r="AN484" s="354"/>
      <c r="AO484" s="354"/>
      <c r="AP484" s="354"/>
      <c r="AQ484" s="354"/>
      <c r="AR484" s="354"/>
      <c r="AS484" s="354"/>
      <c r="AT484" s="354"/>
      <c r="AU484" s="354"/>
      <c r="AV484" s="354"/>
      <c r="AW484" s="347" t="str">
        <f t="shared" si="1289"/>
        <v/>
      </c>
      <c r="AX484" s="365" t="str">
        <f t="shared" si="1290"/>
        <v/>
      </c>
      <c r="AY484" s="365" t="str">
        <f t="shared" si="1291"/>
        <v/>
      </c>
      <c r="AZ484" s="368">
        <v>2156.2074</v>
      </c>
      <c r="BA484" s="368">
        <v>137.0122</v>
      </c>
      <c r="BB484" s="368">
        <v>184.2515</v>
      </c>
      <c r="BC484" s="368">
        <v>222.199</v>
      </c>
      <c r="BE484" s="330" t="e">
        <f t="shared" si="1258"/>
        <v>#VALUE!</v>
      </c>
      <c r="BF484" s="330" t="e">
        <f t="shared" si="1259"/>
        <v>#VALUE!</v>
      </c>
      <c r="BG484" s="330" t="e">
        <f t="shared" si="1260"/>
        <v>#VALUE!</v>
      </c>
      <c r="BH484" s="330" t="e">
        <f t="shared" si="1261"/>
        <v>#VALUE!</v>
      </c>
      <c r="BJ484" s="370" cm="1">
        <f t="array" ref="BJ484:BM484">_xlfn.LET(_xlpm.data,$R484:$AV484,_xlpm.starts,{1,8,16,23},_xlpm.lengths,{7,7,8,9},_xlpm.arr,_xlfn.MAP(_xlpm.starts,_xlpm.lengths,_xlfn.LAMBDA(_xlpm.s,_xlpm.l,SUM(INDEX(_xlpm.data,,_xlfn.SEQUENCE(,_xlpm.l,_xlpm.s))))),ROUND(_xlpm.arr*$O484/1000,2))</f>
        <v>0</v>
      </c>
      <c r="BK484" s="330">
        <v>0</v>
      </c>
      <c r="BL484" s="330">
        <v>0</v>
      </c>
      <c r="BM484" s="330">
        <v>0</v>
      </c>
      <c r="BN484" s="258">
        <f t="shared" si="1262"/>
        <v>0</v>
      </c>
      <c r="BO484" s="258">
        <v>17.68</v>
      </c>
      <c r="BP484" s="258">
        <v>17.68</v>
      </c>
      <c r="BQ484" s="258">
        <v>7.58</v>
      </c>
      <c r="BR484" s="258">
        <v>0</v>
      </c>
      <c r="BS484" s="382" t="s">
        <v>361</v>
      </c>
      <c r="BX484" s="371" t="s">
        <v>361</v>
      </c>
      <c r="BY484" s="258">
        <f t="shared" si="1248"/>
        <v>0</v>
      </c>
      <c r="BZ484" s="258">
        <f t="shared" si="1249"/>
        <v>0</v>
      </c>
      <c r="CA484" s="258">
        <f t="shared" si="1250"/>
        <v>0</v>
      </c>
      <c r="CB484" s="258">
        <f t="shared" si="1251"/>
        <v>0</v>
      </c>
      <c r="CE484" s="389">
        <f t="shared" si="1263"/>
        <v>0</v>
      </c>
      <c r="CF484" s="389">
        <f t="shared" si="1264"/>
        <v>0</v>
      </c>
      <c r="CG484" s="389">
        <f t="shared" si="1265"/>
        <v>0</v>
      </c>
      <c r="CH484" s="389">
        <f t="shared" si="1266"/>
        <v>0</v>
      </c>
      <c r="CI484" s="258">
        <f t="shared" si="1267"/>
        <v>0</v>
      </c>
      <c r="CK484" s="258">
        <f t="shared" ref="CK484:CN484" si="1294">IFERROR(ROUND(BY484*$P484,2),"")</f>
        <v>0</v>
      </c>
      <c r="CL484" s="258">
        <f t="shared" si="1294"/>
        <v>0</v>
      </c>
      <c r="CM484" s="258">
        <f t="shared" si="1294"/>
        <v>0</v>
      </c>
      <c r="CN484" s="258">
        <f t="shared" si="1294"/>
        <v>0</v>
      </c>
      <c r="CO484" s="258">
        <f t="shared" si="1269"/>
        <v>0</v>
      </c>
    </row>
    <row r="485" ht="17" spans="2:93">
      <c r="B485" s="347" t="s">
        <v>695</v>
      </c>
      <c r="C485" s="347" t="str">
        <f t="shared" si="1287"/>
        <v>25</v>
      </c>
      <c r="D485" s="347" t="str">
        <f t="shared" si="1288"/>
        <v>工程胎25寸</v>
      </c>
      <c r="E485" s="385" t="s">
        <v>770</v>
      </c>
      <c r="F485" s="373"/>
      <c r="G485" s="385" t="s">
        <v>771</v>
      </c>
      <c r="H485" s="347">
        <v>80</v>
      </c>
      <c r="I485" s="354">
        <v>4</v>
      </c>
      <c r="J485" s="354">
        <v>85</v>
      </c>
      <c r="K485" s="347"/>
      <c r="L485" s="402">
        <v>0.891411589895988</v>
      </c>
      <c r="M485" s="402"/>
      <c r="N485" s="354"/>
      <c r="O485" s="354">
        <f>IFERROR(_xlfn.XLOOKUP(E485,轮胎重量!S:S,轮胎重量!P:P),"")</f>
        <v>110.4</v>
      </c>
      <c r="P485" s="347">
        <f>14.15*O485</f>
        <v>1562.16</v>
      </c>
      <c r="Q485" s="354">
        <f t="shared" si="1282"/>
        <v>60</v>
      </c>
      <c r="R485" s="354"/>
      <c r="S485" s="354"/>
      <c r="T485" s="354"/>
      <c r="U485" s="354"/>
      <c r="V485" s="354"/>
      <c r="W485" s="354"/>
      <c r="X485" s="354"/>
      <c r="Y485" s="354"/>
      <c r="Z485" s="354"/>
      <c r="AA485" s="354"/>
      <c r="AB485" s="354"/>
      <c r="AC485" s="354"/>
      <c r="AD485" s="354"/>
      <c r="AE485" s="354"/>
      <c r="AF485" s="354"/>
      <c r="AG485" s="354"/>
      <c r="AH485" s="354"/>
      <c r="AI485" s="354"/>
      <c r="AJ485" s="354"/>
      <c r="AK485" s="354"/>
      <c r="AL485" s="354"/>
      <c r="AM485" s="354"/>
      <c r="AN485" s="354"/>
      <c r="AO485" s="354"/>
      <c r="AP485" s="354"/>
      <c r="AQ485" s="354"/>
      <c r="AR485" s="354"/>
      <c r="AS485" s="354"/>
      <c r="AT485" s="354"/>
      <c r="AU485" s="354"/>
      <c r="AV485" s="354"/>
      <c r="AW485" s="347" t="str">
        <f t="shared" si="1289"/>
        <v/>
      </c>
      <c r="AX485" s="365" t="str">
        <f t="shared" si="1290"/>
        <v/>
      </c>
      <c r="AY485" s="365" t="str">
        <f t="shared" si="1291"/>
        <v/>
      </c>
      <c r="AZ485" s="368">
        <v>2156.2074</v>
      </c>
      <c r="BA485" s="368">
        <v>137.0122</v>
      </c>
      <c r="BB485" s="368">
        <v>184.2515</v>
      </c>
      <c r="BC485" s="368">
        <v>222.199</v>
      </c>
      <c r="BE485" s="330" t="e">
        <f t="shared" si="1258"/>
        <v>#VALUE!</v>
      </c>
      <c r="BF485" s="330" t="e">
        <f t="shared" si="1259"/>
        <v>#VALUE!</v>
      </c>
      <c r="BG485" s="330" t="e">
        <f t="shared" si="1260"/>
        <v>#VALUE!</v>
      </c>
      <c r="BH485" s="330" t="e">
        <f t="shared" si="1261"/>
        <v>#VALUE!</v>
      </c>
      <c r="BJ485" s="370" cm="1">
        <f t="array" ref="BJ485:BM485">_xlfn.LET(_xlpm.data,$R485:$AV485,_xlpm.starts,{1,8,16,23},_xlpm.lengths,{7,7,8,9},_xlpm.arr,_xlfn.MAP(_xlpm.starts,_xlpm.lengths,_xlfn.LAMBDA(_xlpm.s,_xlpm.l,SUM(INDEX(_xlpm.data,,_xlfn.SEQUENCE(,_xlpm.l,_xlpm.s))))),ROUND(_xlpm.arr*$O485/1000,2))</f>
        <v>0</v>
      </c>
      <c r="BK485" s="330">
        <v>0</v>
      </c>
      <c r="BL485" s="330">
        <v>0</v>
      </c>
      <c r="BM485" s="330">
        <v>0</v>
      </c>
      <c r="BN485" s="258">
        <f>SUM(BJ485:BM485)</f>
        <v>0</v>
      </c>
      <c r="BO485" s="258">
        <v>17.68</v>
      </c>
      <c r="BP485" s="258">
        <v>17.68</v>
      </c>
      <c r="BQ485" s="258">
        <v>7.58</v>
      </c>
      <c r="BR485" s="258">
        <v>0</v>
      </c>
      <c r="BS485" s="382" t="s">
        <v>361</v>
      </c>
      <c r="BX485" s="371" t="s">
        <v>361</v>
      </c>
      <c r="BY485" s="258">
        <f t="shared" si="1248"/>
        <v>0</v>
      </c>
      <c r="BZ485" s="258">
        <f t="shared" si="1249"/>
        <v>0</v>
      </c>
      <c r="CA485" s="258">
        <f t="shared" si="1250"/>
        <v>0</v>
      </c>
      <c r="CB485" s="258">
        <f t="shared" si="1251"/>
        <v>0</v>
      </c>
      <c r="CE485" s="389">
        <f>ROUND(BY485*$O485/1000,2)</f>
        <v>0</v>
      </c>
      <c r="CF485" s="389">
        <f>ROUND(BZ485*$O485/1000,2)</f>
        <v>0</v>
      </c>
      <c r="CG485" s="389">
        <f>ROUND(CA485*$O485/1000,2)</f>
        <v>0</v>
      </c>
      <c r="CH485" s="389">
        <f>ROUND(CB485*$O485/1000,2)</f>
        <v>0</v>
      </c>
      <c r="CI485" s="258">
        <f>SUM(CE485:CH485)</f>
        <v>0</v>
      </c>
      <c r="CK485" s="258">
        <f t="shared" ref="CK485:CN485" si="1295">IFERROR(ROUND(BY485*$P485,2),"")</f>
        <v>0</v>
      </c>
      <c r="CL485" s="258">
        <f t="shared" si="1295"/>
        <v>0</v>
      </c>
      <c r="CM485" s="258">
        <f t="shared" si="1295"/>
        <v>0</v>
      </c>
      <c r="CN485" s="258">
        <f t="shared" si="1295"/>
        <v>0</v>
      </c>
      <c r="CO485" s="258">
        <f t="shared" si="1269"/>
        <v>0</v>
      </c>
    </row>
    <row r="486" s="258" customFormat="1" ht="17" spans="1:92">
      <c r="A486" s="330"/>
      <c r="B486" s="347"/>
      <c r="C486" s="347" t="str">
        <f t="shared" si="1287"/>
        <v/>
      </c>
      <c r="D486" s="347" t="str">
        <f t="shared" si="1288"/>
        <v>工程胎寸</v>
      </c>
      <c r="E486" s="373"/>
      <c r="F486" s="373"/>
      <c r="G486" s="385"/>
      <c r="H486" s="347"/>
      <c r="I486" s="354">
        <v>1</v>
      </c>
      <c r="J486" s="354">
        <v>85</v>
      </c>
      <c r="K486" s="347"/>
      <c r="L486" s="402">
        <v>0.891411589895988</v>
      </c>
      <c r="M486" s="402"/>
      <c r="N486" s="354"/>
      <c r="O486" s="354">
        <f>IFERROR(_xlfn.XLOOKUP(E486,轮胎重量!S:S,轮胎重量!P:P),"")</f>
        <v>0</v>
      </c>
      <c r="P486" s="347">
        <f>IFERROR(_xlfn.XLOOKUP(E486,硫化工艺!I:I,硫化工艺!J:J),"")</f>
        <v>0</v>
      </c>
      <c r="Q486" s="354" t="str">
        <f>IFERROR(ROUND(1440/J486*I486*L489,0),"")</f>
        <v/>
      </c>
      <c r="R486" s="354"/>
      <c r="S486" s="354"/>
      <c r="T486" s="354"/>
      <c r="U486" s="354"/>
      <c r="V486" s="354"/>
      <c r="W486" s="354"/>
      <c r="X486" s="354"/>
      <c r="Y486" s="354"/>
      <c r="Z486" s="354"/>
      <c r="AA486" s="354"/>
      <c r="AB486" s="354"/>
      <c r="AC486" s="354"/>
      <c r="AD486" s="354"/>
      <c r="AE486" s="354"/>
      <c r="AF486" s="354"/>
      <c r="AG486" s="354"/>
      <c r="AH486" s="354"/>
      <c r="AI486" s="354"/>
      <c r="AJ486" s="354"/>
      <c r="AK486" s="354"/>
      <c r="AL486" s="354"/>
      <c r="AM486" s="354"/>
      <c r="AN486" s="354"/>
      <c r="AO486" s="354"/>
      <c r="AP486" s="354"/>
      <c r="AQ486" s="354"/>
      <c r="AR486" s="354"/>
      <c r="AS486" s="354"/>
      <c r="AT486" s="354"/>
      <c r="AU486" s="354"/>
      <c r="AV486" s="354"/>
      <c r="AW486" s="347" t="str">
        <f t="shared" si="1289"/>
        <v/>
      </c>
      <c r="AX486" s="365" t="str">
        <f t="shared" si="1290"/>
        <v/>
      </c>
      <c r="AY486" s="365" t="str">
        <f t="shared" si="1291"/>
        <v/>
      </c>
      <c r="AZ486" s="368">
        <v>2156.2074</v>
      </c>
      <c r="BA486" s="368">
        <v>137.0122</v>
      </c>
      <c r="BB486" s="368">
        <v>184.2515</v>
      </c>
      <c r="BC486" s="368">
        <v>222.199</v>
      </c>
      <c r="BD486" s="330"/>
      <c r="BE486" s="330" t="e">
        <f t="shared" si="1258"/>
        <v>#VALUE!</v>
      </c>
      <c r="BF486" s="330" t="e">
        <f t="shared" si="1259"/>
        <v>#VALUE!</v>
      </c>
      <c r="BG486" s="330" t="e">
        <f t="shared" si="1260"/>
        <v>#VALUE!</v>
      </c>
      <c r="BH486" s="330" t="e">
        <f t="shared" si="1261"/>
        <v>#VALUE!</v>
      </c>
      <c r="BI486" s="330"/>
      <c r="BJ486" s="370" cm="1">
        <f t="array" ref="BJ486:BM486">_xlfn.LET(_xlpm.data,$R486:$AV486,_xlpm.starts,{1,8,16,23},_xlpm.lengths,{7,7,8,9},_xlpm.arr,_xlfn.MAP(_xlpm.starts,_xlpm.lengths,_xlfn.LAMBDA(_xlpm.s,_xlpm.l,SUM(INDEX(_xlpm.data,,_xlfn.SEQUENCE(,_xlpm.l,_xlpm.s))))),ROUND(_xlpm.arr*$O486/1000,2))</f>
        <v>0</v>
      </c>
      <c r="BK486" s="330">
        <v>0</v>
      </c>
      <c r="BL486" s="330">
        <v>0</v>
      </c>
      <c r="BM486" s="330">
        <v>0</v>
      </c>
      <c r="BN486" s="258">
        <f>SUM(BJ486:BM486)</f>
        <v>0</v>
      </c>
      <c r="BO486" s="258">
        <v>0</v>
      </c>
      <c r="BP486" s="258">
        <v>0</v>
      </c>
      <c r="BQ486" s="258">
        <v>7.32</v>
      </c>
      <c r="BR486" s="258">
        <v>13.18</v>
      </c>
      <c r="BS486" s="382" t="s">
        <v>361</v>
      </c>
      <c r="BX486" s="371" t="s">
        <v>361</v>
      </c>
      <c r="BY486" s="258">
        <f t="shared" si="1248"/>
        <v>0</v>
      </c>
      <c r="BZ486" s="258">
        <f t="shared" si="1249"/>
        <v>0</v>
      </c>
      <c r="CA486" s="258">
        <f t="shared" si="1250"/>
        <v>0</v>
      </c>
      <c r="CB486" s="258">
        <f t="shared" si="1251"/>
        <v>0</v>
      </c>
      <c r="CD486" s="113"/>
      <c r="CE486" s="258">
        <f>ROUND(BY486*$O486/1000,2)</f>
        <v>0</v>
      </c>
      <c r="CF486" s="258">
        <f>ROUND(BZ486*$O486/1000,2)</f>
        <v>0</v>
      </c>
      <c r="CG486" s="258">
        <f>ROUND(CA486*$O486/1000,2)</f>
        <v>0</v>
      </c>
      <c r="CH486" s="258">
        <f>ROUND(CB486*$O486/1000,2)</f>
        <v>0</v>
      </c>
      <c r="CI486" s="258">
        <f>SUM(CE486:CH486)</f>
        <v>0</v>
      </c>
      <c r="CJ486" s="113"/>
      <c r="CK486" s="258">
        <f t="shared" ref="CK486:CN486" si="1296">IFERROR(ROUND(BY486*$P486,2),"")</f>
        <v>0</v>
      </c>
      <c r="CL486" s="258">
        <f t="shared" si="1296"/>
        <v>0</v>
      </c>
      <c r="CM486" s="258">
        <f t="shared" si="1296"/>
        <v>0</v>
      </c>
      <c r="CN486" s="258">
        <f t="shared" si="1296"/>
        <v>0</v>
      </c>
    </row>
    <row r="487" s="258" customFormat="1" spans="1:92">
      <c r="A487" s="330"/>
      <c r="B487" s="347"/>
      <c r="C487" s="347" t="str">
        <f t="shared" si="1287"/>
        <v/>
      </c>
      <c r="D487" s="347" t="str">
        <f t="shared" si="1288"/>
        <v>工程胎寸</v>
      </c>
      <c r="E487" s="400"/>
      <c r="F487" s="400"/>
      <c r="G487" s="385"/>
      <c r="H487" s="347"/>
      <c r="I487" s="386"/>
      <c r="J487" s="347"/>
      <c r="K487" s="347"/>
      <c r="L487" s="402">
        <v>0.891411589895988</v>
      </c>
      <c r="M487" s="349"/>
      <c r="N487" s="347"/>
      <c r="O487" s="347">
        <f>IFERROR(_xlfn.XLOOKUP(E487,轮胎重量!S:S,轮胎重量!P:P),"")</f>
        <v>0</v>
      </c>
      <c r="P487" s="347">
        <f>14.15*O487</f>
        <v>0</v>
      </c>
      <c r="Q487" s="347"/>
      <c r="R487" s="347"/>
      <c r="S487" s="347"/>
      <c r="T487" s="347"/>
      <c r="U487" s="347"/>
      <c r="V487" s="347"/>
      <c r="W487" s="347"/>
      <c r="X487" s="347"/>
      <c r="Y487" s="347"/>
      <c r="Z487" s="347"/>
      <c r="AA487" s="347"/>
      <c r="AB487" s="347"/>
      <c r="AC487" s="347"/>
      <c r="AD487" s="347"/>
      <c r="AE487" s="347"/>
      <c r="AF487" s="347"/>
      <c r="AG487" s="347"/>
      <c r="AH487" s="347"/>
      <c r="AI487" s="347"/>
      <c r="AJ487" s="347"/>
      <c r="AK487" s="347"/>
      <c r="AL487" s="347"/>
      <c r="AM487" s="347"/>
      <c r="AN487" s="347"/>
      <c r="AO487" s="347"/>
      <c r="AP487" s="347"/>
      <c r="AQ487" s="347"/>
      <c r="AR487" s="347"/>
      <c r="AS487" s="347"/>
      <c r="AT487" s="347"/>
      <c r="AU487" s="347"/>
      <c r="AV487" s="347"/>
      <c r="AW487" s="347" t="str">
        <f t="shared" si="1289"/>
        <v/>
      </c>
      <c r="AX487" s="365" t="str">
        <f t="shared" si="1290"/>
        <v/>
      </c>
      <c r="AY487" s="365" t="str">
        <f t="shared" si="1291"/>
        <v/>
      </c>
      <c r="BC487" s="330"/>
      <c r="BD487" s="330"/>
      <c r="BE487" s="330"/>
      <c r="BF487" s="330"/>
      <c r="BG487" s="330"/>
      <c r="BH487" s="330"/>
      <c r="BI487" s="330"/>
      <c r="BJ487" s="370" cm="1">
        <f t="array" ref="BJ487">SUMPRODUCT(IF(ISNUMBER(BJ377:BJ385),BJ377:BJ385,0),IF(ISERROR(BJ377:BJ385),0,1))</f>
        <v>58.82</v>
      </c>
      <c r="BK487" s="370" cm="1">
        <f t="array" ref="BK487">SUMPRODUCT(IF(ISNUMBER(BK377:BK385),BK377:BK385,0),IF(ISERROR(BK377:BK385),0,1))</f>
        <v>57.58</v>
      </c>
      <c r="BL487" s="370" cm="1">
        <f t="array" ref="BL487">SUMPRODUCT(IF(ISNUMBER(BL377:BL385),BL377:BL385,0),IF(ISERROR(BL377:BL385),0,1))</f>
        <v>46.63</v>
      </c>
      <c r="BM487" s="370" cm="1">
        <f t="array" ref="BM487">SUMPRODUCT(IF(ISNUMBER(BM377:BM385),BM377:BM385,0),IF(ISERROR(BM377:BM385),0,1))</f>
        <v>63.58</v>
      </c>
      <c r="BN487" s="258">
        <f>SUM(BJ487:BM487)</f>
        <v>226.61</v>
      </c>
      <c r="BO487" s="258">
        <v>42.79</v>
      </c>
      <c r="BP487" s="258">
        <v>44.13</v>
      </c>
      <c r="BQ487" s="258">
        <v>49.14</v>
      </c>
      <c r="BR487" s="258">
        <v>55.17</v>
      </c>
      <c r="BS487" s="382" t="s">
        <v>361</v>
      </c>
      <c r="BX487" s="382" t="s">
        <v>361</v>
      </c>
      <c r="BY487" s="258">
        <f t="shared" si="1248"/>
        <v>0</v>
      </c>
      <c r="BZ487" s="258">
        <f t="shared" si="1249"/>
        <v>0</v>
      </c>
      <c r="CA487" s="258">
        <f t="shared" si="1250"/>
        <v>0</v>
      </c>
      <c r="CB487" s="258">
        <f t="shared" si="1251"/>
        <v>0</v>
      </c>
      <c r="CD487" s="113"/>
      <c r="CE487" s="258">
        <f>ROUND(BY487*$O487/1000,2)</f>
        <v>0</v>
      </c>
      <c r="CF487" s="258">
        <f>ROUND(BZ487*$O487/1000,2)</f>
        <v>0</v>
      </c>
      <c r="CG487" s="258">
        <f>ROUND(CA487*$O487/1000,2)</f>
        <v>0</v>
      </c>
      <c r="CH487" s="258">
        <f>ROUND(CB487*$O487/1000,2)</f>
        <v>0</v>
      </c>
      <c r="CI487" s="258">
        <f>SUM(CE487:CH487)</f>
        <v>0</v>
      </c>
      <c r="CJ487" s="113"/>
      <c r="CK487" s="258">
        <f t="shared" ref="CK487:CN487" si="1297">IFERROR(ROUND(BY487*$P487,2),"")</f>
        <v>0</v>
      </c>
      <c r="CL487" s="258">
        <f t="shared" si="1297"/>
        <v>0</v>
      </c>
      <c r="CM487" s="258">
        <f t="shared" si="1297"/>
        <v>0</v>
      </c>
      <c r="CN487" s="258">
        <f t="shared" si="1297"/>
        <v>0</v>
      </c>
    </row>
    <row r="488" s="258" customFormat="1" spans="1:92">
      <c r="A488" s="330"/>
      <c r="B488" s="331"/>
      <c r="C488" s="331"/>
      <c r="D488" s="331"/>
      <c r="E488" s="332"/>
      <c r="F488" s="332"/>
      <c r="G488" s="332"/>
      <c r="H488" s="331"/>
      <c r="I488" s="331"/>
      <c r="J488" s="331"/>
      <c r="K488" s="331"/>
      <c r="L488" s="387"/>
      <c r="M488" s="403"/>
      <c r="N488" s="331"/>
      <c r="O488" s="331"/>
      <c r="P488" s="331"/>
      <c r="Q488" s="331"/>
      <c r="R488" s="331"/>
      <c r="S488" s="331"/>
      <c r="T488" s="331"/>
      <c r="U488" s="331"/>
      <c r="V488" s="331"/>
      <c r="W488" s="331"/>
      <c r="X488" s="331"/>
      <c r="Y488" s="331"/>
      <c r="Z488" s="331"/>
      <c r="AA488" s="331"/>
      <c r="AB488" s="331"/>
      <c r="AC488" s="331"/>
      <c r="AD488" s="331"/>
      <c r="AE488" s="331"/>
      <c r="AF488" s="331"/>
      <c r="AG488" s="331"/>
      <c r="AH488" s="331"/>
      <c r="AI488" s="331"/>
      <c r="AJ488" s="331"/>
      <c r="AK488" s="331"/>
      <c r="AL488" s="331"/>
      <c r="AM488" s="331"/>
      <c r="AN488" s="331"/>
      <c r="AO488" s="331"/>
      <c r="AP488" s="331"/>
      <c r="AQ488" s="331"/>
      <c r="AR488" s="331"/>
      <c r="AS488" s="331"/>
      <c r="AT488" s="331"/>
      <c r="AU488" s="331"/>
      <c r="AV488" s="331"/>
      <c r="AW488" s="331"/>
      <c r="AX488" s="404"/>
      <c r="AY488" s="404"/>
      <c r="BC488" s="330"/>
      <c r="BD488" s="330"/>
      <c r="BE488" s="330"/>
      <c r="BF488" s="330"/>
      <c r="BG488" s="330"/>
      <c r="BH488" s="330"/>
      <c r="BI488" s="330"/>
      <c r="BJ488" s="370" cm="1">
        <f t="array" ref="BJ488">SUMPRODUCT(IF(ISNUMBER(BJ377:BJ385),BJ377:BJ385,0),IF(ISERROR(BJ377:BJ385),0,1))</f>
        <v>58.82</v>
      </c>
      <c r="BK488" s="370" cm="1">
        <f t="array" ref="BK488">SUMPRODUCT(IF(ISNUMBER(BK377:BK385),BK377:BK385,0),IF(ISERROR(BK377:BK385),0,1))</f>
        <v>57.58</v>
      </c>
      <c r="BL488" s="370" cm="1">
        <f t="array" ref="BL488">SUMPRODUCT(IF(ISNUMBER(BL377:BL385),BL377:BL385,0),IF(ISERROR(BL377:BL385),0,1))</f>
        <v>46.63</v>
      </c>
      <c r="BM488" s="370" cm="1">
        <f t="array" ref="BM488">SUMPRODUCT(IF(ISNUMBER(BM377:BM385),BM377:BM385,0),IF(ISERROR(BM377:BM385),0,1))</f>
        <v>63.58</v>
      </c>
      <c r="BN488" s="258">
        <f>SUM(BJ488:BM488)</f>
        <v>226.61</v>
      </c>
      <c r="BO488" s="258">
        <v>42.79</v>
      </c>
      <c r="BP488" s="258">
        <v>44.13</v>
      </c>
      <c r="BQ488" s="258">
        <v>49.14</v>
      </c>
      <c r="BR488" s="258">
        <v>55.17</v>
      </c>
      <c r="BS488" s="382"/>
      <c r="BX488" s="382"/>
      <c r="BY488" s="258">
        <f>SUM(R488:X488)</f>
        <v>0</v>
      </c>
      <c r="BZ488" s="258">
        <f>SUM(Y488:AE488)</f>
        <v>0</v>
      </c>
      <c r="CA488" s="258">
        <f>SUM(AF488:AL488)</f>
        <v>0</v>
      </c>
      <c r="CB488" s="258">
        <f>SUM(AM488:AV488)</f>
        <v>0</v>
      </c>
      <c r="CD488" s="113"/>
      <c r="CE488" s="258">
        <f>ROUND(BY488*$O488/1000,2)</f>
        <v>0</v>
      </c>
      <c r="CF488" s="258">
        <f>ROUND(BZ488*$O488/1000,2)</f>
        <v>0</v>
      </c>
      <c r="CG488" s="258">
        <f>ROUND(CA488*$O488/1000,2)</f>
        <v>0</v>
      </c>
      <c r="CH488" s="258">
        <f>ROUND(CB488*$O488/1000,2)</f>
        <v>0</v>
      </c>
      <c r="CI488" s="258">
        <f>SUM(CE488:CH488)</f>
        <v>0</v>
      </c>
      <c r="CJ488" s="113"/>
      <c r="CK488" s="258">
        <f t="shared" ref="CK488:CN488" si="1298">IFERROR(ROUND(BY488*$P488,2),"")</f>
        <v>0</v>
      </c>
      <c r="CL488" s="258">
        <f t="shared" si="1298"/>
        <v>0</v>
      </c>
      <c r="CM488" s="258">
        <f t="shared" si="1298"/>
        <v>0</v>
      </c>
      <c r="CN488" s="258">
        <f t="shared" si="1298"/>
        <v>0</v>
      </c>
    </row>
    <row r="489" s="258" customFormat="1" ht="36" spans="1:95">
      <c r="A489" s="330"/>
      <c r="B489" s="333" t="s">
        <v>669</v>
      </c>
      <c r="C489" s="333" t="s">
        <v>670</v>
      </c>
      <c r="D489" s="333"/>
      <c r="E489" s="336" t="s">
        <v>671</v>
      </c>
      <c r="F489" s="336"/>
      <c r="G489" s="337" t="s">
        <v>772</v>
      </c>
      <c r="H489" s="338" t="s">
        <v>773</v>
      </c>
      <c r="I489" s="333" t="s">
        <v>674</v>
      </c>
      <c r="J489" s="344" t="s">
        <v>675</v>
      </c>
      <c r="K489" s="344" t="s">
        <v>676</v>
      </c>
      <c r="L489" s="344" t="s">
        <v>677</v>
      </c>
      <c r="M489" s="333" t="s">
        <v>678</v>
      </c>
      <c r="N489" s="333" t="s">
        <v>679</v>
      </c>
      <c r="O489" s="344" t="s">
        <v>680</v>
      </c>
      <c r="P489" s="344" t="s">
        <v>681</v>
      </c>
      <c r="Q489" s="344" t="s">
        <v>682</v>
      </c>
      <c r="R489" s="333">
        <v>1</v>
      </c>
      <c r="S489" s="333">
        <v>2</v>
      </c>
      <c r="T489" s="333">
        <v>3</v>
      </c>
      <c r="U489" s="333">
        <v>4</v>
      </c>
      <c r="V489" s="333">
        <v>5</v>
      </c>
      <c r="W489" s="333">
        <v>6</v>
      </c>
      <c r="X489" s="333">
        <v>7</v>
      </c>
      <c r="Y489" s="333">
        <v>8</v>
      </c>
      <c r="Z489" s="333">
        <v>9</v>
      </c>
      <c r="AA489" s="333">
        <v>10</v>
      </c>
      <c r="AB489" s="333">
        <v>11</v>
      </c>
      <c r="AC489" s="333">
        <v>12</v>
      </c>
      <c r="AD489" s="333">
        <v>13</v>
      </c>
      <c r="AE489" s="333">
        <v>14</v>
      </c>
      <c r="AF489" s="333">
        <v>15</v>
      </c>
      <c r="AG489" s="333">
        <v>16</v>
      </c>
      <c r="AH489" s="333">
        <v>17</v>
      </c>
      <c r="AI489" s="333">
        <v>18</v>
      </c>
      <c r="AJ489" s="333">
        <v>19</v>
      </c>
      <c r="AK489" s="333">
        <v>20</v>
      </c>
      <c r="AL489" s="333">
        <v>21</v>
      </c>
      <c r="AM489" s="333">
        <v>22</v>
      </c>
      <c r="AN489" s="333">
        <v>23</v>
      </c>
      <c r="AO489" s="333">
        <v>24</v>
      </c>
      <c r="AP489" s="333">
        <v>25</v>
      </c>
      <c r="AQ489" s="333">
        <v>26</v>
      </c>
      <c r="AR489" s="333">
        <v>27</v>
      </c>
      <c r="AS489" s="333">
        <v>28</v>
      </c>
      <c r="AT489" s="333">
        <v>29</v>
      </c>
      <c r="AU489" s="333">
        <v>30</v>
      </c>
      <c r="AV489" s="333">
        <v>31</v>
      </c>
      <c r="AW489" s="347" t="s">
        <v>683</v>
      </c>
      <c r="AX489" s="363" t="s">
        <v>684</v>
      </c>
      <c r="AY489" s="363" t="s">
        <v>685</v>
      </c>
      <c r="AZ489" s="364" t="s">
        <v>686</v>
      </c>
      <c r="BA489" s="364" t="s">
        <v>687</v>
      </c>
      <c r="BB489" s="364" t="s">
        <v>688</v>
      </c>
      <c r="BC489" s="364" t="s">
        <v>689</v>
      </c>
      <c r="BD489" s="330"/>
      <c r="BE489" s="369" t="s">
        <v>686</v>
      </c>
      <c r="BF489" s="369" t="s">
        <v>687</v>
      </c>
      <c r="BG489" s="369" t="s">
        <v>688</v>
      </c>
      <c r="BH489" s="369" t="s">
        <v>689</v>
      </c>
      <c r="BI489" s="330"/>
      <c r="BJ489" s="330"/>
      <c r="BK489" s="330"/>
      <c r="BL489" s="330"/>
      <c r="BM489" s="330"/>
      <c r="BN489" s="258"/>
      <c r="BO489" s="258"/>
      <c r="BP489" s="258"/>
      <c r="BQ489" s="258"/>
      <c r="BR489" s="258"/>
      <c r="BS489" s="115"/>
      <c r="BY489" s="113">
        <f>SUM(BY490:BY798)</f>
        <v>118860</v>
      </c>
      <c r="BZ489" s="113">
        <f>SUM(BZ490:BZ798)</f>
        <v>118860</v>
      </c>
      <c r="CA489" s="113">
        <f>SUM(CA490:CA798)</f>
        <v>141920</v>
      </c>
      <c r="CB489" s="113">
        <f>SUM(CB490:CB798)</f>
        <v>159660</v>
      </c>
      <c r="CC489" s="113"/>
      <c r="CD489" s="113"/>
      <c r="CE489" s="258"/>
      <c r="CF489" s="258"/>
      <c r="CG489" s="258"/>
      <c r="CH489" s="258"/>
      <c r="CI489" s="258"/>
      <c r="CJ489" s="113"/>
      <c r="CP489" s="258" t="e">
        <f>VLOOKUP(G489,[2]Sheet1!$C$3:$G$310,5,0)</f>
        <v>#N/A</v>
      </c>
      <c r="CQ489" s="258" t="e">
        <f>VLOOKUP(G489,[3]KCBB0101!$C$3:$F$691,4,0)</f>
        <v>#N/A</v>
      </c>
    </row>
    <row r="490" s="258" customFormat="1" ht="17" spans="1:95">
      <c r="A490" s="330"/>
      <c r="B490" s="347" t="s">
        <v>693</v>
      </c>
      <c r="C490" s="347">
        <v>13</v>
      </c>
      <c r="D490" s="347" t="str">
        <f t="shared" ref="D490:D502" si="1299">"半钢ST"&amp;C490&amp;"寸"</f>
        <v>半钢ST13寸</v>
      </c>
      <c r="E490" s="385" t="s">
        <v>774</v>
      </c>
      <c r="F490" s="400"/>
      <c r="G490" s="372" t="s">
        <v>206</v>
      </c>
      <c r="H490" s="347">
        <v>5000</v>
      </c>
      <c r="I490" s="386"/>
      <c r="J490" s="347"/>
      <c r="K490" s="347"/>
      <c r="L490" s="349"/>
      <c r="M490" s="349"/>
      <c r="N490" s="347"/>
      <c r="O490" s="347">
        <f>IFERROR(_xlfn.XLOOKUP(E490,轮胎重量!S:S,轮胎重量!P:P),IFERROR(_xlfn.XLOOKUP(E490,轮胎重量!AB:AB,轮胎重量!Y:Y),IFERROR(_xlfn.XLOOKUP(E490,轮胎重量!AK:AK,轮胎重量!AH:AH),IFERROR(_xlfn.XLOOKUP(E490,轮胎重量!AT:AT,轮胎重量!AQ:AQ),IFERROR(_xlfn.XLOOKUP(E490,轮胎重量!BB:BB,轮胎重量!AY:AY),"")))))</f>
        <v>5.545</v>
      </c>
      <c r="P490" s="347">
        <v>149.65559</v>
      </c>
      <c r="Q490" s="347"/>
      <c r="R490" s="347">
        <v>150</v>
      </c>
      <c r="S490" s="347">
        <v>150</v>
      </c>
      <c r="T490" s="347">
        <v>150</v>
      </c>
      <c r="U490" s="347">
        <v>150</v>
      </c>
      <c r="V490" s="347">
        <v>150</v>
      </c>
      <c r="W490" s="347">
        <v>150</v>
      </c>
      <c r="X490" s="347">
        <v>150</v>
      </c>
      <c r="Y490" s="347">
        <v>150</v>
      </c>
      <c r="Z490" s="347">
        <v>150</v>
      </c>
      <c r="AA490" s="347">
        <v>150</v>
      </c>
      <c r="AB490" s="347">
        <v>150</v>
      </c>
      <c r="AC490" s="347">
        <v>150</v>
      </c>
      <c r="AD490" s="347">
        <v>150</v>
      </c>
      <c r="AE490" s="347">
        <v>150</v>
      </c>
      <c r="AF490" s="347">
        <v>150</v>
      </c>
      <c r="AG490" s="347">
        <v>150</v>
      </c>
      <c r="AH490" s="347">
        <v>150</v>
      </c>
      <c r="AI490" s="347">
        <v>150</v>
      </c>
      <c r="AJ490" s="347">
        <v>150</v>
      </c>
      <c r="AK490" s="347">
        <v>150</v>
      </c>
      <c r="AL490" s="347">
        <v>150</v>
      </c>
      <c r="AM490" s="347">
        <v>150</v>
      </c>
      <c r="AN490" s="347">
        <v>150</v>
      </c>
      <c r="AO490" s="347">
        <v>150</v>
      </c>
      <c r="AP490" s="347">
        <v>150</v>
      </c>
      <c r="AQ490" s="347">
        <v>150</v>
      </c>
      <c r="AR490" s="347">
        <v>150</v>
      </c>
      <c r="AS490" s="347">
        <v>150</v>
      </c>
      <c r="AT490" s="347">
        <v>150</v>
      </c>
      <c r="AU490" s="347">
        <v>150</v>
      </c>
      <c r="AV490" s="347">
        <v>150</v>
      </c>
      <c r="AW490" s="347">
        <v>6000</v>
      </c>
      <c r="AX490" s="365">
        <f>IFERROR(AW490*O490/1000,"")</f>
        <v>33.27</v>
      </c>
      <c r="AY490" s="365">
        <f>IFERROR(ROUND(AW490*P490/10000,3),"")</f>
        <v>89.793</v>
      </c>
      <c r="BC490" s="330"/>
      <c r="BD490" s="330"/>
      <c r="BE490" s="330"/>
      <c r="BF490" s="330"/>
      <c r="BG490" s="330"/>
      <c r="BH490" s="330"/>
      <c r="BI490" s="330"/>
      <c r="BJ490" s="370" cm="1">
        <f t="array" ref="BJ490">SUMPRODUCT(IF(ISNUMBER(BJ377:BJ384),BJ377:BJ384,0),IF(ISERROR(BJ377:BJ384),0,1))</f>
        <v>48.93</v>
      </c>
      <c r="BK490" s="370" cm="1">
        <f t="array" ref="BK490">SUMPRODUCT(IF(ISNUMBER(BK377:BK384),BK377:BK384,0),IF(ISERROR(BK377:BK384),0,1))</f>
        <v>47.69</v>
      </c>
      <c r="BL490" s="370" cm="1">
        <f t="array" ref="BL490">SUMPRODUCT(IF(ISNUMBER(BL377:BL384),BL377:BL384,0),IF(ISERROR(BL377:BL384),0,1))</f>
        <v>35.33</v>
      </c>
      <c r="BM490" s="370" cm="1">
        <f t="array" ref="BM490">SUMPRODUCT(IF(ISNUMBER(BM377:BM384),BM377:BM384,0),IF(ISERROR(BM377:BM384),0,1))</f>
        <v>33.91</v>
      </c>
      <c r="BN490" s="258">
        <f t="shared" ref="BN489:BN502" si="1300">SUM(BJ490:BM490)</f>
        <v>165.86</v>
      </c>
      <c r="BO490" s="258">
        <v>42.79</v>
      </c>
      <c r="BP490" s="258">
        <v>44.13</v>
      </c>
      <c r="BQ490" s="258">
        <v>49.14</v>
      </c>
      <c r="BR490" s="258">
        <v>55.17</v>
      </c>
      <c r="BS490" s="382" t="s">
        <v>775</v>
      </c>
      <c r="BX490" s="382" t="s">
        <v>776</v>
      </c>
      <c r="BY490" s="258">
        <f>SUM(R490:X490)</f>
        <v>1050</v>
      </c>
      <c r="BZ490" s="258">
        <f>SUM(Y490:AE490)</f>
        <v>1050</v>
      </c>
      <c r="CA490" s="258">
        <f>SUM(AF490:AM490)</f>
        <v>1200</v>
      </c>
      <c r="CB490" s="258">
        <f>SUM(AN490:AV490)</f>
        <v>1350</v>
      </c>
      <c r="CD490" s="113"/>
      <c r="CE490" s="258">
        <f t="shared" ref="CE489:CE511" si="1301">ROUND(BY490*$O490/1000,2)</f>
        <v>5.82</v>
      </c>
      <c r="CF490" s="258">
        <f t="shared" ref="CF489:CF511" si="1302">ROUND(BZ490*$O490/1000,2)</f>
        <v>5.82</v>
      </c>
      <c r="CG490" s="258">
        <f t="shared" ref="CG489:CG511" si="1303">ROUND(CA490*$O490/1000,2)</f>
        <v>6.65</v>
      </c>
      <c r="CH490" s="258">
        <f t="shared" ref="CH489:CH511" si="1304">ROUND(CB490*$O490/1000,2)</f>
        <v>7.49</v>
      </c>
      <c r="CI490" s="258">
        <f t="shared" ref="CI489:CI495" si="1305">SUM(CE490:CH490)</f>
        <v>25.78</v>
      </c>
      <c r="CJ490" s="113"/>
      <c r="CK490" s="258">
        <f t="shared" ref="CK490:CN490" si="1306">IFERROR(ROUND(BY490*$P490,2),"")</f>
        <v>157138.37</v>
      </c>
      <c r="CL490" s="258">
        <f t="shared" si="1306"/>
        <v>157138.37</v>
      </c>
      <c r="CM490" s="258">
        <f t="shared" si="1306"/>
        <v>179586.71</v>
      </c>
      <c r="CN490" s="258">
        <f t="shared" si="1306"/>
        <v>202035.05</v>
      </c>
      <c r="CO490" s="258">
        <f t="shared" ref="CO490:CO495" si="1307">SUM(CK490:CN490)</f>
        <v>695898.5</v>
      </c>
      <c r="CP490" s="258" t="e">
        <f>VLOOKUP(G490,[2]Sheet1!$C$3:$G$310,5,0)</f>
        <v>#N/A</v>
      </c>
      <c r="CQ490" s="258" t="e">
        <f>VLOOKUP(G490,[3]KCBB0101!$C$3:$F$691,4,0)</f>
        <v>#N/A</v>
      </c>
    </row>
    <row r="491" s="258" customFormat="1" ht="17" spans="1:95">
      <c r="A491" s="330"/>
      <c r="B491" s="347" t="s">
        <v>693</v>
      </c>
      <c r="C491" s="347">
        <v>13</v>
      </c>
      <c r="D491" s="347" t="str">
        <f t="shared" si="1299"/>
        <v>半钢ST13寸</v>
      </c>
      <c r="E491" s="385" t="s">
        <v>777</v>
      </c>
      <c r="F491" s="400"/>
      <c r="G491" s="372" t="s">
        <v>212</v>
      </c>
      <c r="H491" s="347"/>
      <c r="I491" s="386"/>
      <c r="J491" s="347"/>
      <c r="K491" s="347"/>
      <c r="L491" s="349"/>
      <c r="M491" s="349"/>
      <c r="N491" s="347"/>
      <c r="O491" s="347">
        <f>IFERROR(_xlfn.XLOOKUP(E491,轮胎重量!S:S,轮胎重量!P:P),IFERROR(_xlfn.XLOOKUP(E491,轮胎重量!AB:AB,轮胎重量!Y:Y),IFERROR(_xlfn.XLOOKUP(E491,轮胎重量!AK:AK,轮胎重量!AH:AH),IFERROR(_xlfn.XLOOKUP(E491,轮胎重量!AT:AT,轮胎重量!AQ:AQ),IFERROR(_xlfn.XLOOKUP(E491,轮胎重量!BB:BB,轮胎重量!AY:AY),"")))))</f>
        <v>5.545</v>
      </c>
      <c r="P491" s="347">
        <v>150.65559</v>
      </c>
      <c r="Q491" s="347"/>
      <c r="R491" s="347">
        <v>150</v>
      </c>
      <c r="S491" s="347">
        <v>150</v>
      </c>
      <c r="T491" s="347">
        <v>150</v>
      </c>
      <c r="U491" s="347">
        <v>150</v>
      </c>
      <c r="V491" s="347">
        <v>150</v>
      </c>
      <c r="W491" s="347">
        <v>150</v>
      </c>
      <c r="X491" s="347">
        <v>150</v>
      </c>
      <c r="Y491" s="347">
        <v>150</v>
      </c>
      <c r="Z491" s="347">
        <v>150</v>
      </c>
      <c r="AA491" s="347">
        <v>150</v>
      </c>
      <c r="AB491" s="347">
        <v>150</v>
      </c>
      <c r="AC491" s="347">
        <v>150</v>
      </c>
      <c r="AD491" s="347">
        <v>150</v>
      </c>
      <c r="AE491" s="347">
        <v>150</v>
      </c>
      <c r="AF491" s="347">
        <v>150</v>
      </c>
      <c r="AG491" s="347">
        <v>150</v>
      </c>
      <c r="AH491" s="347">
        <v>150</v>
      </c>
      <c r="AI491" s="347">
        <v>150</v>
      </c>
      <c r="AJ491" s="347">
        <v>150</v>
      </c>
      <c r="AK491" s="347">
        <v>150</v>
      </c>
      <c r="AL491" s="347">
        <v>150</v>
      </c>
      <c r="AM491" s="347">
        <v>150</v>
      </c>
      <c r="AN491" s="347">
        <v>150</v>
      </c>
      <c r="AO491" s="347">
        <v>150</v>
      </c>
      <c r="AP491" s="347">
        <v>150</v>
      </c>
      <c r="AQ491" s="347">
        <v>150</v>
      </c>
      <c r="AR491" s="347">
        <v>150</v>
      </c>
      <c r="AS491" s="347">
        <v>150</v>
      </c>
      <c r="AT491" s="347">
        <v>150</v>
      </c>
      <c r="AU491" s="347">
        <v>150</v>
      </c>
      <c r="AV491" s="347">
        <v>150</v>
      </c>
      <c r="AW491" s="347">
        <v>6000</v>
      </c>
      <c r="AX491" s="365">
        <f>IFERROR(AW491*O491/1000,"")</f>
        <v>33.27</v>
      </c>
      <c r="AY491" s="365">
        <f>IFERROR(ROUND(AW491*P491/10000,3),"")</f>
        <v>90.393</v>
      </c>
      <c r="BC491" s="330"/>
      <c r="BD491" s="330"/>
      <c r="BE491" s="330"/>
      <c r="BF491" s="330"/>
      <c r="BG491" s="330"/>
      <c r="BH491" s="330"/>
      <c r="BI491" s="330"/>
      <c r="BJ491" s="370" cm="1">
        <f t="array" ref="BJ491">SUMPRODUCT(IF(ISNUMBER(BJ377:BJ386),BJ377:BJ386,0),IF(ISERROR(BJ377:BJ386),0,1))</f>
        <v>68.71</v>
      </c>
      <c r="BK491" s="370" cm="1">
        <f t="array" ref="BK491">SUMPRODUCT(IF(ISNUMBER(BK377:BK386),BK377:BK386,0),IF(ISERROR(BK377:BK386),0,1))</f>
        <v>67.47</v>
      </c>
      <c r="BL491" s="370" cm="1">
        <f t="array" ref="BL491">SUMPRODUCT(IF(ISNUMBER(BL377:BL386),BL377:BL386,0),IF(ISERROR(BL377:BL386),0,1))</f>
        <v>56.52</v>
      </c>
      <c r="BM491" s="370" cm="1">
        <f t="array" ref="BM491">SUMPRODUCT(IF(ISNUMBER(BM377:BM386),BM377:BM386,0),IF(ISERROR(BM377:BM386),0,1))</f>
        <v>63.58</v>
      </c>
      <c r="BN491" s="258">
        <f t="shared" si="1300"/>
        <v>256.28</v>
      </c>
      <c r="BO491" s="258">
        <v>42.79</v>
      </c>
      <c r="BP491" s="258">
        <v>44.13</v>
      </c>
      <c r="BQ491" s="258">
        <v>49.14</v>
      </c>
      <c r="BR491" s="258">
        <v>55.17</v>
      </c>
      <c r="BS491" s="382" t="s">
        <v>775</v>
      </c>
      <c r="BX491" s="382" t="s">
        <v>776</v>
      </c>
      <c r="BY491" s="258">
        <f>SUM(R491:X491)</f>
        <v>1050</v>
      </c>
      <c r="BZ491" s="258">
        <f>SUM(Y491:AE491)</f>
        <v>1050</v>
      </c>
      <c r="CA491" s="258">
        <f>SUM(AF491:AM491)</f>
        <v>1200</v>
      </c>
      <c r="CB491" s="258">
        <f>SUM(AN491:AV491)</f>
        <v>1350</v>
      </c>
      <c r="CD491" s="113"/>
      <c r="CE491" s="258">
        <f t="shared" si="1301"/>
        <v>5.82</v>
      </c>
      <c r="CF491" s="258">
        <f t="shared" si="1302"/>
        <v>5.82</v>
      </c>
      <c r="CG491" s="258">
        <f t="shared" si="1303"/>
        <v>6.65</v>
      </c>
      <c r="CH491" s="258">
        <f t="shared" si="1304"/>
        <v>7.49</v>
      </c>
      <c r="CI491" s="258">
        <f t="shared" si="1305"/>
        <v>25.78</v>
      </c>
      <c r="CJ491" s="113"/>
      <c r="CK491" s="258">
        <f t="shared" ref="CK491:CN491" si="1308">IFERROR(ROUND(BY491*$P491,2),"")</f>
        <v>158188.37</v>
      </c>
      <c r="CL491" s="258">
        <f t="shared" si="1308"/>
        <v>158188.37</v>
      </c>
      <c r="CM491" s="258">
        <f t="shared" si="1308"/>
        <v>180786.71</v>
      </c>
      <c r="CN491" s="258">
        <f t="shared" si="1308"/>
        <v>203385.05</v>
      </c>
      <c r="CO491" s="258">
        <f t="shared" si="1307"/>
        <v>700548.5</v>
      </c>
      <c r="CP491" s="258" t="e">
        <f>VLOOKUP(G491,[2]Sheet1!$C$3:$G$310,5,0)</f>
        <v>#N/A</v>
      </c>
      <c r="CQ491" s="258" t="e">
        <f>VLOOKUP(G491,[3]KCBB0101!$C$3:$F$691,4,0)</f>
        <v>#N/A</v>
      </c>
    </row>
    <row r="492" s="258" customFormat="1" ht="17" spans="1:95">
      <c r="A492" s="330"/>
      <c r="B492" s="347" t="s">
        <v>693</v>
      </c>
      <c r="C492" s="347">
        <v>13</v>
      </c>
      <c r="D492" s="347" t="str">
        <f t="shared" si="1299"/>
        <v>半钢ST13寸</v>
      </c>
      <c r="E492" s="385" t="s">
        <v>778</v>
      </c>
      <c r="F492" s="400"/>
      <c r="G492" s="372" t="s">
        <v>217</v>
      </c>
      <c r="H492" s="386">
        <v>10000</v>
      </c>
      <c r="I492" s="386"/>
      <c r="J492" s="347"/>
      <c r="K492" s="347"/>
      <c r="L492" s="349"/>
      <c r="M492" s="349"/>
      <c r="N492" s="347"/>
      <c r="O492" s="347">
        <f>IFERROR(_xlfn.XLOOKUP(E492,轮胎重量!S:S,轮胎重量!P:P),IFERROR(_xlfn.XLOOKUP(E492,轮胎重量!AB:AB,轮胎重量!Y:Y),IFERROR(_xlfn.XLOOKUP(E492,轮胎重量!AK:AK,轮胎重量!AH:AH),IFERROR(_xlfn.XLOOKUP(E492,轮胎重量!AT:AT,轮胎重量!AQ:AQ),IFERROR(_xlfn.XLOOKUP(E492,轮胎重量!BB:BB,轮胎重量!AY:AY),"")))))</f>
        <v>5.996</v>
      </c>
      <c r="P492" s="350">
        <f>14.15*O492</f>
        <v>84.8434</v>
      </c>
      <c r="Q492" s="347"/>
      <c r="R492" s="347">
        <v>300</v>
      </c>
      <c r="S492" s="347">
        <v>300</v>
      </c>
      <c r="T492" s="347">
        <v>300</v>
      </c>
      <c r="U492" s="347">
        <v>300</v>
      </c>
      <c r="V492" s="347">
        <v>300</v>
      </c>
      <c r="W492" s="347">
        <v>300</v>
      </c>
      <c r="X492" s="347">
        <v>300</v>
      </c>
      <c r="Y492" s="347">
        <v>300</v>
      </c>
      <c r="Z492" s="347">
        <v>300</v>
      </c>
      <c r="AA492" s="347">
        <v>300</v>
      </c>
      <c r="AB492" s="347">
        <v>300</v>
      </c>
      <c r="AC492" s="347">
        <v>300</v>
      </c>
      <c r="AD492" s="347">
        <v>300</v>
      </c>
      <c r="AE492" s="347">
        <v>300</v>
      </c>
      <c r="AF492" s="347">
        <v>300</v>
      </c>
      <c r="AG492" s="347">
        <v>300</v>
      </c>
      <c r="AH492" s="347">
        <v>300</v>
      </c>
      <c r="AI492" s="347">
        <v>300</v>
      </c>
      <c r="AJ492" s="347">
        <v>300</v>
      </c>
      <c r="AK492" s="347">
        <v>300</v>
      </c>
      <c r="AL492" s="347">
        <v>300</v>
      </c>
      <c r="AM492" s="347">
        <v>300</v>
      </c>
      <c r="AN492" s="347">
        <v>300</v>
      </c>
      <c r="AO492" s="347">
        <v>300</v>
      </c>
      <c r="AP492" s="347">
        <v>300</v>
      </c>
      <c r="AQ492" s="347">
        <v>300</v>
      </c>
      <c r="AR492" s="347">
        <v>300</v>
      </c>
      <c r="AS492" s="347">
        <v>300</v>
      </c>
      <c r="AT492" s="347">
        <v>300</v>
      </c>
      <c r="AU492" s="347">
        <v>300</v>
      </c>
      <c r="AV492" s="347">
        <v>300</v>
      </c>
      <c r="AW492" s="347">
        <v>10000</v>
      </c>
      <c r="AX492" s="365">
        <f>IFERROR(AW492*O492/1000,"")</f>
        <v>59.96</v>
      </c>
      <c r="AY492" s="365">
        <f>IFERROR(ROUND(AW492*P492/10000,3),"")</f>
        <v>84.843</v>
      </c>
      <c r="BC492" s="330"/>
      <c r="BD492" s="330"/>
      <c r="BE492" s="330"/>
      <c r="BF492" s="330"/>
      <c r="BG492" s="330"/>
      <c r="BH492" s="330"/>
      <c r="BI492" s="330"/>
      <c r="BJ492" s="370" cm="1">
        <f t="array" ref="BJ492">SUMPRODUCT(IF(ISNUMBER(BJ376:BJ388),BJ376:BJ388,0),IF(ISERROR(BJ376:BJ388),0,1))</f>
        <v>119.49</v>
      </c>
      <c r="BK492" s="370" cm="1">
        <f t="array" ref="BK492">SUMPRODUCT(IF(ISNUMBER(BK376:BK388),BK376:BK388,0),IF(ISERROR(BK376:BK388),0,1))</f>
        <v>118.25</v>
      </c>
      <c r="BL492" s="370" cm="1">
        <f t="array" ref="BL492">SUMPRODUCT(IF(ISNUMBER(BL376:BL388),BL376:BL388,0),IF(ISERROR(BL376:BL388),0,1))</f>
        <v>114.55</v>
      </c>
      <c r="BM492" s="370" cm="1">
        <f t="array" ref="BM492">SUMPRODUCT(IF(ISNUMBER(BM376:BM388),BM376:BM388,0),IF(ISERROR(BM376:BM388),0,1))</f>
        <v>128.87</v>
      </c>
      <c r="BN492" s="258">
        <f t="shared" si="1300"/>
        <v>481.16</v>
      </c>
      <c r="BO492" s="258">
        <v>42.79</v>
      </c>
      <c r="BP492" s="258">
        <v>44.13</v>
      </c>
      <c r="BQ492" s="258">
        <v>49.14</v>
      </c>
      <c r="BR492" s="258">
        <v>55.17</v>
      </c>
      <c r="BS492" s="382" t="s">
        <v>775</v>
      </c>
      <c r="BX492" s="382" t="s">
        <v>776</v>
      </c>
      <c r="BY492" s="258">
        <f>SUM(R492:X492)</f>
        <v>2100</v>
      </c>
      <c r="BZ492" s="258">
        <f>SUM(Y492:AE492)</f>
        <v>2100</v>
      </c>
      <c r="CA492" s="258">
        <f>SUM(AF492:AM492)</f>
        <v>2400</v>
      </c>
      <c r="CB492" s="258">
        <f>SUM(AN492:AV492)</f>
        <v>2700</v>
      </c>
      <c r="CD492" s="113"/>
      <c r="CE492" s="258">
        <f t="shared" si="1301"/>
        <v>12.59</v>
      </c>
      <c r="CF492" s="258">
        <f t="shared" si="1302"/>
        <v>12.59</v>
      </c>
      <c r="CG492" s="258">
        <f t="shared" si="1303"/>
        <v>14.39</v>
      </c>
      <c r="CH492" s="258">
        <f t="shared" si="1304"/>
        <v>16.19</v>
      </c>
      <c r="CI492" s="258">
        <f t="shared" si="1305"/>
        <v>55.76</v>
      </c>
      <c r="CJ492" s="113"/>
      <c r="CK492" s="258">
        <f t="shared" ref="CK492:CN492" si="1309">IFERROR(ROUND(BY492*$P492,2),"")</f>
        <v>178171.14</v>
      </c>
      <c r="CL492" s="258">
        <f t="shared" si="1309"/>
        <v>178171.14</v>
      </c>
      <c r="CM492" s="258">
        <f t="shared" si="1309"/>
        <v>203624.16</v>
      </c>
      <c r="CN492" s="258">
        <f t="shared" si="1309"/>
        <v>229077.18</v>
      </c>
      <c r="CO492" s="258">
        <f t="shared" si="1307"/>
        <v>789043.62</v>
      </c>
      <c r="CP492" s="258" t="e">
        <f>VLOOKUP(G492,[2]Sheet1!$C$3:$G$310,5,0)</f>
        <v>#N/A</v>
      </c>
      <c r="CQ492" s="258" t="e">
        <f>VLOOKUP(G492,[3]KCBB0101!$C$3:$F$691,4,0)</f>
        <v>#N/A</v>
      </c>
    </row>
    <row r="493" s="258" customFormat="1" ht="17" spans="1:95">
      <c r="A493" s="330"/>
      <c r="B493" s="347" t="s">
        <v>693</v>
      </c>
      <c r="C493" s="347">
        <v>13</v>
      </c>
      <c r="D493" s="347" t="str">
        <f t="shared" si="1299"/>
        <v>半钢ST13寸</v>
      </c>
      <c r="E493" s="385" t="s">
        <v>779</v>
      </c>
      <c r="F493" s="400"/>
      <c r="G493" s="372" t="s">
        <v>222</v>
      </c>
      <c r="H493" s="386">
        <v>6700</v>
      </c>
      <c r="I493" s="386"/>
      <c r="J493" s="347"/>
      <c r="K493" s="347"/>
      <c r="L493" s="349"/>
      <c r="M493" s="349"/>
      <c r="N493" s="347"/>
      <c r="O493" s="347">
        <f>IFERROR(_xlfn.XLOOKUP(E493,轮胎重量!S:S,轮胎重量!P:P),IFERROR(_xlfn.XLOOKUP(E493,轮胎重量!AB:AB,轮胎重量!Y:Y),IFERROR(_xlfn.XLOOKUP(E493,轮胎重量!AK:AK,轮胎重量!AH:AH),IFERROR(_xlfn.XLOOKUP(E493,轮胎重量!AT:AT,轮胎重量!AQ:AQ),IFERROR(_xlfn.XLOOKUP(E493,轮胎重量!BB:BB,轮胎重量!AY:AY),"")))))</f>
        <v>5.996</v>
      </c>
      <c r="P493" s="350">
        <f>14.15*O493</f>
        <v>84.8434</v>
      </c>
      <c r="Q493" s="347"/>
      <c r="R493" s="347">
        <v>300</v>
      </c>
      <c r="S493" s="347">
        <v>300</v>
      </c>
      <c r="T493" s="347">
        <v>300</v>
      </c>
      <c r="U493" s="347">
        <v>300</v>
      </c>
      <c r="V493" s="347">
        <v>300</v>
      </c>
      <c r="W493" s="347">
        <v>300</v>
      </c>
      <c r="X493" s="347">
        <v>300</v>
      </c>
      <c r="Y493" s="347">
        <v>300</v>
      </c>
      <c r="Z493" s="347">
        <v>300</v>
      </c>
      <c r="AA493" s="347">
        <v>300</v>
      </c>
      <c r="AB493" s="347">
        <v>300</v>
      </c>
      <c r="AC493" s="347">
        <v>300</v>
      </c>
      <c r="AD493" s="347">
        <v>300</v>
      </c>
      <c r="AE493" s="347">
        <v>300</v>
      </c>
      <c r="AF493" s="347">
        <v>300</v>
      </c>
      <c r="AG493" s="347">
        <v>300</v>
      </c>
      <c r="AH493" s="347">
        <v>300</v>
      </c>
      <c r="AI493" s="347">
        <v>300</v>
      </c>
      <c r="AJ493" s="347">
        <v>300</v>
      </c>
      <c r="AK493" s="347">
        <v>300</v>
      </c>
      <c r="AL493" s="347">
        <v>300</v>
      </c>
      <c r="AM493" s="347">
        <v>300</v>
      </c>
      <c r="AN493" s="347">
        <v>300</v>
      </c>
      <c r="AO493" s="347">
        <v>300</v>
      </c>
      <c r="AP493" s="347">
        <v>300</v>
      </c>
      <c r="AQ493" s="347">
        <v>300</v>
      </c>
      <c r="AR493" s="347">
        <v>300</v>
      </c>
      <c r="AS493" s="347">
        <v>300</v>
      </c>
      <c r="AT493" s="347">
        <v>300</v>
      </c>
      <c r="AU493" s="347">
        <v>300</v>
      </c>
      <c r="AV493" s="347">
        <v>300</v>
      </c>
      <c r="AW493" s="347">
        <v>10000</v>
      </c>
      <c r="AX493" s="365">
        <f>IFERROR(AW493*O493/1000,"")</f>
        <v>59.96</v>
      </c>
      <c r="AY493" s="365">
        <f>IFERROR(ROUND(AW493*P493/10000,3),"")</f>
        <v>84.843</v>
      </c>
      <c r="BC493" s="330"/>
      <c r="BD493" s="330"/>
      <c r="BE493" s="330"/>
      <c r="BF493" s="330"/>
      <c r="BG493" s="330"/>
      <c r="BH493" s="330"/>
      <c r="BI493" s="330"/>
      <c r="BJ493" s="370" cm="1">
        <f t="array" ref="BJ493">SUMPRODUCT(IF(ISNUMBER(BJ376:BJ388),BJ376:BJ388,0),IF(ISERROR(BJ376:BJ388),0,1))</f>
        <v>119.49</v>
      </c>
      <c r="BK493" s="370" cm="1">
        <f t="array" ref="BK493">SUMPRODUCT(IF(ISNUMBER(BK376:BK388),BK376:BK388,0),IF(ISERROR(BK376:BK388),0,1))</f>
        <v>118.25</v>
      </c>
      <c r="BL493" s="370" cm="1">
        <f t="array" ref="BL493">SUMPRODUCT(IF(ISNUMBER(BL376:BL388),BL376:BL388,0),IF(ISERROR(BL376:BL388),0,1))</f>
        <v>114.55</v>
      </c>
      <c r="BM493" s="370" cm="1">
        <f t="array" ref="BM493">SUMPRODUCT(IF(ISNUMBER(BM376:BM388),BM376:BM388,0),IF(ISERROR(BM376:BM388),0,1))</f>
        <v>128.87</v>
      </c>
      <c r="BN493" s="258">
        <f t="shared" si="1300"/>
        <v>481.16</v>
      </c>
      <c r="BO493" s="258">
        <v>42.79</v>
      </c>
      <c r="BP493" s="258">
        <v>44.13</v>
      </c>
      <c r="BQ493" s="258">
        <v>49.14</v>
      </c>
      <c r="BR493" s="258">
        <v>55.17</v>
      </c>
      <c r="BS493" s="382" t="s">
        <v>775</v>
      </c>
      <c r="BX493" s="382" t="s">
        <v>776</v>
      </c>
      <c r="BY493" s="258">
        <f>SUM(R493:X493)</f>
        <v>2100</v>
      </c>
      <c r="BZ493" s="258">
        <f>SUM(Y493:AE493)</f>
        <v>2100</v>
      </c>
      <c r="CA493" s="258">
        <f>SUM(AF493:AM493)</f>
        <v>2400</v>
      </c>
      <c r="CB493" s="258">
        <f>SUM(AN493:AV493)</f>
        <v>2700</v>
      </c>
      <c r="CD493" s="113"/>
      <c r="CE493" s="258">
        <f t="shared" si="1301"/>
        <v>12.59</v>
      </c>
      <c r="CF493" s="258">
        <f t="shared" si="1302"/>
        <v>12.59</v>
      </c>
      <c r="CG493" s="258">
        <f t="shared" si="1303"/>
        <v>14.39</v>
      </c>
      <c r="CH493" s="258">
        <f t="shared" si="1304"/>
        <v>16.19</v>
      </c>
      <c r="CI493" s="258">
        <f t="shared" si="1305"/>
        <v>55.76</v>
      </c>
      <c r="CJ493" s="113"/>
      <c r="CK493" s="258">
        <f t="shared" ref="CK493:CN493" si="1310">IFERROR(ROUND(BY493*$P493,2),"")</f>
        <v>178171.14</v>
      </c>
      <c r="CL493" s="258">
        <f t="shared" si="1310"/>
        <v>178171.14</v>
      </c>
      <c r="CM493" s="258">
        <f t="shared" si="1310"/>
        <v>203624.16</v>
      </c>
      <c r="CN493" s="258">
        <f t="shared" si="1310"/>
        <v>229077.18</v>
      </c>
      <c r="CO493" s="258">
        <f t="shared" si="1307"/>
        <v>789043.62</v>
      </c>
      <c r="CP493" s="258" t="e">
        <f>VLOOKUP(G493,[2]Sheet1!$C$3:$G$310,5,0)</f>
        <v>#N/A</v>
      </c>
      <c r="CQ493" s="258" t="e">
        <f>VLOOKUP(G493,[3]KCBB0101!$C$3:$F$691,4,0)</f>
        <v>#N/A</v>
      </c>
    </row>
    <row r="494" s="258" customFormat="1" ht="17" spans="1:95">
      <c r="A494" s="330"/>
      <c r="B494" s="347" t="s">
        <v>693</v>
      </c>
      <c r="C494" s="347">
        <v>14</v>
      </c>
      <c r="D494" s="347" t="str">
        <f t="shared" si="1299"/>
        <v>半钢ST14寸</v>
      </c>
      <c r="E494" s="385" t="s">
        <v>780</v>
      </c>
      <c r="F494" s="400"/>
      <c r="G494" s="372" t="s">
        <v>227</v>
      </c>
      <c r="H494" s="386">
        <v>25000</v>
      </c>
      <c r="I494" s="386"/>
      <c r="J494" s="347"/>
      <c r="K494" s="347"/>
      <c r="L494" s="349"/>
      <c r="M494" s="349"/>
      <c r="N494" s="347"/>
      <c r="O494" s="347">
        <f>IFERROR(_xlfn.XLOOKUP(E494,轮胎重量!S:S,轮胎重量!P:P),IFERROR(_xlfn.XLOOKUP(E494,轮胎重量!AB:AB,轮胎重量!Y:Y),IFERROR(_xlfn.XLOOKUP(E494,轮胎重量!AK:AK,轮胎重量!AH:AH),IFERROR(_xlfn.XLOOKUP(E494,轮胎重量!AT:AT,轮胎重量!AQ:AQ),IFERROR(_xlfn.XLOOKUP(E494,轮胎重量!BB:BB,轮胎重量!AY:AY),"")))))</f>
        <v>6.423</v>
      </c>
      <c r="P494" s="350">
        <f>14.15*O494</f>
        <v>90.88545</v>
      </c>
      <c r="Q494" s="347"/>
      <c r="R494" s="347">
        <v>140</v>
      </c>
      <c r="S494" s="347">
        <v>140</v>
      </c>
      <c r="T494" s="347">
        <v>140</v>
      </c>
      <c r="U494" s="347">
        <v>140</v>
      </c>
      <c r="V494" s="347">
        <v>140</v>
      </c>
      <c r="W494" s="347">
        <v>140</v>
      </c>
      <c r="X494" s="347">
        <v>140</v>
      </c>
      <c r="Y494" s="347">
        <v>140</v>
      </c>
      <c r="Z494" s="347">
        <v>140</v>
      </c>
      <c r="AA494" s="347">
        <v>140</v>
      </c>
      <c r="AB494" s="347">
        <v>140</v>
      </c>
      <c r="AC494" s="347">
        <v>140</v>
      </c>
      <c r="AD494" s="347">
        <v>140</v>
      </c>
      <c r="AE494" s="347">
        <v>140</v>
      </c>
      <c r="AF494" s="347">
        <v>140</v>
      </c>
      <c r="AG494" s="347">
        <v>140</v>
      </c>
      <c r="AH494" s="347">
        <v>140</v>
      </c>
      <c r="AI494" s="347">
        <v>140</v>
      </c>
      <c r="AJ494" s="347">
        <v>140</v>
      </c>
      <c r="AK494" s="347">
        <v>140</v>
      </c>
      <c r="AL494" s="347">
        <v>140</v>
      </c>
      <c r="AM494" s="347">
        <v>140</v>
      </c>
      <c r="AN494" s="347">
        <v>140</v>
      </c>
      <c r="AO494" s="347">
        <v>140</v>
      </c>
      <c r="AP494" s="347">
        <v>140</v>
      </c>
      <c r="AQ494" s="347">
        <v>140</v>
      </c>
      <c r="AR494" s="347">
        <v>140</v>
      </c>
      <c r="AS494" s="347">
        <v>140</v>
      </c>
      <c r="AT494" s="347">
        <v>140</v>
      </c>
      <c r="AU494" s="347">
        <v>140</v>
      </c>
      <c r="AV494" s="347">
        <v>140</v>
      </c>
      <c r="AW494" s="347">
        <v>6000</v>
      </c>
      <c r="AX494" s="365">
        <f>IFERROR(AW494*O494/1000,"")</f>
        <v>38.538</v>
      </c>
      <c r="AY494" s="365">
        <f>IFERROR(ROUND(AW494*P494/10000,3),"")</f>
        <v>54.531</v>
      </c>
      <c r="BC494" s="330"/>
      <c r="BD494" s="330"/>
      <c r="BE494" s="330"/>
      <c r="BF494" s="330"/>
      <c r="BG494" s="330"/>
      <c r="BH494" s="330"/>
      <c r="BI494" s="330"/>
      <c r="BJ494" s="370" cm="1">
        <f t="array" ref="BJ494">SUMPRODUCT(IF(ISNUMBER(BJ376:BJ388),BJ376:BJ388,0),IF(ISERROR(BJ376:BJ388),0,1))</f>
        <v>119.49</v>
      </c>
      <c r="BK494" s="370" cm="1">
        <f t="array" ref="BK494">SUMPRODUCT(IF(ISNUMBER(BK376:BK388),BK376:BK388,0),IF(ISERROR(BK376:BK388),0,1))</f>
        <v>118.25</v>
      </c>
      <c r="BL494" s="370" cm="1">
        <f t="array" ref="BL494">SUMPRODUCT(IF(ISNUMBER(BL376:BL388),BL376:BL388,0),IF(ISERROR(BL376:BL388),0,1))</f>
        <v>114.55</v>
      </c>
      <c r="BM494" s="370" cm="1">
        <f t="array" ref="BM494">SUMPRODUCT(IF(ISNUMBER(BM376:BM388),BM376:BM388,0),IF(ISERROR(BM376:BM388),0,1))</f>
        <v>128.87</v>
      </c>
      <c r="BN494" s="258">
        <f t="shared" si="1300"/>
        <v>481.16</v>
      </c>
      <c r="BO494" s="258">
        <v>42.79</v>
      </c>
      <c r="BP494" s="258">
        <v>44.13</v>
      </c>
      <c r="BQ494" s="258">
        <v>49.14</v>
      </c>
      <c r="BR494" s="258">
        <v>55.17</v>
      </c>
      <c r="BS494" s="382" t="s">
        <v>775</v>
      </c>
      <c r="BX494" s="382" t="s">
        <v>776</v>
      </c>
      <c r="BY494" s="258">
        <f>SUM(R494:X494)</f>
        <v>980</v>
      </c>
      <c r="BZ494" s="258">
        <f>SUM(Y494:AE494)</f>
        <v>980</v>
      </c>
      <c r="CA494" s="258">
        <f>SUM(AF494:AM494)</f>
        <v>1120</v>
      </c>
      <c r="CB494" s="258">
        <f>SUM(AN494:AV494)</f>
        <v>1260</v>
      </c>
      <c r="CD494" s="113"/>
      <c r="CE494" s="258">
        <f t="shared" si="1301"/>
        <v>6.29</v>
      </c>
      <c r="CF494" s="258">
        <f t="shared" si="1302"/>
        <v>6.29</v>
      </c>
      <c r="CG494" s="258">
        <f t="shared" si="1303"/>
        <v>7.19</v>
      </c>
      <c r="CH494" s="258">
        <f t="shared" si="1304"/>
        <v>8.09</v>
      </c>
      <c r="CI494" s="258">
        <f t="shared" si="1305"/>
        <v>27.86</v>
      </c>
      <c r="CJ494" s="113"/>
      <c r="CK494" s="258">
        <f t="shared" ref="CK494:CN494" si="1311">IFERROR(ROUND(BY494*$P494,2),"")</f>
        <v>89067.74</v>
      </c>
      <c r="CL494" s="258">
        <f t="shared" si="1311"/>
        <v>89067.74</v>
      </c>
      <c r="CM494" s="258">
        <f t="shared" si="1311"/>
        <v>101791.7</v>
      </c>
      <c r="CN494" s="258">
        <f t="shared" si="1311"/>
        <v>114515.67</v>
      </c>
      <c r="CO494" s="258">
        <f t="shared" si="1307"/>
        <v>394442.85</v>
      </c>
      <c r="CP494" s="258" t="e">
        <f>VLOOKUP(G494,[2]Sheet1!$C$3:$G$310,5,0)</f>
        <v>#N/A</v>
      </c>
      <c r="CQ494" s="258" t="e">
        <f>VLOOKUP(G494,[3]KCBB0101!$C$3:$F$691,4,0)</f>
        <v>#N/A</v>
      </c>
    </row>
    <row r="495" s="258" customFormat="1" ht="17" spans="1:95">
      <c r="A495" s="330"/>
      <c r="B495" s="347" t="s">
        <v>693</v>
      </c>
      <c r="C495" s="347">
        <v>14</v>
      </c>
      <c r="D495" s="347" t="str">
        <f t="shared" si="1299"/>
        <v>半钢ST14寸</v>
      </c>
      <c r="E495" s="385" t="s">
        <v>781</v>
      </c>
      <c r="F495" s="400"/>
      <c r="G495" s="342" t="s">
        <v>164</v>
      </c>
      <c r="H495" s="386">
        <v>17000</v>
      </c>
      <c r="I495" s="386"/>
      <c r="J495" s="347"/>
      <c r="K495" s="347"/>
      <c r="L495" s="349"/>
      <c r="M495" s="349"/>
      <c r="N495" s="347"/>
      <c r="O495" s="347">
        <f>IFERROR(_xlfn.XLOOKUP(E495,轮胎重量!S:S,轮胎重量!P:P),IFERROR(_xlfn.XLOOKUP(E495,轮胎重量!AB:AB,轮胎重量!Y:Y),IFERROR(_xlfn.XLOOKUP(E495,轮胎重量!AK:AK,轮胎重量!AH:AH),IFERROR(_xlfn.XLOOKUP(E495,轮胎重量!AT:AT,轮胎重量!AQ:AQ),IFERROR(_xlfn.XLOOKUP(E495,轮胎重量!BB:BB,轮胎重量!AY:AY),"")))))</f>
        <v>6.423</v>
      </c>
      <c r="P495" s="350">
        <f t="shared" ref="P495:P504" si="1312">14.15*O495</f>
        <v>90.88545</v>
      </c>
      <c r="Q495" s="347"/>
      <c r="R495" s="347">
        <v>280</v>
      </c>
      <c r="S495" s="347">
        <v>280</v>
      </c>
      <c r="T495" s="347">
        <v>280</v>
      </c>
      <c r="U495" s="347">
        <v>280</v>
      </c>
      <c r="V495" s="347">
        <v>280</v>
      </c>
      <c r="W495" s="347">
        <v>280</v>
      </c>
      <c r="X495" s="347">
        <v>280</v>
      </c>
      <c r="Y495" s="347">
        <v>280</v>
      </c>
      <c r="Z495" s="347">
        <v>280</v>
      </c>
      <c r="AA495" s="347">
        <v>280</v>
      </c>
      <c r="AB495" s="347">
        <v>280</v>
      </c>
      <c r="AC495" s="347">
        <v>280</v>
      </c>
      <c r="AD495" s="347">
        <v>280</v>
      </c>
      <c r="AE495" s="347">
        <v>280</v>
      </c>
      <c r="AF495" s="347">
        <v>280</v>
      </c>
      <c r="AG495" s="347">
        <v>280</v>
      </c>
      <c r="AH495" s="347">
        <v>280</v>
      </c>
      <c r="AI495" s="347">
        <v>280</v>
      </c>
      <c r="AJ495" s="347">
        <v>280</v>
      </c>
      <c r="AK495" s="347">
        <v>280</v>
      </c>
      <c r="AL495" s="347">
        <v>280</v>
      </c>
      <c r="AM495" s="347">
        <v>280</v>
      </c>
      <c r="AN495" s="347">
        <v>280</v>
      </c>
      <c r="AO495" s="347">
        <v>280</v>
      </c>
      <c r="AP495" s="347">
        <v>280</v>
      </c>
      <c r="AQ495" s="347">
        <v>280</v>
      </c>
      <c r="AR495" s="347">
        <v>280</v>
      </c>
      <c r="AS495" s="347">
        <v>280</v>
      </c>
      <c r="AT495" s="347">
        <v>280</v>
      </c>
      <c r="AU495" s="347">
        <v>280</v>
      </c>
      <c r="AV495" s="347">
        <v>280</v>
      </c>
      <c r="AW495" s="347">
        <v>10000</v>
      </c>
      <c r="AX495" s="365">
        <f>IFERROR(AW495*O495/1000,"")</f>
        <v>64.23</v>
      </c>
      <c r="AY495" s="365">
        <f>IFERROR(ROUND(AW495*P495/10000,3),"")</f>
        <v>90.885</v>
      </c>
      <c r="BC495" s="330"/>
      <c r="BD495" s="330"/>
      <c r="BE495" s="330"/>
      <c r="BF495" s="330"/>
      <c r="BG495" s="330"/>
      <c r="BH495" s="330"/>
      <c r="BI495" s="330"/>
      <c r="BJ495" s="370" cm="1">
        <f t="array" ref="BJ495">SUMPRODUCT(IF(ISNUMBER(BJ377:BJ389),BJ377:BJ389,0),IF(ISERROR(BJ377:BJ389),0,1))</f>
        <v>140.71</v>
      </c>
      <c r="BK495" s="370" cm="1">
        <f t="array" ref="BK495">SUMPRODUCT(IF(ISNUMBER(BK377:BK389),BK377:BK389,0),IF(ISERROR(BK377:BK389),0,1))</f>
        <v>139.47</v>
      </c>
      <c r="BL495" s="370" cm="1">
        <f t="array" ref="BL495">SUMPRODUCT(IF(ISNUMBER(BL377:BL389),BL377:BL389,0),IF(ISERROR(BL377:BL389),0,1))</f>
        <v>138.8</v>
      </c>
      <c r="BM495" s="370" cm="1">
        <f t="array" ref="BM495">SUMPRODUCT(IF(ISNUMBER(BM377:BM389),BM377:BM389,0),IF(ISERROR(BM377:BM389),0,1))</f>
        <v>156.16</v>
      </c>
      <c r="BN495" s="258">
        <f t="shared" si="1300"/>
        <v>575.14</v>
      </c>
      <c r="BO495" s="258">
        <v>42.79</v>
      </c>
      <c r="BP495" s="258">
        <v>44.13</v>
      </c>
      <c r="BQ495" s="258">
        <v>49.14</v>
      </c>
      <c r="BR495" s="258">
        <v>55.17</v>
      </c>
      <c r="BS495" s="382" t="s">
        <v>775</v>
      </c>
      <c r="BX495" s="382" t="s">
        <v>776</v>
      </c>
      <c r="BY495" s="258">
        <f>SUM(R495:X495)</f>
        <v>1960</v>
      </c>
      <c r="BZ495" s="258">
        <f>SUM(Y495:AE495)</f>
        <v>1960</v>
      </c>
      <c r="CA495" s="258">
        <f>SUM(AF495:AM495)</f>
        <v>2240</v>
      </c>
      <c r="CB495" s="258">
        <f>SUM(AN495:AV495)</f>
        <v>2520</v>
      </c>
      <c r="CD495" s="113"/>
      <c r="CE495" s="258">
        <f t="shared" si="1301"/>
        <v>12.59</v>
      </c>
      <c r="CF495" s="258">
        <f t="shared" si="1302"/>
        <v>12.59</v>
      </c>
      <c r="CG495" s="258">
        <f t="shared" si="1303"/>
        <v>14.39</v>
      </c>
      <c r="CH495" s="258">
        <f t="shared" si="1304"/>
        <v>16.19</v>
      </c>
      <c r="CI495" s="258">
        <f t="shared" si="1305"/>
        <v>55.76</v>
      </c>
      <c r="CJ495" s="113"/>
      <c r="CK495" s="258">
        <f t="shared" ref="CK495:CN495" si="1313">IFERROR(ROUND(BY495*$P495,2),"")</f>
        <v>178135.48</v>
      </c>
      <c r="CL495" s="258">
        <f t="shared" si="1313"/>
        <v>178135.48</v>
      </c>
      <c r="CM495" s="258">
        <f t="shared" si="1313"/>
        <v>203583.41</v>
      </c>
      <c r="CN495" s="258">
        <f t="shared" si="1313"/>
        <v>229031.33</v>
      </c>
      <c r="CO495" s="258">
        <f t="shared" si="1307"/>
        <v>788885.7</v>
      </c>
      <c r="CP495" s="258">
        <v>6000</v>
      </c>
      <c r="CQ495" s="258" t="e">
        <f>VLOOKUP(G495,[3]KCBB0101!$C$3:$F$691,4,0)</f>
        <v>#N/A</v>
      </c>
    </row>
    <row r="496" s="258" customFormat="1" ht="17" spans="1:95">
      <c r="A496" s="330"/>
      <c r="B496" s="347" t="s">
        <v>693</v>
      </c>
      <c r="C496" s="347">
        <v>14</v>
      </c>
      <c r="D496" s="347" t="str">
        <f t="shared" si="1299"/>
        <v>半钢ST14寸</v>
      </c>
      <c r="E496" s="385" t="s">
        <v>782</v>
      </c>
      <c r="F496" s="400"/>
      <c r="G496" s="372" t="s">
        <v>232</v>
      </c>
      <c r="H496" s="386">
        <v>2000</v>
      </c>
      <c r="I496" s="386"/>
      <c r="J496" s="347"/>
      <c r="K496" s="347"/>
      <c r="L496" s="349"/>
      <c r="M496" s="349"/>
      <c r="N496" s="347"/>
      <c r="O496" s="347">
        <f>IFERROR(_xlfn.XLOOKUP(E496,轮胎重量!S:S,轮胎重量!P:P),IFERROR(_xlfn.XLOOKUP(E496,轮胎重量!AB:AB,轮胎重量!Y:Y),IFERROR(_xlfn.XLOOKUP(E496,轮胎重量!AK:AK,轮胎重量!AH:AH),IFERROR(_xlfn.XLOOKUP(E496,轮胎重量!AT:AT,轮胎重量!AQ:AQ),IFERROR(_xlfn.XLOOKUP(E496,轮胎重量!BB:BB,轮胎重量!AY:AY),"")))))</f>
        <v>5.886</v>
      </c>
      <c r="P496" s="350">
        <f t="shared" si="1312"/>
        <v>83.2869</v>
      </c>
      <c r="Q496" s="347"/>
      <c r="R496" s="347">
        <v>140</v>
      </c>
      <c r="S496" s="347">
        <v>140</v>
      </c>
      <c r="T496" s="347">
        <v>140</v>
      </c>
      <c r="U496" s="347">
        <v>140</v>
      </c>
      <c r="V496" s="347">
        <v>140</v>
      </c>
      <c r="W496" s="347">
        <v>140</v>
      </c>
      <c r="X496" s="347">
        <v>140</v>
      </c>
      <c r="Y496" s="347">
        <v>140</v>
      </c>
      <c r="Z496" s="347">
        <v>140</v>
      </c>
      <c r="AA496" s="347">
        <v>140</v>
      </c>
      <c r="AB496" s="347">
        <v>140</v>
      </c>
      <c r="AC496" s="347">
        <v>140</v>
      </c>
      <c r="AD496" s="347">
        <v>140</v>
      </c>
      <c r="AE496" s="347">
        <v>140</v>
      </c>
      <c r="AF496" s="347">
        <v>140</v>
      </c>
      <c r="AG496" s="347">
        <v>140</v>
      </c>
      <c r="AH496" s="347">
        <v>140</v>
      </c>
      <c r="AI496" s="347">
        <v>140</v>
      </c>
      <c r="AJ496" s="347">
        <v>140</v>
      </c>
      <c r="AK496" s="347">
        <v>140</v>
      </c>
      <c r="AL496" s="347">
        <v>140</v>
      </c>
      <c r="AM496" s="347">
        <v>140</v>
      </c>
      <c r="AN496" s="347">
        <v>140</v>
      </c>
      <c r="AO496" s="347">
        <v>140</v>
      </c>
      <c r="AP496" s="347">
        <v>140</v>
      </c>
      <c r="AQ496" s="347">
        <v>140</v>
      </c>
      <c r="AR496" s="347">
        <v>140</v>
      </c>
      <c r="AS496" s="347">
        <v>140</v>
      </c>
      <c r="AT496" s="347">
        <v>140</v>
      </c>
      <c r="AU496" s="347">
        <v>140</v>
      </c>
      <c r="AV496" s="347">
        <v>140</v>
      </c>
      <c r="AW496" s="347">
        <v>6000</v>
      </c>
      <c r="AX496" s="365">
        <f>IFERROR(AW496*O496/1000,"")</f>
        <v>35.316</v>
      </c>
      <c r="AY496" s="365">
        <f>IFERROR(ROUND(AW496*P496/10000,3),"")</f>
        <v>49.972</v>
      </c>
      <c r="BC496" s="330"/>
      <c r="BD496" s="330"/>
      <c r="BE496" s="330"/>
      <c r="BF496" s="330"/>
      <c r="BG496" s="330"/>
      <c r="BH496" s="330"/>
      <c r="BI496" s="330"/>
      <c r="BJ496" s="370" cm="1">
        <f t="array" ref="BJ496">SUMPRODUCT(IF(ISNUMBER(BJ378:BJ393),BJ378:BJ393,0),IF(ISERROR(BJ378:BJ393),0,1))</f>
        <v>162.64</v>
      </c>
      <c r="BK496" s="370" cm="1">
        <f t="array" ref="BK496">SUMPRODUCT(IF(ISNUMBER(BK378:BK393),BK378:BK393,0),IF(ISERROR(BK378:BK393),0,1))</f>
        <v>162.79</v>
      </c>
      <c r="BL496" s="370" cm="1">
        <f t="array" ref="BL496">SUMPRODUCT(IF(ISNUMBER(BL378:BL393),BL378:BL393,0),IF(ISERROR(BL378:BL393),0,1))</f>
        <v>187.11</v>
      </c>
      <c r="BM496" s="370" cm="1">
        <f t="array" ref="BM496">SUMPRODUCT(IF(ISNUMBER(BM378:BM393),BM378:BM393,0),IF(ISERROR(BM378:BM393),0,1))</f>
        <v>210.5</v>
      </c>
      <c r="BN496" s="258">
        <f t="shared" si="1300"/>
        <v>723.04</v>
      </c>
      <c r="BO496" s="258">
        <v>42.79</v>
      </c>
      <c r="BP496" s="258">
        <v>44.13</v>
      </c>
      <c r="BQ496" s="258">
        <v>49.14</v>
      </c>
      <c r="BR496" s="258">
        <v>55.17</v>
      </c>
      <c r="BS496" s="382" t="s">
        <v>775</v>
      </c>
      <c r="BX496" s="382" t="s">
        <v>776</v>
      </c>
      <c r="BY496" s="258">
        <f>SUM(R496:X496)</f>
        <v>980</v>
      </c>
      <c r="BZ496" s="258">
        <f>SUM(Y496:AE496)</f>
        <v>980</v>
      </c>
      <c r="CA496" s="258">
        <f>SUM(AF496:AM496)</f>
        <v>1120</v>
      </c>
      <c r="CB496" s="258">
        <f>SUM(AN496:AV496)</f>
        <v>1260</v>
      </c>
      <c r="CD496" s="113"/>
      <c r="CE496" s="258">
        <f t="shared" si="1301"/>
        <v>5.77</v>
      </c>
      <c r="CF496" s="258">
        <f t="shared" si="1302"/>
        <v>5.77</v>
      </c>
      <c r="CG496" s="258">
        <f t="shared" si="1303"/>
        <v>6.59</v>
      </c>
      <c r="CH496" s="258">
        <f t="shared" si="1304"/>
        <v>7.42</v>
      </c>
      <c r="CI496" s="258">
        <f t="shared" ref="CI496:CI500" si="1314">SUM(CE496:CH496)</f>
        <v>25.55</v>
      </c>
      <c r="CJ496" s="113"/>
      <c r="CK496" s="258">
        <f t="shared" ref="CK496:CN496" si="1315">IFERROR(ROUND(BY496*$P496,2),"")</f>
        <v>81621.16</v>
      </c>
      <c r="CL496" s="258">
        <f t="shared" si="1315"/>
        <v>81621.16</v>
      </c>
      <c r="CM496" s="258">
        <f t="shared" si="1315"/>
        <v>93281.33</v>
      </c>
      <c r="CN496" s="258">
        <f t="shared" si="1315"/>
        <v>104941.49</v>
      </c>
      <c r="CP496" s="258" t="e">
        <f>VLOOKUP(G496,[2]Sheet1!$C$3:$G$310,5,0)</f>
        <v>#N/A</v>
      </c>
      <c r="CQ496" s="258" t="e">
        <f>VLOOKUP(G496,[3]KCBB0101!$C$3:$F$691,4,0)</f>
        <v>#N/A</v>
      </c>
    </row>
    <row r="497" s="258" customFormat="1" ht="17" spans="1:95">
      <c r="A497" s="330"/>
      <c r="B497" s="347" t="s">
        <v>693</v>
      </c>
      <c r="C497" s="347">
        <v>14</v>
      </c>
      <c r="D497" s="347" t="str">
        <f t="shared" si="1299"/>
        <v>半钢ST14寸</v>
      </c>
      <c r="E497" s="385" t="s">
        <v>783</v>
      </c>
      <c r="F497" s="400"/>
      <c r="G497" s="372" t="s">
        <v>237</v>
      </c>
      <c r="H497" s="386">
        <v>3800</v>
      </c>
      <c r="I497" s="386"/>
      <c r="J497" s="347"/>
      <c r="K497" s="347"/>
      <c r="L497" s="349"/>
      <c r="M497" s="349"/>
      <c r="N497" s="347"/>
      <c r="O497" s="347">
        <f>IFERROR(_xlfn.XLOOKUP(E497,轮胎重量!S:S,轮胎重量!P:P),IFERROR(_xlfn.XLOOKUP(E497,轮胎重量!AB:AB,轮胎重量!Y:Y),IFERROR(_xlfn.XLOOKUP(E497,轮胎重量!AK:AK,轮胎重量!AH:AH),IFERROR(_xlfn.XLOOKUP(E497,轮胎重量!AT:AT,轮胎重量!AQ:AQ),IFERROR(_xlfn.XLOOKUP(E497,轮胎重量!BB:BB,轮胎重量!AY:AY),"")))))</f>
        <v>5.886</v>
      </c>
      <c r="P497" s="350">
        <f t="shared" si="1312"/>
        <v>83.2869</v>
      </c>
      <c r="Q497" s="347"/>
      <c r="R497" s="347">
        <v>140</v>
      </c>
      <c r="S497" s="347">
        <v>140</v>
      </c>
      <c r="T497" s="347">
        <v>140</v>
      </c>
      <c r="U497" s="347">
        <v>140</v>
      </c>
      <c r="V497" s="347">
        <v>140</v>
      </c>
      <c r="W497" s="347">
        <v>140</v>
      </c>
      <c r="X497" s="347">
        <v>140</v>
      </c>
      <c r="Y497" s="347">
        <v>140</v>
      </c>
      <c r="Z497" s="347">
        <v>140</v>
      </c>
      <c r="AA497" s="347">
        <v>140</v>
      </c>
      <c r="AB497" s="347">
        <v>140</v>
      </c>
      <c r="AC497" s="347">
        <v>140</v>
      </c>
      <c r="AD497" s="347">
        <v>140</v>
      </c>
      <c r="AE497" s="347">
        <v>140</v>
      </c>
      <c r="AF497" s="347">
        <v>140</v>
      </c>
      <c r="AG497" s="347">
        <v>140</v>
      </c>
      <c r="AH497" s="347">
        <v>140</v>
      </c>
      <c r="AI497" s="347">
        <v>140</v>
      </c>
      <c r="AJ497" s="347">
        <v>140</v>
      </c>
      <c r="AK497" s="347">
        <v>140</v>
      </c>
      <c r="AL497" s="347">
        <v>140</v>
      </c>
      <c r="AM497" s="347">
        <v>140</v>
      </c>
      <c r="AN497" s="347">
        <v>140</v>
      </c>
      <c r="AO497" s="347">
        <v>140</v>
      </c>
      <c r="AP497" s="347">
        <v>140</v>
      </c>
      <c r="AQ497" s="347">
        <v>140</v>
      </c>
      <c r="AR497" s="347">
        <v>140</v>
      </c>
      <c r="AS497" s="347">
        <v>140</v>
      </c>
      <c r="AT497" s="347">
        <v>140</v>
      </c>
      <c r="AU497" s="347">
        <v>140</v>
      </c>
      <c r="AV497" s="347">
        <v>140</v>
      </c>
      <c r="AW497" s="347">
        <v>6000</v>
      </c>
      <c r="AX497" s="365">
        <f>IFERROR(AW497*O497/1000,"")</f>
        <v>35.316</v>
      </c>
      <c r="AY497" s="365">
        <f>IFERROR(ROUND(AW497*P497/10000,3),"")</f>
        <v>49.972</v>
      </c>
      <c r="BC497" s="330"/>
      <c r="BD497" s="330"/>
      <c r="BE497" s="330"/>
      <c r="BF497" s="330"/>
      <c r="BG497" s="330"/>
      <c r="BH497" s="330"/>
      <c r="BI497" s="330"/>
      <c r="BJ497" s="370" cm="1">
        <f t="array" ref="BJ497">SUMPRODUCT(IF(ISNUMBER(BJ377:BJ389),BJ377:BJ389,0),IF(ISERROR(BJ377:BJ389),0,1))</f>
        <v>140.71</v>
      </c>
      <c r="BK497" s="370" cm="1">
        <f t="array" ref="BK497">SUMPRODUCT(IF(ISNUMBER(BK377:BK389),BK377:BK389,0),IF(ISERROR(BK377:BK389),0,1))</f>
        <v>139.47</v>
      </c>
      <c r="BL497" s="370" cm="1">
        <f t="array" ref="BL497">SUMPRODUCT(IF(ISNUMBER(BL377:BL389),BL377:BL389,0),IF(ISERROR(BL377:BL389),0,1))</f>
        <v>138.8</v>
      </c>
      <c r="BM497" s="370" cm="1">
        <f t="array" ref="BM497">SUMPRODUCT(IF(ISNUMBER(BM377:BM389),BM377:BM389,0),IF(ISERROR(BM377:BM389),0,1))</f>
        <v>156.16</v>
      </c>
      <c r="BN497" s="258">
        <f t="shared" si="1300"/>
        <v>575.14</v>
      </c>
      <c r="BO497" s="258">
        <v>42.79</v>
      </c>
      <c r="BP497" s="258">
        <v>44.13</v>
      </c>
      <c r="BQ497" s="258">
        <v>49.14</v>
      </c>
      <c r="BR497" s="258">
        <v>55.17</v>
      </c>
      <c r="BS497" s="382" t="s">
        <v>775</v>
      </c>
      <c r="BX497" s="382" t="s">
        <v>776</v>
      </c>
      <c r="BY497" s="258">
        <f>SUM(R497:X497)</f>
        <v>980</v>
      </c>
      <c r="BZ497" s="258">
        <f>SUM(Y497:AE497)</f>
        <v>980</v>
      </c>
      <c r="CA497" s="258">
        <f>SUM(AF497:AM497)</f>
        <v>1120</v>
      </c>
      <c r="CB497" s="258">
        <f>SUM(AN497:AV497)</f>
        <v>1260</v>
      </c>
      <c r="CD497" s="113"/>
      <c r="CE497" s="258">
        <f t="shared" si="1301"/>
        <v>5.77</v>
      </c>
      <c r="CF497" s="258">
        <f t="shared" si="1302"/>
        <v>5.77</v>
      </c>
      <c r="CG497" s="258">
        <f t="shared" si="1303"/>
        <v>6.59</v>
      </c>
      <c r="CH497" s="258">
        <f t="shared" si="1304"/>
        <v>7.42</v>
      </c>
      <c r="CI497" s="258">
        <f t="shared" si="1314"/>
        <v>25.55</v>
      </c>
      <c r="CJ497" s="113"/>
      <c r="CK497" s="258">
        <f t="shared" ref="CK497:CN497" si="1316">IFERROR(ROUND(BY497*$P497,2),"")</f>
        <v>81621.16</v>
      </c>
      <c r="CL497" s="258">
        <f t="shared" si="1316"/>
        <v>81621.16</v>
      </c>
      <c r="CM497" s="258">
        <f t="shared" si="1316"/>
        <v>93281.33</v>
      </c>
      <c r="CN497" s="258">
        <f t="shared" si="1316"/>
        <v>104941.49</v>
      </c>
      <c r="CP497" s="258" t="e">
        <f>VLOOKUP(G497,[2]Sheet1!$C$3:$G$310,5,0)</f>
        <v>#N/A</v>
      </c>
      <c r="CQ497" s="258" t="e">
        <f>VLOOKUP(G497,[3]KCBB0101!$C$3:$F$691,4,0)</f>
        <v>#N/A</v>
      </c>
    </row>
    <row r="498" s="258" customFormat="1" ht="17" spans="1:95">
      <c r="A498" s="330"/>
      <c r="B498" s="347" t="s">
        <v>693</v>
      </c>
      <c r="C498" s="347">
        <v>14</v>
      </c>
      <c r="D498" s="347" t="str">
        <f t="shared" si="1299"/>
        <v>半钢ST14寸</v>
      </c>
      <c r="E498" s="385" t="s">
        <v>784</v>
      </c>
      <c r="F498" s="400"/>
      <c r="G498" s="372" t="s">
        <v>242</v>
      </c>
      <c r="H498" s="386">
        <v>2000</v>
      </c>
      <c r="I498" s="386"/>
      <c r="J498" s="347"/>
      <c r="K498" s="347"/>
      <c r="L498" s="349"/>
      <c r="M498" s="349"/>
      <c r="N498" s="347"/>
      <c r="O498" s="347">
        <f>IFERROR(_xlfn.XLOOKUP(E498,轮胎重量!S:S,轮胎重量!P:P),IFERROR(_xlfn.XLOOKUP(E498,轮胎重量!AB:AB,轮胎重量!Y:Y),IFERROR(_xlfn.XLOOKUP(E498,轮胎重量!AK:AK,轮胎重量!AH:AH),IFERROR(_xlfn.XLOOKUP(E498,轮胎重量!AT:AT,轮胎重量!AQ:AQ),IFERROR(_xlfn.XLOOKUP(E498,轮胎重量!BB:BB,轮胎重量!AY:AY),"")))))</f>
        <v>6.757</v>
      </c>
      <c r="P498" s="350">
        <f t="shared" si="1312"/>
        <v>95.61155</v>
      </c>
      <c r="Q498" s="347"/>
      <c r="R498" s="347">
        <v>140</v>
      </c>
      <c r="S498" s="347">
        <v>140</v>
      </c>
      <c r="T498" s="347">
        <v>140</v>
      </c>
      <c r="U498" s="347">
        <v>140</v>
      </c>
      <c r="V498" s="347">
        <v>140</v>
      </c>
      <c r="W498" s="347">
        <v>140</v>
      </c>
      <c r="X498" s="347">
        <v>140</v>
      </c>
      <c r="Y498" s="347">
        <v>140</v>
      </c>
      <c r="Z498" s="347">
        <v>140</v>
      </c>
      <c r="AA498" s="347">
        <v>140</v>
      </c>
      <c r="AB498" s="347">
        <v>140</v>
      </c>
      <c r="AC498" s="347">
        <v>140</v>
      </c>
      <c r="AD498" s="347">
        <v>140</v>
      </c>
      <c r="AE498" s="347">
        <v>140</v>
      </c>
      <c r="AF498" s="347">
        <v>140</v>
      </c>
      <c r="AG498" s="347">
        <v>140</v>
      </c>
      <c r="AH498" s="347">
        <v>140</v>
      </c>
      <c r="AI498" s="347">
        <v>140</v>
      </c>
      <c r="AJ498" s="347">
        <v>140</v>
      </c>
      <c r="AK498" s="347">
        <v>140</v>
      </c>
      <c r="AL498" s="347">
        <v>140</v>
      </c>
      <c r="AM498" s="347">
        <v>140</v>
      </c>
      <c r="AN498" s="347">
        <v>140</v>
      </c>
      <c r="AO498" s="347">
        <v>140</v>
      </c>
      <c r="AP498" s="347">
        <v>140</v>
      </c>
      <c r="AQ498" s="347">
        <v>140</v>
      </c>
      <c r="AR498" s="347">
        <v>140</v>
      </c>
      <c r="AS498" s="347">
        <v>140</v>
      </c>
      <c r="AT498" s="347">
        <v>140</v>
      </c>
      <c r="AU498" s="347">
        <v>140</v>
      </c>
      <c r="AV498" s="347">
        <v>140</v>
      </c>
      <c r="AW498" s="347">
        <v>6000</v>
      </c>
      <c r="AX498" s="365">
        <f>IFERROR(AW498*O498/1000,"")</f>
        <v>40.542</v>
      </c>
      <c r="AY498" s="365">
        <f>IFERROR(ROUND(AW498*P498/10000,3),"")</f>
        <v>57.367</v>
      </c>
      <c r="BC498" s="330"/>
      <c r="BD498" s="330"/>
      <c r="BE498" s="330"/>
      <c r="BF498" s="330"/>
      <c r="BG498" s="330"/>
      <c r="BH498" s="330"/>
      <c r="BI498" s="330"/>
      <c r="BJ498" s="370" cm="1">
        <f t="array" ref="BJ498">SUMPRODUCT(IF(ISNUMBER(BJ377:BJ389),BJ377:BJ389,0),IF(ISERROR(BJ377:BJ389),0,1))</f>
        <v>140.71</v>
      </c>
      <c r="BK498" s="370" cm="1">
        <f t="array" ref="BK498">SUMPRODUCT(IF(ISNUMBER(BK377:BK389),BK377:BK389,0),IF(ISERROR(BK377:BK389),0,1))</f>
        <v>139.47</v>
      </c>
      <c r="BL498" s="370" cm="1">
        <f t="array" ref="BL498">SUMPRODUCT(IF(ISNUMBER(BL377:BL389),BL377:BL389,0),IF(ISERROR(BL377:BL389),0,1))</f>
        <v>138.8</v>
      </c>
      <c r="BM498" s="370" cm="1">
        <f t="array" ref="BM498">SUMPRODUCT(IF(ISNUMBER(BM377:BM389),BM377:BM389,0),IF(ISERROR(BM377:BM389),0,1))</f>
        <v>156.16</v>
      </c>
      <c r="BN498" s="258">
        <f t="shared" si="1300"/>
        <v>575.14</v>
      </c>
      <c r="BO498" s="258">
        <v>42.79</v>
      </c>
      <c r="BP498" s="258">
        <v>44.13</v>
      </c>
      <c r="BQ498" s="258">
        <v>49.14</v>
      </c>
      <c r="BR498" s="258">
        <v>55.17</v>
      </c>
      <c r="BS498" s="382" t="s">
        <v>775</v>
      </c>
      <c r="BX498" s="382" t="s">
        <v>776</v>
      </c>
      <c r="BY498" s="258">
        <f>SUM(R498:X498)</f>
        <v>980</v>
      </c>
      <c r="BZ498" s="258">
        <f>SUM(Y498:AE498)</f>
        <v>980</v>
      </c>
      <c r="CA498" s="258">
        <f>SUM(AF498:AM498)</f>
        <v>1120</v>
      </c>
      <c r="CB498" s="258">
        <f>SUM(AN498:AV498)</f>
        <v>1260</v>
      </c>
      <c r="CD498" s="113"/>
      <c r="CE498" s="258">
        <f t="shared" si="1301"/>
        <v>6.62</v>
      </c>
      <c r="CF498" s="258">
        <f t="shared" si="1302"/>
        <v>6.62</v>
      </c>
      <c r="CG498" s="258">
        <f t="shared" si="1303"/>
        <v>7.57</v>
      </c>
      <c r="CH498" s="258">
        <f t="shared" si="1304"/>
        <v>8.51</v>
      </c>
      <c r="CI498" s="258">
        <f t="shared" si="1314"/>
        <v>29.32</v>
      </c>
      <c r="CJ498" s="113"/>
      <c r="CK498" s="258">
        <f t="shared" ref="CK498:CN498" si="1317">IFERROR(ROUND(BY498*$P498,2),"")</f>
        <v>93699.32</v>
      </c>
      <c r="CL498" s="258">
        <f t="shared" si="1317"/>
        <v>93699.32</v>
      </c>
      <c r="CM498" s="258">
        <f t="shared" si="1317"/>
        <v>107084.94</v>
      </c>
      <c r="CN498" s="258">
        <f t="shared" si="1317"/>
        <v>120470.55</v>
      </c>
      <c r="CO498" s="258">
        <f>SUM(CK498:CN498)</f>
        <v>414954.13</v>
      </c>
      <c r="CP498" s="258" t="e">
        <f>VLOOKUP(G498,[2]Sheet1!$C$3:$G$310,5,0)</f>
        <v>#N/A</v>
      </c>
      <c r="CQ498" s="258" t="e">
        <f>VLOOKUP(G498,[3]KCBB0101!$C$3:$F$691,4,0)</f>
        <v>#N/A</v>
      </c>
    </row>
    <row r="499" s="258" customFormat="1" ht="17" spans="1:95">
      <c r="A499" s="330"/>
      <c r="B499" s="347" t="s">
        <v>693</v>
      </c>
      <c r="C499" s="347">
        <v>14</v>
      </c>
      <c r="D499" s="347" t="str">
        <f t="shared" si="1299"/>
        <v>半钢ST14寸</v>
      </c>
      <c r="E499" s="385" t="s">
        <v>785</v>
      </c>
      <c r="F499" s="400"/>
      <c r="G499" s="372" t="s">
        <v>247</v>
      </c>
      <c r="H499" s="386">
        <v>1700</v>
      </c>
      <c r="I499" s="386"/>
      <c r="J499" s="347"/>
      <c r="K499" s="347"/>
      <c r="L499" s="349"/>
      <c r="M499" s="349"/>
      <c r="N499" s="347"/>
      <c r="O499" s="347">
        <f>IFERROR(_xlfn.XLOOKUP(E499,轮胎重量!S:S,轮胎重量!P:P),IFERROR(_xlfn.XLOOKUP(E499,轮胎重量!AB:AB,轮胎重量!Y:Y),IFERROR(_xlfn.XLOOKUP(E499,轮胎重量!AK:AK,轮胎重量!AH:AH),IFERROR(_xlfn.XLOOKUP(E499,轮胎重量!AT:AT,轮胎重量!AQ:AQ),IFERROR(_xlfn.XLOOKUP(E499,轮胎重量!BB:BB,轮胎重量!AY:AY),"")))))</f>
        <v>6.757</v>
      </c>
      <c r="P499" s="350">
        <f t="shared" si="1312"/>
        <v>95.61155</v>
      </c>
      <c r="Q499" s="347"/>
      <c r="R499" s="347">
        <v>140</v>
      </c>
      <c r="S499" s="347">
        <v>140</v>
      </c>
      <c r="T499" s="347">
        <v>140</v>
      </c>
      <c r="U499" s="347">
        <v>140</v>
      </c>
      <c r="V499" s="347">
        <v>140</v>
      </c>
      <c r="W499" s="347">
        <v>140</v>
      </c>
      <c r="X499" s="347">
        <v>140</v>
      </c>
      <c r="Y499" s="347">
        <v>140</v>
      </c>
      <c r="Z499" s="347">
        <v>140</v>
      </c>
      <c r="AA499" s="347">
        <v>140</v>
      </c>
      <c r="AB499" s="347">
        <v>140</v>
      </c>
      <c r="AC499" s="347">
        <v>140</v>
      </c>
      <c r="AD499" s="347">
        <v>140</v>
      </c>
      <c r="AE499" s="347">
        <v>140</v>
      </c>
      <c r="AF499" s="347">
        <v>140</v>
      </c>
      <c r="AG499" s="347">
        <v>140</v>
      </c>
      <c r="AH499" s="347">
        <v>140</v>
      </c>
      <c r="AI499" s="347">
        <v>140</v>
      </c>
      <c r="AJ499" s="347">
        <v>140</v>
      </c>
      <c r="AK499" s="347">
        <v>140</v>
      </c>
      <c r="AL499" s="347">
        <v>140</v>
      </c>
      <c r="AM499" s="347">
        <v>140</v>
      </c>
      <c r="AN499" s="347">
        <v>140</v>
      </c>
      <c r="AO499" s="347">
        <v>140</v>
      </c>
      <c r="AP499" s="347">
        <v>140</v>
      </c>
      <c r="AQ499" s="347">
        <v>140</v>
      </c>
      <c r="AR499" s="347">
        <v>140</v>
      </c>
      <c r="AS499" s="347">
        <v>140</v>
      </c>
      <c r="AT499" s="347">
        <v>140</v>
      </c>
      <c r="AU499" s="347">
        <v>140</v>
      </c>
      <c r="AV499" s="347">
        <v>140</v>
      </c>
      <c r="AW499" s="347">
        <v>6000</v>
      </c>
      <c r="AX499" s="365">
        <f>IFERROR(AW499*O499/1000,"")</f>
        <v>40.542</v>
      </c>
      <c r="AY499" s="365">
        <f>IFERROR(ROUND(AW499*P499/10000,3),"")</f>
        <v>57.367</v>
      </c>
      <c r="BC499" s="330"/>
      <c r="BD499" s="330"/>
      <c r="BE499" s="330"/>
      <c r="BF499" s="330"/>
      <c r="BG499" s="330"/>
      <c r="BH499" s="330"/>
      <c r="BI499" s="330"/>
      <c r="BJ499" s="370" cm="1">
        <f t="array" ref="BJ499">SUMPRODUCT(IF(ISNUMBER(BJ377:BJ390),BJ377:BJ390,0),IF(ISERROR(BJ377:BJ390),0,1))</f>
        <v>140.71</v>
      </c>
      <c r="BK499" s="370" cm="1">
        <f t="array" ref="BK499">SUMPRODUCT(IF(ISNUMBER(BK377:BK390),BK377:BK390,0),IF(ISERROR(BK377:BK390),0,1))</f>
        <v>139.47</v>
      </c>
      <c r="BL499" s="370" cm="1">
        <f t="array" ref="BL499">SUMPRODUCT(IF(ISNUMBER(BL377:BL390),BL377:BL390,0),IF(ISERROR(BL377:BL390),0,1))</f>
        <v>150.93</v>
      </c>
      <c r="BM499" s="370" cm="1">
        <f t="array" ref="BM499">SUMPRODUCT(IF(ISNUMBER(BM377:BM390),BM377:BM390,0),IF(ISERROR(BM377:BM390),0,1))</f>
        <v>169.8</v>
      </c>
      <c r="BN499" s="258">
        <f t="shared" si="1300"/>
        <v>600.91</v>
      </c>
      <c r="BO499" s="258">
        <v>42.79</v>
      </c>
      <c r="BP499" s="258">
        <v>44.13</v>
      </c>
      <c r="BQ499" s="258">
        <v>49.14</v>
      </c>
      <c r="BR499" s="258">
        <v>55.17</v>
      </c>
      <c r="BS499" s="382" t="s">
        <v>775</v>
      </c>
      <c r="BX499" s="382" t="s">
        <v>776</v>
      </c>
      <c r="BY499" s="258">
        <f>SUM(R499:X499)</f>
        <v>980</v>
      </c>
      <c r="BZ499" s="258">
        <f>SUM(Y499:AE499)</f>
        <v>980</v>
      </c>
      <c r="CA499" s="258">
        <f>SUM(AF499:AM499)</f>
        <v>1120</v>
      </c>
      <c r="CB499" s="258">
        <f>SUM(AN499:AV499)</f>
        <v>1260</v>
      </c>
      <c r="CD499" s="113"/>
      <c r="CE499" s="258">
        <f t="shared" si="1301"/>
        <v>6.62</v>
      </c>
      <c r="CF499" s="258">
        <f t="shared" si="1302"/>
        <v>6.62</v>
      </c>
      <c r="CG499" s="258">
        <f t="shared" si="1303"/>
        <v>7.57</v>
      </c>
      <c r="CH499" s="258">
        <f t="shared" si="1304"/>
        <v>8.51</v>
      </c>
      <c r="CI499" s="258">
        <f t="shared" si="1314"/>
        <v>29.32</v>
      </c>
      <c r="CJ499" s="113"/>
      <c r="CK499" s="258">
        <f t="shared" ref="CK499:CN499" si="1318">IFERROR(ROUND(BY499*$P499,2),"")</f>
        <v>93699.32</v>
      </c>
      <c r="CL499" s="258">
        <f t="shared" si="1318"/>
        <v>93699.32</v>
      </c>
      <c r="CM499" s="258">
        <f t="shared" si="1318"/>
        <v>107084.94</v>
      </c>
      <c r="CN499" s="258">
        <f t="shared" si="1318"/>
        <v>120470.55</v>
      </c>
      <c r="CO499" s="258">
        <f>SUM(CK499:CN499)</f>
        <v>414954.13</v>
      </c>
      <c r="CP499" s="258" t="e">
        <f>VLOOKUP(G499,[2]Sheet1!$C$3:$G$310,5,0)</f>
        <v>#N/A</v>
      </c>
      <c r="CQ499" s="258" t="e">
        <f>VLOOKUP(G499,[3]KCBB0101!$C$3:$F$691,4,0)</f>
        <v>#N/A</v>
      </c>
    </row>
    <row r="500" s="258" customFormat="1" ht="17" spans="1:95">
      <c r="A500" s="330"/>
      <c r="B500" s="347" t="s">
        <v>693</v>
      </c>
      <c r="C500" s="347" t="str">
        <f>IFERROR(MID(E500,FIND("-",E500)-2,2),"")</f>
        <v>14</v>
      </c>
      <c r="D500" s="347" t="str">
        <f t="shared" si="1299"/>
        <v>半钢ST14寸</v>
      </c>
      <c r="E500" s="385" t="s">
        <v>786</v>
      </c>
      <c r="F500" s="400"/>
      <c r="G500" s="372" t="s">
        <v>252</v>
      </c>
      <c r="H500" s="386">
        <v>10000</v>
      </c>
      <c r="I500" s="386"/>
      <c r="J500" s="347"/>
      <c r="K500" s="347"/>
      <c r="L500" s="349"/>
      <c r="M500" s="349"/>
      <c r="N500" s="347"/>
      <c r="O500" s="347">
        <f>IFERROR(_xlfn.XLOOKUP(E500,轮胎重量!S:S,轮胎重量!P:P),IFERROR(_xlfn.XLOOKUP(E500,轮胎重量!AB:AB,轮胎重量!Y:Y),IFERROR(_xlfn.XLOOKUP(E500,轮胎重量!AK:AK,轮胎重量!AH:AH),IFERROR(_xlfn.XLOOKUP(E500,轮胎重量!AT:AT,轮胎重量!AQ:AQ),IFERROR(_xlfn.XLOOKUP(E500,轮胎重量!BB:BB,轮胎重量!AY:AY),"")))))</f>
        <v>6.916</v>
      </c>
      <c r="P500" s="350">
        <f t="shared" si="1312"/>
        <v>97.8614</v>
      </c>
      <c r="Q500" s="347"/>
      <c r="R500" s="347">
        <v>280</v>
      </c>
      <c r="S500" s="347">
        <v>280</v>
      </c>
      <c r="T500" s="347">
        <v>280</v>
      </c>
      <c r="U500" s="347">
        <v>280</v>
      </c>
      <c r="V500" s="347">
        <v>280</v>
      </c>
      <c r="W500" s="347">
        <v>280</v>
      </c>
      <c r="X500" s="347">
        <v>280</v>
      </c>
      <c r="Y500" s="347">
        <v>280</v>
      </c>
      <c r="Z500" s="347">
        <v>280</v>
      </c>
      <c r="AA500" s="347">
        <v>280</v>
      </c>
      <c r="AB500" s="347">
        <v>280</v>
      </c>
      <c r="AC500" s="347">
        <v>280</v>
      </c>
      <c r="AD500" s="347">
        <v>280</v>
      </c>
      <c r="AE500" s="347">
        <v>280</v>
      </c>
      <c r="AF500" s="347">
        <v>280</v>
      </c>
      <c r="AG500" s="347">
        <v>280</v>
      </c>
      <c r="AH500" s="347">
        <v>280</v>
      </c>
      <c r="AI500" s="347">
        <v>280</v>
      </c>
      <c r="AJ500" s="347">
        <v>280</v>
      </c>
      <c r="AK500" s="347">
        <v>280</v>
      </c>
      <c r="AL500" s="347">
        <v>280</v>
      </c>
      <c r="AM500" s="347">
        <v>280</v>
      </c>
      <c r="AN500" s="347">
        <v>280</v>
      </c>
      <c r="AO500" s="347">
        <v>280</v>
      </c>
      <c r="AP500" s="347">
        <v>280</v>
      </c>
      <c r="AQ500" s="347">
        <v>280</v>
      </c>
      <c r="AR500" s="347">
        <v>280</v>
      </c>
      <c r="AS500" s="347">
        <v>280</v>
      </c>
      <c r="AT500" s="347">
        <v>280</v>
      </c>
      <c r="AU500" s="347">
        <v>280</v>
      </c>
      <c r="AV500" s="347">
        <v>280</v>
      </c>
      <c r="AW500" s="347">
        <v>10000</v>
      </c>
      <c r="AX500" s="365">
        <f>IFERROR(AW500*O500/1000,"")</f>
        <v>69.16</v>
      </c>
      <c r="AY500" s="365">
        <f>IFERROR(ROUND(AW500*P500/10000,3),"")</f>
        <v>97.861</v>
      </c>
      <c r="BC500" s="330"/>
      <c r="BD500" s="330"/>
      <c r="BE500" s="330"/>
      <c r="BF500" s="330"/>
      <c r="BG500" s="330"/>
      <c r="BH500" s="330"/>
      <c r="BI500" s="330"/>
      <c r="BJ500" s="370" cm="1">
        <f t="array" ref="BJ500">SUMPRODUCT(IF(ISNUMBER(BJ378:BJ393),BJ378:BJ393,0),IF(ISERROR(BJ378:BJ393),0,1))</f>
        <v>162.64</v>
      </c>
      <c r="BK500" s="370" cm="1">
        <f t="array" ref="BK500">SUMPRODUCT(IF(ISNUMBER(BK378:BK393),BK378:BK393,0),IF(ISERROR(BK378:BK393),0,1))</f>
        <v>162.79</v>
      </c>
      <c r="BL500" s="370" cm="1">
        <f t="array" ref="BL500">SUMPRODUCT(IF(ISNUMBER(BL378:BL393),BL378:BL393,0),IF(ISERROR(BL378:BL393),0,1))</f>
        <v>187.11</v>
      </c>
      <c r="BM500" s="370" cm="1">
        <f t="array" ref="BM500">SUMPRODUCT(IF(ISNUMBER(BM378:BM393),BM378:BM393,0),IF(ISERROR(BM378:BM393),0,1))</f>
        <v>210.5</v>
      </c>
      <c r="BN500" s="258">
        <f t="shared" si="1300"/>
        <v>723.04</v>
      </c>
      <c r="BO500" s="258">
        <v>42.79</v>
      </c>
      <c r="BP500" s="258">
        <v>44.13</v>
      </c>
      <c r="BQ500" s="258">
        <v>49.14</v>
      </c>
      <c r="BR500" s="258">
        <v>55.17</v>
      </c>
      <c r="BS500" s="382" t="s">
        <v>775</v>
      </c>
      <c r="BX500" s="382" t="s">
        <v>776</v>
      </c>
      <c r="BY500" s="258">
        <f>SUM(R500:X500)</f>
        <v>1960</v>
      </c>
      <c r="BZ500" s="258">
        <f>SUM(Y500:AE500)</f>
        <v>1960</v>
      </c>
      <c r="CA500" s="258">
        <f>SUM(AF500:AM500)</f>
        <v>2240</v>
      </c>
      <c r="CB500" s="258">
        <f>SUM(AN500:AV500)</f>
        <v>2520</v>
      </c>
      <c r="CD500" s="113"/>
      <c r="CE500" s="258">
        <f t="shared" si="1301"/>
        <v>13.56</v>
      </c>
      <c r="CF500" s="258">
        <f t="shared" si="1302"/>
        <v>13.56</v>
      </c>
      <c r="CG500" s="258">
        <f t="shared" si="1303"/>
        <v>15.49</v>
      </c>
      <c r="CH500" s="258">
        <f t="shared" si="1304"/>
        <v>17.43</v>
      </c>
      <c r="CI500" s="258">
        <f t="shared" si="1314"/>
        <v>60.04</v>
      </c>
      <c r="CJ500" s="113"/>
      <c r="CK500" s="258">
        <f t="shared" ref="CK500:CN500" si="1319">IFERROR(ROUND(BY500*$P500,2),"")</f>
        <v>191808.34</v>
      </c>
      <c r="CL500" s="258">
        <f t="shared" si="1319"/>
        <v>191808.34</v>
      </c>
      <c r="CM500" s="258">
        <f t="shared" si="1319"/>
        <v>219209.54</v>
      </c>
      <c r="CN500" s="258">
        <f t="shared" si="1319"/>
        <v>246610.73</v>
      </c>
      <c r="CP500" s="258" t="e">
        <f>VLOOKUP(G500,[2]Sheet1!$C$3:$G$310,5,0)</f>
        <v>#N/A</v>
      </c>
      <c r="CQ500" s="258" t="e">
        <f>VLOOKUP(G500,[3]KCBB0101!$C$3:$F$691,4,0)</f>
        <v>#N/A</v>
      </c>
    </row>
    <row r="501" s="258" customFormat="1" ht="17" spans="1:95">
      <c r="A501" s="330"/>
      <c r="B501" s="347" t="s">
        <v>693</v>
      </c>
      <c r="C501" s="347">
        <v>14</v>
      </c>
      <c r="D501" s="347" t="str">
        <f t="shared" si="1299"/>
        <v>半钢ST14寸</v>
      </c>
      <c r="E501" s="385" t="s">
        <v>787</v>
      </c>
      <c r="F501" s="400"/>
      <c r="G501" s="342" t="s">
        <v>170</v>
      </c>
      <c r="H501" s="386">
        <v>8000</v>
      </c>
      <c r="I501" s="386"/>
      <c r="J501" s="347"/>
      <c r="K501" s="347"/>
      <c r="L501" s="349"/>
      <c r="M501" s="349"/>
      <c r="N501" s="347"/>
      <c r="O501" s="347">
        <f>IFERROR(_xlfn.XLOOKUP(E501,轮胎重量!S:S,轮胎重量!P:P),IFERROR(_xlfn.XLOOKUP(E501,轮胎重量!AB:AB,轮胎重量!Y:Y),IFERROR(_xlfn.XLOOKUP(E501,轮胎重量!AK:AK,轮胎重量!AH:AH),IFERROR(_xlfn.XLOOKUP(E501,轮胎重量!AT:AT,轮胎重量!AQ:AQ),IFERROR(_xlfn.XLOOKUP(E501,轮胎重量!BB:BB,轮胎重量!AY:AY),"")))))</f>
        <v>6.916</v>
      </c>
      <c r="P501" s="350">
        <f t="shared" si="1312"/>
        <v>97.8614</v>
      </c>
      <c r="Q501" s="347"/>
      <c r="R501" s="347">
        <v>280</v>
      </c>
      <c r="S501" s="347">
        <v>280</v>
      </c>
      <c r="T501" s="347">
        <v>280</v>
      </c>
      <c r="U501" s="347">
        <v>280</v>
      </c>
      <c r="V501" s="347">
        <v>280</v>
      </c>
      <c r="W501" s="347">
        <v>280</v>
      </c>
      <c r="X501" s="347">
        <v>280</v>
      </c>
      <c r="Y501" s="347">
        <v>280</v>
      </c>
      <c r="Z501" s="347">
        <v>280</v>
      </c>
      <c r="AA501" s="347">
        <v>280</v>
      </c>
      <c r="AB501" s="347">
        <v>280</v>
      </c>
      <c r="AC501" s="347">
        <v>280</v>
      </c>
      <c r="AD501" s="347">
        <v>280</v>
      </c>
      <c r="AE501" s="347">
        <v>280</v>
      </c>
      <c r="AF501" s="347">
        <v>280</v>
      </c>
      <c r="AG501" s="347">
        <v>280</v>
      </c>
      <c r="AH501" s="347">
        <v>280</v>
      </c>
      <c r="AI501" s="347">
        <v>280</v>
      </c>
      <c r="AJ501" s="347">
        <v>280</v>
      </c>
      <c r="AK501" s="347">
        <v>280</v>
      </c>
      <c r="AL501" s="347">
        <v>280</v>
      </c>
      <c r="AM501" s="347">
        <v>280</v>
      </c>
      <c r="AN501" s="347">
        <v>280</v>
      </c>
      <c r="AO501" s="347">
        <v>280</v>
      </c>
      <c r="AP501" s="347">
        <v>280</v>
      </c>
      <c r="AQ501" s="347">
        <v>280</v>
      </c>
      <c r="AR501" s="347">
        <v>280</v>
      </c>
      <c r="AS501" s="347">
        <v>280</v>
      </c>
      <c r="AT501" s="347">
        <v>280</v>
      </c>
      <c r="AU501" s="347">
        <v>280</v>
      </c>
      <c r="AV501" s="347">
        <v>280</v>
      </c>
      <c r="AW501" s="347">
        <v>10000</v>
      </c>
      <c r="AX501" s="365">
        <f>IFERROR(AW501*O501/1000,"")</f>
        <v>69.16</v>
      </c>
      <c r="AY501" s="365">
        <f>IFERROR(ROUND(AW501*P501/10000,3),"")</f>
        <v>97.861</v>
      </c>
      <c r="BC501" s="330"/>
      <c r="BD501" s="330"/>
      <c r="BE501" s="330"/>
      <c r="BF501" s="330"/>
      <c r="BG501" s="330"/>
      <c r="BH501" s="330"/>
      <c r="BI501" s="330"/>
      <c r="BJ501" s="370" cm="1">
        <f t="array" ref="BJ501">SUMPRODUCT(IF(ISNUMBER(BJ378:BJ393),BJ378:BJ393,0),IF(ISERROR(BJ378:BJ393),0,1))</f>
        <v>162.64</v>
      </c>
      <c r="BK501" s="370" cm="1">
        <f t="array" ref="BK501">SUMPRODUCT(IF(ISNUMBER(BK378:BK393),BK378:BK393,0),IF(ISERROR(BK378:BK393),0,1))</f>
        <v>162.79</v>
      </c>
      <c r="BL501" s="370" cm="1">
        <f t="array" ref="BL501">SUMPRODUCT(IF(ISNUMBER(BL378:BL393),BL378:BL393,0),IF(ISERROR(BL378:BL393),0,1))</f>
        <v>187.11</v>
      </c>
      <c r="BM501" s="370" cm="1">
        <f t="array" ref="BM501">SUMPRODUCT(IF(ISNUMBER(BM378:BM393),BM378:BM393,0),IF(ISERROR(BM378:BM393),0,1))</f>
        <v>210.5</v>
      </c>
      <c r="BN501" s="258">
        <f t="shared" si="1300"/>
        <v>723.04</v>
      </c>
      <c r="BO501" s="258">
        <v>42.79</v>
      </c>
      <c r="BP501" s="258">
        <v>44.13</v>
      </c>
      <c r="BQ501" s="258">
        <v>49.14</v>
      </c>
      <c r="BR501" s="258">
        <v>55.17</v>
      </c>
      <c r="BS501" s="382" t="s">
        <v>775</v>
      </c>
      <c r="BX501" s="382" t="s">
        <v>776</v>
      </c>
      <c r="BY501" s="258">
        <f>SUM(R501:X501)</f>
        <v>1960</v>
      </c>
      <c r="BZ501" s="258">
        <f>SUM(Y501:AE501)</f>
        <v>1960</v>
      </c>
      <c r="CA501" s="258">
        <f>SUM(AF501:AM501)</f>
        <v>2240</v>
      </c>
      <c r="CB501" s="258">
        <f>SUM(AN501:AV501)</f>
        <v>2520</v>
      </c>
      <c r="CD501" s="113"/>
      <c r="CE501" s="258">
        <f t="shared" si="1301"/>
        <v>13.56</v>
      </c>
      <c r="CF501" s="258">
        <f t="shared" si="1302"/>
        <v>13.56</v>
      </c>
      <c r="CG501" s="258">
        <f t="shared" si="1303"/>
        <v>15.49</v>
      </c>
      <c r="CH501" s="258">
        <f t="shared" si="1304"/>
        <v>17.43</v>
      </c>
      <c r="CI501" s="258">
        <f>SUM(CE501:CH501)</f>
        <v>60.04</v>
      </c>
      <c r="CJ501" s="113"/>
      <c r="CK501" s="258">
        <f t="shared" ref="CK501:CN501" si="1320">IFERROR(ROUND(BY501*$P501,2),"")</f>
        <v>191808.34</v>
      </c>
      <c r="CL501" s="258">
        <f t="shared" si="1320"/>
        <v>191808.34</v>
      </c>
      <c r="CM501" s="258">
        <f t="shared" si="1320"/>
        <v>219209.54</v>
      </c>
      <c r="CN501" s="258">
        <f t="shared" si="1320"/>
        <v>246610.73</v>
      </c>
      <c r="CO501" s="258">
        <f t="shared" ref="CO501:CO505" si="1321">SUM(CK501:CN501)</f>
        <v>849436.95</v>
      </c>
      <c r="CP501" s="258" t="e">
        <f>VLOOKUP(G501,[2]Sheet1!$C$3:$G$310,5,0)</f>
        <v>#N/A</v>
      </c>
      <c r="CQ501" s="258" t="e">
        <f>VLOOKUP(G501,[3]KCBB0101!$C$3:$F$691,4,0)</f>
        <v>#N/A</v>
      </c>
    </row>
    <row r="502" s="258" customFormat="1" ht="17" spans="1:95">
      <c r="A502" s="330"/>
      <c r="B502" s="347" t="s">
        <v>693</v>
      </c>
      <c r="C502" s="347" t="str">
        <f>IFERROR(MID(E502,FIND("-",E502)-2,2),"")</f>
        <v>14</v>
      </c>
      <c r="D502" s="347" t="str">
        <f t="shared" si="1299"/>
        <v>半钢ST14寸</v>
      </c>
      <c r="E502" s="385" t="s">
        <v>788</v>
      </c>
      <c r="F502" s="400"/>
      <c r="G502" s="372" t="s">
        <v>257</v>
      </c>
      <c r="H502" s="386">
        <v>25000</v>
      </c>
      <c r="I502" s="386"/>
      <c r="J502" s="347"/>
      <c r="K502" s="347"/>
      <c r="L502" s="349"/>
      <c r="M502" s="349"/>
      <c r="N502" s="347"/>
      <c r="O502" s="347">
        <f>IFERROR(_xlfn.XLOOKUP(E502,轮胎重量!S:S,轮胎重量!P:P),IFERROR(_xlfn.XLOOKUP(E502,轮胎重量!AB:AB,轮胎重量!Y:Y),IFERROR(_xlfn.XLOOKUP(E502,轮胎重量!AK:AK,轮胎重量!AH:AH),IFERROR(_xlfn.XLOOKUP(E502,轮胎重量!AT:AT,轮胎重量!AQ:AQ),IFERROR(_xlfn.XLOOKUP(E502,轮胎重量!BB:BB,轮胎重量!AY:AY),"")))))</f>
        <v>6.461</v>
      </c>
      <c r="P502" s="350">
        <f t="shared" si="1312"/>
        <v>91.42315</v>
      </c>
      <c r="Q502" s="347"/>
      <c r="R502" s="347">
        <v>280</v>
      </c>
      <c r="S502" s="347">
        <v>280</v>
      </c>
      <c r="T502" s="347">
        <v>280</v>
      </c>
      <c r="U502" s="347">
        <v>280</v>
      </c>
      <c r="V502" s="347">
        <v>280</v>
      </c>
      <c r="W502" s="347">
        <v>280</v>
      </c>
      <c r="X502" s="347">
        <v>280</v>
      </c>
      <c r="Y502" s="347">
        <v>280</v>
      </c>
      <c r="Z502" s="347">
        <v>280</v>
      </c>
      <c r="AA502" s="347">
        <v>280</v>
      </c>
      <c r="AB502" s="347">
        <v>280</v>
      </c>
      <c r="AC502" s="347">
        <v>280</v>
      </c>
      <c r="AD502" s="347">
        <v>280</v>
      </c>
      <c r="AE502" s="347">
        <v>280</v>
      </c>
      <c r="AF502" s="347">
        <v>280</v>
      </c>
      <c r="AG502" s="347">
        <v>280</v>
      </c>
      <c r="AH502" s="347">
        <v>280</v>
      </c>
      <c r="AI502" s="347">
        <v>280</v>
      </c>
      <c r="AJ502" s="347">
        <v>280</v>
      </c>
      <c r="AK502" s="347">
        <v>280</v>
      </c>
      <c r="AL502" s="347">
        <v>280</v>
      </c>
      <c r="AM502" s="347">
        <v>280</v>
      </c>
      <c r="AN502" s="347">
        <v>280</v>
      </c>
      <c r="AO502" s="347">
        <v>280</v>
      </c>
      <c r="AP502" s="347">
        <v>280</v>
      </c>
      <c r="AQ502" s="347">
        <v>280</v>
      </c>
      <c r="AR502" s="347">
        <v>280</v>
      </c>
      <c r="AS502" s="347">
        <v>280</v>
      </c>
      <c r="AT502" s="347">
        <v>280</v>
      </c>
      <c r="AU502" s="347">
        <v>280</v>
      </c>
      <c r="AV502" s="347">
        <v>280</v>
      </c>
      <c r="AW502" s="347">
        <v>10000</v>
      </c>
      <c r="AX502" s="365">
        <f>IFERROR(AW502*O502/1000,"")</f>
        <v>64.61</v>
      </c>
      <c r="AY502" s="365">
        <f>IFERROR(ROUND(AW502*P502/10000,3),"")</f>
        <v>91.423</v>
      </c>
      <c r="BC502" s="330"/>
      <c r="BD502" s="330"/>
      <c r="BE502" s="330"/>
      <c r="BF502" s="330"/>
      <c r="BG502" s="330"/>
      <c r="BH502" s="330"/>
      <c r="BI502" s="330"/>
      <c r="BJ502" s="370" cm="1">
        <f t="array" ref="BJ502">SUMPRODUCT(IF(ISNUMBER(BJ379:BJ394),BJ379:BJ394,0),IF(ISERROR(BJ379:BJ394),0,1))</f>
        <v>162.64</v>
      </c>
      <c r="BK502" s="370" cm="1">
        <f t="array" ref="BK502">SUMPRODUCT(IF(ISNUMBER(BK379:BK394),BK379:BK394,0),IF(ISERROR(BK379:BK394),0,1))</f>
        <v>162.79</v>
      </c>
      <c r="BL502" s="370" cm="1">
        <f t="array" ref="BL502">SUMPRODUCT(IF(ISNUMBER(BL379:BL394),BL379:BL394,0),IF(ISERROR(BL379:BL394),0,1))</f>
        <v>187.11</v>
      </c>
      <c r="BM502" s="370" cm="1">
        <f t="array" ref="BM502">SUMPRODUCT(IF(ISNUMBER(BM379:BM394),BM379:BM394,0),IF(ISERROR(BM379:BM394),0,1))</f>
        <v>210.5</v>
      </c>
      <c r="BN502" s="258">
        <f t="shared" si="1300"/>
        <v>723.04</v>
      </c>
      <c r="BO502" s="258">
        <v>42.79</v>
      </c>
      <c r="BP502" s="258">
        <v>44.13</v>
      </c>
      <c r="BQ502" s="258">
        <v>49.14</v>
      </c>
      <c r="BR502" s="258">
        <v>55.17</v>
      </c>
      <c r="BS502" s="382" t="s">
        <v>775</v>
      </c>
      <c r="BX502" s="382" t="s">
        <v>776</v>
      </c>
      <c r="BY502" s="258">
        <f>SUM(R502:X502)</f>
        <v>1960</v>
      </c>
      <c r="BZ502" s="258">
        <f>SUM(Y502:AE502)</f>
        <v>1960</v>
      </c>
      <c r="CA502" s="258">
        <f>SUM(AF502:AM502)</f>
        <v>2240</v>
      </c>
      <c r="CB502" s="258">
        <f>SUM(AN502:AV502)</f>
        <v>2520</v>
      </c>
      <c r="CD502" s="113"/>
      <c r="CE502" s="258">
        <f t="shared" si="1301"/>
        <v>12.66</v>
      </c>
      <c r="CF502" s="258">
        <f t="shared" si="1302"/>
        <v>12.66</v>
      </c>
      <c r="CG502" s="258">
        <f t="shared" si="1303"/>
        <v>14.47</v>
      </c>
      <c r="CH502" s="258">
        <f t="shared" si="1304"/>
        <v>16.28</v>
      </c>
      <c r="CI502" s="258">
        <f>SUM(CE502:CH502)</f>
        <v>56.07</v>
      </c>
      <c r="CJ502" s="113"/>
      <c r="CK502" s="258">
        <f t="shared" ref="CK502:CN502" si="1322">IFERROR(ROUND(BY502*$P502,2),"")</f>
        <v>179189.37</v>
      </c>
      <c r="CL502" s="258">
        <f t="shared" si="1322"/>
        <v>179189.37</v>
      </c>
      <c r="CM502" s="258">
        <f t="shared" si="1322"/>
        <v>204787.86</v>
      </c>
      <c r="CN502" s="258">
        <f t="shared" si="1322"/>
        <v>230386.34</v>
      </c>
      <c r="CO502" s="258">
        <f t="shared" si="1321"/>
        <v>793552.94</v>
      </c>
      <c r="CP502" s="258" t="e">
        <f>VLOOKUP(G502,[2]Sheet1!$C$3:$G$310,5,0)</f>
        <v>#N/A</v>
      </c>
      <c r="CQ502" s="258" t="e">
        <f>VLOOKUP(G502,[3]KCBB0101!$C$3:$F$691,4,0)</f>
        <v>#N/A</v>
      </c>
    </row>
    <row r="503" s="258" customFormat="1" ht="17" spans="1:95">
      <c r="A503" s="330"/>
      <c r="B503" s="347" t="s">
        <v>693</v>
      </c>
      <c r="C503" s="347" t="str">
        <f>IFERROR(MID(E503,FIND("-",E503)-2,2),"")</f>
        <v>14</v>
      </c>
      <c r="D503" s="347" t="str">
        <f>"半钢ST"&amp;C503&amp;"寸"</f>
        <v>半钢ST14寸</v>
      </c>
      <c r="E503" s="385" t="s">
        <v>789</v>
      </c>
      <c r="F503" s="400"/>
      <c r="G503" s="342" t="s">
        <v>174</v>
      </c>
      <c r="H503" s="386">
        <v>27000</v>
      </c>
      <c r="I503" s="386"/>
      <c r="J503" s="347"/>
      <c r="K503" s="347"/>
      <c r="L503" s="349"/>
      <c r="M503" s="349"/>
      <c r="N503" s="347"/>
      <c r="O503" s="347">
        <f>IFERROR(_xlfn.XLOOKUP(E503,轮胎重量!S:S,轮胎重量!P:P),IFERROR(_xlfn.XLOOKUP(E503,轮胎重量!AB:AB,轮胎重量!Y:Y),IFERROR(_xlfn.XLOOKUP(E503,轮胎重量!AK:AK,轮胎重量!AH:AH),IFERROR(_xlfn.XLOOKUP(E503,轮胎重量!AT:AT,轮胎重量!AQ:AQ),IFERROR(_xlfn.XLOOKUP(E503,轮胎重量!BB:BB,轮胎重量!AY:AY),"")))))</f>
        <v>6.461</v>
      </c>
      <c r="P503" s="350">
        <f t="shared" si="1312"/>
        <v>91.42315</v>
      </c>
      <c r="Q503" s="347"/>
      <c r="R503" s="347">
        <v>280</v>
      </c>
      <c r="S503" s="347">
        <v>280</v>
      </c>
      <c r="T503" s="347">
        <v>280</v>
      </c>
      <c r="U503" s="347">
        <v>280</v>
      </c>
      <c r="V503" s="347">
        <v>280</v>
      </c>
      <c r="W503" s="347">
        <v>280</v>
      </c>
      <c r="X503" s="347">
        <v>280</v>
      </c>
      <c r="Y503" s="347">
        <v>280</v>
      </c>
      <c r="Z503" s="347">
        <v>280</v>
      </c>
      <c r="AA503" s="347">
        <v>280</v>
      </c>
      <c r="AB503" s="347">
        <v>280</v>
      </c>
      <c r="AC503" s="347">
        <v>280</v>
      </c>
      <c r="AD503" s="347">
        <v>280</v>
      </c>
      <c r="AE503" s="347">
        <v>280</v>
      </c>
      <c r="AF503" s="347">
        <v>280</v>
      </c>
      <c r="AG503" s="347">
        <v>280</v>
      </c>
      <c r="AH503" s="347">
        <v>280</v>
      </c>
      <c r="AI503" s="347">
        <v>280</v>
      </c>
      <c r="AJ503" s="347">
        <v>280</v>
      </c>
      <c r="AK503" s="347">
        <v>280</v>
      </c>
      <c r="AL503" s="347">
        <v>280</v>
      </c>
      <c r="AM503" s="347">
        <v>280</v>
      </c>
      <c r="AN503" s="347">
        <v>280</v>
      </c>
      <c r="AO503" s="347">
        <v>280</v>
      </c>
      <c r="AP503" s="347">
        <v>280</v>
      </c>
      <c r="AQ503" s="347">
        <v>280</v>
      </c>
      <c r="AR503" s="347">
        <v>280</v>
      </c>
      <c r="AS503" s="347">
        <v>280</v>
      </c>
      <c r="AT503" s="347">
        <v>280</v>
      </c>
      <c r="AU503" s="347">
        <v>280</v>
      </c>
      <c r="AV503" s="347">
        <v>280</v>
      </c>
      <c r="AW503" s="347">
        <v>10000</v>
      </c>
      <c r="AX503" s="365">
        <f>IFERROR(AW503*O503/1000,"")</f>
        <v>64.61</v>
      </c>
      <c r="AY503" s="365">
        <f>IFERROR(ROUND(AW503*P503/10000,3),"")</f>
        <v>91.423</v>
      </c>
      <c r="BC503" s="330"/>
      <c r="BD503" s="330"/>
      <c r="BE503" s="330"/>
      <c r="BF503" s="330"/>
      <c r="BG503" s="330"/>
      <c r="BH503" s="330"/>
      <c r="BI503" s="330"/>
      <c r="BJ503" s="370" cm="1">
        <f t="array" ref="BJ503">SUMPRODUCT(IF(ISNUMBER(BJ377:BJ389),BJ377:BJ389,0),IF(ISERROR(BJ377:BJ389),0,1))</f>
        <v>140.71</v>
      </c>
      <c r="BK503" s="370" cm="1">
        <f t="array" ref="BK503">SUMPRODUCT(IF(ISNUMBER(BK377:BK389),BK377:BK389,0),IF(ISERROR(BK377:BK389),0,1))</f>
        <v>139.47</v>
      </c>
      <c r="BL503" s="370" cm="1">
        <f t="array" ref="BL503">SUMPRODUCT(IF(ISNUMBER(BL377:BL389),BL377:BL389,0),IF(ISERROR(BL377:BL389),0,1))</f>
        <v>138.8</v>
      </c>
      <c r="BM503" s="370" cm="1">
        <f t="array" ref="BM503">SUMPRODUCT(IF(ISNUMBER(BM377:BM389),BM377:BM389,0),IF(ISERROR(BM377:BM389),0,1))</f>
        <v>156.16</v>
      </c>
      <c r="BN503" s="258">
        <f>SUM(BJ503:BM503)</f>
        <v>575.14</v>
      </c>
      <c r="BO503" s="258">
        <v>42.79</v>
      </c>
      <c r="BP503" s="258">
        <v>44.13</v>
      </c>
      <c r="BQ503" s="258">
        <v>49.14</v>
      </c>
      <c r="BR503" s="258">
        <v>55.17</v>
      </c>
      <c r="BS503" s="382" t="s">
        <v>775</v>
      </c>
      <c r="BX503" s="382" t="s">
        <v>776</v>
      </c>
      <c r="BY503" s="258">
        <f>SUM(R503:X503)</f>
        <v>1960</v>
      </c>
      <c r="BZ503" s="258">
        <f>SUM(Y503:AE503)</f>
        <v>1960</v>
      </c>
      <c r="CA503" s="258">
        <f>SUM(AF503:AM503)</f>
        <v>2240</v>
      </c>
      <c r="CB503" s="258">
        <f>SUM(AN503:AV503)</f>
        <v>2520</v>
      </c>
      <c r="CD503" s="113"/>
      <c r="CE503" s="258">
        <f t="shared" si="1301"/>
        <v>12.66</v>
      </c>
      <c r="CF503" s="258">
        <f t="shared" si="1302"/>
        <v>12.66</v>
      </c>
      <c r="CG503" s="258">
        <f t="shared" si="1303"/>
        <v>14.47</v>
      </c>
      <c r="CH503" s="258">
        <f t="shared" si="1304"/>
        <v>16.28</v>
      </c>
      <c r="CI503" s="258">
        <f>SUM(CE503:CH503)</f>
        <v>56.07</v>
      </c>
      <c r="CJ503" s="113"/>
      <c r="CK503" s="258">
        <f t="shared" ref="CK503:CN503" si="1323">IFERROR(ROUND(BY503*$P503,2),"")</f>
        <v>179189.37</v>
      </c>
      <c r="CL503" s="258">
        <f t="shared" si="1323"/>
        <v>179189.37</v>
      </c>
      <c r="CM503" s="258">
        <f t="shared" si="1323"/>
        <v>204787.86</v>
      </c>
      <c r="CN503" s="258">
        <f t="shared" si="1323"/>
        <v>230386.34</v>
      </c>
      <c r="CP503" s="258" t="e">
        <f>VLOOKUP(G503,[2]Sheet1!$C$3:$G$310,5,0)</f>
        <v>#N/A</v>
      </c>
      <c r="CQ503" s="258" t="e">
        <f>VLOOKUP(G503,[3]KCBB0101!$C$3:$F$691,4,0)</f>
        <v>#N/A</v>
      </c>
    </row>
    <row r="504" s="258" customFormat="1" ht="15" customHeight="1" spans="1:93">
      <c r="A504" s="330"/>
      <c r="B504" s="347"/>
      <c r="C504" s="347" t="str">
        <f>IFERROR(MID(E504,FIND("-",E504)-2,2),"")</f>
        <v/>
      </c>
      <c r="D504" s="347" t="str">
        <f>"半钢ST"&amp;C504&amp;"寸"</f>
        <v>半钢ST寸</v>
      </c>
      <c r="E504" s="385"/>
      <c r="F504" s="400"/>
      <c r="G504" s="400"/>
      <c r="H504" s="386"/>
      <c r="I504" s="386"/>
      <c r="J504" s="347"/>
      <c r="K504" s="347"/>
      <c r="L504" s="349" t="str">
        <f>IF(J503="","",J503/(J503+$L$175/60))</f>
        <v/>
      </c>
      <c r="M504" s="349"/>
      <c r="N504" s="347"/>
      <c r="O504" s="347">
        <f>IFERROR(_xlfn.XLOOKUP(E504,轮胎重量!S:S,轮胎重量!P:P),IFERROR(_xlfn.XLOOKUP(E504,轮胎重量!AB:AB,轮胎重量!Y:Y),IFERROR(_xlfn.XLOOKUP(E504,轮胎重量!AK:AK,轮胎重量!AH:AH),IFERROR(_xlfn.XLOOKUP(E504,轮胎重量!AT:AT,轮胎重量!AQ:AQ),IFERROR(_xlfn.XLOOKUP(E504,轮胎重量!BB:BB,轮胎重量!AY:AY),"")))))</f>
        <v>0</v>
      </c>
      <c r="P504" s="350">
        <f t="shared" si="1312"/>
        <v>0</v>
      </c>
      <c r="Q504" s="347"/>
      <c r="R504" s="347"/>
      <c r="S504" s="347"/>
      <c r="T504" s="347"/>
      <c r="U504" s="347"/>
      <c r="V504" s="347"/>
      <c r="W504" s="347"/>
      <c r="X504" s="347"/>
      <c r="Y504" s="347"/>
      <c r="Z504" s="347"/>
      <c r="AA504" s="347"/>
      <c r="AB504" s="347"/>
      <c r="AC504" s="347"/>
      <c r="AD504" s="347"/>
      <c r="AE504" s="347"/>
      <c r="AF504" s="347"/>
      <c r="AG504" s="347"/>
      <c r="AH504" s="347"/>
      <c r="AI504" s="347"/>
      <c r="AJ504" s="347"/>
      <c r="AK504" s="347"/>
      <c r="AL504" s="347"/>
      <c r="AM504" s="347"/>
      <c r="AN504" s="347"/>
      <c r="AO504" s="347"/>
      <c r="AP504" s="347"/>
      <c r="AQ504" s="347"/>
      <c r="AR504" s="347"/>
      <c r="AS504" s="347"/>
      <c r="AT504" s="347"/>
      <c r="AU504" s="347"/>
      <c r="AV504" s="347"/>
      <c r="AW504" s="347" t="str">
        <f>IF(SUM(R504:AV504)=0,"",SUM(R504:AV504))</f>
        <v/>
      </c>
      <c r="AX504" s="365" t="str">
        <f>IFERROR(AW504*O504/1000,"")</f>
        <v/>
      </c>
      <c r="AY504" s="365" t="str">
        <f>IFERROR(ROUND(AW504*P504/10000,3),"")</f>
        <v/>
      </c>
      <c r="BC504" s="330"/>
      <c r="BD504" s="330"/>
      <c r="BE504" s="330"/>
      <c r="BF504" s="330"/>
      <c r="BG504" s="330"/>
      <c r="BH504" s="330"/>
      <c r="BI504" s="330"/>
      <c r="BJ504" s="370" cm="1">
        <f t="array" ref="BJ504">SUMPRODUCT(IF(ISNUMBER(BJ377:BJ388),BJ377:BJ388,0),IF(ISERROR(BJ377:BJ388),0,1))</f>
        <v>119.49</v>
      </c>
      <c r="BK504" s="370" cm="1">
        <f t="array" ref="BK504">SUMPRODUCT(IF(ISNUMBER(BK377:BK388),BK377:BK388,0),IF(ISERROR(BK377:BK388),0,1))</f>
        <v>118.25</v>
      </c>
      <c r="BL504" s="370" cm="1">
        <f t="array" ref="BL504">SUMPRODUCT(IF(ISNUMBER(BL377:BL388),BL377:BL388,0),IF(ISERROR(BL377:BL388),0,1))</f>
        <v>114.55</v>
      </c>
      <c r="BM504" s="370" cm="1">
        <f t="array" ref="BM504">SUMPRODUCT(IF(ISNUMBER(BM377:BM388),BM377:BM388,0),IF(ISERROR(BM377:BM388),0,1))</f>
        <v>128.87</v>
      </c>
      <c r="BN504" s="258">
        <f>SUM(BJ504:BM504)</f>
        <v>481.16</v>
      </c>
      <c r="BO504" s="258">
        <v>42.79</v>
      </c>
      <c r="BP504" s="258">
        <v>44.13</v>
      </c>
      <c r="BQ504" s="258">
        <v>49.14</v>
      </c>
      <c r="BR504" s="258">
        <v>55.17</v>
      </c>
      <c r="BS504" s="382" t="s">
        <v>775</v>
      </c>
      <c r="BX504" s="382" t="s">
        <v>776</v>
      </c>
      <c r="BY504" s="258">
        <f>SUM(R504:X504)</f>
        <v>0</v>
      </c>
      <c r="BZ504" s="258">
        <f>SUM(Y504:AE504)</f>
        <v>0</v>
      </c>
      <c r="CA504" s="258">
        <f>SUM(AF504:AM504)</f>
        <v>0</v>
      </c>
      <c r="CB504" s="258">
        <f>SUM(AN504:AV504)</f>
        <v>0</v>
      </c>
      <c r="CD504" s="113"/>
      <c r="CE504" s="258">
        <f t="shared" si="1301"/>
        <v>0</v>
      </c>
      <c r="CF504" s="258">
        <f t="shared" si="1302"/>
        <v>0</v>
      </c>
      <c r="CG504" s="258">
        <f t="shared" si="1303"/>
        <v>0</v>
      </c>
      <c r="CH504" s="258">
        <f t="shared" si="1304"/>
        <v>0</v>
      </c>
      <c r="CI504" s="258">
        <f>SUM(CE504:CH504)</f>
        <v>0</v>
      </c>
      <c r="CJ504" s="113"/>
      <c r="CK504" s="258">
        <f t="shared" ref="CK504:CN504" si="1324">IFERROR(ROUND(BY504*$P504,2),"")</f>
        <v>0</v>
      </c>
      <c r="CL504" s="258">
        <f t="shared" si="1324"/>
        <v>0</v>
      </c>
      <c r="CM504" s="258">
        <f t="shared" si="1324"/>
        <v>0</v>
      </c>
      <c r="CN504" s="258">
        <f t="shared" si="1324"/>
        <v>0</v>
      </c>
      <c r="CO504" s="258">
        <f t="shared" si="1321"/>
        <v>0</v>
      </c>
    </row>
    <row r="505" s="258" customFormat="1" ht="17" spans="1:95">
      <c r="A505" s="330"/>
      <c r="B505" s="347" t="s">
        <v>691</v>
      </c>
      <c r="C505" s="347" t="str">
        <f>IFERROR(MID(E505,FIND("-",E505)-2,2),"")</f>
        <v>13</v>
      </c>
      <c r="D505" s="347" t="str">
        <f>"半钢ST"&amp;C505&amp;"寸"</f>
        <v>半钢ST13寸</v>
      </c>
      <c r="E505" s="385" t="str">
        <f>LEFT(REPLACE(G505,1,2,""),FIND("[",REPLACE(G505,1,2,""))-1)&amp;"-"&amp;MID(REPLACE(G505,1,2,""),FIND("[",REPLACE(G505,1,2,""))+1,FIND("]",REPLACE(G505,1,2,""))-FIND("[",REPLACE(G505,1,2,""))-1)</f>
        <v>ST175/80R13-6PR-ST100</v>
      </c>
      <c r="F505" s="400" t="s">
        <v>178</v>
      </c>
      <c r="G505" s="342" t="s">
        <v>178</v>
      </c>
      <c r="H505" s="386"/>
      <c r="I505" s="386"/>
      <c r="J505" s="347"/>
      <c r="K505" s="347"/>
      <c r="L505" s="349" t="str">
        <f>IF(J493="","",J493/(J493+$L$175/60))</f>
        <v/>
      </c>
      <c r="M505" s="349"/>
      <c r="N505" s="347"/>
      <c r="O505" s="347">
        <f>IFERROR(_xlfn.XLOOKUP(E505,轮胎重量!S:S,轮胎重量!P:P),IFERROR(_xlfn.XLOOKUP(E505,轮胎重量!AB:AB,轮胎重量!Y:Y),IFERROR(_xlfn.XLOOKUP(E505,轮胎重量!AK:AK,轮胎重量!AH:AH),IFERROR(_xlfn.XLOOKUP(E505,轮胎重量!AT:AT,轮胎重量!AQ:AQ),IFERROR(_xlfn.XLOOKUP(E505,轮胎重量!BB:BB,轮胎重量!AY:AY),"")))))</f>
        <v>7.771</v>
      </c>
      <c r="P505" s="350">
        <f>O505*15.16</f>
        <v>117.80836</v>
      </c>
      <c r="Q505" s="347"/>
      <c r="R505" s="347">
        <v>150</v>
      </c>
      <c r="S505" s="347">
        <v>150</v>
      </c>
      <c r="T505" s="347">
        <v>150</v>
      </c>
      <c r="U505" s="347">
        <v>150</v>
      </c>
      <c r="V505" s="347">
        <v>150</v>
      </c>
      <c r="W505" s="347">
        <v>150</v>
      </c>
      <c r="X505" s="347">
        <v>150</v>
      </c>
      <c r="Y505" s="347">
        <v>150</v>
      </c>
      <c r="Z505" s="347">
        <v>150</v>
      </c>
      <c r="AA505" s="347">
        <v>150</v>
      </c>
      <c r="AB505" s="347">
        <v>150</v>
      </c>
      <c r="AC505" s="347">
        <v>150</v>
      </c>
      <c r="AD505" s="347">
        <v>150</v>
      </c>
      <c r="AE505" s="347">
        <v>150</v>
      </c>
      <c r="AF505" s="347">
        <v>150</v>
      </c>
      <c r="AG505" s="347">
        <v>150</v>
      </c>
      <c r="AH505" s="347">
        <v>150</v>
      </c>
      <c r="AI505" s="347">
        <v>150</v>
      </c>
      <c r="AJ505" s="347">
        <v>150</v>
      </c>
      <c r="AK505" s="347">
        <v>150</v>
      </c>
      <c r="AL505" s="347">
        <v>150</v>
      </c>
      <c r="AM505" s="347">
        <v>150</v>
      </c>
      <c r="AN505" s="347">
        <v>150</v>
      </c>
      <c r="AO505" s="347">
        <v>150</v>
      </c>
      <c r="AP505" s="347">
        <v>150</v>
      </c>
      <c r="AQ505" s="347">
        <v>150</v>
      </c>
      <c r="AR505" s="347">
        <v>150</v>
      </c>
      <c r="AS505" s="347">
        <v>150</v>
      </c>
      <c r="AT505" s="347">
        <v>150</v>
      </c>
      <c r="AU505" s="347">
        <v>150</v>
      </c>
      <c r="AV505" s="347">
        <v>150</v>
      </c>
      <c r="AW505" s="347">
        <v>5000</v>
      </c>
      <c r="AX505" s="365">
        <f>IFERROR(AW505*O505/1000,"")</f>
        <v>38.855</v>
      </c>
      <c r="AY505" s="365">
        <f>IFERROR(ROUND(AW505*P505/10000,3),"")</f>
        <v>58.904</v>
      </c>
      <c r="BC505" s="330"/>
      <c r="BD505" s="330"/>
      <c r="BE505" s="330"/>
      <c r="BF505" s="330"/>
      <c r="BG505" s="330"/>
      <c r="BH505" s="330"/>
      <c r="BI505" s="330"/>
      <c r="BJ505" s="370" cm="1">
        <f t="array" ref="BJ505">SUMPRODUCT(IF(ISNUMBER(BJ368:BJ378),BJ368:BJ378,0),IF(ISERROR(BJ368:BJ378),0,1))</f>
        <v>0</v>
      </c>
      <c r="BK505" s="370" cm="1">
        <f t="array" ref="BK505">SUMPRODUCT(IF(ISNUMBER(BK368:BK378),BK368:BK378,0),IF(ISERROR(BK368:BK378),0,1))</f>
        <v>0</v>
      </c>
      <c r="BL505" s="370" cm="1">
        <f t="array" ref="BL505">SUMPRODUCT(IF(ISNUMBER(BL368:BL378),BL368:BL378,0),IF(ISERROR(BL368:BL378),0,1))</f>
        <v>0</v>
      </c>
      <c r="BM505" s="370" cm="1">
        <f t="array" ref="BM505">SUMPRODUCT(IF(ISNUMBER(BM368:BM378),BM368:BM378,0),IF(ISERROR(BM368:BM378),0,1))</f>
        <v>0</v>
      </c>
      <c r="BN505" s="258">
        <f>SUM(BJ505:BM505)</f>
        <v>0</v>
      </c>
      <c r="BO505" s="258">
        <v>42.79</v>
      </c>
      <c r="BP505" s="258">
        <v>44.13</v>
      </c>
      <c r="BQ505" s="258">
        <v>49.14</v>
      </c>
      <c r="BR505" s="258">
        <v>55.17</v>
      </c>
      <c r="BS505" s="382" t="s">
        <v>775</v>
      </c>
      <c r="BX505" s="382" t="s">
        <v>776</v>
      </c>
      <c r="BY505" s="258">
        <f>SUM(R505:X505)</f>
        <v>1050</v>
      </c>
      <c r="BZ505" s="258">
        <f>SUM(Y505:AE505)</f>
        <v>1050</v>
      </c>
      <c r="CA505" s="258">
        <f>SUM(AF505:AM505)</f>
        <v>1200</v>
      </c>
      <c r="CB505" s="258">
        <f>SUM(AN505:AV505)</f>
        <v>1350</v>
      </c>
      <c r="CD505" s="113"/>
      <c r="CE505" s="258">
        <f t="shared" si="1301"/>
        <v>8.16</v>
      </c>
      <c r="CF505" s="258">
        <f t="shared" si="1302"/>
        <v>8.16</v>
      </c>
      <c r="CG505" s="258">
        <f t="shared" si="1303"/>
        <v>9.33</v>
      </c>
      <c r="CH505" s="258">
        <f t="shared" si="1304"/>
        <v>10.49</v>
      </c>
      <c r="CI505" s="258">
        <f>SUM(CE505:CH505)</f>
        <v>36.14</v>
      </c>
      <c r="CJ505" s="113"/>
      <c r="CK505" s="258">
        <f t="shared" ref="CK505:CN505" si="1325">IFERROR(ROUND(BY505*$P505,2),"")</f>
        <v>123698.78</v>
      </c>
      <c r="CL505" s="258">
        <f t="shared" si="1325"/>
        <v>123698.78</v>
      </c>
      <c r="CM505" s="258">
        <f t="shared" si="1325"/>
        <v>141370.03</v>
      </c>
      <c r="CN505" s="258">
        <f t="shared" si="1325"/>
        <v>159041.29</v>
      </c>
      <c r="CO505" s="258">
        <f t="shared" si="1321"/>
        <v>547808.88</v>
      </c>
      <c r="CP505" s="258" t="e">
        <f>VLOOKUP(G505,[2]Sheet1!$C$3:$G$310,5,0)</f>
        <v>#N/A</v>
      </c>
      <c r="CQ505" s="258">
        <f>VLOOKUP(G505,[3]KCBB0101!$C$3:$F$691,4,0)</f>
        <v>5000</v>
      </c>
    </row>
    <row r="506" s="258" customFormat="1" ht="17" spans="1:95">
      <c r="A506" s="330"/>
      <c r="B506" s="347" t="s">
        <v>691</v>
      </c>
      <c r="C506" s="347" t="str">
        <f>IFERROR(MID(E506,FIND("-",E506)-2,2),"")</f>
        <v>13</v>
      </c>
      <c r="D506" s="347" t="str">
        <f>"半钢ST"&amp;C506&amp;"寸"</f>
        <v>半钢ST13寸</v>
      </c>
      <c r="E506" s="385" t="str">
        <f>LEFT(REPLACE(G506,1,2,""),FIND("[",REPLACE(G506,1,2,""))-1)&amp;"-"&amp;MID(REPLACE(G506,1,2,""),FIND("[",REPLACE(G506,1,2,""))+1,FIND("]",REPLACE(G506,1,2,""))-FIND("[",REPLACE(G506,1,2,""))-1)</f>
        <v>ST175/80R13-6PR-ST200</v>
      </c>
      <c r="F506" s="400" t="s">
        <v>262</v>
      </c>
      <c r="G506" s="372" t="s">
        <v>262</v>
      </c>
      <c r="H506" s="386"/>
      <c r="I506" s="386"/>
      <c r="J506" s="347"/>
      <c r="K506" s="349"/>
      <c r="L506" s="349" t="e">
        <f>IF(#REF!="","",#REF!/(#REF!+$L$175/60))</f>
        <v>#REF!</v>
      </c>
      <c r="M506" s="349"/>
      <c r="N506" s="347"/>
      <c r="O506" s="347">
        <f>IFERROR(_xlfn.XLOOKUP(E506,轮胎重量!S:S,轮胎重量!P:P),IFERROR(_xlfn.XLOOKUP(E506,轮胎重量!AB:AB,轮胎重量!Y:Y),IFERROR(_xlfn.XLOOKUP(E506,轮胎重量!AK:AK,轮胎重量!AH:AH),IFERROR(_xlfn.XLOOKUP(E506,轮胎重量!AT:AT,轮胎重量!AQ:AQ),IFERROR(_xlfn.XLOOKUP(E506,轮胎重量!BB:BB,轮胎重量!AY:AY),"")))))</f>
        <v>7.268</v>
      </c>
      <c r="P506" s="350">
        <f>O506*15.16</f>
        <v>110.18288</v>
      </c>
      <c r="Q506" s="347"/>
      <c r="R506" s="347">
        <v>150</v>
      </c>
      <c r="S506" s="347">
        <v>150</v>
      </c>
      <c r="T506" s="347">
        <v>150</v>
      </c>
      <c r="U506" s="347">
        <v>150</v>
      </c>
      <c r="V506" s="347">
        <v>150</v>
      </c>
      <c r="W506" s="347">
        <v>150</v>
      </c>
      <c r="X506" s="347">
        <v>150</v>
      </c>
      <c r="Y506" s="347">
        <v>150</v>
      </c>
      <c r="Z506" s="347">
        <v>150</v>
      </c>
      <c r="AA506" s="347">
        <v>150</v>
      </c>
      <c r="AB506" s="347">
        <v>150</v>
      </c>
      <c r="AC506" s="347">
        <v>150</v>
      </c>
      <c r="AD506" s="347">
        <v>150</v>
      </c>
      <c r="AE506" s="347">
        <v>150</v>
      </c>
      <c r="AF506" s="347">
        <v>150</v>
      </c>
      <c r="AG506" s="347">
        <v>150</v>
      </c>
      <c r="AH506" s="347">
        <v>150</v>
      </c>
      <c r="AI506" s="347">
        <v>150</v>
      </c>
      <c r="AJ506" s="347">
        <v>150</v>
      </c>
      <c r="AK506" s="347">
        <v>150</v>
      </c>
      <c r="AL506" s="347">
        <v>150</v>
      </c>
      <c r="AM506" s="347">
        <v>150</v>
      </c>
      <c r="AN506" s="347">
        <v>150</v>
      </c>
      <c r="AO506" s="347">
        <v>150</v>
      </c>
      <c r="AP506" s="347">
        <v>150</v>
      </c>
      <c r="AQ506" s="347">
        <v>150</v>
      </c>
      <c r="AR506" s="347">
        <v>150</v>
      </c>
      <c r="AS506" s="347">
        <v>150</v>
      </c>
      <c r="AT506" s="347">
        <v>150</v>
      </c>
      <c r="AU506" s="347">
        <v>150</v>
      </c>
      <c r="AV506" s="347">
        <v>150</v>
      </c>
      <c r="AW506" s="347">
        <v>6000</v>
      </c>
      <c r="AX506" s="365">
        <f>IFERROR(AW506*O506/1000,"")</f>
        <v>43.608</v>
      </c>
      <c r="AY506" s="365">
        <f>IFERROR(ROUND(AW506*P506/10000,3),"")</f>
        <v>66.11</v>
      </c>
      <c r="BC506" s="330"/>
      <c r="BD506" s="330"/>
      <c r="BE506" s="330"/>
      <c r="BF506" s="330"/>
      <c r="BG506" s="330"/>
      <c r="BH506" s="330"/>
      <c r="BI506" s="330"/>
      <c r="BJ506" s="370" cm="1">
        <f t="array" ref="BJ506">SUMPRODUCT(IF(ISNUMBER(BJ364:BJ376),BJ364:BJ376,0),IF(ISERROR(BJ364:BJ376),0,1))</f>
        <v>0</v>
      </c>
      <c r="BK506" s="370" cm="1">
        <f t="array" ref="BK506">SUMPRODUCT(IF(ISNUMBER(BK364:BK376),BK364:BK376,0),IF(ISERROR(BK364:BK376),0,1))</f>
        <v>0</v>
      </c>
      <c r="BL506" s="370" cm="1">
        <f t="array" ref="BL506">SUMPRODUCT(IF(ISNUMBER(BL364:BL376),BL364:BL376,0),IF(ISERROR(BL364:BL376),0,1))</f>
        <v>0</v>
      </c>
      <c r="BM506" s="370" cm="1">
        <f t="array" ref="BM506">SUMPRODUCT(IF(ISNUMBER(BM364:BM376),BM364:BM376,0),IF(ISERROR(BM364:BM376),0,1))</f>
        <v>0</v>
      </c>
      <c r="BN506" s="258">
        <f>SUM(BJ506:BM506)</f>
        <v>0</v>
      </c>
      <c r="BO506" s="258">
        <v>42.79</v>
      </c>
      <c r="BP506" s="258">
        <v>44.13</v>
      </c>
      <c r="BQ506" s="258">
        <v>49.14</v>
      </c>
      <c r="BR506" s="258">
        <v>55.17</v>
      </c>
      <c r="BS506" s="382" t="s">
        <v>775</v>
      </c>
      <c r="BX506" s="382" t="s">
        <v>776</v>
      </c>
      <c r="BY506" s="258">
        <f>SUM(R506:X506)</f>
        <v>1050</v>
      </c>
      <c r="BZ506" s="258">
        <f>SUM(Y506:AE506)</f>
        <v>1050</v>
      </c>
      <c r="CA506" s="258">
        <f>SUM(AF506:AM506)</f>
        <v>1200</v>
      </c>
      <c r="CB506" s="258">
        <f>SUM(AN506:AV506)</f>
        <v>1350</v>
      </c>
      <c r="CD506" s="113"/>
      <c r="CE506" s="258">
        <f>ROUND(BY506*$O506/1000,2)</f>
        <v>7.63</v>
      </c>
      <c r="CF506" s="258">
        <f>ROUND(BZ506*$O506/1000,2)</f>
        <v>7.63</v>
      </c>
      <c r="CG506" s="258">
        <f>ROUND(CA506*$O506/1000,2)</f>
        <v>8.72</v>
      </c>
      <c r="CH506" s="258">
        <f>ROUND(CB506*$O506/1000,2)</f>
        <v>9.81</v>
      </c>
      <c r="CI506" s="258">
        <f>SUM(CE506:CH506)</f>
        <v>33.79</v>
      </c>
      <c r="CJ506" s="113"/>
      <c r="CK506" s="258">
        <f t="shared" ref="CK506:CN506" si="1326">IFERROR(ROUND(BY506*$P506,2),"")</f>
        <v>115692.02</v>
      </c>
      <c r="CL506" s="258">
        <f t="shared" si="1326"/>
        <v>115692.02</v>
      </c>
      <c r="CM506" s="258">
        <f t="shared" si="1326"/>
        <v>132219.46</v>
      </c>
      <c r="CN506" s="258">
        <f t="shared" si="1326"/>
        <v>148746.89</v>
      </c>
      <c r="CO506" s="258">
        <f>SUM(CK506:CN506)</f>
        <v>512350.39</v>
      </c>
      <c r="CP506" s="258" t="e">
        <f>VLOOKUP(G506,[2]Sheet1!$C$3:$G$310,5,0)</f>
        <v>#N/A</v>
      </c>
      <c r="CQ506" s="258" t="e">
        <f>VLOOKUP(G506,[3]KCBB0101!$C$3:$F$691,4,0)</f>
        <v>#N/A</v>
      </c>
    </row>
    <row r="507" s="258" customFormat="1" ht="17" spans="1:95">
      <c r="A507" s="330"/>
      <c r="B507" s="347" t="s">
        <v>691</v>
      </c>
      <c r="C507" s="347" t="str">
        <f>IFERROR(MID(E507,FIND("-",E507)-2,2),"")</f>
        <v>15</v>
      </c>
      <c r="D507" s="347" t="str">
        <f>"半钢ST"&amp;C507&amp;"寸"</f>
        <v>半钢ST15寸</v>
      </c>
      <c r="E507" s="385" t="str">
        <f>LEFT(REPLACE(G507,1,2,""),FIND("[",REPLACE(G507,1,2,""))-1)&amp;"-"&amp;MID(REPLACE(G507,1,2,""),FIND("[",REPLACE(G507,1,2,""))+1,FIND("]",REPLACE(G507,1,2,""))-FIND("[",REPLACE(G507,1,2,""))-1)</f>
        <v>ST205/75R15-6PR-ST200</v>
      </c>
      <c r="F507" s="400" t="s">
        <v>183</v>
      </c>
      <c r="G507" s="342" t="s">
        <v>183</v>
      </c>
      <c r="H507" s="386">
        <v>7700</v>
      </c>
      <c r="I507" s="386"/>
      <c r="J507" s="347"/>
      <c r="K507" s="349"/>
      <c r="L507" s="349" t="e">
        <f>IF(#REF!="","",#REF!/(#REF!+$L$175/60))</f>
        <v>#REF!</v>
      </c>
      <c r="M507" s="349"/>
      <c r="N507" s="347"/>
      <c r="O507" s="347">
        <f>IFERROR(_xlfn.XLOOKUP(E507,轮胎重量!S:S,轮胎重量!P:P),IFERROR(_xlfn.XLOOKUP(E507,轮胎重量!AB:AB,轮胎重量!Y:Y),IFERROR(_xlfn.XLOOKUP(E507,轮胎重量!AK:AK,轮胎重量!AH:AH),IFERROR(_xlfn.XLOOKUP(E507,轮胎重量!AT:AT,轮胎重量!AQ:AQ),IFERROR(_xlfn.XLOOKUP(E507,轮胎重量!BB:BB,轮胎重量!AY:AY),"")))))</f>
        <v>9.285</v>
      </c>
      <c r="P507" s="350">
        <f>O507*15.16</f>
        <v>140.7606</v>
      </c>
      <c r="Q507" s="347"/>
      <c r="R507" s="347">
        <v>120</v>
      </c>
      <c r="S507" s="347">
        <v>120</v>
      </c>
      <c r="T507" s="347">
        <v>120</v>
      </c>
      <c r="U507" s="347">
        <v>120</v>
      </c>
      <c r="V507" s="347">
        <v>120</v>
      </c>
      <c r="W507" s="347">
        <v>120</v>
      </c>
      <c r="X507" s="347">
        <v>120</v>
      </c>
      <c r="Y507" s="347">
        <v>120</v>
      </c>
      <c r="Z507" s="347">
        <v>120</v>
      </c>
      <c r="AA507" s="347">
        <v>120</v>
      </c>
      <c r="AB507" s="347">
        <v>120</v>
      </c>
      <c r="AC507" s="347">
        <v>120</v>
      </c>
      <c r="AD507" s="347">
        <v>120</v>
      </c>
      <c r="AE507" s="347">
        <v>120</v>
      </c>
      <c r="AF507" s="347">
        <v>120</v>
      </c>
      <c r="AG507" s="347">
        <v>120</v>
      </c>
      <c r="AH507" s="347">
        <v>120</v>
      </c>
      <c r="AI507" s="347">
        <v>120</v>
      </c>
      <c r="AJ507" s="347">
        <v>120</v>
      </c>
      <c r="AK507" s="347">
        <v>120</v>
      </c>
      <c r="AL507" s="347">
        <v>120</v>
      </c>
      <c r="AM507" s="347">
        <v>120</v>
      </c>
      <c r="AN507" s="347">
        <v>120</v>
      </c>
      <c r="AO507" s="347">
        <v>120</v>
      </c>
      <c r="AP507" s="347">
        <v>120</v>
      </c>
      <c r="AQ507" s="347">
        <v>120</v>
      </c>
      <c r="AR507" s="347">
        <v>120</v>
      </c>
      <c r="AS507" s="347">
        <v>120</v>
      </c>
      <c r="AT507" s="347">
        <v>120</v>
      </c>
      <c r="AU507" s="347">
        <v>120</v>
      </c>
      <c r="AV507" s="347">
        <v>120</v>
      </c>
      <c r="AW507" s="347">
        <v>5000</v>
      </c>
      <c r="AX507" s="365">
        <f>IFERROR(AW507*O507/1000,"")</f>
        <v>46.425</v>
      </c>
      <c r="AY507" s="365">
        <f>IFERROR(ROUND(AW507*P507/10000,3),"")</f>
        <v>70.38</v>
      </c>
      <c r="BC507" s="330"/>
      <c r="BD507" s="330"/>
      <c r="BE507" s="330"/>
      <c r="BF507" s="330"/>
      <c r="BG507" s="330"/>
      <c r="BH507" s="330"/>
      <c r="BI507" s="330"/>
      <c r="BJ507" s="370" cm="1">
        <f t="array" ref="BJ507">SUMPRODUCT(IF(ISNUMBER(BJ369:BJ381),BJ369:BJ381,0),IF(ISERROR(BJ369:BJ381),0,1))</f>
        <v>19.26</v>
      </c>
      <c r="BK507" s="370" cm="1">
        <f t="array" ref="BK507">SUMPRODUCT(IF(ISNUMBER(BK369:BK381),BK369:BK381,0),IF(ISERROR(BK369:BK381),0,1))</f>
        <v>18.02</v>
      </c>
      <c r="BL507" s="370" cm="1">
        <f t="array" ref="BL507">SUMPRODUCT(IF(ISNUMBER(BL369:BL381),BL369:BL381,0),IF(ISERROR(BL369:BL381),0,1))</f>
        <v>0</v>
      </c>
      <c r="BM507" s="370" cm="1">
        <f t="array" ref="BM507">SUMPRODUCT(IF(ISNUMBER(BM369:BM381),BM369:BM381,0),IF(ISERROR(BM369:BM381),0,1))</f>
        <v>0</v>
      </c>
      <c r="BN507" s="258">
        <f>SUM(BJ507:BM507)</f>
        <v>37.28</v>
      </c>
      <c r="BO507" s="258">
        <v>42.79</v>
      </c>
      <c r="BP507" s="258">
        <v>44.13</v>
      </c>
      <c r="BQ507" s="258">
        <v>49.14</v>
      </c>
      <c r="BR507" s="258">
        <v>55.17</v>
      </c>
      <c r="BS507" s="382" t="s">
        <v>775</v>
      </c>
      <c r="BX507" s="382" t="s">
        <v>776</v>
      </c>
      <c r="BY507" s="258">
        <f>SUM(R507:X507)</f>
        <v>840</v>
      </c>
      <c r="BZ507" s="258">
        <f>SUM(Y507:AE507)</f>
        <v>840</v>
      </c>
      <c r="CA507" s="258">
        <f>SUM(AF507:AM507)</f>
        <v>960</v>
      </c>
      <c r="CB507" s="258">
        <f>SUM(AN507:AV507)</f>
        <v>1080</v>
      </c>
      <c r="CD507" s="113"/>
      <c r="CE507" s="258">
        <f t="shared" ref="CE507:CH507" si="1327">ROUND(BY507*$O507/1000,2)</f>
        <v>7.8</v>
      </c>
      <c r="CF507" s="258">
        <f t="shared" si="1327"/>
        <v>7.8</v>
      </c>
      <c r="CG507" s="258">
        <f t="shared" si="1327"/>
        <v>8.91</v>
      </c>
      <c r="CH507" s="258">
        <f t="shared" si="1327"/>
        <v>10.03</v>
      </c>
      <c r="CI507" s="258">
        <f>SUM(CE507:CH507)</f>
        <v>34.54</v>
      </c>
      <c r="CJ507" s="113"/>
      <c r="CK507" s="258">
        <f t="shared" ref="CK507:CN507" si="1328">IFERROR(ROUND(BY507*$P507,2),"")</f>
        <v>118238.9</v>
      </c>
      <c r="CL507" s="258">
        <f t="shared" si="1328"/>
        <v>118238.9</v>
      </c>
      <c r="CM507" s="258">
        <f t="shared" si="1328"/>
        <v>135130.18</v>
      </c>
      <c r="CN507" s="258">
        <f t="shared" si="1328"/>
        <v>152021.45</v>
      </c>
      <c r="CO507" s="258">
        <f>SUM(CK507:CN507)</f>
        <v>523629.43</v>
      </c>
      <c r="CP507" s="258" t="e">
        <f>VLOOKUP(G507,[2]Sheet1!$C$3:$G$310,5,0)</f>
        <v>#N/A</v>
      </c>
      <c r="CQ507" s="258">
        <f>VLOOKUP(G507,[3]KCBB0101!$C$3:$F$691,4,0)</f>
        <v>3000</v>
      </c>
    </row>
    <row r="508" s="258" customFormat="1" ht="17" spans="1:95">
      <c r="A508" s="330"/>
      <c r="B508" s="347" t="s">
        <v>691</v>
      </c>
      <c r="C508" s="347" t="str">
        <f>IFERROR(MID(E508,FIND("-",E508)-2,2),"")</f>
        <v>15</v>
      </c>
      <c r="D508" s="347" t="str">
        <f>"半钢ST"&amp;C508&amp;"寸"</f>
        <v>半钢ST15寸</v>
      </c>
      <c r="E508" s="385" t="str">
        <f>LEFT(REPLACE(G508,1,2,""),FIND("[",REPLACE(G508,1,2,""))-1)&amp;"-"&amp;MID(REPLACE(G508,1,2,""),FIND("[",REPLACE(G508,1,2,""))+1,FIND("]",REPLACE(G508,1,2,""))-FIND("[",REPLACE(G508,1,2,""))-1)</f>
        <v>ST225/75R15-10PR-ST200</v>
      </c>
      <c r="F508" s="400" t="s">
        <v>790</v>
      </c>
      <c r="G508" s="400" t="s">
        <v>790</v>
      </c>
      <c r="H508" s="386"/>
      <c r="I508" s="386"/>
      <c r="J508" s="347"/>
      <c r="K508" s="349"/>
      <c r="L508" s="349" t="e">
        <f>IF(#REF!="","",#REF!/(#REF!+$L$175/60))</f>
        <v>#REF!</v>
      </c>
      <c r="M508" s="349"/>
      <c r="N508" s="347"/>
      <c r="O508" s="347">
        <f>IFERROR(_xlfn.XLOOKUP(E508,轮胎重量!S:S,轮胎重量!P:P),IFERROR(_xlfn.XLOOKUP(E508,轮胎重量!AB:AB,轮胎重量!Y:Y),IFERROR(_xlfn.XLOOKUP(E508,轮胎重量!AK:AK,轮胎重量!AH:AH),IFERROR(_xlfn.XLOOKUP(E508,轮胎重量!AT:AT,轮胎重量!AQ:AQ),IFERROR(_xlfn.XLOOKUP(E508,轮胎重量!BB:BB,轮胎重量!AY:AY),"")))))</f>
        <v>12.104</v>
      </c>
      <c r="P508" s="350">
        <f>O508*15.16</f>
        <v>183.49664</v>
      </c>
      <c r="Q508" s="347"/>
      <c r="R508" s="347"/>
      <c r="S508" s="347"/>
      <c r="T508" s="347"/>
      <c r="U508" s="347"/>
      <c r="V508" s="347"/>
      <c r="W508" s="347"/>
      <c r="X508" s="347"/>
      <c r="Y508" s="347"/>
      <c r="Z508" s="347"/>
      <c r="AA508" s="347"/>
      <c r="AB508" s="347"/>
      <c r="AC508" s="347"/>
      <c r="AD508" s="347"/>
      <c r="AE508" s="347"/>
      <c r="AF508" s="347"/>
      <c r="AG508" s="347"/>
      <c r="AH508" s="347"/>
      <c r="AI508" s="347"/>
      <c r="AJ508" s="347"/>
      <c r="AK508" s="347"/>
      <c r="AL508" s="347">
        <v>120</v>
      </c>
      <c r="AM508" s="347">
        <v>120</v>
      </c>
      <c r="AN508" s="347">
        <v>120</v>
      </c>
      <c r="AO508" s="347">
        <v>120</v>
      </c>
      <c r="AP508" s="347">
        <v>120</v>
      </c>
      <c r="AQ508" s="347">
        <v>120</v>
      </c>
      <c r="AR508" s="347">
        <v>120</v>
      </c>
      <c r="AS508" s="347">
        <v>120</v>
      </c>
      <c r="AT508" s="347">
        <v>120</v>
      </c>
      <c r="AU508" s="347">
        <v>120</v>
      </c>
      <c r="AV508" s="347">
        <v>120</v>
      </c>
      <c r="AW508" s="347">
        <f>IF(SUM(R508:AV508)=0,"",SUM(R508:AV508))</f>
        <v>1320</v>
      </c>
      <c r="AX508" s="365">
        <f>IFERROR(AW508*O508/1000,"")</f>
        <v>15.97728</v>
      </c>
      <c r="AY508" s="365">
        <f>IFERROR(ROUND(AW508*P508/10000,3),"")</f>
        <v>24.222</v>
      </c>
      <c r="BC508" s="330"/>
      <c r="BD508" s="330"/>
      <c r="BE508" s="330"/>
      <c r="BF508" s="330"/>
      <c r="BG508" s="330"/>
      <c r="BH508" s="330"/>
      <c r="BI508" s="330"/>
      <c r="BJ508" s="370" cm="1">
        <f t="array" ref="BJ508">SUMPRODUCT(IF(ISNUMBER(BJ368:BJ380),BJ368:BJ380,0),IF(ISERROR(BJ368:BJ380),0,1))</f>
        <v>8.99</v>
      </c>
      <c r="BK508" s="370" cm="1">
        <f t="array" ref="BK508">SUMPRODUCT(IF(ISNUMBER(BK368:BK380),BK368:BK380,0),IF(ISERROR(BK368:BK380),0,1))</f>
        <v>7.7</v>
      </c>
      <c r="BL508" s="370" cm="1">
        <f t="array" ref="BL508">SUMPRODUCT(IF(ISNUMBER(BL368:BL380),BL368:BL380,0),IF(ISERROR(BL368:BL380),0,1))</f>
        <v>0</v>
      </c>
      <c r="BM508" s="370" cm="1">
        <f t="array" ref="BM508">SUMPRODUCT(IF(ISNUMBER(BM368:BM380),BM368:BM380,0),IF(ISERROR(BM368:BM380),0,1))</f>
        <v>0</v>
      </c>
      <c r="BN508" s="258">
        <f>SUM(BJ508:BM508)</f>
        <v>16.69</v>
      </c>
      <c r="BO508" s="258">
        <v>42.79</v>
      </c>
      <c r="BP508" s="258">
        <v>44.13</v>
      </c>
      <c r="BQ508" s="258">
        <v>49.14</v>
      </c>
      <c r="BR508" s="258">
        <v>55.17</v>
      </c>
      <c r="BS508" s="382" t="s">
        <v>775</v>
      </c>
      <c r="BX508" s="382" t="s">
        <v>776</v>
      </c>
      <c r="BY508" s="258">
        <f>SUM(R508:X508)</f>
        <v>0</v>
      </c>
      <c r="BZ508" s="258">
        <f>SUM(Y508:AE508)</f>
        <v>0</v>
      </c>
      <c r="CA508" s="258">
        <f>SUM(AF508:AM508)</f>
        <v>240</v>
      </c>
      <c r="CB508" s="258">
        <f>SUM(AN508:AV508)</f>
        <v>1080</v>
      </c>
      <c r="CD508" s="113"/>
      <c r="CE508" s="258">
        <f t="shared" ref="CE508:CH508" si="1329">ROUND(BY508*$O508/1000,2)</f>
        <v>0</v>
      </c>
      <c r="CF508" s="258">
        <f t="shared" si="1329"/>
        <v>0</v>
      </c>
      <c r="CG508" s="258">
        <f t="shared" si="1329"/>
        <v>2.9</v>
      </c>
      <c r="CH508" s="258">
        <f t="shared" si="1329"/>
        <v>13.07</v>
      </c>
      <c r="CI508" s="258">
        <f>SUM(CE508:CH508)</f>
        <v>15.97</v>
      </c>
      <c r="CJ508" s="113"/>
      <c r="CK508" s="258">
        <f t="shared" ref="CK508:CN508" si="1330">IFERROR(ROUND(BY508*$P508,2),"")</f>
        <v>0</v>
      </c>
      <c r="CL508" s="258">
        <f t="shared" si="1330"/>
        <v>0</v>
      </c>
      <c r="CM508" s="258">
        <f t="shared" si="1330"/>
        <v>44039.19</v>
      </c>
      <c r="CN508" s="258">
        <f t="shared" si="1330"/>
        <v>198176.37</v>
      </c>
      <c r="CO508" s="258">
        <f>SUM(CK508:CN508)</f>
        <v>242215.56</v>
      </c>
      <c r="CP508" s="258" t="e">
        <f>VLOOKUP(G508,[2]Sheet1!$C$3:$G$310,5,0)</f>
        <v>#N/A</v>
      </c>
      <c r="CQ508" s="258">
        <f>VLOOKUP(G508,[3]KCBB0101!$C$3:$F$691,4,0)</f>
        <v>8000</v>
      </c>
    </row>
    <row r="509" s="258" customFormat="1" ht="17" spans="1:95">
      <c r="A509" s="330"/>
      <c r="B509" s="347" t="s">
        <v>691</v>
      </c>
      <c r="C509" s="347" t="str">
        <f>IFERROR(MID(E509,FIND("-",E509)-2,2),"")</f>
        <v>15</v>
      </c>
      <c r="D509" s="347" t="str">
        <f>"半钢ST"&amp;C509&amp;"寸"</f>
        <v>半钢ST15寸</v>
      </c>
      <c r="E509" s="385" t="str">
        <f>LEFT(REPLACE(G509,1,2,""),FIND("[",REPLACE(G509,1,2,""))-1)&amp;"-"&amp;MID(REPLACE(G509,1,2,""),FIND("[",REPLACE(G509,1,2,""))+1,FIND("]",REPLACE(G509,1,2,""))-FIND("[",REPLACE(G509,1,2,""))-1)</f>
        <v>ST225/75R15-8PR-ST200</v>
      </c>
      <c r="F509" s="400" t="s">
        <v>791</v>
      </c>
      <c r="G509" s="400" t="s">
        <v>791</v>
      </c>
      <c r="H509" s="386"/>
      <c r="I509" s="386"/>
      <c r="J509" s="347"/>
      <c r="K509" s="349"/>
      <c r="L509" s="349"/>
      <c r="M509" s="349"/>
      <c r="N509" s="347"/>
      <c r="O509" s="347">
        <f>IFERROR(_xlfn.XLOOKUP(E509,轮胎重量!S:S,轮胎重量!P:P),IFERROR(_xlfn.XLOOKUP(E509,轮胎重量!AB:AB,轮胎重量!Y:Y),IFERROR(_xlfn.XLOOKUP(E509,轮胎重量!AK:AK,轮胎重量!AH:AH),IFERROR(_xlfn.XLOOKUP(E509,轮胎重量!AT:AT,轮胎重量!AQ:AQ),IFERROR(_xlfn.XLOOKUP(E509,轮胎重量!BB:BB,轮胎重量!AY:AY),"")))))</f>
        <v>11.656</v>
      </c>
      <c r="P509" s="350">
        <f>O509*15.16</f>
        <v>176.70496</v>
      </c>
      <c r="Q509" s="347"/>
      <c r="R509" s="347">
        <v>120</v>
      </c>
      <c r="S509" s="347">
        <v>120</v>
      </c>
      <c r="T509" s="347">
        <v>120</v>
      </c>
      <c r="U509" s="347">
        <v>120</v>
      </c>
      <c r="V509" s="347">
        <v>120</v>
      </c>
      <c r="W509" s="347">
        <v>120</v>
      </c>
      <c r="X509" s="347">
        <v>120</v>
      </c>
      <c r="Y509" s="347">
        <v>120</v>
      </c>
      <c r="Z509" s="347">
        <v>120</v>
      </c>
      <c r="AA509" s="347">
        <v>120</v>
      </c>
      <c r="AB509" s="347">
        <v>120</v>
      </c>
      <c r="AC509" s="347">
        <v>120</v>
      </c>
      <c r="AD509" s="347">
        <v>120</v>
      </c>
      <c r="AE509" s="347">
        <v>120</v>
      </c>
      <c r="AF509" s="347">
        <v>120</v>
      </c>
      <c r="AG509" s="347">
        <v>120</v>
      </c>
      <c r="AH509" s="347">
        <v>120</v>
      </c>
      <c r="AI509" s="347">
        <v>120</v>
      </c>
      <c r="AJ509" s="347">
        <v>120</v>
      </c>
      <c r="AK509" s="347">
        <v>120</v>
      </c>
      <c r="AL509" s="347"/>
      <c r="AM509" s="347"/>
      <c r="AN509" s="347"/>
      <c r="AO509" s="347"/>
      <c r="AP509" s="347"/>
      <c r="AQ509" s="347"/>
      <c r="AR509" s="347"/>
      <c r="AS509" s="347"/>
      <c r="AT509" s="347"/>
      <c r="AU509" s="347"/>
      <c r="AV509" s="347"/>
      <c r="AW509" s="347">
        <f>IF(SUM(R509:AV509)=0,"",SUM(R509:AV509))</f>
        <v>2400</v>
      </c>
      <c r="AX509" s="365">
        <f>IFERROR(AW509*O509/1000,"")</f>
        <v>27.9744</v>
      </c>
      <c r="AY509" s="365">
        <f>IFERROR(ROUND(AW509*P509/10000,3),"")</f>
        <v>42.409</v>
      </c>
      <c r="BC509" s="330"/>
      <c r="BD509" s="330"/>
      <c r="BE509" s="330"/>
      <c r="BF509" s="330"/>
      <c r="BG509" s="330"/>
      <c r="BH509" s="330"/>
      <c r="BI509" s="330"/>
      <c r="BJ509" s="370" cm="1">
        <f t="array" ref="BJ509">SUMPRODUCT(IF(ISNUMBER(BJ369:BJ381),BJ369:BJ381,0),IF(ISERROR(BJ369:BJ381),0,1))</f>
        <v>19.26</v>
      </c>
      <c r="BK509" s="370" cm="1">
        <f t="array" ref="BK509">SUMPRODUCT(IF(ISNUMBER(BK369:BK381),BK369:BK381,0),IF(ISERROR(BK369:BK381),0,1))</f>
        <v>18.02</v>
      </c>
      <c r="BL509" s="370" cm="1">
        <f t="array" ref="BL509">SUMPRODUCT(IF(ISNUMBER(BL369:BL381),BL369:BL381,0),IF(ISERROR(BL369:BL381),0,1))</f>
        <v>0</v>
      </c>
      <c r="BM509" s="370" cm="1">
        <f t="array" ref="BM509">SUMPRODUCT(IF(ISNUMBER(BM369:BM381),BM369:BM381,0),IF(ISERROR(BM369:BM381),0,1))</f>
        <v>0</v>
      </c>
      <c r="BN509" s="258">
        <f>SUM(BJ509:BM509)</f>
        <v>37.28</v>
      </c>
      <c r="BO509" s="258">
        <v>42.79</v>
      </c>
      <c r="BP509" s="258">
        <v>44.13</v>
      </c>
      <c r="BQ509" s="258">
        <v>49.14</v>
      </c>
      <c r="BR509" s="258">
        <v>55.17</v>
      </c>
      <c r="BS509" s="382" t="s">
        <v>775</v>
      </c>
      <c r="BX509" s="382" t="s">
        <v>776</v>
      </c>
      <c r="BY509" s="258">
        <f>SUM(R509:X509)</f>
        <v>840</v>
      </c>
      <c r="BZ509" s="258">
        <f>SUM(Y509:AE509)</f>
        <v>840</v>
      </c>
      <c r="CA509" s="258">
        <f>SUM(AF509:AM509)</f>
        <v>720</v>
      </c>
      <c r="CB509" s="258">
        <f>SUM(AN509:AV509)</f>
        <v>0</v>
      </c>
      <c r="CD509" s="113"/>
      <c r="CE509" s="258">
        <f t="shared" ref="CE509:CH509" si="1331">ROUND(BY509*$O509/1000,2)</f>
        <v>9.79</v>
      </c>
      <c r="CF509" s="258">
        <f t="shared" si="1331"/>
        <v>9.79</v>
      </c>
      <c r="CG509" s="258">
        <f t="shared" si="1331"/>
        <v>8.39</v>
      </c>
      <c r="CH509" s="258">
        <f t="shared" si="1331"/>
        <v>0</v>
      </c>
      <c r="CI509" s="258">
        <f>SUM(CE509:CH509)</f>
        <v>27.97</v>
      </c>
      <c r="CJ509" s="113"/>
      <c r="CK509" s="258">
        <f t="shared" ref="CK509:CN509" si="1332">IFERROR(ROUND(BY509*$P509,2),"")</f>
        <v>148432.17</v>
      </c>
      <c r="CL509" s="258">
        <f t="shared" si="1332"/>
        <v>148432.17</v>
      </c>
      <c r="CM509" s="258">
        <f t="shared" si="1332"/>
        <v>127227.57</v>
      </c>
      <c r="CN509" s="258">
        <f t="shared" si="1332"/>
        <v>0</v>
      </c>
      <c r="CP509" s="258" t="e">
        <f>VLOOKUP(G509,[2]Sheet1!$C$3:$G$310,5,0)</f>
        <v>#N/A</v>
      </c>
      <c r="CQ509" s="258">
        <f>VLOOKUP(G509,[3]KCBB0101!$C$3:$F$691,4,0)</f>
        <v>5000</v>
      </c>
    </row>
    <row r="510" s="258" customFormat="1" ht="17" spans="1:95">
      <c r="A510" s="399"/>
      <c r="B510" s="347" t="s">
        <v>691</v>
      </c>
      <c r="C510" s="347" t="str">
        <f>IFERROR(MID(E510,FIND("-",E510)-2,2),"")</f>
        <v>15</v>
      </c>
      <c r="D510" s="347" t="str">
        <f>"半钢ST"&amp;C510&amp;"寸"</f>
        <v>半钢ST15寸</v>
      </c>
      <c r="E510" s="385" t="str">
        <f>LEFT(REPLACE(G510,1,2,""),FIND("[",REPLACE(G510,1,2,""))-1)&amp;"-"&amp;MID(REPLACE(G510,1,2,""),FIND("[",REPLACE(G510,1,2,""))+1,FIND("]",REPLACE(G510,1,2,""))-FIND("[",REPLACE(G510,1,2,""))-1)</f>
        <v>ST205/75R15-8PR-ST100</v>
      </c>
      <c r="F510" s="400" t="s">
        <v>792</v>
      </c>
      <c r="G510" s="400" t="s">
        <v>792</v>
      </c>
      <c r="H510" s="386"/>
      <c r="I510" s="386"/>
      <c r="J510" s="347"/>
      <c r="K510" s="349" t="str">
        <f>IF(J510="","",J510/(J510+$L$175/60))</f>
        <v/>
      </c>
      <c r="L510" s="349"/>
      <c r="M510" s="349"/>
      <c r="N510" s="347"/>
      <c r="O510" s="347">
        <f>IFERROR(_xlfn.XLOOKUP(E510,轮胎重量!S:S,轮胎重量!P:P),IFERROR(_xlfn.XLOOKUP(E510,轮胎重量!AB:AB,轮胎重量!Y:Y),IFERROR(_xlfn.XLOOKUP(E510,轮胎重量!AK:AK,轮胎重量!AH:AH),IFERROR(_xlfn.XLOOKUP(E510,轮胎重量!AT:AT,轮胎重量!AQ:AQ),IFERROR(_xlfn.XLOOKUP(E510,轮胎重量!BB:BB,轮胎重量!AY:AY),"")))))</f>
        <v>11.06</v>
      </c>
      <c r="P510" s="350">
        <f>O510*15.16</f>
        <v>167.6696</v>
      </c>
      <c r="Q510" s="347"/>
      <c r="R510" s="347"/>
      <c r="S510" s="347"/>
      <c r="T510" s="347"/>
      <c r="U510" s="347"/>
      <c r="V510" s="347"/>
      <c r="W510" s="347"/>
      <c r="X510" s="347"/>
      <c r="Y510" s="347"/>
      <c r="Z510" s="347"/>
      <c r="AA510" s="347"/>
      <c r="AB510" s="347"/>
      <c r="AC510" s="347"/>
      <c r="AD510" s="347"/>
      <c r="AE510" s="347"/>
      <c r="AF510" s="347">
        <v>480</v>
      </c>
      <c r="AG510" s="347">
        <v>480</v>
      </c>
      <c r="AH510" s="347">
        <v>480</v>
      </c>
      <c r="AI510" s="347">
        <v>480</v>
      </c>
      <c r="AJ510" s="347">
        <v>480</v>
      </c>
      <c r="AK510" s="347">
        <v>480</v>
      </c>
      <c r="AL510" s="347">
        <v>480</v>
      </c>
      <c r="AM510" s="347">
        <v>480</v>
      </c>
      <c r="AN510" s="347">
        <v>480</v>
      </c>
      <c r="AO510" s="347">
        <v>480</v>
      </c>
      <c r="AP510" s="347">
        <v>480</v>
      </c>
      <c r="AQ510" s="347">
        <v>480</v>
      </c>
      <c r="AR510" s="347">
        <v>480</v>
      </c>
      <c r="AS510" s="347">
        <v>480</v>
      </c>
      <c r="AT510" s="347">
        <v>480</v>
      </c>
      <c r="AU510" s="347">
        <v>480</v>
      </c>
      <c r="AV510" s="347">
        <v>480</v>
      </c>
      <c r="AW510" s="347">
        <f>IF(SUM(R510:AV510)=0,"",SUM(R510:AV510))</f>
        <v>8160</v>
      </c>
      <c r="AX510" s="365">
        <f>IFERROR(AW510*O510/1000,"")</f>
        <v>90.2496</v>
      </c>
      <c r="AY510" s="365">
        <f>IFERROR(ROUND(AW510*P510/10000,3),"")</f>
        <v>136.818</v>
      </c>
      <c r="BC510" s="330"/>
      <c r="BD510" s="330"/>
      <c r="BE510" s="330"/>
      <c r="BF510" s="330"/>
      <c r="BG510" s="330"/>
      <c r="BH510" s="330"/>
      <c r="BI510" s="330"/>
      <c r="BJ510" s="370" cm="1">
        <f t="array" ref="BJ510">SUMPRODUCT(IF(ISNUMBER(BJ371:BJ382),BJ371:BJ382,0),IF(ISERROR(BJ371:BJ382),0,1))</f>
        <v>19.26</v>
      </c>
      <c r="BK510" s="370" cm="1">
        <f t="array" ref="BK510">SUMPRODUCT(IF(ISNUMBER(BK371:BK382),BK371:BK382,0),IF(ISERROR(BK371:BK382),0,1))</f>
        <v>18.02</v>
      </c>
      <c r="BL510" s="370" cm="1">
        <f t="array" ref="BL510">SUMPRODUCT(IF(ISNUMBER(BL371:BL382),BL371:BL382,0),IF(ISERROR(BL371:BL382),0,1))</f>
        <v>0</v>
      </c>
      <c r="BM510" s="370" cm="1">
        <f t="array" ref="BM510">SUMPRODUCT(IF(ISNUMBER(BM371:BM382),BM371:BM382,0),IF(ISERROR(BM371:BM382),0,1))</f>
        <v>0</v>
      </c>
      <c r="BN510" s="258">
        <f>SUM(BJ510:BM510)</f>
        <v>37.28</v>
      </c>
      <c r="BO510" s="258">
        <v>42.79</v>
      </c>
      <c r="BP510" s="258">
        <v>44.13</v>
      </c>
      <c r="BQ510" s="258">
        <v>49.14</v>
      </c>
      <c r="BR510" s="258">
        <v>55.17</v>
      </c>
      <c r="BS510" s="382" t="s">
        <v>775</v>
      </c>
      <c r="BX510" s="382" t="s">
        <v>776</v>
      </c>
      <c r="BY510" s="258">
        <f>SUM(R510:X510)</f>
        <v>0</v>
      </c>
      <c r="BZ510" s="258">
        <f>SUM(Y510:AE510)</f>
        <v>0</v>
      </c>
      <c r="CA510" s="258">
        <f>SUM(AF510:AM510)</f>
        <v>3840</v>
      </c>
      <c r="CB510" s="258">
        <f>SUM(AN510:AV510)</f>
        <v>4320</v>
      </c>
      <c r="CD510" s="113"/>
      <c r="CE510" s="258">
        <f t="shared" ref="CE510:CH510" si="1333">ROUND(BY510*$O510/1000,2)</f>
        <v>0</v>
      </c>
      <c r="CF510" s="258">
        <f t="shared" si="1333"/>
        <v>0</v>
      </c>
      <c r="CG510" s="258">
        <f t="shared" si="1333"/>
        <v>42.47</v>
      </c>
      <c r="CH510" s="258">
        <f t="shared" si="1333"/>
        <v>47.78</v>
      </c>
      <c r="CI510" s="258">
        <f>SUM(CE510:CH510)</f>
        <v>90.25</v>
      </c>
      <c r="CJ510" s="113"/>
      <c r="CK510" s="258">
        <f t="shared" ref="CK510:CN510" si="1334">IFERROR(ROUND(BY510*$P510,2),"")</f>
        <v>0</v>
      </c>
      <c r="CL510" s="258">
        <f t="shared" si="1334"/>
        <v>0</v>
      </c>
      <c r="CM510" s="258">
        <f t="shared" si="1334"/>
        <v>643851.26</v>
      </c>
      <c r="CN510" s="258">
        <f t="shared" si="1334"/>
        <v>724332.67</v>
      </c>
      <c r="CP510" s="258" t="e">
        <f>VLOOKUP(G510,[2]Sheet1!$C$3:$G$310,5,0)</f>
        <v>#N/A</v>
      </c>
      <c r="CQ510" s="258">
        <f>VLOOKUP(G510,[3]KCBB0101!$C$3:$F$691,4,0)</f>
        <v>2851</v>
      </c>
    </row>
    <row r="511" s="258" customFormat="1" ht="17" spans="1:95">
      <c r="A511" s="399"/>
      <c r="B511" s="347" t="s">
        <v>691</v>
      </c>
      <c r="C511" s="347" t="str">
        <f>IFERROR(MID(E511,FIND("-",E511)-2,2),"")</f>
        <v>15</v>
      </c>
      <c r="D511" s="347" t="str">
        <f>"半钢ST"&amp;C511&amp;"寸"</f>
        <v>半钢ST15寸</v>
      </c>
      <c r="E511" s="385" t="str">
        <f>LEFT(REPLACE(G511,1,2,""),FIND("[",REPLACE(G511,1,2,""))-1)&amp;"-"&amp;MID(REPLACE(G511,1,2,""),FIND("[",REPLACE(G511,1,2,""))+1,FIND("]",REPLACE(G511,1,2,""))-FIND("[",REPLACE(G511,1,2,""))-1)</f>
        <v>ST205/75R15-8PR-ST100</v>
      </c>
      <c r="F511" s="400" t="s">
        <v>792</v>
      </c>
      <c r="G511" s="400" t="s">
        <v>792</v>
      </c>
      <c r="H511" s="386">
        <v>300</v>
      </c>
      <c r="I511" s="386"/>
      <c r="J511" s="347"/>
      <c r="K511" s="347"/>
      <c r="L511" s="349" t="str">
        <f>IF(J506="","",J506/(J506+$L$175/60))</f>
        <v/>
      </c>
      <c r="M511" s="349"/>
      <c r="N511" s="347"/>
      <c r="O511" s="347">
        <f>IFERROR(_xlfn.XLOOKUP(E511,轮胎重量!S:S,轮胎重量!P:P),IFERROR(_xlfn.XLOOKUP(E511,轮胎重量!AB:AB,轮胎重量!Y:Y),IFERROR(_xlfn.XLOOKUP(E511,轮胎重量!AK:AK,轮胎重量!AH:AH),IFERROR(_xlfn.XLOOKUP(E511,轮胎重量!AT:AT,轮胎重量!AQ:AQ),IFERROR(_xlfn.XLOOKUP(E511,轮胎重量!BB:BB,轮胎重量!AY:AY),"")))))</f>
        <v>11.06</v>
      </c>
      <c r="P511" s="350">
        <f>O511*15.16</f>
        <v>167.6696</v>
      </c>
      <c r="Q511" s="347"/>
      <c r="R511" s="347">
        <v>240</v>
      </c>
      <c r="S511" s="347">
        <v>240</v>
      </c>
      <c r="T511" s="347">
        <v>240</v>
      </c>
      <c r="U511" s="347">
        <v>240</v>
      </c>
      <c r="V511" s="347">
        <v>240</v>
      </c>
      <c r="W511" s="347">
        <v>240</v>
      </c>
      <c r="X511" s="347">
        <v>240</v>
      </c>
      <c r="Y511" s="347">
        <v>240</v>
      </c>
      <c r="Z511" s="347">
        <v>240</v>
      </c>
      <c r="AA511" s="347">
        <v>240</v>
      </c>
      <c r="AB511" s="347">
        <v>240</v>
      </c>
      <c r="AC511" s="347">
        <v>240</v>
      </c>
      <c r="AD511" s="347">
        <v>240</v>
      </c>
      <c r="AE511" s="347">
        <v>240</v>
      </c>
      <c r="AF511" s="347">
        <v>240</v>
      </c>
      <c r="AG511" s="347">
        <v>240</v>
      </c>
      <c r="AH511" s="347">
        <v>240</v>
      </c>
      <c r="AI511" s="347">
        <v>240</v>
      </c>
      <c r="AJ511" s="347">
        <v>240</v>
      </c>
      <c r="AK511" s="347">
        <v>240</v>
      </c>
      <c r="AL511" s="347">
        <v>240</v>
      </c>
      <c r="AM511" s="347">
        <v>240</v>
      </c>
      <c r="AN511" s="347">
        <v>240</v>
      </c>
      <c r="AO511" s="347">
        <v>240</v>
      </c>
      <c r="AP511" s="347">
        <v>240</v>
      </c>
      <c r="AQ511" s="347">
        <v>240</v>
      </c>
      <c r="AR511" s="347">
        <v>240</v>
      </c>
      <c r="AS511" s="347">
        <v>240</v>
      </c>
      <c r="AT511" s="347">
        <v>240</v>
      </c>
      <c r="AU511" s="347">
        <v>240</v>
      </c>
      <c r="AV511" s="347">
        <v>240</v>
      </c>
      <c r="AW511" s="347">
        <f>IF(SUM(R511:AV511)=0,"",SUM(R511:AV511))</f>
        <v>7440</v>
      </c>
      <c r="AX511" s="365">
        <f>IFERROR(AW511*O511/1000,"")</f>
        <v>82.2864</v>
      </c>
      <c r="AY511" s="365">
        <f>IFERROR(ROUND(AW511*P511/10000,3),"")</f>
        <v>124.746</v>
      </c>
      <c r="BC511" s="330"/>
      <c r="BD511" s="330"/>
      <c r="BE511" s="330"/>
      <c r="BF511" s="330"/>
      <c r="BG511" s="330"/>
      <c r="BH511" s="330"/>
      <c r="BI511" s="330"/>
      <c r="BJ511" s="370" cm="1">
        <f t="array" ref="BJ511">SUMPRODUCT(IF(ISNUMBER(BJ373:BJ385),BJ373:BJ385,0),IF(ISERROR(BJ373:BJ385),0,1))</f>
        <v>58.82</v>
      </c>
      <c r="BK511" s="370" cm="1">
        <f t="array" ref="BK511">SUMPRODUCT(IF(ISNUMBER(BK373:BK385),BK373:BK385,0),IF(ISERROR(BK373:BK385),0,1))</f>
        <v>57.58</v>
      </c>
      <c r="BL511" s="370" cm="1">
        <f t="array" ref="BL511">SUMPRODUCT(IF(ISNUMBER(BL373:BL385),BL373:BL385,0),IF(ISERROR(BL373:BL385),0,1))</f>
        <v>46.63</v>
      </c>
      <c r="BM511" s="370" cm="1">
        <f t="array" ref="BM511">SUMPRODUCT(IF(ISNUMBER(BM373:BM385),BM373:BM385,0),IF(ISERROR(BM373:BM385),0,1))</f>
        <v>63.58</v>
      </c>
      <c r="BN511" s="258">
        <f>SUM(BJ511:BM511)</f>
        <v>226.61</v>
      </c>
      <c r="BO511" s="258">
        <v>42.79</v>
      </c>
      <c r="BP511" s="258">
        <v>44.13</v>
      </c>
      <c r="BQ511" s="258">
        <v>49.14</v>
      </c>
      <c r="BR511" s="258">
        <v>55.17</v>
      </c>
      <c r="BS511" s="382" t="s">
        <v>775</v>
      </c>
      <c r="BX511" s="382" t="s">
        <v>776</v>
      </c>
      <c r="BY511" s="258">
        <f>SUM(R511:X511)</f>
        <v>1680</v>
      </c>
      <c r="BZ511" s="258">
        <f>SUM(Y511:AE511)</f>
        <v>1680</v>
      </c>
      <c r="CA511" s="258">
        <f>SUM(AF511:AM511)</f>
        <v>1920</v>
      </c>
      <c r="CB511" s="258">
        <f>SUM(AN511:AV511)</f>
        <v>2160</v>
      </c>
      <c r="CD511" s="113"/>
      <c r="CE511" s="258">
        <f t="shared" ref="CE511:CH511" si="1335">ROUND(BY511*$O511/1000,2)</f>
        <v>18.58</v>
      </c>
      <c r="CF511" s="258">
        <f t="shared" si="1335"/>
        <v>18.58</v>
      </c>
      <c r="CG511" s="258">
        <f t="shared" si="1335"/>
        <v>21.24</v>
      </c>
      <c r="CH511" s="258">
        <f t="shared" si="1335"/>
        <v>23.89</v>
      </c>
      <c r="CI511" s="258">
        <f>SUM(CE511:CH511)</f>
        <v>82.29</v>
      </c>
      <c r="CJ511" s="113"/>
      <c r="CK511" s="258">
        <f t="shared" ref="CK511:CN511" si="1336">IFERROR(ROUND(BY511*$P511,2),"")</f>
        <v>281684.93</v>
      </c>
      <c r="CL511" s="258">
        <f t="shared" si="1336"/>
        <v>281684.93</v>
      </c>
      <c r="CM511" s="258">
        <f t="shared" si="1336"/>
        <v>321925.63</v>
      </c>
      <c r="CN511" s="258">
        <f t="shared" si="1336"/>
        <v>362166.34</v>
      </c>
      <c r="CP511" s="258" t="e">
        <f>VLOOKUP(G511,[2]Sheet1!$C$3:$G$310,5,0)</f>
        <v>#N/A</v>
      </c>
      <c r="CQ511" s="258">
        <f>VLOOKUP(G511,[3]KCBB0101!$C$3:$F$691,4,0)</f>
        <v>2851</v>
      </c>
    </row>
    <row r="512" s="258" customFormat="1" ht="17" spans="1:95">
      <c r="A512" s="330"/>
      <c r="B512" s="347" t="s">
        <v>691</v>
      </c>
      <c r="C512" s="347" t="str">
        <f>IFERROR(MID(E512,FIND("-",E512)-2,2),"")</f>
        <v>15</v>
      </c>
      <c r="D512" s="347" t="str">
        <f>"半钢ST"&amp;C512&amp;"寸"</f>
        <v>半钢ST15寸</v>
      </c>
      <c r="E512" s="385" t="str">
        <f>LEFT(REPLACE(G512,1,2,""),FIND("[",REPLACE(G512,1,2,""))-1)&amp;"-"&amp;MID(REPLACE(G512,1,2,""),FIND("[",REPLACE(G512,1,2,""))+1,FIND("]",REPLACE(G512,1,2,""))-FIND("[",REPLACE(G512,1,2,""))-1)</f>
        <v>ST225/75R15-10PR-ST100</v>
      </c>
      <c r="F512" s="400" t="s">
        <v>267</v>
      </c>
      <c r="G512" s="372" t="s">
        <v>267</v>
      </c>
      <c r="H512" s="386">
        <v>400</v>
      </c>
      <c r="I512" s="386"/>
      <c r="J512" s="347"/>
      <c r="K512" s="347"/>
      <c r="L512" s="349" t="str">
        <f>IF(J500="","",J500/(J500+$L$175/60))</f>
        <v/>
      </c>
      <c r="M512" s="349"/>
      <c r="N512" s="347"/>
      <c r="O512" s="347">
        <f>IFERROR(_xlfn.XLOOKUP(E512,轮胎重量!S:S,轮胎重量!P:P),IFERROR(_xlfn.XLOOKUP(E512,轮胎重量!AB:AB,轮胎重量!Y:Y),IFERROR(_xlfn.XLOOKUP(E512,轮胎重量!AK:AK,轮胎重量!AH:AH),IFERROR(_xlfn.XLOOKUP(E512,轮胎重量!AT:AT,轮胎重量!AQ:AQ),IFERROR(_xlfn.XLOOKUP(E512,轮胎重量!BB:BB,轮胎重量!AY:AY),"")))))</f>
        <v>13.481</v>
      </c>
      <c r="P512" s="350">
        <f>O512*15.16</f>
        <v>204.37196</v>
      </c>
      <c r="Q512" s="347"/>
      <c r="R512" s="347">
        <v>120</v>
      </c>
      <c r="S512" s="347">
        <v>120</v>
      </c>
      <c r="T512" s="347">
        <v>120</v>
      </c>
      <c r="U512" s="347">
        <v>120</v>
      </c>
      <c r="V512" s="347">
        <v>120</v>
      </c>
      <c r="W512" s="347">
        <v>120</v>
      </c>
      <c r="X512" s="347">
        <v>120</v>
      </c>
      <c r="Y512" s="347">
        <v>120</v>
      </c>
      <c r="Z512" s="347"/>
      <c r="AA512" s="347"/>
      <c r="AB512" s="347"/>
      <c r="AC512" s="347"/>
      <c r="AD512" s="347"/>
      <c r="AE512" s="347"/>
      <c r="AF512" s="347"/>
      <c r="AG512" s="347"/>
      <c r="AH512" s="347"/>
      <c r="AI512" s="347"/>
      <c r="AJ512" s="347"/>
      <c r="AK512" s="347"/>
      <c r="AL512" s="347"/>
      <c r="AM512" s="347"/>
      <c r="AN512" s="347"/>
      <c r="AO512" s="347"/>
      <c r="AP512" s="347"/>
      <c r="AQ512" s="347"/>
      <c r="AR512" s="347"/>
      <c r="AS512" s="347"/>
      <c r="AT512" s="347"/>
      <c r="AU512" s="347"/>
      <c r="AV512" s="347"/>
      <c r="AW512" s="347">
        <v>3000</v>
      </c>
      <c r="AX512" s="365">
        <f>IFERROR(AW512*O512/1000,"")</f>
        <v>40.443</v>
      </c>
      <c r="AY512" s="365">
        <f>IFERROR(ROUND(AW512*P512/10000,3),"")</f>
        <v>61.312</v>
      </c>
      <c r="BC512" s="330"/>
      <c r="BD512" s="330"/>
      <c r="BE512" s="330"/>
      <c r="BF512" s="330"/>
      <c r="BG512" s="330"/>
      <c r="BH512" s="330"/>
      <c r="BI512" s="330"/>
      <c r="BJ512" s="370" cm="1">
        <f t="array" ref="BJ512">SUMPRODUCT(IF(ISNUMBER(BJ375:BJ387),BJ375:BJ387,0),IF(ISERROR(BJ375:BJ387),0,1))</f>
        <v>99.18</v>
      </c>
      <c r="BK512" s="370" cm="1">
        <f t="array" ref="BK512">SUMPRODUCT(IF(ISNUMBER(BK375:BK387),BK375:BK387,0),IF(ISERROR(BK375:BK387),0,1))</f>
        <v>84.88</v>
      </c>
      <c r="BL512" s="370" cm="1">
        <f t="array" ref="BL512">SUMPRODUCT(IF(ISNUMBER(BL375:BL387),BL375:BL387,0),IF(ISERROR(BL375:BL387),0,1))</f>
        <v>56.52</v>
      </c>
      <c r="BM512" s="370" cm="1">
        <f t="array" ref="BM512">SUMPRODUCT(IF(ISNUMBER(BM375:BM387),BM375:BM387,0),IF(ISERROR(BM375:BM387),0,1))</f>
        <v>63.58</v>
      </c>
      <c r="BN512" s="258">
        <f>SUM(BJ512:BM512)</f>
        <v>304.16</v>
      </c>
      <c r="BO512" s="258">
        <v>42.79</v>
      </c>
      <c r="BP512" s="258">
        <v>44.13</v>
      </c>
      <c r="BQ512" s="258">
        <v>49.14</v>
      </c>
      <c r="BR512" s="258">
        <v>55.17</v>
      </c>
      <c r="BS512" s="382" t="s">
        <v>775</v>
      </c>
      <c r="BX512" s="382" t="s">
        <v>776</v>
      </c>
      <c r="BY512" s="258">
        <f>SUM(R512:X512)</f>
        <v>840</v>
      </c>
      <c r="BZ512" s="258">
        <f>SUM(Y512:AE512)</f>
        <v>120</v>
      </c>
      <c r="CA512" s="258">
        <f>SUM(AF512:AM512)</f>
        <v>0</v>
      </c>
      <c r="CB512" s="258">
        <f>SUM(AN512:AV512)</f>
        <v>0</v>
      </c>
      <c r="CD512" s="113"/>
      <c r="CE512" s="258">
        <f t="shared" ref="CE512:CH512" si="1337">ROUND(BY512*$O512/1000,2)</f>
        <v>11.32</v>
      </c>
      <c r="CF512" s="258">
        <f t="shared" si="1337"/>
        <v>1.62</v>
      </c>
      <c r="CG512" s="258">
        <f t="shared" si="1337"/>
        <v>0</v>
      </c>
      <c r="CH512" s="258">
        <f t="shared" si="1337"/>
        <v>0</v>
      </c>
      <c r="CI512" s="258">
        <f>SUM(CE512:CH512)</f>
        <v>12.94</v>
      </c>
      <c r="CJ512" s="113"/>
      <c r="CK512" s="258">
        <f t="shared" ref="CK512:CN512" si="1338">IFERROR(ROUND(BY512*$P512,2),"")</f>
        <v>171672.45</v>
      </c>
      <c r="CL512" s="258">
        <f t="shared" si="1338"/>
        <v>24524.64</v>
      </c>
      <c r="CM512" s="258">
        <f t="shared" si="1338"/>
        <v>0</v>
      </c>
      <c r="CN512" s="258">
        <f t="shared" si="1338"/>
        <v>0</v>
      </c>
      <c r="CP512" s="258" t="e">
        <f>VLOOKUP(G512,[2]Sheet1!$C$3:$G$310,5,0)</f>
        <v>#N/A</v>
      </c>
      <c r="CQ512" s="258" t="e">
        <f>VLOOKUP(G512,[3]KCBB0101!$C$3:$F$691,4,0)</f>
        <v>#N/A</v>
      </c>
    </row>
    <row r="513" s="258" customFormat="1" ht="17" spans="1:95">
      <c r="A513" s="330"/>
      <c r="B513" s="347" t="s">
        <v>691</v>
      </c>
      <c r="C513" s="347" t="str">
        <f>IFERROR(MID(E513,FIND("-",E513)-2,2),"")</f>
        <v>16</v>
      </c>
      <c r="D513" s="347" t="str">
        <f>"半钢ST"&amp;C513&amp;"寸"</f>
        <v>半钢ST16寸</v>
      </c>
      <c r="E513" s="385" t="str">
        <f>LEFT(REPLACE(G513,1,2,""),FIND("[",REPLACE(G513,1,2,""))-1)&amp;"-"&amp;MID(REPLACE(G513,1,2,""),FIND("[",REPLACE(G513,1,2,""))+1,FIND("]",REPLACE(G513,1,2,""))-FIND("[",REPLACE(G513,1,2,""))-1)</f>
        <v>ST235/80R16-10PR-ST200</v>
      </c>
      <c r="F513" s="400" t="s">
        <v>793</v>
      </c>
      <c r="G513" s="400" t="s">
        <v>793</v>
      </c>
      <c r="H513" s="386">
        <v>5000</v>
      </c>
      <c r="I513" s="386"/>
      <c r="J513" s="347"/>
      <c r="K513" s="349"/>
      <c r="L513" s="349"/>
      <c r="M513" s="349"/>
      <c r="N513" s="347"/>
      <c r="O513" s="347">
        <f>IFERROR(_xlfn.XLOOKUP(E513,轮胎重量!S:S,轮胎重量!P:P),IFERROR(_xlfn.XLOOKUP(E513,轮胎重量!AB:AB,轮胎重量!Y:Y),IFERROR(_xlfn.XLOOKUP(E513,轮胎重量!AK:AK,轮胎重量!AH:AH),IFERROR(_xlfn.XLOOKUP(E513,轮胎重量!AT:AT,轮胎重量!AQ:AQ),IFERROR(_xlfn.XLOOKUP(E513,轮胎重量!BB:BB,轮胎重量!AY:AY),"")))))</f>
        <v>15.99</v>
      </c>
      <c r="P513" s="350">
        <f>O513*15.16</f>
        <v>242.4084</v>
      </c>
      <c r="Q513" s="347"/>
      <c r="R513" s="347">
        <v>120</v>
      </c>
      <c r="S513" s="347">
        <v>120</v>
      </c>
      <c r="T513" s="347">
        <v>120</v>
      </c>
      <c r="U513" s="347">
        <v>120</v>
      </c>
      <c r="V513" s="347">
        <v>120</v>
      </c>
      <c r="W513" s="347">
        <v>120</v>
      </c>
      <c r="X513" s="347">
        <v>120</v>
      </c>
      <c r="Y513" s="347">
        <v>120</v>
      </c>
      <c r="Z513" s="347">
        <v>120</v>
      </c>
      <c r="AA513" s="347">
        <v>120</v>
      </c>
      <c r="AB513" s="347">
        <v>120</v>
      </c>
      <c r="AC513" s="347">
        <v>120</v>
      </c>
      <c r="AD513" s="347">
        <v>120</v>
      </c>
      <c r="AE513" s="347">
        <v>120</v>
      </c>
      <c r="AF513" s="347">
        <v>120</v>
      </c>
      <c r="AG513" s="347">
        <v>120</v>
      </c>
      <c r="AH513" s="347">
        <v>120</v>
      </c>
      <c r="AI513" s="347">
        <v>120</v>
      </c>
      <c r="AJ513" s="347">
        <v>120</v>
      </c>
      <c r="AK513" s="347">
        <v>120</v>
      </c>
      <c r="AL513" s="347">
        <v>120</v>
      </c>
      <c r="AM513" s="347">
        <v>120</v>
      </c>
      <c r="AN513" s="347">
        <v>120</v>
      </c>
      <c r="AO513" s="347">
        <v>120</v>
      </c>
      <c r="AP513" s="347">
        <v>120</v>
      </c>
      <c r="AQ513" s="347">
        <v>120</v>
      </c>
      <c r="AR513" s="347">
        <v>120</v>
      </c>
      <c r="AS513" s="347">
        <v>120</v>
      </c>
      <c r="AT513" s="347">
        <v>120</v>
      </c>
      <c r="AU513" s="347">
        <v>120</v>
      </c>
      <c r="AV513" s="347">
        <v>120</v>
      </c>
      <c r="AW513" s="347">
        <f>IF(SUM(R513:AV513)=0,"",SUM(R513:AV513))</f>
        <v>3720</v>
      </c>
      <c r="AX513" s="365">
        <f>IFERROR(AW513*O513/1000,"")</f>
        <v>59.4828</v>
      </c>
      <c r="AY513" s="365">
        <f>IFERROR(ROUND(AW513*P513/10000,3),"")</f>
        <v>90.176</v>
      </c>
      <c r="BC513" s="330"/>
      <c r="BD513" s="330"/>
      <c r="BE513" s="330"/>
      <c r="BF513" s="330"/>
      <c r="BG513" s="330"/>
      <c r="BH513" s="330"/>
      <c r="BI513" s="330"/>
      <c r="BJ513" s="370" cm="1">
        <f t="array" ref="BJ513">SUMPRODUCT(IF(ISNUMBER(BJ376:BJ388),BJ376:BJ388,0),IF(ISERROR(BJ376:BJ388),0,1))</f>
        <v>119.49</v>
      </c>
      <c r="BK513" s="370" cm="1">
        <f t="array" ref="BK513">SUMPRODUCT(IF(ISNUMBER(BK376:BK388),BK376:BK388,0),IF(ISERROR(BK376:BK388),0,1))</f>
        <v>118.25</v>
      </c>
      <c r="BL513" s="370" cm="1">
        <f t="array" ref="BL513">SUMPRODUCT(IF(ISNUMBER(BL376:BL388),BL376:BL388,0),IF(ISERROR(BL376:BL388),0,1))</f>
        <v>114.55</v>
      </c>
      <c r="BM513" s="370" cm="1">
        <f t="array" ref="BM513">SUMPRODUCT(IF(ISNUMBER(BM376:BM388),BM376:BM388,0),IF(ISERROR(BM376:BM388),0,1))</f>
        <v>128.87</v>
      </c>
      <c r="BN513" s="258">
        <f>SUM(BJ513:BM513)</f>
        <v>481.16</v>
      </c>
      <c r="BO513" s="258">
        <v>42.79</v>
      </c>
      <c r="BP513" s="258">
        <v>44.13</v>
      </c>
      <c r="BQ513" s="258">
        <v>49.14</v>
      </c>
      <c r="BR513" s="258">
        <v>55.17</v>
      </c>
      <c r="BS513" s="382" t="s">
        <v>775</v>
      </c>
      <c r="BX513" s="382" t="s">
        <v>776</v>
      </c>
      <c r="BY513" s="258">
        <f>SUM(R513:X513)</f>
        <v>840</v>
      </c>
      <c r="BZ513" s="258">
        <f>SUM(Y513:AE513)</f>
        <v>840</v>
      </c>
      <c r="CA513" s="258">
        <f>SUM(AF513:AM513)</f>
        <v>960</v>
      </c>
      <c r="CB513" s="258">
        <f>SUM(AN513:AV513)</f>
        <v>1080</v>
      </c>
      <c r="CD513" s="113"/>
      <c r="CE513" s="258">
        <f>ROUND(BY513*$O513/1000,2)</f>
        <v>13.43</v>
      </c>
      <c r="CF513" s="258">
        <f>ROUND(BZ513*$O513/1000,2)</f>
        <v>13.43</v>
      </c>
      <c r="CG513" s="258">
        <f>ROUND(CA513*$O513/1000,2)</f>
        <v>15.35</v>
      </c>
      <c r="CH513" s="258">
        <f>ROUND(CB513*$O513/1000,2)</f>
        <v>17.27</v>
      </c>
      <c r="CI513" s="258">
        <f>SUM(CE513:CH513)</f>
        <v>59.48</v>
      </c>
      <c r="CJ513" s="113"/>
      <c r="CK513" s="258">
        <f t="shared" ref="CK513:CN513" si="1339">IFERROR(ROUND(BY513*$P513,2),"")</f>
        <v>203623.06</v>
      </c>
      <c r="CL513" s="258">
        <f t="shared" si="1339"/>
        <v>203623.06</v>
      </c>
      <c r="CM513" s="258">
        <f t="shared" si="1339"/>
        <v>232712.06</v>
      </c>
      <c r="CN513" s="258">
        <f t="shared" si="1339"/>
        <v>261801.07</v>
      </c>
      <c r="CP513" s="258" t="e">
        <f>VLOOKUP(G513,[2]Sheet1!$C$3:$G$310,5,0)</f>
        <v>#N/A</v>
      </c>
      <c r="CQ513" s="258">
        <f>VLOOKUP(G513,[3]KCBB0101!$C$3:$F$691,4,0)</f>
        <v>8000</v>
      </c>
    </row>
    <row r="514" s="258" customFormat="1" ht="17" spans="1:95">
      <c r="A514" s="330"/>
      <c r="B514" s="347" t="s">
        <v>691</v>
      </c>
      <c r="C514" s="347" t="str">
        <f>IFERROR(MID(E514,FIND("-",E514)-2,2),"")</f>
        <v>16</v>
      </c>
      <c r="D514" s="347" t="str">
        <f>"半钢ST"&amp;C514&amp;"寸"</f>
        <v>半钢ST16寸</v>
      </c>
      <c r="E514" s="385" t="str">
        <f>LEFT(REPLACE(G514,1,2,""),FIND("[",REPLACE(G514,1,2,""))-1)&amp;"-"&amp;MID(REPLACE(G514,1,2,""),FIND("[",REPLACE(G514,1,2,""))+1,FIND("]",REPLACE(G514,1,2,""))-FIND("[",REPLACE(G514,1,2,""))-1)</f>
        <v>ST235/80R16-10PR-ST100</v>
      </c>
      <c r="F514" s="400" t="s">
        <v>187</v>
      </c>
      <c r="G514" s="342" t="s">
        <v>187</v>
      </c>
      <c r="H514" s="386"/>
      <c r="I514" s="386"/>
      <c r="J514" s="347"/>
      <c r="K514" s="349" t="str">
        <f>IF(J514="","",J514/(J514+$L$175/60))</f>
        <v/>
      </c>
      <c r="L514" s="349"/>
      <c r="M514" s="349"/>
      <c r="N514" s="347"/>
      <c r="O514" s="347">
        <f>IFERROR(_xlfn.XLOOKUP(E514,轮胎重量!S:S,轮胎重量!P:P),IFERROR(_xlfn.XLOOKUP(E514,轮胎重量!AB:AB,轮胎重量!Y:Y),IFERROR(_xlfn.XLOOKUP(E514,轮胎重量!AK:AK,轮胎重量!AH:AH),IFERROR(_xlfn.XLOOKUP(E514,轮胎重量!AT:AT,轮胎重量!AQ:AQ),IFERROR(_xlfn.XLOOKUP(E514,轮胎重量!BB:BB,轮胎重量!AY:AY),"")))))</f>
        <v>17.257</v>
      </c>
      <c r="P514" s="350">
        <f>O514*15.16</f>
        <v>261.61612</v>
      </c>
      <c r="Q514" s="347"/>
      <c r="R514" s="347">
        <v>600</v>
      </c>
      <c r="S514" s="347">
        <v>600</v>
      </c>
      <c r="T514" s="347">
        <v>600</v>
      </c>
      <c r="U514" s="347">
        <v>600</v>
      </c>
      <c r="V514" s="347">
        <v>600</v>
      </c>
      <c r="W514" s="347">
        <v>600</v>
      </c>
      <c r="X514" s="347">
        <v>600</v>
      </c>
      <c r="Y514" s="347">
        <v>600</v>
      </c>
      <c r="Z514" s="347">
        <v>600</v>
      </c>
      <c r="AA514" s="347">
        <v>600</v>
      </c>
      <c r="AB514" s="347">
        <v>600</v>
      </c>
      <c r="AC514" s="347">
        <v>600</v>
      </c>
      <c r="AD514" s="347">
        <v>600</v>
      </c>
      <c r="AE514" s="347">
        <v>600</v>
      </c>
      <c r="AF514" s="347">
        <v>600</v>
      </c>
      <c r="AG514" s="347">
        <v>600</v>
      </c>
      <c r="AH514" s="347">
        <v>600</v>
      </c>
      <c r="AI514" s="347">
        <v>600</v>
      </c>
      <c r="AJ514" s="347">
        <v>600</v>
      </c>
      <c r="AK514" s="347">
        <v>600</v>
      </c>
      <c r="AL514" s="347">
        <v>600</v>
      </c>
      <c r="AM514" s="347">
        <v>600</v>
      </c>
      <c r="AN514" s="347">
        <v>600</v>
      </c>
      <c r="AO514" s="347">
        <v>600</v>
      </c>
      <c r="AP514" s="347">
        <v>600</v>
      </c>
      <c r="AQ514" s="347">
        <v>600</v>
      </c>
      <c r="AR514" s="347">
        <v>600</v>
      </c>
      <c r="AS514" s="347">
        <v>600</v>
      </c>
      <c r="AT514" s="347">
        <v>600</v>
      </c>
      <c r="AU514" s="347">
        <v>600</v>
      </c>
      <c r="AV514" s="347">
        <v>600</v>
      </c>
      <c r="AW514" s="347">
        <v>20000</v>
      </c>
      <c r="AX514" s="365">
        <f>IFERROR(AW514*O514/1000,"")</f>
        <v>345.14</v>
      </c>
      <c r="AY514" s="365">
        <f>IFERROR(ROUND(AW514*P514/10000,3),"")</f>
        <v>523.232</v>
      </c>
      <c r="BC514" s="330"/>
      <c r="BD514" s="330"/>
      <c r="BE514" s="330"/>
      <c r="BF514" s="330"/>
      <c r="BG514" s="330"/>
      <c r="BH514" s="330"/>
      <c r="BI514" s="330"/>
      <c r="BJ514" s="370" cm="1">
        <f t="array" ref="BJ514">SUMPRODUCT(IF(ISNUMBER(BJ377:BJ389),BJ377:BJ389,0),IF(ISERROR(BJ377:BJ389),0,1))</f>
        <v>140.71</v>
      </c>
      <c r="BK514" s="370" cm="1">
        <f t="array" ref="BK514">SUMPRODUCT(IF(ISNUMBER(BK377:BK389),BK377:BK389,0),IF(ISERROR(BK377:BK389),0,1))</f>
        <v>139.47</v>
      </c>
      <c r="BL514" s="370" cm="1">
        <f t="array" ref="BL514">SUMPRODUCT(IF(ISNUMBER(BL377:BL389),BL377:BL389,0),IF(ISERROR(BL377:BL389),0,1))</f>
        <v>138.8</v>
      </c>
      <c r="BM514" s="370" cm="1">
        <f t="array" ref="BM514">SUMPRODUCT(IF(ISNUMBER(BM377:BM389),BM377:BM389,0),IF(ISERROR(BM377:BM389),0,1))</f>
        <v>156.16</v>
      </c>
      <c r="BN514" s="258">
        <f>SUM(BJ514:BM514)</f>
        <v>575.14</v>
      </c>
      <c r="BO514" s="258">
        <v>42.79</v>
      </c>
      <c r="BP514" s="258">
        <v>44.13</v>
      </c>
      <c r="BQ514" s="258">
        <v>49.14</v>
      </c>
      <c r="BR514" s="258">
        <v>55.17</v>
      </c>
      <c r="BS514" s="382" t="s">
        <v>775</v>
      </c>
      <c r="BX514" s="382" t="s">
        <v>776</v>
      </c>
      <c r="BY514" s="258">
        <f>SUM(R514:X514)</f>
        <v>4200</v>
      </c>
      <c r="BZ514" s="258">
        <f>SUM(Y514:AE514)</f>
        <v>4200</v>
      </c>
      <c r="CA514" s="258">
        <f>SUM(AF514:AM514)</f>
        <v>4800</v>
      </c>
      <c r="CB514" s="258">
        <f>SUM(AN514:AV514)</f>
        <v>5400</v>
      </c>
      <c r="CD514" s="113"/>
      <c r="CE514" s="258">
        <f>ROUND(BY514*$O514/1000,2)</f>
        <v>72.48</v>
      </c>
      <c r="CF514" s="258">
        <f>ROUND(BZ514*$O514/1000,2)</f>
        <v>72.48</v>
      </c>
      <c r="CG514" s="258">
        <f>ROUND(CA514*$O514/1000,2)</f>
        <v>82.83</v>
      </c>
      <c r="CH514" s="258">
        <f>ROUND(CB514*$O514/1000,2)</f>
        <v>93.19</v>
      </c>
      <c r="CI514" s="258">
        <f>SUM(CE514:CH514)</f>
        <v>320.98</v>
      </c>
      <c r="CJ514" s="113"/>
      <c r="CK514" s="258">
        <f t="shared" ref="CK514:CN514" si="1340">IFERROR(ROUND(BY514*$P514,2),"")</f>
        <v>1098787.7</v>
      </c>
      <c r="CL514" s="258">
        <f t="shared" si="1340"/>
        <v>1098787.7</v>
      </c>
      <c r="CM514" s="258">
        <f t="shared" si="1340"/>
        <v>1255757.38</v>
      </c>
      <c r="CN514" s="258">
        <f t="shared" si="1340"/>
        <v>1412727.05</v>
      </c>
      <c r="CP514" s="258" t="e">
        <f>VLOOKUP(G514,[2]Sheet1!$C$3:$G$310,5,0)</f>
        <v>#N/A</v>
      </c>
      <c r="CQ514" s="258">
        <f>VLOOKUP(G514,[3]KCBB0101!$C$3:$F$691,4,0)</f>
        <v>3000</v>
      </c>
    </row>
    <row r="515" s="258" customFormat="1" ht="17" spans="1:95">
      <c r="A515" s="330"/>
      <c r="B515" s="347" t="s">
        <v>691</v>
      </c>
      <c r="C515" s="347" t="str">
        <f>IFERROR(MID(E515,FIND("-",E515)-2,2),"")</f>
        <v>15</v>
      </c>
      <c r="D515" s="347" t="str">
        <f>"半钢ST"&amp;C515&amp;"寸"</f>
        <v>半钢ST15寸</v>
      </c>
      <c r="E515" s="385" t="str">
        <f>LEFT(REPLACE(G515,1,2,""),FIND("[",REPLACE(G515,1,2,""))-1)&amp;"-"&amp;MID(REPLACE(G515,1,2,""),FIND("[",REPLACE(G515,1,2,""))+1,FIND("]",REPLACE(G515,1,2,""))-FIND("[",REPLACE(G515,1,2,""))-1)</f>
        <v>ST205/75R15-8PR-ST100</v>
      </c>
      <c r="F515" s="400" t="s">
        <v>273</v>
      </c>
      <c r="G515" s="372" t="s">
        <v>273</v>
      </c>
      <c r="H515" s="386"/>
      <c r="I515" s="386"/>
      <c r="J515" s="347"/>
      <c r="K515" s="251"/>
      <c r="L515" s="349" t="e">
        <f>IF(#REF!="","",#REF!/(#REF!+$L$175/60))</f>
        <v>#REF!</v>
      </c>
      <c r="M515" s="349"/>
      <c r="N515" s="347"/>
      <c r="O515" s="347">
        <f>IFERROR(_xlfn.XLOOKUP(E515,轮胎重量!S:S,轮胎重量!P:P),IFERROR(_xlfn.XLOOKUP(E515,轮胎重量!AB:AB,轮胎重量!Y:Y),IFERROR(_xlfn.XLOOKUP(E515,轮胎重量!AK:AK,轮胎重量!AH:AH),IFERROR(_xlfn.XLOOKUP(E515,轮胎重量!AT:AT,轮胎重量!AQ:AQ),IFERROR(_xlfn.XLOOKUP(E515,轮胎重量!BB:BB,轮胎重量!AY:AY),"")))))</f>
        <v>11.06</v>
      </c>
      <c r="P515" s="350">
        <f>O515*15.16</f>
        <v>167.6696</v>
      </c>
      <c r="Q515" s="347"/>
      <c r="R515" s="347"/>
      <c r="S515" s="347"/>
      <c r="T515" s="347"/>
      <c r="U515" s="347"/>
      <c r="V515" s="347"/>
      <c r="W515" s="347"/>
      <c r="X515" s="347"/>
      <c r="Y515" s="347"/>
      <c r="Z515" s="347">
        <v>120</v>
      </c>
      <c r="AA515" s="347">
        <v>120</v>
      </c>
      <c r="AB515" s="347">
        <v>120</v>
      </c>
      <c r="AC515" s="347">
        <v>120</v>
      </c>
      <c r="AD515" s="347">
        <v>120</v>
      </c>
      <c r="AE515" s="347">
        <v>120</v>
      </c>
      <c r="AF515" s="347">
        <v>120</v>
      </c>
      <c r="AG515" s="347">
        <v>120</v>
      </c>
      <c r="AH515" s="347">
        <v>120</v>
      </c>
      <c r="AI515" s="347">
        <v>120</v>
      </c>
      <c r="AJ515" s="347">
        <v>120</v>
      </c>
      <c r="AK515" s="347">
        <v>120</v>
      </c>
      <c r="AL515" s="347">
        <v>120</v>
      </c>
      <c r="AM515" s="347">
        <v>120</v>
      </c>
      <c r="AN515" s="347">
        <v>120</v>
      </c>
      <c r="AO515" s="347">
        <v>120</v>
      </c>
      <c r="AP515" s="347">
        <v>120</v>
      </c>
      <c r="AQ515" s="347">
        <v>120</v>
      </c>
      <c r="AR515" s="347">
        <v>120</v>
      </c>
      <c r="AS515" s="347">
        <v>120</v>
      </c>
      <c r="AT515" s="347">
        <v>120</v>
      </c>
      <c r="AU515" s="347">
        <v>120</v>
      </c>
      <c r="AV515" s="347">
        <v>120</v>
      </c>
      <c r="AW515" s="347">
        <v>5000</v>
      </c>
      <c r="AX515" s="365">
        <f>IFERROR(AW515*O515/1000,"")</f>
        <v>55.3</v>
      </c>
      <c r="AY515" s="365">
        <f>IFERROR(ROUND(AW515*P515/10000,3),"")</f>
        <v>83.835</v>
      </c>
      <c r="BC515" s="330"/>
      <c r="BD515" s="330"/>
      <c r="BE515" s="330"/>
      <c r="BF515" s="330"/>
      <c r="BG515" s="330"/>
      <c r="BH515" s="330"/>
      <c r="BI515" s="330"/>
      <c r="BJ515" s="370" cm="1">
        <f t="array" ref="BJ515">SUMPRODUCT(IF(ISNUMBER(BJ378:BJ393),BJ378:BJ393,0),IF(ISERROR(BJ378:BJ393),0,1))</f>
        <v>162.64</v>
      </c>
      <c r="BK515" s="370" cm="1">
        <f t="array" ref="BK515">SUMPRODUCT(IF(ISNUMBER(BK378:BK393),BK378:BK393,0),IF(ISERROR(BK378:BK393),0,1))</f>
        <v>162.79</v>
      </c>
      <c r="BL515" s="370" cm="1">
        <f t="array" ref="BL515">SUMPRODUCT(IF(ISNUMBER(BL378:BL393),BL378:BL393,0),IF(ISERROR(BL378:BL393),0,1))</f>
        <v>187.11</v>
      </c>
      <c r="BM515" s="370" cm="1">
        <f t="array" ref="BM515">SUMPRODUCT(IF(ISNUMBER(BM378:BM393),BM378:BM393,0),IF(ISERROR(BM378:BM393),0,1))</f>
        <v>210.5</v>
      </c>
      <c r="BN515" s="258">
        <f t="shared" ref="BN515:BN521" si="1341">SUM(BJ515:BM515)</f>
        <v>723.04</v>
      </c>
      <c r="BO515" s="258">
        <v>42.79</v>
      </c>
      <c r="BP515" s="258">
        <v>44.13</v>
      </c>
      <c r="BQ515" s="258">
        <v>49.14</v>
      </c>
      <c r="BR515" s="258">
        <v>55.17</v>
      </c>
      <c r="BS515" s="382" t="s">
        <v>775</v>
      </c>
      <c r="BX515" s="382" t="s">
        <v>776</v>
      </c>
      <c r="BY515" s="258">
        <f>SUM(R515:X515)</f>
        <v>0</v>
      </c>
      <c r="BZ515" s="258">
        <f>SUM(Y515:AE515)</f>
        <v>720</v>
      </c>
      <c r="CA515" s="258">
        <f>SUM(AF515:AM515)</f>
        <v>960</v>
      </c>
      <c r="CB515" s="258">
        <f>SUM(AN515:AV515)</f>
        <v>1080</v>
      </c>
      <c r="CD515" s="113"/>
      <c r="CE515" s="258">
        <f t="shared" ref="CE515:CH515" si="1342">ROUND(BY515*$O515/1000,2)</f>
        <v>0</v>
      </c>
      <c r="CF515" s="258">
        <f t="shared" si="1342"/>
        <v>7.96</v>
      </c>
      <c r="CG515" s="258">
        <f t="shared" si="1342"/>
        <v>10.62</v>
      </c>
      <c r="CH515" s="258">
        <f t="shared" si="1342"/>
        <v>11.94</v>
      </c>
      <c r="CI515" s="258">
        <f>SUM(CE515:CH515)</f>
        <v>30.52</v>
      </c>
      <c r="CJ515" s="113"/>
      <c r="CK515" s="258">
        <f t="shared" ref="CK515:CN515" si="1343">IFERROR(ROUND(BY515*$P515,2),"")</f>
        <v>0</v>
      </c>
      <c r="CL515" s="258">
        <f t="shared" si="1343"/>
        <v>120722.11</v>
      </c>
      <c r="CM515" s="258">
        <f t="shared" si="1343"/>
        <v>160962.82</v>
      </c>
      <c r="CN515" s="258">
        <f t="shared" si="1343"/>
        <v>181083.17</v>
      </c>
      <c r="CO515" s="258">
        <f>SUM(CK515:CN515)</f>
        <v>462768.1</v>
      </c>
      <c r="CP515" s="258" t="e">
        <f>VLOOKUP(G515,[2]Sheet1!$C$3:$G$310,5,0)</f>
        <v>#N/A</v>
      </c>
      <c r="CQ515" s="258" t="e">
        <f>VLOOKUP(G515,[3]KCBB0101!$C$3:$F$691,4,0)</f>
        <v>#N/A</v>
      </c>
    </row>
    <row r="516" s="258" customFormat="1" ht="17" spans="1:95">
      <c r="A516" s="330"/>
      <c r="B516" s="347" t="s">
        <v>691</v>
      </c>
      <c r="C516" s="347" t="str">
        <f>IFERROR(MID(E516,FIND("-",E516)-2,2),"")</f>
        <v>PR</v>
      </c>
      <c r="D516" s="347" t="str">
        <f>"半钢ST"&amp;C516&amp;"寸"</f>
        <v>半钢STPR寸</v>
      </c>
      <c r="E516" s="385" t="str">
        <f>LEFT(REPLACE(G516,1,2,""),FIND("[",REPLACE(G516,1,2,""))-1)&amp;"-"&amp;MID(REPLACE(G516,1,2,""),FIND("[",REPLACE(G516,1,2,""))+1,FIND("]",REPLACE(G516,1,2,""))-FIND("[",REPLACE(G516,1,2,""))-1)</f>
        <v>ST185R14CPR-TRAILER ST290</v>
      </c>
      <c r="F516" s="400" t="s">
        <v>794</v>
      </c>
      <c r="G516" s="372" t="s">
        <v>279</v>
      </c>
      <c r="H516" s="386"/>
      <c r="I516" s="386"/>
      <c r="J516" s="347"/>
      <c r="K516" s="349"/>
      <c r="L516" s="349" t="str">
        <f>IF(J515="","",J515/(J515+$L$175/60))</f>
        <v/>
      </c>
      <c r="M516" s="349"/>
      <c r="N516" s="347"/>
      <c r="O516" s="347">
        <f>IFERROR(_xlfn.XLOOKUP(E516,轮胎重量!S:S,轮胎重量!P:P),IFERROR(_xlfn.XLOOKUP(E516,轮胎重量!AB:AB,轮胎重量!Y:Y),IFERROR(_xlfn.XLOOKUP(E516,轮胎重量!AK:AK,轮胎重量!AH:AH),IFERROR(_xlfn.XLOOKUP(E516,轮胎重量!AT:AT,轮胎重量!AQ:AQ),IFERROR(_xlfn.XLOOKUP(E516,轮胎重量!BB:BB,轮胎重量!AY:AY),"")))))</f>
        <v>6.2</v>
      </c>
      <c r="P516" s="350">
        <f>O516*15.16</f>
        <v>93.992</v>
      </c>
      <c r="Q516" s="347"/>
      <c r="R516" s="347"/>
      <c r="S516" s="347"/>
      <c r="T516" s="347"/>
      <c r="U516" s="347"/>
      <c r="V516" s="347"/>
      <c r="W516" s="347"/>
      <c r="X516" s="347"/>
      <c r="Y516" s="347"/>
      <c r="Z516" s="347"/>
      <c r="AA516" s="347"/>
      <c r="AB516" s="347"/>
      <c r="AC516" s="347"/>
      <c r="AD516" s="347"/>
      <c r="AE516" s="347"/>
      <c r="AF516" s="347">
        <v>140</v>
      </c>
      <c r="AG516" s="347">
        <v>140</v>
      </c>
      <c r="AH516" s="347">
        <v>140</v>
      </c>
      <c r="AI516" s="347">
        <v>140</v>
      </c>
      <c r="AJ516" s="347">
        <v>140</v>
      </c>
      <c r="AK516" s="347">
        <v>140</v>
      </c>
      <c r="AL516" s="347">
        <v>140</v>
      </c>
      <c r="AM516" s="347">
        <v>140</v>
      </c>
      <c r="AN516" s="347">
        <v>140</v>
      </c>
      <c r="AO516" s="347">
        <v>140</v>
      </c>
      <c r="AP516" s="347">
        <v>140</v>
      </c>
      <c r="AQ516" s="347">
        <v>140</v>
      </c>
      <c r="AR516" s="347">
        <v>140</v>
      </c>
      <c r="AS516" s="347">
        <v>140</v>
      </c>
      <c r="AT516" s="347">
        <v>140</v>
      </c>
      <c r="AU516" s="347">
        <v>140</v>
      </c>
      <c r="AV516" s="347">
        <v>140</v>
      </c>
      <c r="AW516" s="347">
        <v>5000</v>
      </c>
      <c r="AX516" s="365">
        <f>IFERROR(AW516*O516/1000,"")</f>
        <v>31</v>
      </c>
      <c r="AY516" s="365">
        <f>IFERROR(ROUND(AW516*P516/10000,3),"")</f>
        <v>46.996</v>
      </c>
      <c r="BC516" s="330"/>
      <c r="BD516" s="330"/>
      <c r="BE516" s="330"/>
      <c r="BF516" s="330"/>
      <c r="BG516" s="330"/>
      <c r="BH516" s="330"/>
      <c r="BI516" s="330"/>
      <c r="BJ516" s="370" cm="1">
        <f t="array" ref="BJ516">SUMPRODUCT(IF(ISNUMBER(BJ378:BJ393),BJ378:BJ393,0),IF(ISERROR(BJ378:BJ393),0,1))</f>
        <v>162.64</v>
      </c>
      <c r="BK516" s="370" cm="1">
        <f t="array" ref="BK516">SUMPRODUCT(IF(ISNUMBER(BK378:BK393),BK378:BK393,0),IF(ISERROR(BK378:BK393),0,1))</f>
        <v>162.79</v>
      </c>
      <c r="BL516" s="370" cm="1">
        <f t="array" ref="BL516">SUMPRODUCT(IF(ISNUMBER(BL378:BL393),BL378:BL393,0),IF(ISERROR(BL378:BL393),0,1))</f>
        <v>187.11</v>
      </c>
      <c r="BM516" s="370" cm="1">
        <f t="array" ref="BM516">SUMPRODUCT(IF(ISNUMBER(BM378:BM393),BM378:BM393,0),IF(ISERROR(BM378:BM393),0,1))</f>
        <v>210.5</v>
      </c>
      <c r="BN516" s="258">
        <f t="shared" si="1341"/>
        <v>723.04</v>
      </c>
      <c r="BO516" s="258">
        <v>42.79</v>
      </c>
      <c r="BP516" s="258">
        <v>44.13</v>
      </c>
      <c r="BQ516" s="258">
        <v>49.14</v>
      </c>
      <c r="BR516" s="258">
        <v>55.17</v>
      </c>
      <c r="BS516" s="382" t="s">
        <v>775</v>
      </c>
      <c r="BX516" s="382" t="s">
        <v>776</v>
      </c>
      <c r="BY516" s="258">
        <f>SUM(R516:X516)</f>
        <v>0</v>
      </c>
      <c r="BZ516" s="258">
        <f>SUM(Y516:AE516)</f>
        <v>0</v>
      </c>
      <c r="CA516" s="258">
        <f>SUM(AF516:AM516)</f>
        <v>1120</v>
      </c>
      <c r="CB516" s="258">
        <f>SUM(AN516:AV516)</f>
        <v>1260</v>
      </c>
      <c r="CD516" s="113"/>
      <c r="CE516" s="258">
        <f t="shared" ref="CE516:CH516" si="1344">ROUND(BY516*$O516/1000,2)</f>
        <v>0</v>
      </c>
      <c r="CF516" s="258">
        <f t="shared" si="1344"/>
        <v>0</v>
      </c>
      <c r="CG516" s="258">
        <f t="shared" si="1344"/>
        <v>6.94</v>
      </c>
      <c r="CH516" s="258">
        <f t="shared" si="1344"/>
        <v>7.81</v>
      </c>
      <c r="CI516" s="258">
        <f>SUM(CE516:CH516)</f>
        <v>14.75</v>
      </c>
      <c r="CJ516" s="113"/>
      <c r="CK516" s="258">
        <f t="shared" ref="CK516:CN516" si="1345">IFERROR(ROUND(BY516*$P516,2),"")</f>
        <v>0</v>
      </c>
      <c r="CL516" s="258">
        <f t="shared" si="1345"/>
        <v>0</v>
      </c>
      <c r="CM516" s="258">
        <f t="shared" si="1345"/>
        <v>105271.04</v>
      </c>
      <c r="CN516" s="258">
        <f t="shared" si="1345"/>
        <v>118429.92</v>
      </c>
      <c r="CO516" s="258">
        <f>SUM(CK516:CN516)</f>
        <v>223700.96</v>
      </c>
      <c r="CP516" s="258" t="e">
        <f>VLOOKUP(G516,[2]Sheet1!$C$3:$G$310,5,0)</f>
        <v>#N/A</v>
      </c>
      <c r="CQ516" s="258" t="e">
        <f>VLOOKUP(G516,[3]KCBB0101!$C$3:$F$691,4,0)</f>
        <v>#N/A</v>
      </c>
    </row>
    <row r="517" s="258" customFormat="1" ht="17" spans="1:95">
      <c r="A517" s="330"/>
      <c r="B517" s="347" t="s">
        <v>691</v>
      </c>
      <c r="C517" s="347" t="str">
        <f>IFERROR(MID(E517,FIND("-",E517)-2,2),"")</f>
        <v>PR</v>
      </c>
      <c r="D517" s="347" t="str">
        <f>"半钢ST"&amp;C517&amp;"寸"</f>
        <v>半钢STPR寸</v>
      </c>
      <c r="E517" s="385" t="str">
        <f>LEFT(REPLACE(G517,1,2,""),FIND("[",REPLACE(G517,1,2,""))-1)&amp;"-"&amp;MID(REPLACE(G517,1,2,""),FIND("[",REPLACE(G517,1,2,""))+1,FIND("]",REPLACE(G517,1,2,""))-FIND("[",REPLACE(G517,1,2,""))-1)</f>
        <v>ST195/70R14PR-ST290</v>
      </c>
      <c r="F517" s="400" t="s">
        <v>795</v>
      </c>
      <c r="G517" s="372" t="s">
        <v>284</v>
      </c>
      <c r="H517" s="386"/>
      <c r="I517" s="386"/>
      <c r="J517" s="347"/>
      <c r="K517" s="349"/>
      <c r="L517" s="349"/>
      <c r="M517" s="349"/>
      <c r="N517" s="347"/>
      <c r="O517" s="347">
        <f>IFERROR(_xlfn.XLOOKUP(E517,轮胎重量!S:S,轮胎重量!P:P),IFERROR(_xlfn.XLOOKUP(E517,轮胎重量!AB:AB,轮胎重量!Y:Y),IFERROR(_xlfn.XLOOKUP(E517,轮胎重量!AK:AK,轮胎重量!AH:AH),IFERROR(_xlfn.XLOOKUP(E517,轮胎重量!AT:AT,轮胎重量!AQ:AQ),IFERROR(_xlfn.XLOOKUP(E517,轮胎重量!BB:BB,轮胎重量!AY:AY),"")))))</f>
        <v>7.32</v>
      </c>
      <c r="P517" s="350">
        <f>O517*15.16</f>
        <v>110.9712</v>
      </c>
      <c r="Q517" s="347"/>
      <c r="R517" s="347"/>
      <c r="S517" s="347"/>
      <c r="T517" s="347"/>
      <c r="U517" s="347"/>
      <c r="V517" s="347"/>
      <c r="W517" s="347"/>
      <c r="X517" s="347"/>
      <c r="Y517" s="347"/>
      <c r="Z517" s="347"/>
      <c r="AA517" s="347"/>
      <c r="AB517" s="347"/>
      <c r="AC517" s="347"/>
      <c r="AD517" s="347"/>
      <c r="AE517" s="347"/>
      <c r="AF517" s="347">
        <v>140</v>
      </c>
      <c r="AG517" s="347">
        <v>140</v>
      </c>
      <c r="AH517" s="347">
        <v>140</v>
      </c>
      <c r="AI517" s="347">
        <v>140</v>
      </c>
      <c r="AJ517" s="347">
        <v>140</v>
      </c>
      <c r="AK517" s="347">
        <v>140</v>
      </c>
      <c r="AL517" s="347">
        <v>140</v>
      </c>
      <c r="AM517" s="347">
        <v>140</v>
      </c>
      <c r="AN517" s="347">
        <v>140</v>
      </c>
      <c r="AO517" s="347">
        <v>140</v>
      </c>
      <c r="AP517" s="347">
        <v>140</v>
      </c>
      <c r="AQ517" s="347">
        <v>140</v>
      </c>
      <c r="AR517" s="347">
        <v>140</v>
      </c>
      <c r="AS517" s="347">
        <v>140</v>
      </c>
      <c r="AT517" s="347">
        <v>140</v>
      </c>
      <c r="AU517" s="347">
        <v>140</v>
      </c>
      <c r="AV517" s="347">
        <v>140</v>
      </c>
      <c r="AW517" s="347">
        <v>5000</v>
      </c>
      <c r="AX517" s="365">
        <f>IFERROR(AW517*O517/1000,"")</f>
        <v>36.6</v>
      </c>
      <c r="AY517" s="365">
        <f>IFERROR(ROUND(AW517*P517/10000,3),"")</f>
        <v>55.486</v>
      </c>
      <c r="BC517" s="330"/>
      <c r="BD517" s="330"/>
      <c r="BE517" s="330"/>
      <c r="BF517" s="330"/>
      <c r="BG517" s="330"/>
      <c r="BH517" s="330"/>
      <c r="BI517" s="330"/>
      <c r="BJ517" s="370" cm="1">
        <f t="array" ref="BJ517">SUMPRODUCT(IF(ISNUMBER(BJ379:BJ394),BJ379:BJ394,0),IF(ISERROR(BJ379:BJ394),0,1))</f>
        <v>162.64</v>
      </c>
      <c r="BK517" s="370" cm="1">
        <f t="array" ref="BK517">SUMPRODUCT(IF(ISNUMBER(BK379:BK394),BK379:BK394,0),IF(ISERROR(BK379:BK394),0,1))</f>
        <v>162.79</v>
      </c>
      <c r="BL517" s="370" cm="1">
        <f t="array" ref="BL517">SUMPRODUCT(IF(ISNUMBER(BL379:BL394),BL379:BL394,0),IF(ISERROR(BL379:BL394),0,1))</f>
        <v>187.11</v>
      </c>
      <c r="BM517" s="370" cm="1">
        <f t="array" ref="BM517">SUMPRODUCT(IF(ISNUMBER(BM379:BM394),BM379:BM394,0),IF(ISERROR(BM379:BM394),0,1))</f>
        <v>210.5</v>
      </c>
      <c r="BN517" s="258">
        <f t="shared" si="1341"/>
        <v>723.04</v>
      </c>
      <c r="BO517" s="258">
        <v>42.79</v>
      </c>
      <c r="BP517" s="258">
        <v>44.13</v>
      </c>
      <c r="BQ517" s="258">
        <v>49.14</v>
      </c>
      <c r="BR517" s="258">
        <v>55.17</v>
      </c>
      <c r="BS517" s="382" t="s">
        <v>775</v>
      </c>
      <c r="BX517" s="382" t="s">
        <v>776</v>
      </c>
      <c r="BY517" s="258">
        <f>SUM(R517:X517)</f>
        <v>0</v>
      </c>
      <c r="BZ517" s="258">
        <f>SUM(Y517:AE517)</f>
        <v>0</v>
      </c>
      <c r="CA517" s="258">
        <f>SUM(AF517:AM517)</f>
        <v>1120</v>
      </c>
      <c r="CB517" s="258">
        <f>SUM(AN517:AV517)</f>
        <v>1260</v>
      </c>
      <c r="CD517" s="113"/>
      <c r="CE517" s="258">
        <f>ROUND(BY517*$O517/1000,2)</f>
        <v>0</v>
      </c>
      <c r="CF517" s="258">
        <f>ROUND(BZ517*$O517/1000,2)</f>
        <v>0</v>
      </c>
      <c r="CG517" s="258">
        <f>ROUND(CA517*$O517/1000,2)</f>
        <v>8.2</v>
      </c>
      <c r="CH517" s="258">
        <f>ROUND(CB517*$O517/1000,2)</f>
        <v>9.22</v>
      </c>
      <c r="CI517" s="258">
        <f>SUM(CE517:CH517)</f>
        <v>17.42</v>
      </c>
      <c r="CJ517" s="113"/>
      <c r="CK517" s="258">
        <f t="shared" ref="CK517:CN517" si="1346">IFERROR(ROUND(BY517*$P517,2),"")</f>
        <v>0</v>
      </c>
      <c r="CL517" s="258">
        <f t="shared" si="1346"/>
        <v>0</v>
      </c>
      <c r="CM517" s="258">
        <f t="shared" si="1346"/>
        <v>124287.74</v>
      </c>
      <c r="CN517" s="258">
        <f t="shared" si="1346"/>
        <v>139823.71</v>
      </c>
      <c r="CP517" s="258" t="e">
        <f>VLOOKUP(G517,[2]Sheet1!$C$3:$G$310,5,0)</f>
        <v>#N/A</v>
      </c>
      <c r="CQ517" s="258" t="e">
        <f>VLOOKUP(G517,[3]KCBB0101!$C$3:$F$691,4,0)</f>
        <v>#N/A</v>
      </c>
    </row>
    <row r="518" ht="17" spans="2:92">
      <c r="B518" s="347"/>
      <c r="C518" s="347"/>
      <c r="D518" s="347"/>
      <c r="E518" s="400"/>
      <c r="F518" s="400"/>
      <c r="G518" s="400"/>
      <c r="H518" s="386"/>
      <c r="I518" s="386"/>
      <c r="J518" s="347"/>
      <c r="K518" s="349" t="str">
        <f>IF(J518="","",J518/(J518+$L$175/60))</f>
        <v/>
      </c>
      <c r="L518" s="349"/>
      <c r="M518" s="349"/>
      <c r="N518" s="347"/>
      <c r="O518" s="347"/>
      <c r="P518" s="347"/>
      <c r="Q518" s="347"/>
      <c r="R518" s="347"/>
      <c r="S518" s="347"/>
      <c r="T518" s="347"/>
      <c r="U518" s="347"/>
      <c r="V518" s="347"/>
      <c r="W518" s="347"/>
      <c r="X518" s="347"/>
      <c r="Y518" s="347"/>
      <c r="Z518" s="347"/>
      <c r="AA518" s="347"/>
      <c r="AB518" s="347"/>
      <c r="AC518" s="347"/>
      <c r="AD518" s="347"/>
      <c r="AE518" s="347"/>
      <c r="AF518" s="347"/>
      <c r="AG518" s="347"/>
      <c r="AH518" s="347"/>
      <c r="AI518" s="347"/>
      <c r="AJ518" s="347"/>
      <c r="AK518" s="347"/>
      <c r="AL518" s="347"/>
      <c r="AM518" s="347"/>
      <c r="AN518" s="347"/>
      <c r="AO518" s="347"/>
      <c r="AP518" s="347"/>
      <c r="AQ518" s="347"/>
      <c r="AR518" s="347"/>
      <c r="AS518" s="347"/>
      <c r="AT518" s="347"/>
      <c r="AU518" s="347"/>
      <c r="AV518" s="347"/>
      <c r="AW518" s="347" t="str">
        <f>IF(SUM(R518:AV518)=0,"",SUM(R518:AV518))</f>
        <v/>
      </c>
      <c r="AX518" s="365" t="str">
        <f>IFERROR(AW518*O518/1000,"")</f>
        <v/>
      </c>
      <c r="AY518" s="365" t="str">
        <f>IFERROR(ROUND(AW518*P518/10000,3),"")</f>
        <v/>
      </c>
      <c r="BJ518" s="370" cm="1">
        <f t="array" ref="BJ518">SUMPRODUCT(IF(ISNUMBER(BJ381:BJ395),BJ381:BJ395,0),IF(ISERROR(BJ381:BJ395),0,1))</f>
        <v>153.65</v>
      </c>
      <c r="BK518" s="370" cm="1">
        <f t="array" ref="BK518">SUMPRODUCT(IF(ISNUMBER(BK381:BK395),BK381:BK395,0),IF(ISERROR(BK381:BK395),0,1))</f>
        <v>155.09</v>
      </c>
      <c r="BL518" s="370" cm="1">
        <f t="array" ref="BL518">SUMPRODUCT(IF(ISNUMBER(BL381:BL395),BL381:BL395,0),IF(ISERROR(BL381:BL395),0,1))</f>
        <v>187.11</v>
      </c>
      <c r="BM518" s="370" cm="1">
        <f t="array" ref="BM518">SUMPRODUCT(IF(ISNUMBER(BM381:BM395),BM381:BM395,0),IF(ISERROR(BM381:BM395),0,1))</f>
        <v>210.5</v>
      </c>
      <c r="BN518" s="258">
        <f t="shared" si="1341"/>
        <v>706.35</v>
      </c>
      <c r="BO518" s="258">
        <v>42.79</v>
      </c>
      <c r="BP518" s="258">
        <v>44.13</v>
      </c>
      <c r="BQ518" s="258">
        <v>49.14</v>
      </c>
      <c r="BR518" s="258">
        <v>55.17</v>
      </c>
      <c r="BS518" s="382" t="s">
        <v>775</v>
      </c>
      <c r="BX518" s="382" t="s">
        <v>776</v>
      </c>
      <c r="CI518" s="258">
        <f>SUM(CE518:CH518)</f>
        <v>0</v>
      </c>
      <c r="CK518" s="258">
        <f t="shared" ref="CK518:CN518" si="1347">IFERROR(ROUND(BY518*$P518,2),"")</f>
        <v>0</v>
      </c>
      <c r="CL518" s="258">
        <f t="shared" si="1347"/>
        <v>0</v>
      </c>
      <c r="CM518" s="258">
        <f t="shared" si="1347"/>
        <v>0</v>
      </c>
      <c r="CN518" s="258">
        <f t="shared" si="1347"/>
        <v>0</v>
      </c>
    </row>
    <row r="519" spans="15:95">
      <c r="O519" s="331">
        <v>39.4</v>
      </c>
      <c r="Q519" s="331">
        <v>39.4</v>
      </c>
      <c r="R519" s="331">
        <f>SUM(R490:R518)</f>
        <v>4620</v>
      </c>
      <c r="S519" s="331">
        <f t="shared" ref="S519:AY519" si="1348">SUM(S490:S518)</f>
        <v>4620</v>
      </c>
      <c r="T519" s="331">
        <f t="shared" si="1348"/>
        <v>4620</v>
      </c>
      <c r="U519" s="331">
        <f t="shared" si="1348"/>
        <v>4620</v>
      </c>
      <c r="V519" s="331">
        <f t="shared" si="1348"/>
        <v>4620</v>
      </c>
      <c r="W519" s="331">
        <f t="shared" si="1348"/>
        <v>4620</v>
      </c>
      <c r="X519" s="331">
        <f t="shared" si="1348"/>
        <v>4620</v>
      </c>
      <c r="Y519" s="331">
        <f t="shared" si="1348"/>
        <v>4620</v>
      </c>
      <c r="Z519" s="331">
        <f t="shared" si="1348"/>
        <v>4620</v>
      </c>
      <c r="AA519" s="331">
        <f t="shared" si="1348"/>
        <v>4620</v>
      </c>
      <c r="AB519" s="331">
        <f t="shared" si="1348"/>
        <v>4620</v>
      </c>
      <c r="AC519" s="331">
        <f t="shared" si="1348"/>
        <v>4620</v>
      </c>
      <c r="AD519" s="331">
        <f t="shared" si="1348"/>
        <v>4620</v>
      </c>
      <c r="AE519" s="331">
        <f t="shared" si="1348"/>
        <v>4620</v>
      </c>
      <c r="AF519" s="331">
        <f t="shared" si="1348"/>
        <v>5380</v>
      </c>
      <c r="AG519" s="331">
        <f t="shared" si="1348"/>
        <v>5380</v>
      </c>
      <c r="AH519" s="331">
        <f t="shared" si="1348"/>
        <v>5380</v>
      </c>
      <c r="AI519" s="331">
        <f t="shared" si="1348"/>
        <v>5380</v>
      </c>
      <c r="AJ519" s="331">
        <f t="shared" si="1348"/>
        <v>5380</v>
      </c>
      <c r="AK519" s="331">
        <f t="shared" si="1348"/>
        <v>5380</v>
      </c>
      <c r="AL519" s="331">
        <f t="shared" si="1348"/>
        <v>5380</v>
      </c>
      <c r="AM519" s="331">
        <f t="shared" si="1348"/>
        <v>5380</v>
      </c>
      <c r="AN519" s="331">
        <f t="shared" si="1348"/>
        <v>5380</v>
      </c>
      <c r="AO519" s="331">
        <f t="shared" si="1348"/>
        <v>5380</v>
      </c>
      <c r="AP519" s="331">
        <f t="shared" si="1348"/>
        <v>5380</v>
      </c>
      <c r="AQ519" s="331">
        <f t="shared" si="1348"/>
        <v>5380</v>
      </c>
      <c r="AR519" s="331">
        <f t="shared" si="1348"/>
        <v>5380</v>
      </c>
      <c r="AS519" s="331">
        <f t="shared" si="1348"/>
        <v>5380</v>
      </c>
      <c r="AT519" s="331">
        <f t="shared" si="1348"/>
        <v>5380</v>
      </c>
      <c r="AU519" s="331">
        <f t="shared" si="1348"/>
        <v>5380</v>
      </c>
      <c r="AV519" s="331">
        <f t="shared" si="1348"/>
        <v>5380</v>
      </c>
      <c r="AW519" s="347">
        <f t="shared" si="1348"/>
        <v>189040</v>
      </c>
      <c r="AX519" s="365">
        <f t="shared" si="1348"/>
        <v>1621.82548</v>
      </c>
      <c r="AY519" s="365">
        <f t="shared" si="1348"/>
        <v>2473.16</v>
      </c>
      <c r="BJ519" s="370" cm="1">
        <f t="array" ref="BJ519">SUMPRODUCT(IF(ISNUMBER(BJ416:BJ433),BJ416:BJ433,0),IF(ISERROR(BJ416:BJ433),0,1))</f>
        <v>75.57</v>
      </c>
      <c r="BK519" s="370" cm="1">
        <f t="array" ref="BK519">SUMPRODUCT(IF(ISNUMBER(BK416:BK433),BK416:BK433,0),IF(ISERROR(BK416:BK433),0,1))</f>
        <v>70.5</v>
      </c>
      <c r="BL519" s="370" cm="1">
        <f t="array" ref="BL519">SUMPRODUCT(IF(ISNUMBER(BL416:BL433),BL416:BL433,0),IF(ISERROR(BL416:BL433),0,1))</f>
        <v>81.17</v>
      </c>
      <c r="BM519" s="370" cm="1">
        <f t="array" ref="BM519">SUMPRODUCT(IF(ISNUMBER(BM416:BM433),BM416:BM433,0),IF(ISERROR(BM416:BM433),0,1))</f>
        <v>56.08</v>
      </c>
      <c r="BN519" s="258">
        <f t="shared" si="1341"/>
        <v>283.32</v>
      </c>
      <c r="BO519" s="258">
        <v>79.94</v>
      </c>
      <c r="BP519" s="258">
        <v>88.58</v>
      </c>
      <c r="BQ519" s="258">
        <v>84.92</v>
      </c>
      <c r="BR519" s="258">
        <v>94.93</v>
      </c>
      <c r="CP519" s="258" t="e">
        <f>VLOOKUP(G519,[2]Sheet1!$C$3:$G$310,5,0)</f>
        <v>#N/A</v>
      </c>
      <c r="CQ519" s="258" t="e">
        <f>VLOOKUP(G519,[3]KCBB0101!$C$3:$F$691,4,0)</f>
        <v>#N/A</v>
      </c>
    </row>
    <row r="520" spans="49:95">
      <c r="AW520" s="330">
        <f>ROUND(AW519/31,0)</f>
        <v>6098</v>
      </c>
      <c r="AX520" s="406">
        <f>AX519/31</f>
        <v>52.3169509677419</v>
      </c>
      <c r="AY520" s="330">
        <f>AY519/31</f>
        <v>79.7793548387097</v>
      </c>
      <c r="BJ520" s="370" cm="1">
        <f t="array" ref="BJ520">SUMPRODUCT(IF(ISNUMBER(BJ447:BJ471),BJ447:BJ471,0),IF(ISERROR(BJ447:BJ471),0,1))</f>
        <v>60.22</v>
      </c>
      <c r="BK520" s="370" cm="1">
        <f t="array" ref="BK520">SUMPRODUCT(IF(ISNUMBER(BK447:BK471),BK447:BK471,0),IF(ISERROR(BK447:BK471),0,1))</f>
        <v>70.39</v>
      </c>
      <c r="BL520" s="370" cm="1">
        <f t="array" ref="BL520">SUMPRODUCT(IF(ISNUMBER(BL447:BL471),BL447:BL471,0),IF(ISERROR(BL447:BL471),0,1))</f>
        <v>94.17</v>
      </c>
      <c r="BM520" s="370" cm="1">
        <f t="array" ref="BM520">SUMPRODUCT(IF(ISNUMBER(BM447:BM471),BM447:BM471,0),IF(ISERROR(BM447:BM471),0,1))</f>
        <v>86</v>
      </c>
      <c r="BN520" s="258">
        <f t="shared" si="1341"/>
        <v>310.78</v>
      </c>
      <c r="BO520" s="258">
        <v>43.68</v>
      </c>
      <c r="BP520" s="258">
        <v>45.68</v>
      </c>
      <c r="BQ520" s="258">
        <v>89.1</v>
      </c>
      <c r="BR520" s="258">
        <v>89.06</v>
      </c>
      <c r="CP520" s="258" t="e">
        <f>VLOOKUP(G520,[2]Sheet1!$C$3:$G$310,5,0)</f>
        <v>#N/A</v>
      </c>
      <c r="CQ520" s="258" t="e">
        <f>VLOOKUP(G520,[3]KCBB0101!$C$3:$F$691,4,0)</f>
        <v>#N/A</v>
      </c>
    </row>
    <row r="521" spans="11:70">
      <c r="K521" s="331">
        <v>130</v>
      </c>
      <c r="BJ521" s="370" cm="1">
        <f t="array" ref="BJ521">SUMPRODUCT(IF(ISNUMBER(BJ482:BJ486),BJ482:BJ486,0),IF(ISERROR(BJ482:BJ486),0,1))</f>
        <v>70.96</v>
      </c>
      <c r="BK521" s="370" cm="1">
        <f t="array" ref="BK521">SUMPRODUCT(IF(ISNUMBER(BK482:BK486),BK482:BK486,0),IF(ISERROR(BK482:BK486),0,1))</f>
        <v>70.96</v>
      </c>
      <c r="BL521" s="370" cm="1">
        <f t="array" ref="BL521">SUMPRODUCT(IF(ISNUMBER(BL482:BL486),BL482:BL486,0),IF(ISERROR(BL482:BL486),0,1))</f>
        <v>81.1</v>
      </c>
      <c r="BM521" s="370" cm="1">
        <f t="array" ref="BM521">SUMPRODUCT(IF(ISNUMBER(BM482:BM486),BM482:BM486,0),IF(ISERROR(BM482:BM486),0,1))</f>
        <v>91.24</v>
      </c>
      <c r="BN521" s="258">
        <f t="shared" si="1341"/>
        <v>314.26</v>
      </c>
      <c r="BO521" s="258">
        <v>59.42</v>
      </c>
      <c r="BP521" s="258">
        <v>62.42</v>
      </c>
      <c r="BQ521" s="258">
        <v>65.23</v>
      </c>
      <c r="BR521" s="258">
        <v>67.18</v>
      </c>
    </row>
    <row r="522" ht="36" spans="5:95">
      <c r="E522" s="336" t="s">
        <v>671</v>
      </c>
      <c r="F522" s="336"/>
      <c r="G522" s="333" t="s">
        <v>796</v>
      </c>
      <c r="H522" s="333"/>
      <c r="I522" s="333" t="s">
        <v>674</v>
      </c>
      <c r="J522" s="333" t="s">
        <v>797</v>
      </c>
      <c r="K522" s="344"/>
      <c r="L522" s="344"/>
      <c r="M522" s="333" t="s">
        <v>678</v>
      </c>
      <c r="N522" s="333" t="s">
        <v>697</v>
      </c>
      <c r="O522" s="333" t="s">
        <v>680</v>
      </c>
      <c r="P522" s="333" t="s">
        <v>681</v>
      </c>
      <c r="Q522" s="344" t="s">
        <v>682</v>
      </c>
      <c r="R522" s="333">
        <v>1</v>
      </c>
      <c r="S522" s="333">
        <v>2</v>
      </c>
      <c r="T522" s="333">
        <v>3</v>
      </c>
      <c r="U522" s="333">
        <v>4</v>
      </c>
      <c r="V522" s="333">
        <v>5</v>
      </c>
      <c r="W522" s="333">
        <v>6</v>
      </c>
      <c r="X522" s="333">
        <v>7</v>
      </c>
      <c r="Y522" s="333">
        <v>8</v>
      </c>
      <c r="Z522" s="333">
        <v>9</v>
      </c>
      <c r="AA522" s="333">
        <v>10</v>
      </c>
      <c r="AB522" s="333">
        <v>11</v>
      </c>
      <c r="AC522" s="333">
        <v>12</v>
      </c>
      <c r="AD522" s="333">
        <v>13</v>
      </c>
      <c r="AE522" s="333">
        <v>14</v>
      </c>
      <c r="AF522" s="333">
        <v>15</v>
      </c>
      <c r="AG522" s="333">
        <v>16</v>
      </c>
      <c r="AH522" s="333">
        <v>17</v>
      </c>
      <c r="AI522" s="333">
        <v>18</v>
      </c>
      <c r="AJ522" s="333">
        <v>19</v>
      </c>
      <c r="AK522" s="333">
        <v>20</v>
      </c>
      <c r="AL522" s="333">
        <v>21</v>
      </c>
      <c r="AM522" s="333">
        <v>22</v>
      </c>
      <c r="AN522" s="333">
        <v>23</v>
      </c>
      <c r="AO522" s="333">
        <v>24</v>
      </c>
      <c r="AP522" s="333">
        <v>25</v>
      </c>
      <c r="AQ522" s="333">
        <v>26</v>
      </c>
      <c r="AR522" s="333">
        <v>27</v>
      </c>
      <c r="AS522" s="333">
        <v>28</v>
      </c>
      <c r="AT522" s="333">
        <v>29</v>
      </c>
      <c r="AU522" s="333">
        <v>30</v>
      </c>
      <c r="AV522" s="333">
        <v>31</v>
      </c>
      <c r="AW522" s="347" t="s">
        <v>683</v>
      </c>
      <c r="AX522" s="363" t="s">
        <v>684</v>
      </c>
      <c r="AY522" s="363" t="s">
        <v>698</v>
      </c>
      <c r="BN522" s="258">
        <f>SUM(BN518:BN521)</f>
        <v>1614.71</v>
      </c>
      <c r="CP522" s="258" t="e">
        <f>VLOOKUP(G522,[2]Sheet1!$C$3:$G$310,5,0)</f>
        <v>#N/A</v>
      </c>
      <c r="CQ522" s="258" t="e">
        <f>VLOOKUP(G522,[3]KCBB0101!$C$3:$F$691,4,0)</f>
        <v>#N/A</v>
      </c>
    </row>
    <row r="523" spans="5:95">
      <c r="E523" s="385" t="s">
        <v>798</v>
      </c>
      <c r="F523" s="385"/>
      <c r="G523" s="385" t="s">
        <v>799</v>
      </c>
      <c r="H523" s="347">
        <f>I523*110*2</f>
        <v>880</v>
      </c>
      <c r="I523" s="347">
        <v>4</v>
      </c>
      <c r="J523" s="347"/>
      <c r="K523" s="347"/>
      <c r="L523" s="347"/>
      <c r="M523" s="349">
        <v>0.76</v>
      </c>
      <c r="N523" s="347"/>
      <c r="O523" s="347">
        <v>4.569</v>
      </c>
      <c r="P523" s="347">
        <v>70.81</v>
      </c>
      <c r="Q523" s="347" t="str">
        <f t="shared" ref="Q523:Q533" si="1349">IFERROR(ROUND(1440/K523*I523*M523,0),"")</f>
        <v/>
      </c>
      <c r="R523" s="347">
        <v>850</v>
      </c>
      <c r="S523" s="347">
        <v>850</v>
      </c>
      <c r="T523" s="347">
        <v>850</v>
      </c>
      <c r="U523" s="347">
        <v>850</v>
      </c>
      <c r="V523" s="347">
        <v>850</v>
      </c>
      <c r="W523" s="347">
        <v>850</v>
      </c>
      <c r="X523" s="347">
        <v>850</v>
      </c>
      <c r="Y523" s="347">
        <v>850</v>
      </c>
      <c r="Z523" s="347">
        <v>850</v>
      </c>
      <c r="AA523" s="347">
        <v>850</v>
      </c>
      <c r="AB523" s="347">
        <v>850</v>
      </c>
      <c r="AC523" s="347">
        <v>850</v>
      </c>
      <c r="AD523" s="347">
        <v>850</v>
      </c>
      <c r="AE523" s="347">
        <v>850</v>
      </c>
      <c r="AF523" s="347">
        <v>850</v>
      </c>
      <c r="AG523" s="347">
        <v>850</v>
      </c>
      <c r="AH523" s="347">
        <v>850</v>
      </c>
      <c r="AI523" s="347">
        <v>850</v>
      </c>
      <c r="AJ523" s="347">
        <v>850</v>
      </c>
      <c r="AK523" s="347">
        <v>850</v>
      </c>
      <c r="AL523" s="347">
        <v>850</v>
      </c>
      <c r="AM523" s="347">
        <v>850</v>
      </c>
      <c r="AN523" s="347">
        <v>850</v>
      </c>
      <c r="AO523" s="347">
        <v>850</v>
      </c>
      <c r="AP523" s="347">
        <v>850</v>
      </c>
      <c r="AQ523" s="347">
        <v>850</v>
      </c>
      <c r="AR523" s="347">
        <v>850</v>
      </c>
      <c r="AS523" s="347">
        <v>850</v>
      </c>
      <c r="AT523" s="347">
        <v>850</v>
      </c>
      <c r="AU523" s="347">
        <v>850</v>
      </c>
      <c r="AV523" s="347">
        <v>850</v>
      </c>
      <c r="AW523" s="347">
        <f>IF(SUM(R523:AV523)=0,"",SUM(R523:AV523))</f>
        <v>26350</v>
      </c>
      <c r="AX523" s="365">
        <f>IFERROR(AW523*O523/1000,"")</f>
        <v>120.39315</v>
      </c>
      <c r="AY523" s="365">
        <f>IFERROR(ROUND(AW523*P523/10000,3),"")</f>
        <v>186.584</v>
      </c>
      <c r="AZ523" s="407">
        <v>53.4507</v>
      </c>
      <c r="BA523" s="347">
        <v>2.9757</v>
      </c>
      <c r="BB523" s="347">
        <v>3.4767</v>
      </c>
      <c r="BC523" s="347">
        <v>2.5962</v>
      </c>
      <c r="BE523" s="330">
        <f t="shared" ref="BE523:BE531" si="1350">AZ523*AW523</f>
        <v>1408425.945</v>
      </c>
      <c r="BF523" s="330">
        <f t="shared" ref="BF523:BF531" si="1351">BA523*AW523</f>
        <v>78409.695</v>
      </c>
      <c r="BG523" s="330">
        <f t="shared" ref="BG523:BG531" si="1352">BB523*AW523</f>
        <v>91611.045</v>
      </c>
      <c r="BH523" s="330">
        <f t="shared" ref="BH523:BH531" si="1353">BC523*AW523</f>
        <v>68409.87</v>
      </c>
      <c r="BJ523" s="370" cm="1">
        <f t="array" ref="BJ523:BM523">_xlfn.LET(_xlpm.data,$R523:$AV523,_xlpm.starts,{1,8,16,23},_xlpm.lengths,{7,7,8,9},_xlpm.arr,_xlfn.MAP(_xlpm.starts,_xlpm.lengths,_xlfn.LAMBDA(_xlpm.s,_xlpm.l,SUM(INDEX(_xlpm.data,,_xlfn.SEQUENCE(,_xlpm.l,_xlpm.s))))),ROUND(_xlpm.arr*$O523/1000,2))</f>
        <v>27.19</v>
      </c>
      <c r="BK523" s="370">
        <v>27.19</v>
      </c>
      <c r="BL523" s="370">
        <v>31.07</v>
      </c>
      <c r="BM523" s="370">
        <v>34.95</v>
      </c>
      <c r="BN523" s="258">
        <f t="shared" ref="BN523:BN533" si="1354">SUM(BJ523:BM523)</f>
        <v>120.4</v>
      </c>
      <c r="BO523" s="258">
        <v>15.35</v>
      </c>
      <c r="BP523" s="258">
        <v>15.35</v>
      </c>
      <c r="BQ523" s="258">
        <v>17.54</v>
      </c>
      <c r="BR523" s="258">
        <v>19.74</v>
      </c>
      <c r="BY523" s="258">
        <f>SUM(R523:X523)</f>
        <v>5950</v>
      </c>
      <c r="BZ523" s="258">
        <f>SUM(Y523:AE523)</f>
        <v>5950</v>
      </c>
      <c r="CA523" s="258">
        <f>SUM(AF523:AM523)</f>
        <v>6800</v>
      </c>
      <c r="CB523" s="258">
        <f>SUM(AN523:AV523)</f>
        <v>7650</v>
      </c>
      <c r="CE523" s="258">
        <f t="shared" ref="CE523:CE533" si="1355">ROUND(BY523*$O523/1000,2)</f>
        <v>27.19</v>
      </c>
      <c r="CF523" s="258">
        <f t="shared" ref="CF523:CF533" si="1356">ROUND(BZ523*$O523/1000,2)</f>
        <v>27.19</v>
      </c>
      <c r="CG523" s="258">
        <f t="shared" ref="CG523:CG533" si="1357">ROUND(CA523*$O523/1000,2)</f>
        <v>31.07</v>
      </c>
      <c r="CH523" s="258">
        <f t="shared" ref="CH523:CH533" si="1358">ROUND(CB523*$O523/1000,2)</f>
        <v>34.95</v>
      </c>
      <c r="CI523" s="258">
        <f t="shared" ref="CI523:CI533" si="1359">SUM(CE523:CH523)</f>
        <v>120.4</v>
      </c>
      <c r="CK523" s="258">
        <f t="shared" ref="CK523:CN523" si="1360">ROUND(BY523*$P523,2)</f>
        <v>421319.5</v>
      </c>
      <c r="CL523" s="258">
        <f t="shared" si="1360"/>
        <v>421319.5</v>
      </c>
      <c r="CM523" s="258">
        <f t="shared" si="1360"/>
        <v>481508</v>
      </c>
      <c r="CN523" s="258">
        <f t="shared" si="1360"/>
        <v>541696.5</v>
      </c>
      <c r="CO523" s="258">
        <f t="shared" ref="CO523:CO531" si="1361">SUM(CK523:CN523)</f>
        <v>1865843.5</v>
      </c>
      <c r="CP523" s="258" t="e">
        <f>VLOOKUP(G523,[2]Sheet1!$C$3:$G$310,5,0)</f>
        <v>#N/A</v>
      </c>
      <c r="CQ523" s="258" t="e">
        <f>VLOOKUP(G523,[3]KCBB0101!$C$3:$F$691,4,0)</f>
        <v>#N/A</v>
      </c>
    </row>
    <row r="524" spans="5:93">
      <c r="E524" s="385" t="s">
        <v>798</v>
      </c>
      <c r="F524" s="385"/>
      <c r="G524" s="385" t="s">
        <v>800</v>
      </c>
      <c r="H524" s="347">
        <f t="shared" ref="H524:H530" si="1362">I524*110*2</f>
        <v>880</v>
      </c>
      <c r="I524" s="347">
        <v>4</v>
      </c>
      <c r="J524" s="347"/>
      <c r="K524" s="347"/>
      <c r="L524" s="347"/>
      <c r="M524" s="349">
        <v>0.76</v>
      </c>
      <c r="N524" s="347"/>
      <c r="O524" s="347">
        <v>4.569</v>
      </c>
      <c r="P524" s="347">
        <v>70.81</v>
      </c>
      <c r="Q524" s="347" t="str">
        <f t="shared" si="1349"/>
        <v/>
      </c>
      <c r="R524" s="347"/>
      <c r="S524" s="347"/>
      <c r="T524" s="347"/>
      <c r="U524" s="347"/>
      <c r="V524" s="347"/>
      <c r="W524" s="347"/>
      <c r="X524" s="347"/>
      <c r="Y524" s="347"/>
      <c r="Z524" s="347"/>
      <c r="AA524" s="347"/>
      <c r="AB524" s="347"/>
      <c r="AC524" s="347"/>
      <c r="AD524" s="347"/>
      <c r="AE524" s="347"/>
      <c r="AF524" s="347"/>
      <c r="AG524" s="347"/>
      <c r="AH524" s="347"/>
      <c r="AI524" s="347"/>
      <c r="AJ524" s="347"/>
      <c r="AK524" s="347"/>
      <c r="AL524" s="347"/>
      <c r="AM524" s="347"/>
      <c r="AN524" s="347"/>
      <c r="AO524" s="347"/>
      <c r="AP524" s="347"/>
      <c r="AQ524" s="347"/>
      <c r="AR524" s="347"/>
      <c r="AS524" s="347"/>
      <c r="AT524" s="347"/>
      <c r="AU524" s="347"/>
      <c r="AV524" s="347"/>
      <c r="AW524" s="347" t="str">
        <f t="shared" ref="AW524:AW534" si="1363">IF(SUM(R524:AV524)=0,"",SUM(R524:AV524))</f>
        <v/>
      </c>
      <c r="AX524" s="365" t="str">
        <f t="shared" ref="AX524:AX534" si="1364">IFERROR(AW524*O524/1000,"")</f>
        <v/>
      </c>
      <c r="AY524" s="365" t="str">
        <f t="shared" ref="AY524:AY534" si="1365">IFERROR(ROUND(AW524*P524/10000,3),"")</f>
        <v/>
      </c>
      <c r="AZ524" s="407">
        <v>53.4507</v>
      </c>
      <c r="BA524" s="347">
        <v>2.9757</v>
      </c>
      <c r="BB524" s="347">
        <v>3.4767</v>
      </c>
      <c r="BC524" s="347">
        <v>2.5962</v>
      </c>
      <c r="BE524" s="330" t="e">
        <f t="shared" si="1350"/>
        <v>#VALUE!</v>
      </c>
      <c r="BF524" s="330" t="e">
        <f t="shared" si="1351"/>
        <v>#VALUE!</v>
      </c>
      <c r="BG524" s="330" t="e">
        <f t="shared" si="1352"/>
        <v>#VALUE!</v>
      </c>
      <c r="BH524" s="330" t="e">
        <f t="shared" si="1353"/>
        <v>#VALUE!</v>
      </c>
      <c r="BJ524" s="370" cm="1">
        <f t="array" ref="BJ524:BM524">_xlfn.LET(_xlpm.data,$R524:$AV524,_xlpm.starts,{1,8,16,23},_xlpm.lengths,{7,7,8,9},_xlpm.arr,_xlfn.MAP(_xlpm.starts,_xlpm.lengths,_xlfn.LAMBDA(_xlpm.s,_xlpm.l,SUM(INDEX(_xlpm.data,,_xlfn.SEQUENCE(,_xlpm.l,_xlpm.s))))),ROUND(_xlpm.arr*$O524/1000,2))</f>
        <v>0</v>
      </c>
      <c r="BK524" s="370">
        <v>0</v>
      </c>
      <c r="BL524" s="370">
        <v>0</v>
      </c>
      <c r="BM524" s="370">
        <v>0</v>
      </c>
      <c r="BN524" s="258">
        <f t="shared" si="1354"/>
        <v>0</v>
      </c>
      <c r="BO524" s="258">
        <v>15.35</v>
      </c>
      <c r="BP524" s="258">
        <v>15.35</v>
      </c>
      <c r="BQ524" s="258">
        <v>17.54</v>
      </c>
      <c r="BR524" s="258">
        <v>19.74</v>
      </c>
      <c r="BY524" s="258">
        <f t="shared" ref="BY524:BY533" si="1366">SUM(R524:X524)</f>
        <v>0</v>
      </c>
      <c r="BZ524" s="258">
        <f t="shared" ref="BZ524:BZ533" si="1367">SUM(Y524:AE524)</f>
        <v>0</v>
      </c>
      <c r="CA524" s="258">
        <f t="shared" ref="CA524:CA533" si="1368">SUM(AF524:AM524)</f>
        <v>0</v>
      </c>
      <c r="CB524" s="258">
        <f t="shared" ref="CB524:CB533" si="1369">SUM(AN524:AV524)</f>
        <v>0</v>
      </c>
      <c r="CE524" s="258">
        <f t="shared" si="1355"/>
        <v>0</v>
      </c>
      <c r="CF524" s="258">
        <f t="shared" si="1356"/>
        <v>0</v>
      </c>
      <c r="CG524" s="258">
        <f t="shared" si="1357"/>
        <v>0</v>
      </c>
      <c r="CH524" s="258">
        <f t="shared" si="1358"/>
        <v>0</v>
      </c>
      <c r="CI524" s="258">
        <f t="shared" si="1359"/>
        <v>0</v>
      </c>
      <c r="CK524" s="258">
        <f t="shared" ref="CK524:CN524" si="1370">ROUND(BY524*$P524,2)</f>
        <v>0</v>
      </c>
      <c r="CL524" s="258">
        <f t="shared" si="1370"/>
        <v>0</v>
      </c>
      <c r="CM524" s="258">
        <f t="shared" si="1370"/>
        <v>0</v>
      </c>
      <c r="CN524" s="258">
        <f t="shared" si="1370"/>
        <v>0</v>
      </c>
      <c r="CO524" s="258">
        <f t="shared" si="1361"/>
        <v>0</v>
      </c>
    </row>
    <row r="525" spans="5:95">
      <c r="E525" s="385" t="s">
        <v>801</v>
      </c>
      <c r="F525" s="385"/>
      <c r="G525" s="385" t="s">
        <v>801</v>
      </c>
      <c r="H525" s="347">
        <f t="shared" si="1362"/>
        <v>660</v>
      </c>
      <c r="I525" s="347">
        <v>3</v>
      </c>
      <c r="J525" s="347"/>
      <c r="K525" s="347"/>
      <c r="L525" s="347"/>
      <c r="M525" s="349">
        <v>0.76</v>
      </c>
      <c r="N525" s="347"/>
      <c r="O525" s="347">
        <v>4.068</v>
      </c>
      <c r="P525" s="347">
        <v>70.81</v>
      </c>
      <c r="Q525" s="347" t="str">
        <f t="shared" si="1349"/>
        <v/>
      </c>
      <c r="R525" s="347">
        <v>780</v>
      </c>
      <c r="S525" s="347">
        <v>780</v>
      </c>
      <c r="T525" s="347">
        <v>780</v>
      </c>
      <c r="U525" s="347">
        <v>780</v>
      </c>
      <c r="V525" s="347">
        <v>780</v>
      </c>
      <c r="W525" s="347">
        <v>780</v>
      </c>
      <c r="X525" s="347">
        <v>780</v>
      </c>
      <c r="Y525" s="347">
        <v>780</v>
      </c>
      <c r="Z525" s="347">
        <v>780</v>
      </c>
      <c r="AA525" s="347">
        <v>780</v>
      </c>
      <c r="AB525" s="347">
        <v>780</v>
      </c>
      <c r="AC525" s="347">
        <v>780</v>
      </c>
      <c r="AD525" s="347">
        <v>780</v>
      </c>
      <c r="AE525" s="347">
        <v>780</v>
      </c>
      <c r="AF525" s="347">
        <v>780</v>
      </c>
      <c r="AG525" s="347">
        <v>780</v>
      </c>
      <c r="AH525" s="347">
        <v>780</v>
      </c>
      <c r="AI525" s="347">
        <v>780</v>
      </c>
      <c r="AJ525" s="347">
        <v>780</v>
      </c>
      <c r="AK525" s="347">
        <v>780</v>
      </c>
      <c r="AL525" s="347">
        <v>780</v>
      </c>
      <c r="AM525" s="347">
        <v>780</v>
      </c>
      <c r="AN525" s="347">
        <v>780</v>
      </c>
      <c r="AO525" s="347">
        <v>780</v>
      </c>
      <c r="AP525" s="347">
        <v>780</v>
      </c>
      <c r="AQ525" s="347">
        <v>780</v>
      </c>
      <c r="AR525" s="347">
        <v>780</v>
      </c>
      <c r="AS525" s="347">
        <v>780</v>
      </c>
      <c r="AT525" s="347">
        <v>780</v>
      </c>
      <c r="AU525" s="347">
        <v>780</v>
      </c>
      <c r="AV525" s="347">
        <v>780</v>
      </c>
      <c r="AW525" s="347">
        <f t="shared" si="1363"/>
        <v>24180</v>
      </c>
      <c r="AX525" s="365">
        <f t="shared" si="1364"/>
        <v>98.36424</v>
      </c>
      <c r="AY525" s="365">
        <f t="shared" si="1365"/>
        <v>171.219</v>
      </c>
      <c r="AZ525" s="407">
        <v>53.4507</v>
      </c>
      <c r="BA525" s="347">
        <v>2.9757</v>
      </c>
      <c r="BB525" s="347">
        <v>3.4767</v>
      </c>
      <c r="BC525" s="347">
        <v>2.5962</v>
      </c>
      <c r="BE525" s="330">
        <f t="shared" si="1350"/>
        <v>1292437.926</v>
      </c>
      <c r="BF525" s="330">
        <f t="shared" si="1351"/>
        <v>71952.426</v>
      </c>
      <c r="BG525" s="330">
        <f t="shared" si="1352"/>
        <v>84066.606</v>
      </c>
      <c r="BH525" s="330">
        <f t="shared" si="1353"/>
        <v>62776.116</v>
      </c>
      <c r="BJ525" s="370" cm="1">
        <f t="array" ref="BJ525:BM525">_xlfn.LET(_xlpm.data,$R525:$AV525,_xlpm.starts,{1,8,16,23},_xlpm.lengths,{7,7,8,9},_xlpm.arr,_xlfn.MAP(_xlpm.starts,_xlpm.lengths,_xlfn.LAMBDA(_xlpm.s,_xlpm.l,SUM(INDEX(_xlpm.data,,_xlfn.SEQUENCE(,_xlpm.l,_xlpm.s))))),ROUND(_xlpm.arr*$O525/1000,2))</f>
        <v>22.21</v>
      </c>
      <c r="BK525" s="370">
        <v>22.21</v>
      </c>
      <c r="BL525" s="370">
        <v>25.38</v>
      </c>
      <c r="BM525" s="370">
        <v>28.56</v>
      </c>
      <c r="BN525" s="258">
        <f t="shared" si="1354"/>
        <v>98.36</v>
      </c>
      <c r="BO525" s="258">
        <v>23.67</v>
      </c>
      <c r="BP525" s="258">
        <v>23.67</v>
      </c>
      <c r="BQ525" s="258">
        <v>27.05</v>
      </c>
      <c r="BR525" s="258">
        <v>30.43</v>
      </c>
      <c r="BY525" s="258">
        <f t="shared" si="1366"/>
        <v>5460</v>
      </c>
      <c r="BZ525" s="258">
        <f t="shared" si="1367"/>
        <v>5460</v>
      </c>
      <c r="CA525" s="258">
        <f t="shared" si="1368"/>
        <v>6240</v>
      </c>
      <c r="CB525" s="258">
        <f t="shared" si="1369"/>
        <v>7020</v>
      </c>
      <c r="CE525" s="258">
        <f t="shared" si="1355"/>
        <v>22.21</v>
      </c>
      <c r="CF525" s="258">
        <f t="shared" si="1356"/>
        <v>22.21</v>
      </c>
      <c r="CG525" s="258">
        <f t="shared" si="1357"/>
        <v>25.38</v>
      </c>
      <c r="CH525" s="258">
        <f t="shared" si="1358"/>
        <v>28.56</v>
      </c>
      <c r="CI525" s="258">
        <f t="shared" si="1359"/>
        <v>98.36</v>
      </c>
      <c r="CK525" s="258">
        <f t="shared" ref="CK525:CN525" si="1371">ROUND(BY525*$P525,2)</f>
        <v>386622.6</v>
      </c>
      <c r="CL525" s="258">
        <f t="shared" si="1371"/>
        <v>386622.6</v>
      </c>
      <c r="CM525" s="258">
        <f t="shared" si="1371"/>
        <v>441854.4</v>
      </c>
      <c r="CN525" s="258">
        <f t="shared" si="1371"/>
        <v>497086.2</v>
      </c>
      <c r="CO525" s="258">
        <f t="shared" si="1361"/>
        <v>1712185.8</v>
      </c>
      <c r="CP525" s="258" t="e">
        <f>VLOOKUP(G525,[2]Sheet1!$C$3:$G$310,5,0)</f>
        <v>#N/A</v>
      </c>
      <c r="CQ525" s="258" t="e">
        <f>VLOOKUP(G525,[3]KCBB0101!$C$3:$F$691,4,0)</f>
        <v>#N/A</v>
      </c>
    </row>
    <row r="526" spans="5:93">
      <c r="E526" s="385" t="s">
        <v>801</v>
      </c>
      <c r="F526" s="385"/>
      <c r="G526" s="385" t="s">
        <v>802</v>
      </c>
      <c r="H526" s="347">
        <f t="shared" si="1362"/>
        <v>880</v>
      </c>
      <c r="I526" s="347">
        <v>4</v>
      </c>
      <c r="J526" s="347"/>
      <c r="K526" s="347"/>
      <c r="L526" s="347"/>
      <c r="M526" s="349">
        <v>0.76</v>
      </c>
      <c r="N526" s="347"/>
      <c r="O526" s="347">
        <v>4.068</v>
      </c>
      <c r="P526" s="347">
        <v>70.81</v>
      </c>
      <c r="Q526" s="347" t="str">
        <f t="shared" si="1349"/>
        <v/>
      </c>
      <c r="R526" s="347"/>
      <c r="S526" s="347"/>
      <c r="T526" s="347"/>
      <c r="U526" s="347"/>
      <c r="V526" s="347"/>
      <c r="W526" s="347"/>
      <c r="X526" s="347"/>
      <c r="Y526" s="347"/>
      <c r="Z526" s="347"/>
      <c r="AA526" s="347"/>
      <c r="AB526" s="347"/>
      <c r="AC526" s="347"/>
      <c r="AD526" s="347"/>
      <c r="AE526" s="347"/>
      <c r="AF526" s="347"/>
      <c r="AG526" s="347"/>
      <c r="AH526" s="347"/>
      <c r="AI526" s="347"/>
      <c r="AJ526" s="347"/>
      <c r="AK526" s="347"/>
      <c r="AL526" s="347"/>
      <c r="AM526" s="347"/>
      <c r="AN526" s="347"/>
      <c r="AO526" s="347"/>
      <c r="AP526" s="347"/>
      <c r="AQ526" s="347"/>
      <c r="AR526" s="347"/>
      <c r="AS526" s="347"/>
      <c r="AT526" s="347"/>
      <c r="AU526" s="347"/>
      <c r="AV526" s="347"/>
      <c r="AW526" s="347" t="str">
        <f t="shared" si="1363"/>
        <v/>
      </c>
      <c r="AX526" s="365" t="str">
        <f t="shared" si="1364"/>
        <v/>
      </c>
      <c r="AY526" s="365" t="str">
        <f t="shared" si="1365"/>
        <v/>
      </c>
      <c r="AZ526" s="347">
        <v>47.1901</v>
      </c>
      <c r="BA526" s="347">
        <v>2.7041</v>
      </c>
      <c r="BB526" s="347">
        <v>3.1594</v>
      </c>
      <c r="BC526" s="347">
        <v>2.3592</v>
      </c>
      <c r="BE526" s="330" t="e">
        <f t="shared" si="1350"/>
        <v>#VALUE!</v>
      </c>
      <c r="BF526" s="330" t="e">
        <f t="shared" si="1351"/>
        <v>#VALUE!</v>
      </c>
      <c r="BG526" s="330" t="e">
        <f t="shared" si="1352"/>
        <v>#VALUE!</v>
      </c>
      <c r="BH526" s="330" t="e">
        <f t="shared" si="1353"/>
        <v>#VALUE!</v>
      </c>
      <c r="BJ526" s="370" cm="1">
        <f t="array" ref="BJ526:BM526">_xlfn.LET(_xlpm.data,$R526:$AV526,_xlpm.starts,{1,8,16,23},_xlpm.lengths,{7,7,8,9},_xlpm.arr,_xlfn.MAP(_xlpm.starts,_xlpm.lengths,_xlfn.LAMBDA(_xlpm.s,_xlpm.l,SUM(INDEX(_xlpm.data,,_xlfn.SEQUENCE(,_xlpm.l,_xlpm.s))))),ROUND(_xlpm.arr*$O526/1000,2))</f>
        <v>0</v>
      </c>
      <c r="BK526" s="370">
        <v>0</v>
      </c>
      <c r="BL526" s="370">
        <v>0</v>
      </c>
      <c r="BM526" s="370">
        <v>0</v>
      </c>
      <c r="BN526" s="258">
        <f t="shared" si="1354"/>
        <v>0</v>
      </c>
      <c r="BO526" s="258">
        <v>22.78</v>
      </c>
      <c r="BP526" s="258">
        <v>22.78</v>
      </c>
      <c r="BQ526" s="258">
        <v>26.04</v>
      </c>
      <c r="BR526" s="258">
        <v>29.29</v>
      </c>
      <c r="BY526" s="258">
        <f t="shared" si="1366"/>
        <v>0</v>
      </c>
      <c r="BZ526" s="258">
        <f t="shared" si="1367"/>
        <v>0</v>
      </c>
      <c r="CA526" s="258">
        <f t="shared" si="1368"/>
        <v>0</v>
      </c>
      <c r="CB526" s="258">
        <f t="shared" si="1369"/>
        <v>0</v>
      </c>
      <c r="CE526" s="258">
        <f t="shared" si="1355"/>
        <v>0</v>
      </c>
      <c r="CF526" s="258">
        <f t="shared" si="1356"/>
        <v>0</v>
      </c>
      <c r="CG526" s="258">
        <f t="shared" si="1357"/>
        <v>0</v>
      </c>
      <c r="CH526" s="258">
        <f t="shared" si="1358"/>
        <v>0</v>
      </c>
      <c r="CI526" s="258">
        <f t="shared" si="1359"/>
        <v>0</v>
      </c>
      <c r="CK526" s="258">
        <f t="shared" ref="CK526:CN526" si="1372">ROUND(BY526*$P526,2)</f>
        <v>0</v>
      </c>
      <c r="CL526" s="258">
        <f t="shared" si="1372"/>
        <v>0</v>
      </c>
      <c r="CM526" s="258">
        <f t="shared" si="1372"/>
        <v>0</v>
      </c>
      <c r="CN526" s="258">
        <f t="shared" si="1372"/>
        <v>0</v>
      </c>
      <c r="CO526" s="258">
        <f t="shared" si="1361"/>
        <v>0</v>
      </c>
    </row>
    <row r="527" s="258" customFormat="1" spans="1:93">
      <c r="A527" s="330"/>
      <c r="B527" s="331"/>
      <c r="C527" s="331"/>
      <c r="D527" s="331"/>
      <c r="E527" s="385" t="s">
        <v>803</v>
      </c>
      <c r="F527" s="385"/>
      <c r="G527" s="385" t="s">
        <v>804</v>
      </c>
      <c r="H527" s="347">
        <f t="shared" si="1362"/>
        <v>440</v>
      </c>
      <c r="I527" s="347">
        <v>2</v>
      </c>
      <c r="J527" s="347"/>
      <c r="K527" s="347"/>
      <c r="L527" s="347"/>
      <c r="M527" s="349">
        <v>0.76</v>
      </c>
      <c r="N527" s="347"/>
      <c r="O527" s="347">
        <v>3.79</v>
      </c>
      <c r="P527" s="347">
        <v>70.81</v>
      </c>
      <c r="Q527" s="347" t="str">
        <f t="shared" si="1349"/>
        <v/>
      </c>
      <c r="R527" s="347"/>
      <c r="S527" s="347"/>
      <c r="T527" s="347"/>
      <c r="U527" s="347"/>
      <c r="V527" s="347"/>
      <c r="W527" s="347"/>
      <c r="X527" s="347"/>
      <c r="Y527" s="347"/>
      <c r="Z527" s="347"/>
      <c r="AA527" s="347"/>
      <c r="AB527" s="347"/>
      <c r="AC527" s="347"/>
      <c r="AD527" s="347"/>
      <c r="AE527" s="347"/>
      <c r="AF527" s="347"/>
      <c r="AG527" s="347"/>
      <c r="AH527" s="347"/>
      <c r="AI527" s="347"/>
      <c r="AJ527" s="347"/>
      <c r="AK527" s="347"/>
      <c r="AL527" s="347"/>
      <c r="AM527" s="347"/>
      <c r="AN527" s="347"/>
      <c r="AO527" s="347"/>
      <c r="AP527" s="347"/>
      <c r="AQ527" s="347"/>
      <c r="AR527" s="347"/>
      <c r="AS527" s="347"/>
      <c r="AT527" s="347"/>
      <c r="AU527" s="347"/>
      <c r="AV527" s="347"/>
      <c r="AW527" s="347" t="str">
        <f t="shared" si="1363"/>
        <v/>
      </c>
      <c r="AX527" s="365" t="str">
        <f t="shared" si="1364"/>
        <v/>
      </c>
      <c r="AY527" s="365" t="str">
        <f t="shared" si="1365"/>
        <v/>
      </c>
      <c r="AZ527" s="347">
        <v>47.1901</v>
      </c>
      <c r="BA527" s="347">
        <v>2.7041</v>
      </c>
      <c r="BB527" s="347">
        <v>3.1594</v>
      </c>
      <c r="BC527" s="347">
        <v>2.3592</v>
      </c>
      <c r="BD527" s="330"/>
      <c r="BE527" s="330" t="e">
        <f t="shared" si="1350"/>
        <v>#VALUE!</v>
      </c>
      <c r="BF527" s="330" t="e">
        <f t="shared" si="1351"/>
        <v>#VALUE!</v>
      </c>
      <c r="BG527" s="330" t="e">
        <f t="shared" si="1352"/>
        <v>#VALUE!</v>
      </c>
      <c r="BH527" s="330" t="e">
        <f t="shared" si="1353"/>
        <v>#VALUE!</v>
      </c>
      <c r="BI527" s="330"/>
      <c r="BJ527" s="370" cm="1">
        <f t="array" ref="BJ527:BM527">_xlfn.LET(_xlpm.data,$R527:$AV527,_xlpm.starts,{1,8,16,23},_xlpm.lengths,{7,7,8,9},_xlpm.arr,_xlfn.MAP(_xlpm.starts,_xlpm.lengths,_xlfn.LAMBDA(_xlpm.s,_xlpm.l,SUM(INDEX(_xlpm.data,,_xlfn.SEQUENCE(,_xlpm.l,_xlpm.s))))),ROUND(_xlpm.arr*$O527/1000,2))</f>
        <v>0</v>
      </c>
      <c r="BK527" s="370">
        <v>0</v>
      </c>
      <c r="BL527" s="370">
        <v>0</v>
      </c>
      <c r="BM527" s="370">
        <v>0</v>
      </c>
      <c r="BN527" s="258">
        <f t="shared" si="1354"/>
        <v>0</v>
      </c>
      <c r="BO527" s="258">
        <v>22.78</v>
      </c>
      <c r="BP527" s="258">
        <v>22.78</v>
      </c>
      <c r="BQ527" s="258">
        <v>26.04</v>
      </c>
      <c r="BR527" s="258">
        <v>29.29</v>
      </c>
      <c r="BS527" s="115"/>
      <c r="BY527" s="258">
        <f t="shared" si="1366"/>
        <v>0</v>
      </c>
      <c r="BZ527" s="258">
        <f t="shared" si="1367"/>
        <v>0</v>
      </c>
      <c r="CA527" s="258">
        <f t="shared" si="1368"/>
        <v>0</v>
      </c>
      <c r="CB527" s="258">
        <f t="shared" si="1369"/>
        <v>0</v>
      </c>
      <c r="CD527" s="113"/>
      <c r="CE527" s="258">
        <f t="shared" si="1355"/>
        <v>0</v>
      </c>
      <c r="CF527" s="258">
        <f t="shared" si="1356"/>
        <v>0</v>
      </c>
      <c r="CG527" s="258">
        <f t="shared" si="1357"/>
        <v>0</v>
      </c>
      <c r="CH527" s="258">
        <f t="shared" si="1358"/>
        <v>0</v>
      </c>
      <c r="CI527" s="258">
        <f t="shared" si="1359"/>
        <v>0</v>
      </c>
      <c r="CJ527" s="113"/>
      <c r="CK527" s="258">
        <f t="shared" ref="CK527:CN527" si="1373">ROUND(BY527*$P527,2)</f>
        <v>0</v>
      </c>
      <c r="CL527" s="258">
        <f t="shared" si="1373"/>
        <v>0</v>
      </c>
      <c r="CM527" s="258">
        <f t="shared" si="1373"/>
        <v>0</v>
      </c>
      <c r="CN527" s="258">
        <f t="shared" si="1373"/>
        <v>0</v>
      </c>
      <c r="CO527" s="258">
        <f t="shared" si="1361"/>
        <v>0</v>
      </c>
    </row>
    <row r="528" spans="5:95">
      <c r="E528" s="385" t="s">
        <v>803</v>
      </c>
      <c r="F528" s="385"/>
      <c r="G528" s="385" t="s">
        <v>803</v>
      </c>
      <c r="H528" s="347">
        <f t="shared" si="1362"/>
        <v>440</v>
      </c>
      <c r="I528" s="347">
        <v>2</v>
      </c>
      <c r="J528" s="347"/>
      <c r="K528" s="347"/>
      <c r="L528" s="347"/>
      <c r="M528" s="349">
        <v>0.76</v>
      </c>
      <c r="N528" s="347"/>
      <c r="O528" s="347">
        <v>3.79</v>
      </c>
      <c r="P528" s="347">
        <v>59.92</v>
      </c>
      <c r="Q528" s="347" t="str">
        <f t="shared" si="1349"/>
        <v/>
      </c>
      <c r="R528" s="347">
        <f t="shared" ref="R528:AV528" si="1374">4*220</f>
        <v>880</v>
      </c>
      <c r="S528" s="347">
        <f t="shared" si="1374"/>
        <v>880</v>
      </c>
      <c r="T528" s="347">
        <f t="shared" si="1374"/>
        <v>880</v>
      </c>
      <c r="U528" s="347">
        <f t="shared" si="1374"/>
        <v>880</v>
      </c>
      <c r="V528" s="347">
        <f t="shared" si="1374"/>
        <v>880</v>
      </c>
      <c r="W528" s="347">
        <f t="shared" si="1374"/>
        <v>880</v>
      </c>
      <c r="X528" s="347">
        <f t="shared" si="1374"/>
        <v>880</v>
      </c>
      <c r="Y528" s="347">
        <f t="shared" si="1374"/>
        <v>880</v>
      </c>
      <c r="Z528" s="347">
        <f t="shared" si="1374"/>
        <v>880</v>
      </c>
      <c r="AA528" s="347">
        <f t="shared" si="1374"/>
        <v>880</v>
      </c>
      <c r="AB528" s="347">
        <f t="shared" si="1374"/>
        <v>880</v>
      </c>
      <c r="AC528" s="347">
        <f t="shared" si="1374"/>
        <v>880</v>
      </c>
      <c r="AD528" s="347">
        <f t="shared" si="1374"/>
        <v>880</v>
      </c>
      <c r="AE528" s="347">
        <f t="shared" si="1374"/>
        <v>880</v>
      </c>
      <c r="AF528" s="347">
        <f t="shared" si="1374"/>
        <v>880</v>
      </c>
      <c r="AG528" s="347">
        <f t="shared" si="1374"/>
        <v>880</v>
      </c>
      <c r="AH528" s="347">
        <f t="shared" si="1374"/>
        <v>880</v>
      </c>
      <c r="AI528" s="347">
        <f t="shared" si="1374"/>
        <v>880</v>
      </c>
      <c r="AJ528" s="347">
        <f t="shared" si="1374"/>
        <v>880</v>
      </c>
      <c r="AK528" s="347">
        <f t="shared" si="1374"/>
        <v>880</v>
      </c>
      <c r="AL528" s="347">
        <f t="shared" si="1374"/>
        <v>880</v>
      </c>
      <c r="AM528" s="347">
        <f t="shared" si="1374"/>
        <v>880</v>
      </c>
      <c r="AN528" s="347">
        <f t="shared" si="1374"/>
        <v>880</v>
      </c>
      <c r="AO528" s="347">
        <f t="shared" si="1374"/>
        <v>880</v>
      </c>
      <c r="AP528" s="347">
        <f t="shared" si="1374"/>
        <v>880</v>
      </c>
      <c r="AQ528" s="347">
        <f t="shared" si="1374"/>
        <v>880</v>
      </c>
      <c r="AR528" s="347">
        <f t="shared" si="1374"/>
        <v>880</v>
      </c>
      <c r="AS528" s="347">
        <f t="shared" si="1374"/>
        <v>880</v>
      </c>
      <c r="AT528" s="347">
        <f t="shared" si="1374"/>
        <v>880</v>
      </c>
      <c r="AU528" s="347">
        <f t="shared" si="1374"/>
        <v>880</v>
      </c>
      <c r="AV528" s="347">
        <f t="shared" si="1374"/>
        <v>880</v>
      </c>
      <c r="AW528" s="347">
        <f t="shared" si="1363"/>
        <v>27280</v>
      </c>
      <c r="AX528" s="365">
        <f t="shared" si="1364"/>
        <v>103.3912</v>
      </c>
      <c r="AY528" s="365">
        <f t="shared" si="1365"/>
        <v>163.462</v>
      </c>
      <c r="AZ528" s="347">
        <v>44.5248</v>
      </c>
      <c r="BA528" s="347">
        <v>2.57</v>
      </c>
      <c r="BB528" s="347">
        <v>3.0027</v>
      </c>
      <c r="BC528" s="347">
        <v>2.2422</v>
      </c>
      <c r="BE528" s="330">
        <f t="shared" si="1350"/>
        <v>1214636.544</v>
      </c>
      <c r="BF528" s="330">
        <f t="shared" si="1351"/>
        <v>70109.6</v>
      </c>
      <c r="BG528" s="330">
        <f t="shared" si="1352"/>
        <v>81913.656</v>
      </c>
      <c r="BH528" s="330">
        <f t="shared" si="1353"/>
        <v>61167.216</v>
      </c>
      <c r="BJ528" s="370" cm="1">
        <f t="array" ref="BJ528:BM528">_xlfn.LET(_xlpm.data,$R528:$AV528,_xlpm.starts,{1,8,16,23},_xlpm.lengths,{7,7,8,9},_xlpm.arr,_xlfn.MAP(_xlpm.starts,_xlpm.lengths,_xlfn.LAMBDA(_xlpm.s,_xlpm.l,SUM(INDEX(_xlpm.data,,_xlfn.SEQUENCE(,_xlpm.l,_xlpm.s))))),ROUND(_xlpm.arr*$O528/1000,2))</f>
        <v>23.35</v>
      </c>
      <c r="BK528" s="370">
        <v>23.35</v>
      </c>
      <c r="BL528" s="370">
        <v>26.68</v>
      </c>
      <c r="BM528" s="370">
        <v>30.02</v>
      </c>
      <c r="BN528" s="258">
        <f t="shared" si="1354"/>
        <v>103.4</v>
      </c>
      <c r="BO528" s="258">
        <v>21.22</v>
      </c>
      <c r="BP528" s="258">
        <v>21.22</v>
      </c>
      <c r="BQ528" s="258">
        <v>24.26</v>
      </c>
      <c r="BR528" s="258">
        <v>27.29</v>
      </c>
      <c r="BY528" s="258">
        <f t="shared" si="1366"/>
        <v>6160</v>
      </c>
      <c r="BZ528" s="258">
        <f t="shared" si="1367"/>
        <v>6160</v>
      </c>
      <c r="CA528" s="258">
        <f t="shared" si="1368"/>
        <v>7040</v>
      </c>
      <c r="CB528" s="258">
        <f t="shared" si="1369"/>
        <v>7920</v>
      </c>
      <c r="CE528" s="258">
        <f t="shared" si="1355"/>
        <v>23.35</v>
      </c>
      <c r="CF528" s="258">
        <f t="shared" si="1356"/>
        <v>23.35</v>
      </c>
      <c r="CG528" s="258">
        <f t="shared" si="1357"/>
        <v>26.68</v>
      </c>
      <c r="CH528" s="258">
        <f t="shared" si="1358"/>
        <v>30.02</v>
      </c>
      <c r="CI528" s="258">
        <f t="shared" si="1359"/>
        <v>103.4</v>
      </c>
      <c r="CK528" s="258">
        <f t="shared" ref="CK528:CN528" si="1375">ROUND(BY528*$P528,2)</f>
        <v>369107.2</v>
      </c>
      <c r="CL528" s="258">
        <f t="shared" si="1375"/>
        <v>369107.2</v>
      </c>
      <c r="CM528" s="258">
        <f t="shared" si="1375"/>
        <v>421836.8</v>
      </c>
      <c r="CN528" s="258">
        <f t="shared" si="1375"/>
        <v>474566.4</v>
      </c>
      <c r="CO528" s="258">
        <f t="shared" si="1361"/>
        <v>1634617.6</v>
      </c>
      <c r="CP528" s="258" t="e">
        <f>VLOOKUP(G528,[2]Sheet1!$C$3:$G$310,5,0)</f>
        <v>#N/A</v>
      </c>
      <c r="CQ528" s="258" t="e">
        <f>VLOOKUP(G528,[3]KCBB0101!$C$3:$F$691,4,0)</f>
        <v>#N/A</v>
      </c>
    </row>
    <row r="529" spans="5:93">
      <c r="E529" s="385" t="s">
        <v>805</v>
      </c>
      <c r="F529" s="385"/>
      <c r="G529" s="385" t="s">
        <v>806</v>
      </c>
      <c r="H529" s="347">
        <f t="shared" si="1362"/>
        <v>440</v>
      </c>
      <c r="I529" s="347">
        <v>2</v>
      </c>
      <c r="J529" s="347"/>
      <c r="K529" s="347"/>
      <c r="L529" s="347"/>
      <c r="M529" s="349">
        <v>0.76</v>
      </c>
      <c r="N529" s="347"/>
      <c r="O529" s="347">
        <v>3.351</v>
      </c>
      <c r="P529" s="347">
        <v>50.73</v>
      </c>
      <c r="Q529" s="347" t="str">
        <f t="shared" si="1349"/>
        <v/>
      </c>
      <c r="R529" s="347"/>
      <c r="S529" s="347"/>
      <c r="T529" s="347"/>
      <c r="U529" s="347"/>
      <c r="V529" s="347"/>
      <c r="W529" s="347"/>
      <c r="X529" s="347"/>
      <c r="Y529" s="347"/>
      <c r="Z529" s="347"/>
      <c r="AA529" s="347"/>
      <c r="AB529" s="347"/>
      <c r="AC529" s="347"/>
      <c r="AD529" s="347"/>
      <c r="AE529" s="347"/>
      <c r="AF529" s="347"/>
      <c r="AG529" s="347"/>
      <c r="AH529" s="347"/>
      <c r="AI529" s="347"/>
      <c r="AJ529" s="347"/>
      <c r="AK529" s="347"/>
      <c r="AL529" s="347"/>
      <c r="AM529" s="347"/>
      <c r="AN529" s="347"/>
      <c r="AO529" s="347"/>
      <c r="AP529" s="347"/>
      <c r="AQ529" s="347"/>
      <c r="AR529" s="347"/>
      <c r="AS529" s="347"/>
      <c r="AT529" s="347"/>
      <c r="AU529" s="347"/>
      <c r="AV529" s="347"/>
      <c r="AW529" s="347" t="str">
        <f t="shared" si="1363"/>
        <v/>
      </c>
      <c r="AX529" s="365" t="str">
        <f t="shared" si="1364"/>
        <v/>
      </c>
      <c r="AY529" s="365" t="str">
        <f t="shared" si="1365"/>
        <v/>
      </c>
      <c r="AZ529" s="347">
        <v>38.9478</v>
      </c>
      <c r="BA529" s="347">
        <v>2.3307</v>
      </c>
      <c r="BB529" s="347">
        <v>2.7231</v>
      </c>
      <c r="BC529" s="347">
        <v>2.0334</v>
      </c>
      <c r="BE529" s="330" t="e">
        <f t="shared" si="1350"/>
        <v>#VALUE!</v>
      </c>
      <c r="BF529" s="330" t="e">
        <f t="shared" si="1351"/>
        <v>#VALUE!</v>
      </c>
      <c r="BG529" s="330" t="e">
        <f t="shared" si="1352"/>
        <v>#VALUE!</v>
      </c>
      <c r="BH529" s="330" t="e">
        <f t="shared" si="1353"/>
        <v>#VALUE!</v>
      </c>
      <c r="BJ529" s="370" cm="1">
        <f t="array" ref="BJ529:BM529">_xlfn.LET(_xlpm.data,$R529:$AV529,_xlpm.starts,{1,8,16,23},_xlpm.lengths,{7,7,8,9},_xlpm.arr,_xlfn.MAP(_xlpm.starts,_xlpm.lengths,_xlfn.LAMBDA(_xlpm.s,_xlpm.l,SUM(INDEX(_xlpm.data,,_xlfn.SEQUENCE(,_xlpm.l,_xlpm.s))))),ROUND(_xlpm.arr*$O529/1000,2))</f>
        <v>0</v>
      </c>
      <c r="BK529" s="370">
        <v>0</v>
      </c>
      <c r="BL529" s="370">
        <v>0</v>
      </c>
      <c r="BM529" s="370">
        <v>0</v>
      </c>
      <c r="BN529" s="258">
        <f t="shared" si="1354"/>
        <v>0</v>
      </c>
      <c r="BO529" s="258">
        <v>18.77</v>
      </c>
      <c r="BP529" s="258">
        <v>18.77</v>
      </c>
      <c r="BQ529" s="258">
        <v>21.45</v>
      </c>
      <c r="BR529" s="258">
        <v>24.13</v>
      </c>
      <c r="BY529" s="258">
        <f t="shared" si="1366"/>
        <v>0</v>
      </c>
      <c r="BZ529" s="258">
        <f t="shared" si="1367"/>
        <v>0</v>
      </c>
      <c r="CA529" s="258">
        <f t="shared" si="1368"/>
        <v>0</v>
      </c>
      <c r="CB529" s="258">
        <f t="shared" si="1369"/>
        <v>0</v>
      </c>
      <c r="CE529" s="258">
        <f t="shared" si="1355"/>
        <v>0</v>
      </c>
      <c r="CF529" s="258">
        <f t="shared" si="1356"/>
        <v>0</v>
      </c>
      <c r="CG529" s="258">
        <f t="shared" si="1357"/>
        <v>0</v>
      </c>
      <c r="CH529" s="258">
        <f t="shared" si="1358"/>
        <v>0</v>
      </c>
      <c r="CI529" s="258">
        <f t="shared" si="1359"/>
        <v>0</v>
      </c>
      <c r="CK529" s="258">
        <f t="shared" ref="CK529:CN529" si="1376">ROUND(BY529*$P529,2)</f>
        <v>0</v>
      </c>
      <c r="CL529" s="258">
        <f t="shared" si="1376"/>
        <v>0</v>
      </c>
      <c r="CM529" s="258">
        <f t="shared" si="1376"/>
        <v>0</v>
      </c>
      <c r="CN529" s="258">
        <f t="shared" si="1376"/>
        <v>0</v>
      </c>
      <c r="CO529" s="258">
        <f t="shared" si="1361"/>
        <v>0</v>
      </c>
    </row>
    <row r="530" s="258" customFormat="1" spans="1:95">
      <c r="A530" s="330"/>
      <c r="B530" s="331"/>
      <c r="C530" s="331"/>
      <c r="D530" s="331"/>
      <c r="E530" s="385" t="s">
        <v>805</v>
      </c>
      <c r="F530" s="385"/>
      <c r="G530" s="385" t="s">
        <v>805</v>
      </c>
      <c r="H530" s="347">
        <f t="shared" si="1362"/>
        <v>440</v>
      </c>
      <c r="I530" s="347">
        <v>2</v>
      </c>
      <c r="J530" s="347"/>
      <c r="K530" s="347"/>
      <c r="L530" s="347"/>
      <c r="M530" s="349">
        <v>0.76</v>
      </c>
      <c r="N530" s="347"/>
      <c r="O530" s="347">
        <v>3.351</v>
      </c>
      <c r="P530" s="347">
        <v>53.73</v>
      </c>
      <c r="Q530" s="347" t="str">
        <f t="shared" si="1349"/>
        <v/>
      </c>
      <c r="R530" s="347">
        <f t="shared" ref="R530:AV530" si="1377">6*200</f>
        <v>1200</v>
      </c>
      <c r="S530" s="347">
        <f t="shared" si="1377"/>
        <v>1200</v>
      </c>
      <c r="T530" s="347">
        <f t="shared" si="1377"/>
        <v>1200</v>
      </c>
      <c r="U530" s="347">
        <f t="shared" si="1377"/>
        <v>1200</v>
      </c>
      <c r="V530" s="347">
        <f t="shared" si="1377"/>
        <v>1200</v>
      </c>
      <c r="W530" s="347">
        <f t="shared" si="1377"/>
        <v>1200</v>
      </c>
      <c r="X530" s="347">
        <f t="shared" si="1377"/>
        <v>1200</v>
      </c>
      <c r="Y530" s="347">
        <f t="shared" si="1377"/>
        <v>1200</v>
      </c>
      <c r="Z530" s="347">
        <f t="shared" si="1377"/>
        <v>1200</v>
      </c>
      <c r="AA530" s="347">
        <f t="shared" si="1377"/>
        <v>1200</v>
      </c>
      <c r="AB530" s="347">
        <f t="shared" si="1377"/>
        <v>1200</v>
      </c>
      <c r="AC530" s="347">
        <f t="shared" si="1377"/>
        <v>1200</v>
      </c>
      <c r="AD530" s="347">
        <f t="shared" si="1377"/>
        <v>1200</v>
      </c>
      <c r="AE530" s="347">
        <f t="shared" si="1377"/>
        <v>1200</v>
      </c>
      <c r="AF530" s="347">
        <f t="shared" si="1377"/>
        <v>1200</v>
      </c>
      <c r="AG530" s="347">
        <f t="shared" si="1377"/>
        <v>1200</v>
      </c>
      <c r="AH530" s="347">
        <f t="shared" si="1377"/>
        <v>1200</v>
      </c>
      <c r="AI530" s="347">
        <f t="shared" si="1377"/>
        <v>1200</v>
      </c>
      <c r="AJ530" s="347">
        <f t="shared" si="1377"/>
        <v>1200</v>
      </c>
      <c r="AK530" s="347">
        <f t="shared" si="1377"/>
        <v>1200</v>
      </c>
      <c r="AL530" s="347">
        <f t="shared" si="1377"/>
        <v>1200</v>
      </c>
      <c r="AM530" s="347">
        <f t="shared" si="1377"/>
        <v>1200</v>
      </c>
      <c r="AN530" s="347">
        <f t="shared" si="1377"/>
        <v>1200</v>
      </c>
      <c r="AO530" s="347">
        <f t="shared" si="1377"/>
        <v>1200</v>
      </c>
      <c r="AP530" s="347">
        <f t="shared" si="1377"/>
        <v>1200</v>
      </c>
      <c r="AQ530" s="347">
        <f t="shared" si="1377"/>
        <v>1200</v>
      </c>
      <c r="AR530" s="347">
        <f t="shared" si="1377"/>
        <v>1200</v>
      </c>
      <c r="AS530" s="347">
        <f t="shared" si="1377"/>
        <v>1200</v>
      </c>
      <c r="AT530" s="347">
        <f t="shared" si="1377"/>
        <v>1200</v>
      </c>
      <c r="AU530" s="347">
        <f t="shared" si="1377"/>
        <v>1200</v>
      </c>
      <c r="AV530" s="347">
        <f t="shared" si="1377"/>
        <v>1200</v>
      </c>
      <c r="AW530" s="347">
        <f t="shared" si="1363"/>
        <v>37200</v>
      </c>
      <c r="AX530" s="365">
        <f t="shared" si="1364"/>
        <v>124.6572</v>
      </c>
      <c r="AY530" s="365">
        <f t="shared" si="1365"/>
        <v>199.876</v>
      </c>
      <c r="AZ530" s="347">
        <v>38.9478</v>
      </c>
      <c r="BA530" s="347">
        <v>2.3307</v>
      </c>
      <c r="BB530" s="347">
        <v>2.7231</v>
      </c>
      <c r="BC530" s="347">
        <v>2.0334</v>
      </c>
      <c r="BD530" s="330"/>
      <c r="BE530" s="330">
        <f t="shared" si="1350"/>
        <v>1448858.16</v>
      </c>
      <c r="BF530" s="330">
        <f t="shared" si="1351"/>
        <v>86702.04</v>
      </c>
      <c r="BG530" s="330">
        <f t="shared" si="1352"/>
        <v>101299.32</v>
      </c>
      <c r="BH530" s="330">
        <f t="shared" si="1353"/>
        <v>75642.48</v>
      </c>
      <c r="BI530" s="330"/>
      <c r="BJ530" s="370" cm="1">
        <f t="array" ref="BJ530:BM530">_xlfn.LET(_xlpm.data,$R530:$AV530,_xlpm.starts,{1,8,16,23},_xlpm.lengths,{7,7,8,9},_xlpm.arr,_xlfn.MAP(_xlpm.starts,_xlpm.lengths,_xlfn.LAMBDA(_xlpm.s,_xlpm.l,SUM(INDEX(_xlpm.data,,_xlfn.SEQUENCE(,_xlpm.l,_xlpm.s))))),ROUND(_xlpm.arr*$O530/1000,2))</f>
        <v>28.15</v>
      </c>
      <c r="BK530" s="370">
        <v>28.15</v>
      </c>
      <c r="BL530" s="370">
        <v>32.17</v>
      </c>
      <c r="BM530" s="370">
        <v>36.19</v>
      </c>
      <c r="BN530" s="258">
        <f t="shared" si="1354"/>
        <v>124.66</v>
      </c>
      <c r="BO530" s="258">
        <v>18.77</v>
      </c>
      <c r="BP530" s="258">
        <v>18.77</v>
      </c>
      <c r="BQ530" s="258">
        <v>21.45</v>
      </c>
      <c r="BR530" s="258">
        <v>24.13</v>
      </c>
      <c r="BS530" s="115"/>
      <c r="BY530" s="258">
        <f t="shared" si="1366"/>
        <v>8400</v>
      </c>
      <c r="BZ530" s="258">
        <f t="shared" si="1367"/>
        <v>8400</v>
      </c>
      <c r="CA530" s="258">
        <f t="shared" si="1368"/>
        <v>9600</v>
      </c>
      <c r="CB530" s="258">
        <f t="shared" si="1369"/>
        <v>10800</v>
      </c>
      <c r="CD530" s="113"/>
      <c r="CE530" s="258">
        <f t="shared" si="1355"/>
        <v>28.15</v>
      </c>
      <c r="CF530" s="258">
        <f t="shared" si="1356"/>
        <v>28.15</v>
      </c>
      <c r="CG530" s="258">
        <f t="shared" si="1357"/>
        <v>32.17</v>
      </c>
      <c r="CH530" s="258">
        <f t="shared" si="1358"/>
        <v>36.19</v>
      </c>
      <c r="CI530" s="258">
        <f t="shared" si="1359"/>
        <v>124.66</v>
      </c>
      <c r="CJ530" s="113"/>
      <c r="CK530" s="258">
        <f t="shared" ref="CK530:CN530" si="1378">ROUND(BY530*$P530,2)</f>
        <v>451332</v>
      </c>
      <c r="CL530" s="258">
        <f t="shared" si="1378"/>
        <v>451332</v>
      </c>
      <c r="CM530" s="258">
        <f t="shared" si="1378"/>
        <v>515808</v>
      </c>
      <c r="CN530" s="258">
        <f t="shared" si="1378"/>
        <v>580284</v>
      </c>
      <c r="CO530" s="258">
        <f t="shared" si="1361"/>
        <v>1998756</v>
      </c>
      <c r="CP530" s="258" t="e">
        <f>VLOOKUP(G530,[2]Sheet1!$C$3:$G$310,5,0)</f>
        <v>#N/A</v>
      </c>
      <c r="CQ530" s="258" t="e">
        <f>VLOOKUP(G530,[3]KCBB0101!$C$3:$F$691,4,0)</f>
        <v>#N/A</v>
      </c>
    </row>
    <row r="531" spans="5:95">
      <c r="E531" s="385" t="s">
        <v>807</v>
      </c>
      <c r="F531" s="385"/>
      <c r="G531" s="385" t="s">
        <v>807</v>
      </c>
      <c r="H531" s="347">
        <f>I531*135*2</f>
        <v>1080</v>
      </c>
      <c r="I531" s="347">
        <v>4</v>
      </c>
      <c r="J531" s="347"/>
      <c r="K531" s="347"/>
      <c r="L531" s="347"/>
      <c r="M531" s="349">
        <v>0.76</v>
      </c>
      <c r="N531" s="347"/>
      <c r="O531" s="347">
        <v>1.769</v>
      </c>
      <c r="P531" s="347">
        <v>31.31</v>
      </c>
      <c r="Q531" s="347" t="str">
        <f t="shared" si="1349"/>
        <v/>
      </c>
      <c r="R531" s="347">
        <f t="shared" ref="R531:AV531" si="1379">4*260</f>
        <v>1040</v>
      </c>
      <c r="S531" s="347">
        <f t="shared" si="1379"/>
        <v>1040</v>
      </c>
      <c r="T531" s="347">
        <f t="shared" si="1379"/>
        <v>1040</v>
      </c>
      <c r="U531" s="347">
        <f t="shared" si="1379"/>
        <v>1040</v>
      </c>
      <c r="V531" s="347">
        <f t="shared" si="1379"/>
        <v>1040</v>
      </c>
      <c r="W531" s="347">
        <f t="shared" si="1379"/>
        <v>1040</v>
      </c>
      <c r="X531" s="347">
        <f t="shared" si="1379"/>
        <v>1040</v>
      </c>
      <c r="Y531" s="347">
        <f t="shared" si="1379"/>
        <v>1040</v>
      </c>
      <c r="Z531" s="347">
        <f t="shared" si="1379"/>
        <v>1040</v>
      </c>
      <c r="AA531" s="347">
        <f t="shared" si="1379"/>
        <v>1040</v>
      </c>
      <c r="AB531" s="347">
        <f t="shared" si="1379"/>
        <v>1040</v>
      </c>
      <c r="AC531" s="347">
        <f t="shared" si="1379"/>
        <v>1040</v>
      </c>
      <c r="AD531" s="347">
        <f t="shared" si="1379"/>
        <v>1040</v>
      </c>
      <c r="AE531" s="347">
        <f t="shared" si="1379"/>
        <v>1040</v>
      </c>
      <c r="AF531" s="347">
        <f t="shared" si="1379"/>
        <v>1040</v>
      </c>
      <c r="AG531" s="347">
        <f t="shared" si="1379"/>
        <v>1040</v>
      </c>
      <c r="AH531" s="347">
        <f t="shared" si="1379"/>
        <v>1040</v>
      </c>
      <c r="AI531" s="347">
        <f t="shared" si="1379"/>
        <v>1040</v>
      </c>
      <c r="AJ531" s="347">
        <f t="shared" si="1379"/>
        <v>1040</v>
      </c>
      <c r="AK531" s="347">
        <f t="shared" si="1379"/>
        <v>1040</v>
      </c>
      <c r="AL531" s="347">
        <f t="shared" si="1379"/>
        <v>1040</v>
      </c>
      <c r="AM531" s="347">
        <f t="shared" si="1379"/>
        <v>1040</v>
      </c>
      <c r="AN531" s="347">
        <f t="shared" si="1379"/>
        <v>1040</v>
      </c>
      <c r="AO531" s="347">
        <f t="shared" si="1379"/>
        <v>1040</v>
      </c>
      <c r="AP531" s="347">
        <f t="shared" si="1379"/>
        <v>1040</v>
      </c>
      <c r="AQ531" s="347">
        <f t="shared" si="1379"/>
        <v>1040</v>
      </c>
      <c r="AR531" s="347">
        <f t="shared" si="1379"/>
        <v>1040</v>
      </c>
      <c r="AS531" s="347">
        <f t="shared" si="1379"/>
        <v>1040</v>
      </c>
      <c r="AT531" s="347">
        <f t="shared" si="1379"/>
        <v>1040</v>
      </c>
      <c r="AU531" s="347">
        <f t="shared" si="1379"/>
        <v>1040</v>
      </c>
      <c r="AV531" s="347">
        <f t="shared" si="1379"/>
        <v>1040</v>
      </c>
      <c r="AW531" s="347">
        <f t="shared" si="1363"/>
        <v>32240</v>
      </c>
      <c r="AX531" s="365">
        <f t="shared" si="1364"/>
        <v>57.03256</v>
      </c>
      <c r="AY531" s="365">
        <f t="shared" si="1365"/>
        <v>100.943</v>
      </c>
      <c r="AZ531" s="347">
        <v>22.8162</v>
      </c>
      <c r="BA531" s="347">
        <v>1.4581</v>
      </c>
      <c r="BB531" s="347">
        <v>1.7036</v>
      </c>
      <c r="BC531" s="347">
        <v>1.2722</v>
      </c>
      <c r="BE531" s="330">
        <f t="shared" si="1350"/>
        <v>735594.288</v>
      </c>
      <c r="BF531" s="330">
        <f t="shared" si="1351"/>
        <v>47009.144</v>
      </c>
      <c r="BG531" s="330">
        <f t="shared" si="1352"/>
        <v>54924.064</v>
      </c>
      <c r="BH531" s="330">
        <f t="shared" si="1353"/>
        <v>41015.728</v>
      </c>
      <c r="BJ531" s="370" cm="1">
        <f t="array" ref="BJ531:BM531">_xlfn.LET(_xlpm.data,$R531:$AV531,_xlpm.starts,{1,8,16,23},_xlpm.lengths,{7,7,8,9},_xlpm.arr,_xlfn.MAP(_xlpm.starts,_xlpm.lengths,_xlfn.LAMBDA(_xlpm.s,_xlpm.l,SUM(INDEX(_xlpm.data,,_xlfn.SEQUENCE(,_xlpm.l,_xlpm.s))))),ROUND(_xlpm.arr*$O531/1000,2))</f>
        <v>12.88</v>
      </c>
      <c r="BK531" s="370">
        <v>12.88</v>
      </c>
      <c r="BL531" s="370">
        <v>14.72</v>
      </c>
      <c r="BM531" s="370">
        <v>16.56</v>
      </c>
      <c r="BN531" s="258">
        <f t="shared" si="1354"/>
        <v>57.04</v>
      </c>
      <c r="BO531" s="258">
        <v>11.14</v>
      </c>
      <c r="BP531" s="258">
        <v>11.14</v>
      </c>
      <c r="BQ531" s="258">
        <v>12.74</v>
      </c>
      <c r="BR531" s="258">
        <v>14.33</v>
      </c>
      <c r="BY531" s="258">
        <f t="shared" si="1366"/>
        <v>7280</v>
      </c>
      <c r="BZ531" s="258">
        <f t="shared" si="1367"/>
        <v>7280</v>
      </c>
      <c r="CA531" s="258">
        <f t="shared" si="1368"/>
        <v>8320</v>
      </c>
      <c r="CB531" s="258">
        <f t="shared" si="1369"/>
        <v>9360</v>
      </c>
      <c r="CE531" s="258">
        <f t="shared" si="1355"/>
        <v>12.88</v>
      </c>
      <c r="CF531" s="258">
        <f t="shared" si="1356"/>
        <v>12.88</v>
      </c>
      <c r="CG531" s="258">
        <f t="shared" si="1357"/>
        <v>14.72</v>
      </c>
      <c r="CH531" s="258">
        <f t="shared" si="1358"/>
        <v>16.56</v>
      </c>
      <c r="CI531" s="258">
        <f t="shared" si="1359"/>
        <v>57.04</v>
      </c>
      <c r="CK531" s="258">
        <f t="shared" ref="CK531:CN531" si="1380">ROUND(BY531*$P531,2)</f>
        <v>227936.8</v>
      </c>
      <c r="CL531" s="258">
        <f t="shared" si="1380"/>
        <v>227936.8</v>
      </c>
      <c r="CM531" s="258">
        <f t="shared" si="1380"/>
        <v>260499.2</v>
      </c>
      <c r="CN531" s="258">
        <f t="shared" si="1380"/>
        <v>293061.6</v>
      </c>
      <c r="CO531" s="258">
        <f t="shared" si="1361"/>
        <v>1009434.4</v>
      </c>
      <c r="CP531" s="258" t="e">
        <f>VLOOKUP(G531,[2]Sheet1!$C$3:$G$310,5,0)</f>
        <v>#N/A</v>
      </c>
      <c r="CQ531" s="258" t="e">
        <f>VLOOKUP(G531,[3]KCBB0101!$C$3:$F$691,4,0)</f>
        <v>#N/A</v>
      </c>
    </row>
    <row r="532" spans="5:87">
      <c r="E532" s="385" t="s">
        <v>808</v>
      </c>
      <c r="F532" s="385"/>
      <c r="G532" s="385" t="s">
        <v>808</v>
      </c>
      <c r="H532" s="347"/>
      <c r="I532" s="347">
        <v>1</v>
      </c>
      <c r="J532" s="347"/>
      <c r="K532" s="347"/>
      <c r="L532" s="347"/>
      <c r="M532" s="349" t="str">
        <f>IF(K532="","",K532/(K532+#REF!/60))</f>
        <v/>
      </c>
      <c r="N532" s="347"/>
      <c r="O532" s="347"/>
      <c r="P532" s="347"/>
      <c r="Q532" s="347">
        <v>280</v>
      </c>
      <c r="R532" s="347"/>
      <c r="S532" s="347"/>
      <c r="T532" s="347"/>
      <c r="U532" s="347"/>
      <c r="V532" s="347"/>
      <c r="W532" s="347"/>
      <c r="X532" s="347"/>
      <c r="Y532" s="347"/>
      <c r="Z532" s="347"/>
      <c r="AA532" s="347"/>
      <c r="AB532" s="347"/>
      <c r="AC532" s="347"/>
      <c r="AD532" s="347"/>
      <c r="AE532" s="347"/>
      <c r="AF532" s="347"/>
      <c r="AG532" s="347"/>
      <c r="AH532" s="347"/>
      <c r="AI532" s="347"/>
      <c r="AJ532" s="347"/>
      <c r="AK532" s="347"/>
      <c r="AL532" s="347"/>
      <c r="AM532" s="347"/>
      <c r="AN532" s="347"/>
      <c r="AO532" s="347"/>
      <c r="AP532" s="347"/>
      <c r="AQ532" s="347"/>
      <c r="AR532" s="347"/>
      <c r="AS532" s="347"/>
      <c r="AT532" s="347"/>
      <c r="AU532" s="347"/>
      <c r="AV532" s="347"/>
      <c r="AW532" s="347" t="str">
        <f t="shared" si="1363"/>
        <v/>
      </c>
      <c r="AX532" s="365" t="str">
        <f t="shared" si="1364"/>
        <v/>
      </c>
      <c r="AY532" s="365" t="str">
        <f t="shared" si="1365"/>
        <v/>
      </c>
      <c r="BE532" s="330" t="e">
        <f t="shared" ref="BE532:BH532" si="1381">SUM(BE522:BE530)</f>
        <v>#VALUE!</v>
      </c>
      <c r="BF532" s="330" t="e">
        <f t="shared" si="1381"/>
        <v>#VALUE!</v>
      </c>
      <c r="BG532" s="330" t="e">
        <f t="shared" si="1381"/>
        <v>#VALUE!</v>
      </c>
      <c r="BH532" s="330" t="e">
        <f t="shared" si="1381"/>
        <v>#VALUE!</v>
      </c>
      <c r="BJ532" s="370" cm="1">
        <f t="array" ref="BJ532">SUMPRODUCT(IF(ISNUMBER(BJ522:BJ530),BJ522:BJ530,0),IF(ISERROR(BJ522:BJ530),0,1))</f>
        <v>100.9</v>
      </c>
      <c r="BK532" s="370" cm="1">
        <f t="array" ref="BK532">SUMPRODUCT(IF(ISNUMBER(BK522:BK530),BK522:BK530,0),IF(ISERROR(BK522:BK530),0,1))</f>
        <v>100.9</v>
      </c>
      <c r="BL532" s="370" cm="1">
        <f t="array" ref="BL532">SUMPRODUCT(IF(ISNUMBER(BL522:BL530),BL522:BL530,0),IF(ISERROR(BL522:BL530),0,1))</f>
        <v>115.3</v>
      </c>
      <c r="BM532" s="370" cm="1">
        <f t="array" ref="BM532">SUMPRODUCT(IF(ISNUMBER(BM522:BM530),BM522:BM530,0),IF(ISERROR(BM522:BM530),0,1))</f>
        <v>129.72</v>
      </c>
      <c r="BN532" s="258">
        <f t="shared" si="1354"/>
        <v>446.82</v>
      </c>
      <c r="BO532" s="258">
        <v>128.28</v>
      </c>
      <c r="BP532" s="258">
        <v>128.28</v>
      </c>
      <c r="BQ532" s="258">
        <v>146.62</v>
      </c>
      <c r="BR532" s="258">
        <v>164.95</v>
      </c>
      <c r="BY532" s="258">
        <f t="shared" si="1366"/>
        <v>0</v>
      </c>
      <c r="BZ532" s="258">
        <f t="shared" si="1367"/>
        <v>0</v>
      </c>
      <c r="CA532" s="258">
        <f t="shared" si="1368"/>
        <v>0</v>
      </c>
      <c r="CB532" s="258">
        <f t="shared" si="1369"/>
        <v>0</v>
      </c>
      <c r="CE532" s="258">
        <f t="shared" si="1355"/>
        <v>0</v>
      </c>
      <c r="CF532" s="258">
        <f t="shared" si="1356"/>
        <v>0</v>
      </c>
      <c r="CG532" s="258">
        <f t="shared" si="1357"/>
        <v>0</v>
      </c>
      <c r="CH532" s="258">
        <f t="shared" si="1358"/>
        <v>0</v>
      </c>
      <c r="CI532" s="258">
        <f t="shared" si="1359"/>
        <v>0</v>
      </c>
    </row>
    <row r="533" spans="5:95">
      <c r="E533" s="385" t="s">
        <v>809</v>
      </c>
      <c r="F533" s="385"/>
      <c r="G533" s="385" t="s">
        <v>809</v>
      </c>
      <c r="H533" s="347"/>
      <c r="I533" s="347"/>
      <c r="J533" s="347"/>
      <c r="K533" s="347"/>
      <c r="L533" s="347"/>
      <c r="M533" s="349" t="str">
        <f>IF(K533="","",K533/(K533+#REF!/60))</f>
        <v/>
      </c>
      <c r="N533" s="347"/>
      <c r="O533" s="347">
        <v>1.769</v>
      </c>
      <c r="P533" s="347"/>
      <c r="Q533" s="347" t="str">
        <f>IFERROR(ROUND(1440/K533*I533*M533,0),"")</f>
        <v/>
      </c>
      <c r="R533" s="347">
        <v>250</v>
      </c>
      <c r="S533" s="347">
        <v>250</v>
      </c>
      <c r="T533" s="347">
        <v>250</v>
      </c>
      <c r="U533" s="347">
        <v>250</v>
      </c>
      <c r="V533" s="347">
        <v>250</v>
      </c>
      <c r="W533" s="347">
        <v>250</v>
      </c>
      <c r="X533" s="347">
        <v>250</v>
      </c>
      <c r="Y533" s="347">
        <v>250</v>
      </c>
      <c r="Z533" s="347">
        <v>250</v>
      </c>
      <c r="AA533" s="347">
        <v>250</v>
      </c>
      <c r="AB533" s="347">
        <v>250</v>
      </c>
      <c r="AC533" s="347">
        <v>250</v>
      </c>
      <c r="AD533" s="347">
        <v>250</v>
      </c>
      <c r="AE533" s="347">
        <v>250</v>
      </c>
      <c r="AF533" s="347">
        <v>250</v>
      </c>
      <c r="AG533" s="347">
        <v>250</v>
      </c>
      <c r="AH533" s="347">
        <v>250</v>
      </c>
      <c r="AI533" s="347">
        <v>250</v>
      </c>
      <c r="AJ533" s="347">
        <v>250</v>
      </c>
      <c r="AK533" s="347">
        <v>250</v>
      </c>
      <c r="AL533" s="347">
        <v>250</v>
      </c>
      <c r="AM533" s="347">
        <v>250</v>
      </c>
      <c r="AN533" s="347">
        <v>250</v>
      </c>
      <c r="AO533" s="347">
        <v>250</v>
      </c>
      <c r="AP533" s="347">
        <v>250</v>
      </c>
      <c r="AQ533" s="347">
        <v>250</v>
      </c>
      <c r="AR533" s="347">
        <v>250</v>
      </c>
      <c r="AS533" s="347">
        <v>250</v>
      </c>
      <c r="AT533" s="347">
        <v>250</v>
      </c>
      <c r="AU533" s="347">
        <v>250</v>
      </c>
      <c r="AV533" s="347">
        <v>250</v>
      </c>
      <c r="AW533" s="347">
        <f t="shared" si="1363"/>
        <v>7750</v>
      </c>
      <c r="AX533" s="365">
        <f t="shared" si="1364"/>
        <v>13.70975</v>
      </c>
      <c r="AY533" s="365">
        <f t="shared" si="1365"/>
        <v>0</v>
      </c>
      <c r="BE533" s="330" t="e">
        <f>SUM(BE523:BE531)</f>
        <v>#VALUE!</v>
      </c>
      <c r="BF533" s="330" t="e">
        <f>SUM(BF523:BF531)</f>
        <v>#VALUE!</v>
      </c>
      <c r="BG533" s="330" t="e">
        <f>SUM(BG523:BG531)</f>
        <v>#VALUE!</v>
      </c>
      <c r="BH533" s="330" t="e">
        <f>SUM(BH523:BH531)</f>
        <v>#VALUE!</v>
      </c>
      <c r="BJ533" s="370" cm="1">
        <f t="array" ref="BJ533">SUMPRODUCT(IF(ISNUMBER(BJ523:BJ531),BJ523:BJ531,0),IF(ISERROR(BJ523:BJ531),0,1))</f>
        <v>113.78</v>
      </c>
      <c r="BK533" s="370" cm="1">
        <f t="array" ref="BK533">SUMPRODUCT(IF(ISNUMBER(BK523:BK531),BK523:BK531,0),IF(ISERROR(BK523:BK531),0,1))</f>
        <v>113.78</v>
      </c>
      <c r="BL533" s="370" cm="1">
        <f t="array" ref="BL533">SUMPRODUCT(IF(ISNUMBER(BL523:BL531),BL523:BL531,0),IF(ISERROR(BL523:BL531),0,1))</f>
        <v>130.02</v>
      </c>
      <c r="BM533" s="370" cm="1">
        <f t="array" ref="BM533">SUMPRODUCT(IF(ISNUMBER(BM523:BM531),BM523:BM531,0),IF(ISERROR(BM523:BM531),0,1))</f>
        <v>146.28</v>
      </c>
      <c r="BN533" s="258">
        <f t="shared" si="1354"/>
        <v>503.86</v>
      </c>
      <c r="BO533" s="258">
        <v>128.28</v>
      </c>
      <c r="BP533" s="258">
        <v>128.28</v>
      </c>
      <c r="BQ533" s="258">
        <v>146.62</v>
      </c>
      <c r="BR533" s="258">
        <v>164.95</v>
      </c>
      <c r="BY533" s="258">
        <f t="shared" si="1366"/>
        <v>1750</v>
      </c>
      <c r="BZ533" s="258">
        <f t="shared" si="1367"/>
        <v>1750</v>
      </c>
      <c r="CA533" s="258">
        <f t="shared" si="1368"/>
        <v>2000</v>
      </c>
      <c r="CB533" s="258">
        <f t="shared" si="1369"/>
        <v>2250</v>
      </c>
      <c r="CE533" s="258">
        <f t="shared" si="1355"/>
        <v>3.1</v>
      </c>
      <c r="CF533" s="258">
        <f t="shared" si="1356"/>
        <v>3.1</v>
      </c>
      <c r="CG533" s="258">
        <f t="shared" si="1357"/>
        <v>3.54</v>
      </c>
      <c r="CH533" s="258">
        <f t="shared" si="1358"/>
        <v>3.98</v>
      </c>
      <c r="CI533" s="258">
        <f t="shared" si="1359"/>
        <v>13.72</v>
      </c>
      <c r="CP533" s="258" t="e">
        <f>VLOOKUP(G533,[2]Sheet1!$C$3:$G$310,5,0)</f>
        <v>#N/A</v>
      </c>
      <c r="CQ533" s="258" t="e">
        <f>VLOOKUP(G533,[3]KCBB0101!$C$3:$F$691,4,0)</f>
        <v>#N/A</v>
      </c>
    </row>
    <row r="534" spans="5:87">
      <c r="E534" s="385" t="s">
        <v>810</v>
      </c>
      <c r="F534" s="385"/>
      <c r="G534" s="385" t="s">
        <v>810</v>
      </c>
      <c r="H534" s="347"/>
      <c r="I534" s="347"/>
      <c r="J534" s="347"/>
      <c r="K534" s="347"/>
      <c r="L534" s="347"/>
      <c r="M534" s="349" t="str">
        <f>IF(K534="","",K534/(K534+$L$175/60))</f>
        <v/>
      </c>
      <c r="N534" s="347"/>
      <c r="O534" s="347"/>
      <c r="P534" s="347"/>
      <c r="Q534" s="347" t="str">
        <f>IFERROR(ROUND(1440/K534*I534*M534,0),"")</f>
        <v/>
      </c>
      <c r="R534" s="347"/>
      <c r="S534" s="347"/>
      <c r="T534" s="347"/>
      <c r="U534" s="347"/>
      <c r="V534" s="347"/>
      <c r="W534" s="347"/>
      <c r="X534" s="347"/>
      <c r="Y534" s="347"/>
      <c r="Z534" s="347"/>
      <c r="AA534" s="347"/>
      <c r="AB534" s="347"/>
      <c r="AC534" s="347"/>
      <c r="AD534" s="347"/>
      <c r="AE534" s="347"/>
      <c r="AF534" s="347"/>
      <c r="AG534" s="347"/>
      <c r="AH534" s="347"/>
      <c r="AI534" s="347"/>
      <c r="AJ534" s="347"/>
      <c r="AK534" s="347"/>
      <c r="AL534" s="347"/>
      <c r="AM534" s="347"/>
      <c r="AN534" s="347"/>
      <c r="AO534" s="347"/>
      <c r="AP534" s="347"/>
      <c r="AQ534" s="347"/>
      <c r="AR534" s="347"/>
      <c r="AS534" s="347"/>
      <c r="AT534" s="347"/>
      <c r="AU534" s="347"/>
      <c r="AV534" s="347"/>
      <c r="AW534" s="347" t="str">
        <f t="shared" si="1363"/>
        <v/>
      </c>
      <c r="AX534" s="365" t="str">
        <f t="shared" si="1364"/>
        <v/>
      </c>
      <c r="AY534" s="365" t="str">
        <f t="shared" si="1365"/>
        <v/>
      </c>
      <c r="BJ534" s="370"/>
      <c r="BO534" s="258">
        <v>3120</v>
      </c>
      <c r="BP534" s="258">
        <v>3360</v>
      </c>
      <c r="BQ534" s="258">
        <v>3840</v>
      </c>
      <c r="BR534" s="258">
        <v>4320</v>
      </c>
      <c r="BY534" s="258">
        <f>SUM(BY523:BY533)</f>
        <v>35000</v>
      </c>
      <c r="BZ534" s="258">
        <f>SUM(BZ523:BZ533)</f>
        <v>35000</v>
      </c>
      <c r="CA534" s="258">
        <f>SUM(CA523:CA533)</f>
        <v>40000</v>
      </c>
      <c r="CB534" s="258">
        <f>SUM(CB523:CB533)</f>
        <v>45000</v>
      </c>
      <c r="CE534" s="258">
        <f>SUM(CE523:CE533)</f>
        <v>116.88</v>
      </c>
      <c r="CF534" s="258">
        <f>SUM(CF523:CF533)</f>
        <v>116.88</v>
      </c>
      <c r="CG534" s="258">
        <f>SUM(CG523:CG533)</f>
        <v>133.56</v>
      </c>
      <c r="CH534" s="258">
        <f>SUM(CH523:CH533)</f>
        <v>150.26</v>
      </c>
      <c r="CI534" s="258">
        <f>SUM(CI523:CI533)</f>
        <v>517.58</v>
      </c>
    </row>
    <row r="535" spans="17:95">
      <c r="Q535" s="331">
        <v>3.7</v>
      </c>
      <c r="R535" s="331">
        <f t="shared" ref="R535:AY535" si="1382">SUM(R523:R534)</f>
        <v>5000</v>
      </c>
      <c r="S535" s="331">
        <f t="shared" si="1382"/>
        <v>5000</v>
      </c>
      <c r="T535" s="331">
        <f t="shared" si="1382"/>
        <v>5000</v>
      </c>
      <c r="U535" s="331">
        <f t="shared" si="1382"/>
        <v>5000</v>
      </c>
      <c r="V535" s="331">
        <f t="shared" si="1382"/>
        <v>5000</v>
      </c>
      <c r="W535" s="331">
        <f t="shared" si="1382"/>
        <v>5000</v>
      </c>
      <c r="X535" s="331">
        <f t="shared" si="1382"/>
        <v>5000</v>
      </c>
      <c r="Y535" s="331">
        <f t="shared" si="1382"/>
        <v>5000</v>
      </c>
      <c r="Z535" s="331">
        <f t="shared" si="1382"/>
        <v>5000</v>
      </c>
      <c r="AA535" s="331">
        <f t="shared" si="1382"/>
        <v>5000</v>
      </c>
      <c r="AB535" s="331">
        <f t="shared" si="1382"/>
        <v>5000</v>
      </c>
      <c r="AC535" s="331">
        <f t="shared" si="1382"/>
        <v>5000</v>
      </c>
      <c r="AD535" s="331">
        <f t="shared" si="1382"/>
        <v>5000</v>
      </c>
      <c r="AE535" s="331">
        <f t="shared" si="1382"/>
        <v>5000</v>
      </c>
      <c r="AF535" s="331">
        <f t="shared" si="1382"/>
        <v>5000</v>
      </c>
      <c r="AG535" s="331">
        <f t="shared" si="1382"/>
        <v>5000</v>
      </c>
      <c r="AH535" s="331">
        <f t="shared" si="1382"/>
        <v>5000</v>
      </c>
      <c r="AI535" s="331">
        <f t="shared" si="1382"/>
        <v>5000</v>
      </c>
      <c r="AJ535" s="331">
        <f t="shared" si="1382"/>
        <v>5000</v>
      </c>
      <c r="AK535" s="331">
        <f t="shared" si="1382"/>
        <v>5000</v>
      </c>
      <c r="AL535" s="331">
        <f t="shared" si="1382"/>
        <v>5000</v>
      </c>
      <c r="AM535" s="331">
        <f t="shared" si="1382"/>
        <v>5000</v>
      </c>
      <c r="AN535" s="331">
        <f t="shared" si="1382"/>
        <v>5000</v>
      </c>
      <c r="AO535" s="331">
        <f t="shared" si="1382"/>
        <v>5000</v>
      </c>
      <c r="AP535" s="331">
        <f t="shared" si="1382"/>
        <v>5000</v>
      </c>
      <c r="AQ535" s="331">
        <f t="shared" si="1382"/>
        <v>5000</v>
      </c>
      <c r="AR535" s="331">
        <f t="shared" si="1382"/>
        <v>5000</v>
      </c>
      <c r="AS535" s="331">
        <f t="shared" si="1382"/>
        <v>5000</v>
      </c>
      <c r="AT535" s="331">
        <f t="shared" si="1382"/>
        <v>5000</v>
      </c>
      <c r="AU535" s="331">
        <f t="shared" si="1382"/>
        <v>5000</v>
      </c>
      <c r="AV535" s="331">
        <f t="shared" si="1382"/>
        <v>5000</v>
      </c>
      <c r="AW535" s="347">
        <f t="shared" si="1382"/>
        <v>155000</v>
      </c>
      <c r="AX535" s="365">
        <f t="shared" si="1382"/>
        <v>517.5481</v>
      </c>
      <c r="AY535" s="365">
        <f t="shared" si="1382"/>
        <v>822.084</v>
      </c>
      <c r="BJ535" s="370"/>
      <c r="BO535" s="258">
        <v>4810</v>
      </c>
      <c r="BP535" s="258">
        <v>5180</v>
      </c>
      <c r="BQ535" s="258">
        <v>5920</v>
      </c>
      <c r="BR535" s="258">
        <v>6660</v>
      </c>
      <c r="CK535" s="258">
        <f t="shared" ref="CK535:CN535" si="1383">SUBTOTAL(9,CK523:CK534)</f>
        <v>1856318.1</v>
      </c>
      <c r="CL535" s="258">
        <f t="shared" si="1383"/>
        <v>1856318.1</v>
      </c>
      <c r="CM535" s="258">
        <f t="shared" si="1383"/>
        <v>2121506.4</v>
      </c>
      <c r="CN535" s="258">
        <f t="shared" si="1383"/>
        <v>2386694.7</v>
      </c>
      <c r="CP535" s="258" t="e">
        <f>VLOOKUP(G535,[2]Sheet1!$C$3:$G$310,5,0)</f>
        <v>#N/A</v>
      </c>
      <c r="CQ535" s="258" t="e">
        <f>VLOOKUP(G535,[3]KCBB0101!$C$3:$F$691,4,0)</f>
        <v>#N/A</v>
      </c>
    </row>
    <row r="536" spans="49:95">
      <c r="AW536" s="330">
        <f>ROUND(AW535/31,0)</f>
        <v>5000</v>
      </c>
      <c r="AX536" s="406">
        <f>ROUND(AX535/31,3)</f>
        <v>16.695</v>
      </c>
      <c r="AY536" s="406">
        <f>AY535/31</f>
        <v>26.5188387096774</v>
      </c>
      <c r="BJ536" s="370"/>
      <c r="BK536" s="370"/>
      <c r="BL536" s="370"/>
      <c r="BM536" s="370"/>
      <c r="BO536" s="258">
        <v>5200</v>
      </c>
      <c r="BP536" s="258">
        <v>5600</v>
      </c>
      <c r="BQ536" s="258">
        <v>6400</v>
      </c>
      <c r="BR536" s="258">
        <v>7200</v>
      </c>
      <c r="CP536" s="258" t="e">
        <f>VLOOKUP(G536,[2]Sheet1!$C$3:$G$310,5,0)</f>
        <v>#N/A</v>
      </c>
      <c r="CQ536" s="258" t="e">
        <f>VLOOKUP(G536,[3]KCBB0101!$C$3:$F$691,4,0)</f>
        <v>#N/A</v>
      </c>
    </row>
    <row r="537" spans="7:70">
      <c r="G537" s="258"/>
      <c r="H537" s="113"/>
      <c r="R537" s="330"/>
      <c r="BJ537" s="370"/>
      <c r="BO537" s="258">
        <v>5200</v>
      </c>
      <c r="BP537" s="258">
        <v>5600</v>
      </c>
      <c r="BQ537" s="258">
        <v>6400</v>
      </c>
      <c r="BR537" s="258">
        <v>7200</v>
      </c>
    </row>
    <row r="538" ht="36" spans="5:95">
      <c r="E538" s="336" t="s">
        <v>671</v>
      </c>
      <c r="F538" s="336"/>
      <c r="G538" s="333" t="s">
        <v>811</v>
      </c>
      <c r="H538" s="333"/>
      <c r="I538" s="333" t="s">
        <v>674</v>
      </c>
      <c r="J538" s="333" t="s">
        <v>797</v>
      </c>
      <c r="K538" s="344"/>
      <c r="L538" s="344"/>
      <c r="M538" s="333" t="s">
        <v>678</v>
      </c>
      <c r="N538" s="333" t="s">
        <v>697</v>
      </c>
      <c r="O538" s="333" t="s">
        <v>680</v>
      </c>
      <c r="P538" s="333" t="s">
        <v>681</v>
      </c>
      <c r="Q538" s="344" t="s">
        <v>682</v>
      </c>
      <c r="R538" s="333">
        <v>1</v>
      </c>
      <c r="S538" s="333">
        <v>2</v>
      </c>
      <c r="T538" s="333">
        <v>3</v>
      </c>
      <c r="U538" s="333">
        <v>4</v>
      </c>
      <c r="V538" s="333">
        <v>5</v>
      </c>
      <c r="W538" s="333">
        <v>6</v>
      </c>
      <c r="X538" s="333">
        <v>7</v>
      </c>
      <c r="Y538" s="333">
        <v>8</v>
      </c>
      <c r="Z538" s="333">
        <v>9</v>
      </c>
      <c r="AA538" s="333">
        <v>10</v>
      </c>
      <c r="AB538" s="333">
        <v>11</v>
      </c>
      <c r="AC538" s="333">
        <v>12</v>
      </c>
      <c r="AD538" s="333">
        <v>13</v>
      </c>
      <c r="AE538" s="333">
        <v>14</v>
      </c>
      <c r="AF538" s="333">
        <v>15</v>
      </c>
      <c r="AG538" s="333">
        <v>16</v>
      </c>
      <c r="AH538" s="333">
        <v>17</v>
      </c>
      <c r="AI538" s="333">
        <v>18</v>
      </c>
      <c r="AJ538" s="333">
        <v>19</v>
      </c>
      <c r="AK538" s="333">
        <v>20</v>
      </c>
      <c r="AL538" s="333">
        <v>21</v>
      </c>
      <c r="AM538" s="333">
        <v>22</v>
      </c>
      <c r="AN538" s="333">
        <v>23</v>
      </c>
      <c r="AO538" s="333">
        <v>24</v>
      </c>
      <c r="AP538" s="333">
        <v>25</v>
      </c>
      <c r="AQ538" s="333">
        <v>26</v>
      </c>
      <c r="AR538" s="333">
        <v>27</v>
      </c>
      <c r="AS538" s="333">
        <v>28</v>
      </c>
      <c r="AT538" s="333">
        <v>29</v>
      </c>
      <c r="AU538" s="333">
        <v>30</v>
      </c>
      <c r="AV538" s="333">
        <v>31</v>
      </c>
      <c r="AW538" s="347" t="s">
        <v>683</v>
      </c>
      <c r="AX538" s="363" t="s">
        <v>684</v>
      </c>
      <c r="AY538" s="363" t="s">
        <v>698</v>
      </c>
      <c r="BN538" s="258">
        <f>SUM(BN534:BN537)</f>
        <v>0</v>
      </c>
      <c r="CP538" s="258" t="e">
        <f>VLOOKUP(G538,[2]Sheet1!$C$3:$G$310,5,0)</f>
        <v>#N/A</v>
      </c>
      <c r="CQ538" s="258" t="e">
        <f>VLOOKUP(G538,[3]KCBB0101!$C$3:$F$691,4,0)</f>
        <v>#N/A</v>
      </c>
    </row>
    <row r="539" spans="5:95">
      <c r="E539" s="385" t="s">
        <v>798</v>
      </c>
      <c r="F539" s="385"/>
      <c r="G539" s="385" t="s">
        <v>798</v>
      </c>
      <c r="H539" s="347"/>
      <c r="I539" s="347">
        <v>2</v>
      </c>
      <c r="J539" s="347"/>
      <c r="K539" s="347"/>
      <c r="L539" s="347"/>
      <c r="M539" s="349">
        <v>0.76</v>
      </c>
      <c r="N539" s="347"/>
      <c r="O539" s="347">
        <v>3.15</v>
      </c>
      <c r="P539" s="347">
        <v>22.42</v>
      </c>
      <c r="Q539" s="347" t="str">
        <f>IFERROR(ROUND(1440/K539*I539*M539,0),"")</f>
        <v/>
      </c>
      <c r="R539" s="347">
        <v>240</v>
      </c>
      <c r="S539" s="347">
        <v>240</v>
      </c>
      <c r="T539" s="347">
        <v>240</v>
      </c>
      <c r="U539" s="347">
        <v>240</v>
      </c>
      <c r="V539" s="347">
        <v>240</v>
      </c>
      <c r="W539" s="347">
        <v>240</v>
      </c>
      <c r="X539" s="347">
        <v>240</v>
      </c>
      <c r="Y539" s="347">
        <v>240</v>
      </c>
      <c r="Z539" s="347">
        <v>240</v>
      </c>
      <c r="AA539" s="347">
        <v>240</v>
      </c>
      <c r="AB539" s="347">
        <v>240</v>
      </c>
      <c r="AC539" s="347">
        <v>240</v>
      </c>
      <c r="AD539" s="347">
        <v>240</v>
      </c>
      <c r="AE539" s="347">
        <v>240</v>
      </c>
      <c r="AF539" s="347">
        <v>240</v>
      </c>
      <c r="AG539" s="347">
        <v>240</v>
      </c>
      <c r="AH539" s="347">
        <v>240</v>
      </c>
      <c r="AI539" s="347">
        <v>240</v>
      </c>
      <c r="AJ539" s="347">
        <v>240</v>
      </c>
      <c r="AK539" s="347">
        <v>240</v>
      </c>
      <c r="AL539" s="347">
        <v>240</v>
      </c>
      <c r="AM539" s="347">
        <v>240</v>
      </c>
      <c r="AN539" s="347">
        <v>240</v>
      </c>
      <c r="AO539" s="347">
        <v>240</v>
      </c>
      <c r="AP539" s="347">
        <v>240</v>
      </c>
      <c r="AQ539" s="347">
        <v>240</v>
      </c>
      <c r="AR539" s="347">
        <v>240</v>
      </c>
      <c r="AS539" s="347">
        <v>240</v>
      </c>
      <c r="AT539" s="347">
        <v>240</v>
      </c>
      <c r="AU539" s="347">
        <v>240</v>
      </c>
      <c r="AV539" s="347">
        <v>240</v>
      </c>
      <c r="AW539" s="347">
        <f t="shared" ref="AW539:AW543" si="1384">IF(SUM(R539:AV539)=0,"",SUM(R539:AV539))</f>
        <v>7440</v>
      </c>
      <c r="AX539" s="365">
        <f t="shared" ref="AX539:AX543" si="1385">IFERROR(AW539*O539/1000,"")</f>
        <v>23.436</v>
      </c>
      <c r="AY539" s="365">
        <f t="shared" ref="AY539:AY543" si="1386">IFERROR(ROUND(AW539*P539/10000,3),"")</f>
        <v>16.68</v>
      </c>
      <c r="AZ539" s="407">
        <v>53.4507</v>
      </c>
      <c r="BA539" s="347">
        <v>2.9757</v>
      </c>
      <c r="BB539" s="347">
        <v>3.4767</v>
      </c>
      <c r="BC539" s="347">
        <v>2.5962</v>
      </c>
      <c r="BE539" s="330">
        <f>AZ539*AW539</f>
        <v>397673.208</v>
      </c>
      <c r="BF539" s="330">
        <f>BA539*AW539</f>
        <v>22139.208</v>
      </c>
      <c r="BG539" s="330">
        <f>BB539*AW539</f>
        <v>25866.648</v>
      </c>
      <c r="BH539" s="330">
        <f>BC539*AW539</f>
        <v>19315.728</v>
      </c>
      <c r="BJ539" s="370" cm="1">
        <f t="array" ref="BJ539:BM539">_xlfn.LET(_xlpm.data,$R539:$AV539,_xlpm.starts,{1,8,16,23},_xlpm.lengths,{7,7,8,9},_xlpm.arr,_xlfn.MAP(_xlpm.starts,_xlpm.lengths,_xlfn.LAMBDA(_xlpm.s,_xlpm.l,SUM(INDEX(_xlpm.data,,_xlfn.SEQUENCE(,_xlpm.l,_xlpm.s))))),ROUND(_xlpm.arr*$O539/1000,2))</f>
        <v>5.29</v>
      </c>
      <c r="BK539" s="370">
        <v>5.29</v>
      </c>
      <c r="BL539" s="370">
        <v>6.05</v>
      </c>
      <c r="BM539" s="370">
        <v>6.8</v>
      </c>
      <c r="BN539" s="258">
        <f>SUM(BJ539:BM539)</f>
        <v>23.43</v>
      </c>
      <c r="BO539" s="258">
        <v>15.35</v>
      </c>
      <c r="BP539" s="258">
        <v>15.35</v>
      </c>
      <c r="BQ539" s="258">
        <v>17.54</v>
      </c>
      <c r="BR539" s="258">
        <v>19.74</v>
      </c>
      <c r="BY539" s="258">
        <f>SUM(R539:X539)</f>
        <v>1680</v>
      </c>
      <c r="BZ539" s="258">
        <f>SUM(Y539:AE539)</f>
        <v>1680</v>
      </c>
      <c r="CA539" s="258">
        <f>SUM(AF539:AM539)</f>
        <v>1920</v>
      </c>
      <c r="CB539" s="258">
        <f>SUM(AN539:AV539)</f>
        <v>2160</v>
      </c>
      <c r="CE539" s="258">
        <f t="shared" ref="CE539:CH539" si="1387">ROUND(BY539*$O539/1000,2)</f>
        <v>5.29</v>
      </c>
      <c r="CF539" s="258">
        <f t="shared" si="1387"/>
        <v>5.29</v>
      </c>
      <c r="CG539" s="258">
        <f t="shared" si="1387"/>
        <v>6.05</v>
      </c>
      <c r="CH539" s="258">
        <f t="shared" si="1387"/>
        <v>6.8</v>
      </c>
      <c r="CI539" s="258">
        <f>SUM(CE539:CH539)</f>
        <v>23.43</v>
      </c>
      <c r="CK539" s="258">
        <f t="shared" ref="CK539:CN539" si="1388">ROUND(BY539*$P539,2)</f>
        <v>37665.6</v>
      </c>
      <c r="CL539" s="258">
        <f t="shared" si="1388"/>
        <v>37665.6</v>
      </c>
      <c r="CM539" s="258">
        <f t="shared" si="1388"/>
        <v>43046.4</v>
      </c>
      <c r="CN539" s="258">
        <f t="shared" si="1388"/>
        <v>48427.2</v>
      </c>
      <c r="CO539" s="258">
        <f t="shared" ref="CO539:CO541" si="1389">SUM(CK539:CN539)</f>
        <v>166804.8</v>
      </c>
      <c r="CP539" s="258" t="e">
        <f>VLOOKUP(G539,[2]Sheet1!$C$3:$G$310,5,0)</f>
        <v>#N/A</v>
      </c>
      <c r="CQ539" s="258" t="e">
        <f>VLOOKUP(G539,[3]KCBB0101!$C$3:$F$691,4,0)</f>
        <v>#N/A</v>
      </c>
    </row>
    <row r="540" spans="5:95">
      <c r="E540" s="385" t="s">
        <v>798</v>
      </c>
      <c r="F540" s="385"/>
      <c r="G540" s="385" t="s">
        <v>801</v>
      </c>
      <c r="H540" s="347"/>
      <c r="I540" s="347">
        <v>4</v>
      </c>
      <c r="J540" s="347"/>
      <c r="K540" s="347"/>
      <c r="L540" s="347"/>
      <c r="M540" s="349">
        <v>0.76</v>
      </c>
      <c r="N540" s="347"/>
      <c r="O540" s="347">
        <v>3</v>
      </c>
      <c r="P540" s="347">
        <v>20.42</v>
      </c>
      <c r="Q540" s="347" t="str">
        <f>IFERROR(ROUND(1440/K540*I540*M540,0),"")</f>
        <v/>
      </c>
      <c r="R540" s="347">
        <v>500</v>
      </c>
      <c r="S540" s="347">
        <v>500</v>
      </c>
      <c r="T540" s="347">
        <v>500</v>
      </c>
      <c r="U540" s="347">
        <v>500</v>
      </c>
      <c r="V540" s="347">
        <v>500</v>
      </c>
      <c r="W540" s="347">
        <v>500</v>
      </c>
      <c r="X540" s="347">
        <v>500</v>
      </c>
      <c r="Y540" s="347">
        <v>500</v>
      </c>
      <c r="Z540" s="347">
        <v>500</v>
      </c>
      <c r="AA540" s="347">
        <v>500</v>
      </c>
      <c r="AB540" s="347">
        <v>500</v>
      </c>
      <c r="AC540" s="347">
        <v>500</v>
      </c>
      <c r="AD540" s="347">
        <v>500</v>
      </c>
      <c r="AE540" s="347">
        <v>500</v>
      </c>
      <c r="AF540" s="347">
        <v>500</v>
      </c>
      <c r="AG540" s="347">
        <v>500</v>
      </c>
      <c r="AH540" s="347">
        <v>500</v>
      </c>
      <c r="AI540" s="347">
        <v>500</v>
      </c>
      <c r="AJ540" s="347">
        <v>500</v>
      </c>
      <c r="AK540" s="347">
        <v>500</v>
      </c>
      <c r="AL540" s="347">
        <v>500</v>
      </c>
      <c r="AM540" s="347">
        <v>500</v>
      </c>
      <c r="AN540" s="347">
        <v>500</v>
      </c>
      <c r="AO540" s="347">
        <v>500</v>
      </c>
      <c r="AP540" s="347">
        <v>500</v>
      </c>
      <c r="AQ540" s="347">
        <v>500</v>
      </c>
      <c r="AR540" s="347">
        <v>500</v>
      </c>
      <c r="AS540" s="347">
        <v>500</v>
      </c>
      <c r="AT540" s="347">
        <v>500</v>
      </c>
      <c r="AU540" s="347">
        <v>500</v>
      </c>
      <c r="AV540" s="347">
        <v>500</v>
      </c>
      <c r="AW540" s="347">
        <f t="shared" si="1384"/>
        <v>15500</v>
      </c>
      <c r="AX540" s="365">
        <f t="shared" si="1385"/>
        <v>46.5</v>
      </c>
      <c r="AY540" s="365">
        <f t="shared" si="1386"/>
        <v>31.651</v>
      </c>
      <c r="AZ540" s="407">
        <v>53.4507</v>
      </c>
      <c r="BA540" s="347">
        <v>2.9757</v>
      </c>
      <c r="BB540" s="347">
        <v>3.4767</v>
      </c>
      <c r="BC540" s="347">
        <v>2.5962</v>
      </c>
      <c r="BE540" s="330">
        <f>AZ540*AW540</f>
        <v>828485.85</v>
      </c>
      <c r="BF540" s="330">
        <f>BA540*AW540</f>
        <v>46123.35</v>
      </c>
      <c r="BG540" s="330">
        <f>BB540*AW540</f>
        <v>53888.85</v>
      </c>
      <c r="BH540" s="330">
        <f>BC540*AW540</f>
        <v>40241.1</v>
      </c>
      <c r="BJ540" s="370" cm="1">
        <f t="array" ref="BJ540:BM540">_xlfn.LET(_xlpm.data,$R540:$AV540,_xlpm.starts,{1,8,16,23},_xlpm.lengths,{7,7,8,9},_xlpm.arr,_xlfn.MAP(_xlpm.starts,_xlpm.lengths,_xlfn.LAMBDA(_xlpm.s,_xlpm.l,SUM(INDEX(_xlpm.data,,_xlfn.SEQUENCE(,_xlpm.l,_xlpm.s))))),ROUND(_xlpm.arr*$O540/1000,2))</f>
        <v>10.5</v>
      </c>
      <c r="BK540" s="370">
        <v>10.5</v>
      </c>
      <c r="BL540" s="370">
        <v>12</v>
      </c>
      <c r="BM540" s="370">
        <v>13.5</v>
      </c>
      <c r="BN540" s="258">
        <f>SUM(BJ540:BM540)</f>
        <v>46.5</v>
      </c>
      <c r="BO540" s="258">
        <v>15.35</v>
      </c>
      <c r="BP540" s="258">
        <v>15.35</v>
      </c>
      <c r="BQ540" s="258">
        <v>17.54</v>
      </c>
      <c r="BR540" s="258">
        <v>19.74</v>
      </c>
      <c r="BY540" s="258">
        <f>SUM(R540:X540)</f>
        <v>3500</v>
      </c>
      <c r="BZ540" s="258">
        <f>SUM(Y540:AE540)</f>
        <v>3500</v>
      </c>
      <c r="CA540" s="258">
        <f>SUM(AF540:AM540)</f>
        <v>4000</v>
      </c>
      <c r="CB540" s="258">
        <f>SUM(AN540:AV540)</f>
        <v>4500</v>
      </c>
      <c r="CE540" s="258">
        <f t="shared" ref="CE540:CH540" si="1390">ROUND(BY540*$O540/1000,2)</f>
        <v>10.5</v>
      </c>
      <c r="CF540" s="258">
        <f t="shared" si="1390"/>
        <v>10.5</v>
      </c>
      <c r="CG540" s="258">
        <f t="shared" si="1390"/>
        <v>12</v>
      </c>
      <c r="CH540" s="258">
        <f t="shared" si="1390"/>
        <v>13.5</v>
      </c>
      <c r="CI540" s="258">
        <f>SUM(CE540:CH540)</f>
        <v>46.5</v>
      </c>
      <c r="CK540" s="258">
        <f t="shared" ref="CK540:CN540" si="1391">ROUND(BY540*$P540,2)</f>
        <v>71470</v>
      </c>
      <c r="CL540" s="258">
        <f t="shared" si="1391"/>
        <v>71470</v>
      </c>
      <c r="CM540" s="258">
        <f t="shared" si="1391"/>
        <v>81680</v>
      </c>
      <c r="CN540" s="258">
        <f t="shared" si="1391"/>
        <v>91890</v>
      </c>
      <c r="CO540" s="258">
        <f t="shared" si="1389"/>
        <v>316510</v>
      </c>
      <c r="CP540" s="258" t="e">
        <f>VLOOKUP(G540,[2]Sheet1!$C$3:$G$310,5,0)</f>
        <v>#N/A</v>
      </c>
      <c r="CQ540" s="258" t="e">
        <f>VLOOKUP(G540,[3]KCBB0101!$C$3:$F$691,4,0)</f>
        <v>#N/A</v>
      </c>
    </row>
    <row r="541" spans="5:95">
      <c r="E541" s="385" t="s">
        <v>801</v>
      </c>
      <c r="F541" s="385"/>
      <c r="G541" s="385" t="s">
        <v>807</v>
      </c>
      <c r="H541" s="347"/>
      <c r="I541" s="347">
        <v>2</v>
      </c>
      <c r="J541" s="347"/>
      <c r="K541" s="347"/>
      <c r="L541" s="347"/>
      <c r="M541" s="349">
        <v>0.76</v>
      </c>
      <c r="N541" s="347"/>
      <c r="O541" s="347">
        <v>1.6</v>
      </c>
      <c r="P541" s="347">
        <v>13</v>
      </c>
      <c r="Q541" s="347" t="str">
        <f>IFERROR(ROUND(1440/K541*I541*M541,0),"")</f>
        <v/>
      </c>
      <c r="R541" s="347">
        <v>440</v>
      </c>
      <c r="S541" s="347">
        <v>440</v>
      </c>
      <c r="T541" s="347">
        <v>440</v>
      </c>
      <c r="U541" s="347">
        <v>440</v>
      </c>
      <c r="V541" s="347">
        <v>440</v>
      </c>
      <c r="W541" s="347">
        <v>440</v>
      </c>
      <c r="X541" s="347">
        <v>440</v>
      </c>
      <c r="Y541" s="347">
        <v>440</v>
      </c>
      <c r="Z541" s="347">
        <v>440</v>
      </c>
      <c r="AA541" s="347">
        <v>440</v>
      </c>
      <c r="AB541" s="347">
        <v>440</v>
      </c>
      <c r="AC541" s="347">
        <v>440</v>
      </c>
      <c r="AD541" s="347">
        <v>440</v>
      </c>
      <c r="AE541" s="347">
        <v>440</v>
      </c>
      <c r="AF541" s="347">
        <v>440</v>
      </c>
      <c r="AG541" s="347">
        <v>440</v>
      </c>
      <c r="AH541" s="347">
        <v>440</v>
      </c>
      <c r="AI541" s="347">
        <v>440</v>
      </c>
      <c r="AJ541" s="347">
        <v>440</v>
      </c>
      <c r="AK541" s="347">
        <v>440</v>
      </c>
      <c r="AL541" s="347">
        <v>440</v>
      </c>
      <c r="AM541" s="347">
        <v>440</v>
      </c>
      <c r="AN541" s="347">
        <v>440</v>
      </c>
      <c r="AO541" s="347">
        <v>440</v>
      </c>
      <c r="AP541" s="347">
        <v>440</v>
      </c>
      <c r="AQ541" s="347">
        <v>440</v>
      </c>
      <c r="AR541" s="347">
        <v>440</v>
      </c>
      <c r="AS541" s="347">
        <v>440</v>
      </c>
      <c r="AT541" s="347">
        <v>440</v>
      </c>
      <c r="AU541" s="347">
        <v>440</v>
      </c>
      <c r="AV541" s="347">
        <v>440</v>
      </c>
      <c r="AW541" s="347">
        <f t="shared" si="1384"/>
        <v>13640</v>
      </c>
      <c r="AX541" s="365">
        <f t="shared" si="1385"/>
        <v>21.824</v>
      </c>
      <c r="AY541" s="365">
        <f t="shared" si="1386"/>
        <v>17.732</v>
      </c>
      <c r="AZ541" s="407">
        <v>53.4507</v>
      </c>
      <c r="BA541" s="347">
        <v>2.9757</v>
      </c>
      <c r="BB541" s="347">
        <v>3.4767</v>
      </c>
      <c r="BC541" s="347">
        <v>2.5962</v>
      </c>
      <c r="BE541" s="330">
        <f>AZ541*AW541</f>
        <v>729067.548</v>
      </c>
      <c r="BF541" s="330">
        <f>BA541*AW541</f>
        <v>40588.548</v>
      </c>
      <c r="BG541" s="330">
        <f>BB541*AW541</f>
        <v>47422.188</v>
      </c>
      <c r="BH541" s="330">
        <f>BC541*AW541</f>
        <v>35412.168</v>
      </c>
      <c r="BJ541" s="370" cm="1">
        <f t="array" ref="BJ541:BM541">_xlfn.LET(_xlpm.data,$R541:$AV541,_xlpm.starts,{1,8,16,23},_xlpm.lengths,{7,7,8,9},_xlpm.arr,_xlfn.MAP(_xlpm.starts,_xlpm.lengths,_xlfn.LAMBDA(_xlpm.s,_xlpm.l,SUM(INDEX(_xlpm.data,,_xlfn.SEQUENCE(,_xlpm.l,_xlpm.s))))),ROUND(_xlpm.arr*$O541/1000,2))</f>
        <v>4.93</v>
      </c>
      <c r="BK541" s="370">
        <v>4.93</v>
      </c>
      <c r="BL541" s="370">
        <v>5.63</v>
      </c>
      <c r="BM541" s="370">
        <v>6.34</v>
      </c>
      <c r="BN541" s="258">
        <f>SUM(BJ541:BM541)</f>
        <v>21.83</v>
      </c>
      <c r="BO541" s="258">
        <v>23.67</v>
      </c>
      <c r="BP541" s="258">
        <v>23.67</v>
      </c>
      <c r="BQ541" s="258">
        <v>27.05</v>
      </c>
      <c r="BR541" s="258">
        <v>30.43</v>
      </c>
      <c r="BY541" s="258">
        <f>SUM(R541:X541)</f>
        <v>3080</v>
      </c>
      <c r="BZ541" s="258">
        <f>SUM(Y541:AE541)</f>
        <v>3080</v>
      </c>
      <c r="CA541" s="258">
        <f>SUM(AF541:AM541)</f>
        <v>3520</v>
      </c>
      <c r="CB541" s="258">
        <f>SUM(AN541:AV541)</f>
        <v>3960</v>
      </c>
      <c r="CE541" s="258">
        <f t="shared" ref="CE541:CH541" si="1392">ROUND(BY541*$O541/1000,2)</f>
        <v>4.93</v>
      </c>
      <c r="CF541" s="258">
        <f t="shared" si="1392"/>
        <v>4.93</v>
      </c>
      <c r="CG541" s="258">
        <f t="shared" si="1392"/>
        <v>5.63</v>
      </c>
      <c r="CH541" s="258">
        <f t="shared" si="1392"/>
        <v>6.34</v>
      </c>
      <c r="CI541" s="258">
        <f>SUM(CE541:CH541)</f>
        <v>21.83</v>
      </c>
      <c r="CK541" s="258">
        <f t="shared" ref="CK541:CN541" si="1393">ROUND(BY541*$P541,2)</f>
        <v>40040</v>
      </c>
      <c r="CL541" s="258">
        <f t="shared" si="1393"/>
        <v>40040</v>
      </c>
      <c r="CM541" s="258">
        <f t="shared" si="1393"/>
        <v>45760</v>
      </c>
      <c r="CN541" s="258">
        <f t="shared" si="1393"/>
        <v>51480</v>
      </c>
      <c r="CO541" s="258">
        <f t="shared" si="1389"/>
        <v>177320</v>
      </c>
      <c r="CP541" s="258" t="e">
        <f>VLOOKUP(G541,[2]Sheet1!$C$3:$G$310,5,0)</f>
        <v>#N/A</v>
      </c>
      <c r="CQ541" s="258" t="e">
        <f>VLOOKUP(G541,[3]KCBB0101!$C$3:$F$691,4,0)</f>
        <v>#N/A</v>
      </c>
    </row>
    <row r="542" spans="5:87">
      <c r="E542" s="385" t="s">
        <v>809</v>
      </c>
      <c r="F542" s="385"/>
      <c r="G542" s="385"/>
      <c r="H542" s="347"/>
      <c r="I542" s="347"/>
      <c r="J542" s="347"/>
      <c r="K542" s="347"/>
      <c r="L542" s="347"/>
      <c r="M542" s="349" t="str">
        <f>IF(K542="","",K542/(K542+#REF!/60))</f>
        <v/>
      </c>
      <c r="N542" s="347"/>
      <c r="O542" s="347"/>
      <c r="P542" s="347"/>
      <c r="Q542" s="347" t="str">
        <f>IFERROR(ROUND(1440/K542*I542*M542,0),"")</f>
        <v/>
      </c>
      <c r="R542" s="347"/>
      <c r="S542" s="347"/>
      <c r="T542" s="347"/>
      <c r="U542" s="347"/>
      <c r="V542" s="347"/>
      <c r="W542" s="347"/>
      <c r="X542" s="347"/>
      <c r="Y542" s="347"/>
      <c r="Z542" s="347"/>
      <c r="AA542" s="347"/>
      <c r="AB542" s="347"/>
      <c r="AC542" s="347"/>
      <c r="AD542" s="347"/>
      <c r="AE542" s="347"/>
      <c r="AF542" s="347"/>
      <c r="AG542" s="347"/>
      <c r="AH542" s="347"/>
      <c r="AI542" s="347"/>
      <c r="AJ542" s="347"/>
      <c r="AK542" s="347"/>
      <c r="AL542" s="347"/>
      <c r="AM542" s="347"/>
      <c r="AN542" s="347"/>
      <c r="AO542" s="347"/>
      <c r="AP542" s="347"/>
      <c r="AQ542" s="347"/>
      <c r="AR542" s="347"/>
      <c r="AS542" s="347"/>
      <c r="AT542" s="347"/>
      <c r="AU542" s="347"/>
      <c r="AV542" s="347"/>
      <c r="AW542" s="347" t="str">
        <f t="shared" si="1384"/>
        <v/>
      </c>
      <c r="AX542" s="365" t="str">
        <f t="shared" si="1385"/>
        <v/>
      </c>
      <c r="AY542" s="365" t="str">
        <f t="shared" si="1386"/>
        <v/>
      </c>
      <c r="BE542" s="330">
        <f>SUM(BE539:BE541)</f>
        <v>1955226.606</v>
      </c>
      <c r="BF542" s="330">
        <f>SUM(BF539:BF541)</f>
        <v>108851.106</v>
      </c>
      <c r="BG542" s="330">
        <f>SUM(BG539:BG541)</f>
        <v>127177.686</v>
      </c>
      <c r="BH542" s="330">
        <f>SUM(BH539:BH541)</f>
        <v>94968.996</v>
      </c>
      <c r="BJ542" s="370" cm="1">
        <f t="array" ref="BJ542">SUMPRODUCT(IF(ISNUMBER(BJ539:BJ541),BJ539:BJ541,0),IF(ISERROR(BJ539:BJ541),0,1))</f>
        <v>20.72</v>
      </c>
      <c r="BK542" s="370" cm="1">
        <f t="array" ref="BK542">SUMPRODUCT(IF(ISNUMBER(BK539:BK541),BK539:BK541,0),IF(ISERROR(BK539:BK541),0,1))</f>
        <v>20.72</v>
      </c>
      <c r="BL542" s="370" cm="1">
        <f t="array" ref="BL542">SUMPRODUCT(IF(ISNUMBER(BL539:BL541),BL539:BL541,0),IF(ISERROR(BL539:BL541),0,1))</f>
        <v>23.68</v>
      </c>
      <c r="BM542" s="370" cm="1">
        <f t="array" ref="BM542">SUMPRODUCT(IF(ISNUMBER(BM539:BM541),BM539:BM541,0),IF(ISERROR(BM539:BM541),0,1))</f>
        <v>26.64</v>
      </c>
      <c r="BN542" s="258">
        <f>SUM(BJ542:BM542)</f>
        <v>91.76</v>
      </c>
      <c r="BO542" s="258">
        <v>128.28</v>
      </c>
      <c r="BP542" s="258">
        <v>128.28</v>
      </c>
      <c r="BQ542" s="258">
        <v>146.62</v>
      </c>
      <c r="BR542" s="258">
        <v>164.95</v>
      </c>
      <c r="BY542" s="258">
        <f>SUM(R542:X542)</f>
        <v>0</v>
      </c>
      <c r="BZ542" s="258">
        <f>SUM(Y542:AE542)</f>
        <v>0</v>
      </c>
      <c r="CA542" s="258">
        <f>SUM(AF542:AM542)</f>
        <v>0</v>
      </c>
      <c r="CB542" s="258">
        <f>SUM(AN542:AV542)</f>
        <v>0</v>
      </c>
      <c r="CE542" s="258">
        <f t="shared" ref="CE542:CH542" si="1394">ROUND(BY542*$O542/1000,2)</f>
        <v>0</v>
      </c>
      <c r="CF542" s="258">
        <f t="shared" si="1394"/>
        <v>0</v>
      </c>
      <c r="CG542" s="258">
        <f t="shared" si="1394"/>
        <v>0</v>
      </c>
      <c r="CH542" s="258">
        <f t="shared" si="1394"/>
        <v>0</v>
      </c>
      <c r="CI542" s="258">
        <f>SUM(CE542:CH542)</f>
        <v>0</v>
      </c>
    </row>
    <row r="543" spans="5:87">
      <c r="E543" s="385" t="s">
        <v>810</v>
      </c>
      <c r="F543" s="385"/>
      <c r="G543" s="385"/>
      <c r="H543" s="347"/>
      <c r="I543" s="347"/>
      <c r="J543" s="347"/>
      <c r="K543" s="347"/>
      <c r="L543" s="347"/>
      <c r="M543" s="349" t="str">
        <f>IF(K543="","",K543/(K543+$L$175/60))</f>
        <v/>
      </c>
      <c r="N543" s="347"/>
      <c r="O543" s="347"/>
      <c r="P543" s="347"/>
      <c r="Q543" s="347" t="str">
        <f>IFERROR(ROUND(1440/K543*I543*M543,0),"")</f>
        <v/>
      </c>
      <c r="R543" s="347"/>
      <c r="S543" s="347"/>
      <c r="T543" s="347"/>
      <c r="U543" s="347"/>
      <c r="V543" s="347"/>
      <c r="W543" s="347"/>
      <c r="X543" s="347"/>
      <c r="Y543" s="347"/>
      <c r="Z543" s="347"/>
      <c r="AA543" s="347"/>
      <c r="AB543" s="347"/>
      <c r="AC543" s="347"/>
      <c r="AD543" s="347"/>
      <c r="AE543" s="347"/>
      <c r="AF543" s="347"/>
      <c r="AG543" s="347"/>
      <c r="AH543" s="347"/>
      <c r="AI543" s="347"/>
      <c r="AJ543" s="347"/>
      <c r="AK543" s="347"/>
      <c r="AL543" s="347"/>
      <c r="AM543" s="347"/>
      <c r="AN543" s="347"/>
      <c r="AO543" s="347"/>
      <c r="AP543" s="347"/>
      <c r="AQ543" s="347"/>
      <c r="AR543" s="347"/>
      <c r="AS543" s="347"/>
      <c r="AT543" s="347"/>
      <c r="AU543" s="347"/>
      <c r="AV543" s="347"/>
      <c r="AW543" s="347" t="str">
        <f t="shared" si="1384"/>
        <v/>
      </c>
      <c r="AX543" s="365" t="str">
        <f t="shared" si="1385"/>
        <v/>
      </c>
      <c r="AY543" s="365" t="str">
        <f t="shared" si="1386"/>
        <v/>
      </c>
      <c r="BJ543" s="370"/>
      <c r="BO543" s="258">
        <v>3120</v>
      </c>
      <c r="BP543" s="258">
        <v>3360</v>
      </c>
      <c r="BQ543" s="258">
        <v>3840</v>
      </c>
      <c r="BR543" s="258">
        <v>4320</v>
      </c>
      <c r="BY543" s="258">
        <f>SUM(BY539:BY542)</f>
        <v>8260</v>
      </c>
      <c r="BZ543" s="258">
        <f>SUM(BZ539:BZ542)</f>
        <v>8260</v>
      </c>
      <c r="CA543" s="258">
        <f>SUM(CA539:CA542)</f>
        <v>9440</v>
      </c>
      <c r="CB543" s="258">
        <f>SUM(CB539:CB542)</f>
        <v>10620</v>
      </c>
      <c r="CE543" s="258">
        <f>SUM(CE539:CE542)</f>
        <v>20.72</v>
      </c>
      <c r="CF543" s="258">
        <f>SUM(CF539:CF542)</f>
        <v>20.72</v>
      </c>
      <c r="CG543" s="258">
        <f>SUM(CG539:CG542)</f>
        <v>23.68</v>
      </c>
      <c r="CH543" s="258">
        <f>SUM(CH539:CH542)</f>
        <v>26.64</v>
      </c>
      <c r="CI543" s="258">
        <f>SUM(CI539:CI542)</f>
        <v>91.76</v>
      </c>
    </row>
    <row r="544" spans="17:95">
      <c r="Q544" s="331">
        <v>3.7</v>
      </c>
      <c r="R544" s="331">
        <f t="shared" ref="R544:AY544" si="1395">SUM(R539:R543)</f>
        <v>1180</v>
      </c>
      <c r="S544" s="331">
        <f t="shared" si="1395"/>
        <v>1180</v>
      </c>
      <c r="T544" s="331">
        <f t="shared" si="1395"/>
        <v>1180</v>
      </c>
      <c r="U544" s="331">
        <f t="shared" si="1395"/>
        <v>1180</v>
      </c>
      <c r="V544" s="331">
        <f t="shared" si="1395"/>
        <v>1180</v>
      </c>
      <c r="W544" s="331">
        <f t="shared" si="1395"/>
        <v>1180</v>
      </c>
      <c r="X544" s="331">
        <f t="shared" si="1395"/>
        <v>1180</v>
      </c>
      <c r="Y544" s="331">
        <f t="shared" si="1395"/>
        <v>1180</v>
      </c>
      <c r="Z544" s="331">
        <f t="shared" si="1395"/>
        <v>1180</v>
      </c>
      <c r="AA544" s="331">
        <f t="shared" si="1395"/>
        <v>1180</v>
      </c>
      <c r="AB544" s="331">
        <f t="shared" si="1395"/>
        <v>1180</v>
      </c>
      <c r="AC544" s="331">
        <f t="shared" si="1395"/>
        <v>1180</v>
      </c>
      <c r="AD544" s="331">
        <f t="shared" si="1395"/>
        <v>1180</v>
      </c>
      <c r="AE544" s="331">
        <f t="shared" si="1395"/>
        <v>1180</v>
      </c>
      <c r="AF544" s="331">
        <f t="shared" si="1395"/>
        <v>1180</v>
      </c>
      <c r="AG544" s="331">
        <f t="shared" si="1395"/>
        <v>1180</v>
      </c>
      <c r="AH544" s="331">
        <f t="shared" si="1395"/>
        <v>1180</v>
      </c>
      <c r="AI544" s="331">
        <f t="shared" si="1395"/>
        <v>1180</v>
      </c>
      <c r="AJ544" s="331">
        <f t="shared" si="1395"/>
        <v>1180</v>
      </c>
      <c r="AK544" s="331">
        <f t="shared" si="1395"/>
        <v>1180</v>
      </c>
      <c r="AL544" s="331">
        <f t="shared" si="1395"/>
        <v>1180</v>
      </c>
      <c r="AM544" s="331">
        <f t="shared" si="1395"/>
        <v>1180</v>
      </c>
      <c r="AN544" s="331">
        <f t="shared" si="1395"/>
        <v>1180</v>
      </c>
      <c r="AO544" s="331">
        <f t="shared" si="1395"/>
        <v>1180</v>
      </c>
      <c r="AP544" s="331">
        <f t="shared" si="1395"/>
        <v>1180</v>
      </c>
      <c r="AQ544" s="331">
        <f t="shared" si="1395"/>
        <v>1180</v>
      </c>
      <c r="AR544" s="331">
        <f t="shared" si="1395"/>
        <v>1180</v>
      </c>
      <c r="AS544" s="331">
        <f t="shared" si="1395"/>
        <v>1180</v>
      </c>
      <c r="AT544" s="331">
        <f t="shared" si="1395"/>
        <v>1180</v>
      </c>
      <c r="AU544" s="331">
        <f t="shared" si="1395"/>
        <v>1180</v>
      </c>
      <c r="AV544" s="331">
        <f t="shared" si="1395"/>
        <v>1180</v>
      </c>
      <c r="AW544" s="347">
        <f t="shared" si="1395"/>
        <v>36580</v>
      </c>
      <c r="AX544" s="365">
        <f t="shared" si="1395"/>
        <v>91.76</v>
      </c>
      <c r="AY544" s="365">
        <f t="shared" si="1395"/>
        <v>66.063</v>
      </c>
      <c r="BJ544" s="370"/>
      <c r="BO544" s="258">
        <v>4810</v>
      </c>
      <c r="BP544" s="258">
        <v>5180</v>
      </c>
      <c r="BQ544" s="258">
        <v>5920</v>
      </c>
      <c r="BR544" s="258">
        <v>6660</v>
      </c>
      <c r="CK544" s="258">
        <f t="shared" ref="CK544:CN544" si="1396">SUBTOTAL(9,CK539:CK543)</f>
        <v>149175.6</v>
      </c>
      <c r="CL544" s="258">
        <f t="shared" si="1396"/>
        <v>149175.6</v>
      </c>
      <c r="CM544" s="258">
        <f t="shared" si="1396"/>
        <v>170486.4</v>
      </c>
      <c r="CN544" s="258">
        <f t="shared" si="1396"/>
        <v>191797.2</v>
      </c>
      <c r="CP544" s="258" t="e">
        <f>VLOOKUP(G544,[2]Sheet1!$C$3:$G$310,5,0)</f>
        <v>#N/A</v>
      </c>
      <c r="CQ544" s="258" t="e">
        <f>VLOOKUP(G544,[3]KCBB0101!$C$3:$F$691,4,0)</f>
        <v>#N/A</v>
      </c>
    </row>
    <row r="545" spans="7:95">
      <c r="G545" s="258"/>
      <c r="AW545" s="330">
        <f>ROUND(AW544/31,0)</f>
        <v>1180</v>
      </c>
      <c r="AX545" s="406">
        <f>ROUND(AX544/31,3)</f>
        <v>2.96</v>
      </c>
      <c r="AY545" s="406">
        <f>AY544/31</f>
        <v>2.13106451612903</v>
      </c>
      <c r="BJ545" s="370"/>
      <c r="BK545" s="370"/>
      <c r="BL545" s="370"/>
      <c r="BM545" s="370"/>
      <c r="BO545" s="258">
        <v>5200</v>
      </c>
      <c r="BP545" s="258">
        <v>5600</v>
      </c>
      <c r="BQ545" s="258">
        <v>6400</v>
      </c>
      <c r="BR545" s="258">
        <v>7200</v>
      </c>
      <c r="CP545" s="258" t="e">
        <f>VLOOKUP(G545,[2]Sheet1!$C$3:$G$310,5,0)</f>
        <v>#N/A</v>
      </c>
      <c r="CQ545" s="258" t="e">
        <f>VLOOKUP(G545,[3]KCBB0101!$C$3:$F$691,4,0)</f>
        <v>#N/A</v>
      </c>
    </row>
    <row r="546" spans="7:65">
      <c r="G546" s="258"/>
      <c r="R546" s="330"/>
      <c r="AW546" s="406" t="e">
        <f>AW544+AW535+AW519+#REF!+#REF!</f>
        <v>#REF!</v>
      </c>
      <c r="AX546" s="406" t="e">
        <f>AX544+AX535+AX519+#REF!+#REF!</f>
        <v>#REF!</v>
      </c>
      <c r="AY546" s="406" t="e">
        <f>AY544+AY535+AY519+#REF!+#REF!</f>
        <v>#REF!</v>
      </c>
      <c r="BJ546" s="370"/>
      <c r="BK546" s="370"/>
      <c r="BL546" s="370"/>
      <c r="BM546" s="370"/>
    </row>
    <row r="547" spans="7:70">
      <c r="G547" s="258"/>
      <c r="H547" s="113"/>
      <c r="R547" s="330"/>
      <c r="AX547" s="330" t="e">
        <f>ROUND(#REF!+AX520+AX536,2)</f>
        <v>#REF!</v>
      </c>
      <c r="AY547" s="330" t="e">
        <f>AY536+AY520+#REF!</f>
        <v>#REF!</v>
      </c>
      <c r="BJ547" s="370"/>
      <c r="BO547" s="258">
        <v>5200</v>
      </c>
      <c r="BP547" s="258">
        <v>5600</v>
      </c>
      <c r="BQ547" s="258">
        <v>6400</v>
      </c>
      <c r="BR547" s="258">
        <v>7200</v>
      </c>
    </row>
    <row r="548" spans="7:70">
      <c r="G548" s="258"/>
      <c r="H548" s="113"/>
      <c r="BJ548" s="370"/>
      <c r="BO548" s="258">
        <v>5850</v>
      </c>
      <c r="BP548" s="258">
        <v>6300</v>
      </c>
      <c r="BQ548" s="258">
        <v>7200</v>
      </c>
      <c r="BR548" s="258">
        <v>8100</v>
      </c>
    </row>
    <row r="549" spans="7:62">
      <c r="G549" s="258"/>
      <c r="H549" s="113"/>
      <c r="BJ549" s="370"/>
    </row>
    <row r="550" spans="7:8">
      <c r="G550" s="258"/>
      <c r="H550" s="113"/>
    </row>
    <row r="551" spans="7:8">
      <c r="G551" s="258"/>
      <c r="H551" s="113"/>
    </row>
    <row r="552" spans="7:8">
      <c r="G552" s="258"/>
      <c r="H552" s="113"/>
    </row>
    <row r="553" spans="8:8">
      <c r="H553" s="113"/>
    </row>
    <row r="554" spans="8:8">
      <c r="H554" s="113"/>
    </row>
    <row r="555" spans="7:8">
      <c r="G555" s="258"/>
      <c r="H555" s="113"/>
    </row>
    <row r="556" spans="7:8">
      <c r="G556" s="258"/>
      <c r="H556" s="113"/>
    </row>
    <row r="557" spans="7:8">
      <c r="G557" s="258"/>
      <c r="H557" s="113"/>
    </row>
    <row r="558" spans="7:8">
      <c r="G558" s="258"/>
      <c r="H558" s="113"/>
    </row>
    <row r="559" spans="7:8">
      <c r="G559" s="258"/>
      <c r="H559" s="113"/>
    </row>
    <row r="560" spans="3:8">
      <c r="C560" s="258"/>
      <c r="D560" s="258"/>
      <c r="E560" s="258"/>
      <c r="F560" s="258"/>
      <c r="G560" s="258"/>
      <c r="H560" s="113"/>
    </row>
    <row r="561" spans="3:8">
      <c r="C561" s="258"/>
      <c r="D561" s="258"/>
      <c r="E561" s="258"/>
      <c r="F561" s="258"/>
      <c r="G561" s="258"/>
      <c r="H561" s="113"/>
    </row>
    <row r="562" spans="3:8">
      <c r="C562" s="258"/>
      <c r="D562" s="258"/>
      <c r="E562" s="258"/>
      <c r="F562" s="258"/>
      <c r="G562" s="258"/>
      <c r="H562" s="113"/>
    </row>
    <row r="563" spans="3:8">
      <c r="C563" s="258"/>
      <c r="D563" s="258"/>
      <c r="E563" s="258"/>
      <c r="F563" s="258"/>
      <c r="G563" s="258"/>
      <c r="H563" s="113"/>
    </row>
    <row r="564" spans="3:8">
      <c r="C564" s="258"/>
      <c r="D564" s="258"/>
      <c r="E564" s="258"/>
      <c r="F564" s="258"/>
      <c r="G564" s="258"/>
      <c r="H564" s="113"/>
    </row>
    <row r="565" spans="3:8">
      <c r="C565" s="258"/>
      <c r="D565" s="258"/>
      <c r="E565" s="258"/>
      <c r="F565" s="258"/>
      <c r="G565" s="258"/>
      <c r="H565" s="113"/>
    </row>
    <row r="566" spans="3:8">
      <c r="C566" s="258"/>
      <c r="D566" s="258"/>
      <c r="E566" s="258"/>
      <c r="F566" s="258"/>
      <c r="G566" s="258"/>
      <c r="H566" s="113"/>
    </row>
    <row r="567" spans="3:6">
      <c r="C567" s="258"/>
      <c r="D567" s="258"/>
      <c r="E567" s="258"/>
      <c r="F567" s="258"/>
    </row>
    <row r="568" spans="3:6">
      <c r="C568" s="258"/>
      <c r="D568" s="258"/>
      <c r="E568" s="258"/>
      <c r="F568" s="258"/>
    </row>
    <row r="569" spans="3:6">
      <c r="C569" s="258"/>
      <c r="D569" s="258"/>
      <c r="E569" s="258"/>
      <c r="F569" s="258"/>
    </row>
    <row r="570" spans="3:6">
      <c r="C570" s="258"/>
      <c r="D570" s="258"/>
      <c r="E570" s="258"/>
      <c r="F570" s="258"/>
    </row>
    <row r="571" spans="3:6">
      <c r="C571" s="258"/>
      <c r="D571" s="258"/>
      <c r="E571" s="258"/>
      <c r="F571" s="258"/>
    </row>
    <row r="572" spans="3:6">
      <c r="C572" s="258"/>
      <c r="D572" s="258"/>
      <c r="E572" s="258"/>
      <c r="F572" s="258"/>
    </row>
    <row r="573" spans="3:6">
      <c r="C573" s="258"/>
      <c r="D573" s="258"/>
      <c r="E573" s="258"/>
      <c r="F573" s="258"/>
    </row>
    <row r="574" spans="3:6">
      <c r="C574" s="258"/>
      <c r="D574" s="258"/>
      <c r="E574" s="258"/>
      <c r="F574" s="258"/>
    </row>
    <row r="575" spans="3:6">
      <c r="C575" s="258"/>
      <c r="D575" s="258"/>
      <c r="E575" s="258"/>
      <c r="F575" s="258"/>
    </row>
    <row r="576" spans="3:6">
      <c r="C576" s="258"/>
      <c r="D576" s="258"/>
      <c r="E576" s="258"/>
      <c r="F576" s="258"/>
    </row>
    <row r="577" spans="3:6">
      <c r="C577" s="258"/>
      <c r="D577" s="258"/>
      <c r="E577" s="258"/>
      <c r="F577" s="258"/>
    </row>
    <row r="578" spans="3:6">
      <c r="C578" s="258"/>
      <c r="D578" s="258"/>
      <c r="E578" s="258"/>
      <c r="F578" s="258"/>
    </row>
    <row r="579" spans="3:6">
      <c r="C579" s="258"/>
      <c r="D579" s="258"/>
      <c r="E579" s="258"/>
      <c r="F579" s="258"/>
    </row>
    <row r="580" spans="3:6">
      <c r="C580" s="258"/>
      <c r="D580" s="258"/>
      <c r="E580" s="258"/>
      <c r="F580" s="258"/>
    </row>
  </sheetData>
  <mergeCells count="2">
    <mergeCell ref="AZ1:BC1"/>
    <mergeCell ref="BE1:BH1"/>
  </mergeCells>
  <conditionalFormatting sqref="AW4">
    <cfRule type="cellIs" dxfId="1" priority="338" operator="lessThan">
      <formula>$N$3</formula>
    </cfRule>
  </conditionalFormatting>
  <conditionalFormatting sqref="AW8">
    <cfRule type="cellIs" dxfId="1" priority="232" operator="lessThan">
      <formula>$N$3</formula>
    </cfRule>
  </conditionalFormatting>
  <conditionalFormatting sqref="AW9">
    <cfRule type="cellIs" dxfId="1" priority="233" operator="lessThan">
      <formula>$N$3</formula>
    </cfRule>
  </conditionalFormatting>
  <conditionalFormatting sqref="AW10">
    <cfRule type="cellIs" dxfId="1" priority="230" operator="lessThan">
      <formula>$N$3</formula>
    </cfRule>
  </conditionalFormatting>
  <conditionalFormatting sqref="AW11">
    <cfRule type="cellIs" dxfId="1" priority="231" operator="lessThan">
      <formula>$N$3</formula>
    </cfRule>
  </conditionalFormatting>
  <conditionalFormatting sqref="AW12">
    <cfRule type="cellIs" dxfId="1" priority="237" operator="lessThan">
      <formula>$N$3</formula>
    </cfRule>
  </conditionalFormatting>
  <conditionalFormatting sqref="AW13">
    <cfRule type="cellIs" dxfId="1" priority="235" operator="lessThan">
      <formula>$N$3</formula>
    </cfRule>
  </conditionalFormatting>
  <conditionalFormatting sqref="AW14">
    <cfRule type="cellIs" dxfId="1" priority="234" operator="lessThan">
      <formula>$N$3</formula>
    </cfRule>
  </conditionalFormatting>
  <conditionalFormatting sqref="AW15">
    <cfRule type="cellIs" dxfId="1" priority="236" operator="lessThan">
      <formula>$N$3</formula>
    </cfRule>
  </conditionalFormatting>
  <conditionalFormatting sqref="AW16">
    <cfRule type="cellIs" dxfId="1" priority="247" operator="lessThan">
      <formula>$N$3</formula>
    </cfRule>
  </conditionalFormatting>
  <conditionalFormatting sqref="AW17">
    <cfRule type="cellIs" dxfId="1" priority="248" operator="lessThan">
      <formula>$N$3</formula>
    </cfRule>
  </conditionalFormatting>
  <conditionalFormatting sqref="AW18">
    <cfRule type="cellIs" dxfId="1" priority="245" operator="lessThan">
      <formula>$N$3</formula>
    </cfRule>
  </conditionalFormatting>
  <conditionalFormatting sqref="AW19">
    <cfRule type="cellIs" dxfId="1" priority="173" operator="lessThan">
      <formula>$N$3</formula>
    </cfRule>
  </conditionalFormatting>
  <conditionalFormatting sqref="AW20">
    <cfRule type="cellIs" dxfId="1" priority="168" operator="lessThan">
      <formula>$N$3</formula>
    </cfRule>
  </conditionalFormatting>
  <conditionalFormatting sqref="AW21">
    <cfRule type="cellIs" dxfId="1" priority="167" operator="lessThan">
      <formula>$N$3</formula>
    </cfRule>
  </conditionalFormatting>
  <conditionalFormatting sqref="AW22">
    <cfRule type="cellIs" dxfId="1" priority="170" operator="lessThan">
      <formula>$N$3</formula>
    </cfRule>
  </conditionalFormatting>
  <conditionalFormatting sqref="AW23">
    <cfRule type="cellIs" dxfId="1" priority="169" operator="lessThan">
      <formula>$N$3</formula>
    </cfRule>
  </conditionalFormatting>
  <conditionalFormatting sqref="AW24">
    <cfRule type="cellIs" dxfId="1" priority="172" operator="lessThan">
      <formula>$N$3</formula>
    </cfRule>
  </conditionalFormatting>
  <conditionalFormatting sqref="AW25">
    <cfRule type="cellIs" dxfId="1" priority="171" operator="lessThan">
      <formula>$N$3</formula>
    </cfRule>
  </conditionalFormatting>
  <conditionalFormatting sqref="AW26">
    <cfRule type="cellIs" dxfId="1" priority="175" operator="lessThan">
      <formula>$N$3</formula>
    </cfRule>
  </conditionalFormatting>
  <conditionalFormatting sqref="AW27">
    <cfRule type="cellIs" dxfId="1" priority="174" operator="lessThan">
      <formula>$N$3</formula>
    </cfRule>
  </conditionalFormatting>
  <conditionalFormatting sqref="AW28">
    <cfRule type="cellIs" dxfId="1" priority="246" operator="lessThan">
      <formula>$N$3</formula>
    </cfRule>
  </conditionalFormatting>
  <conditionalFormatting sqref="AW29">
    <cfRule type="cellIs" dxfId="1" priority="214" operator="lessThan">
      <formula>$N$3</formula>
    </cfRule>
  </conditionalFormatting>
  <conditionalFormatting sqref="AW30">
    <cfRule type="cellIs" dxfId="1" priority="213" operator="lessThan">
      <formula>$N$3</formula>
    </cfRule>
  </conditionalFormatting>
  <conditionalFormatting sqref="AW31">
    <cfRule type="cellIs" dxfId="1" priority="216" operator="lessThan">
      <formula>$N$3</formula>
    </cfRule>
  </conditionalFormatting>
  <conditionalFormatting sqref="AW32">
    <cfRule type="cellIs" dxfId="1" priority="215" operator="lessThan">
      <formula>$N$3</formula>
    </cfRule>
  </conditionalFormatting>
  <conditionalFormatting sqref="AW33">
    <cfRule type="cellIs" dxfId="1" priority="218" operator="lessThan">
      <formula>$N$3</formula>
    </cfRule>
  </conditionalFormatting>
  <conditionalFormatting sqref="AW34">
    <cfRule type="cellIs" dxfId="1" priority="217" operator="lessThan">
      <formula>$N$3</formula>
    </cfRule>
  </conditionalFormatting>
  <conditionalFormatting sqref="AW35">
    <cfRule type="cellIs" dxfId="1" priority="343" operator="lessThan">
      <formula>$N$3</formula>
    </cfRule>
  </conditionalFormatting>
  <conditionalFormatting sqref="AW36">
    <cfRule type="cellIs" dxfId="1" priority="336" operator="lessThan">
      <formula>$N$3</formula>
    </cfRule>
  </conditionalFormatting>
  <conditionalFormatting sqref="AW37">
    <cfRule type="cellIs" dxfId="1" priority="276" operator="lessThan">
      <formula>$N$3</formula>
    </cfRule>
  </conditionalFormatting>
  <conditionalFormatting sqref="AW38">
    <cfRule type="cellIs" dxfId="1" priority="342" operator="lessThan">
      <formula>$N$3</formula>
    </cfRule>
  </conditionalFormatting>
  <conditionalFormatting sqref="AW40">
    <cfRule type="cellIs" dxfId="1" priority="197" operator="lessThan">
      <formula>$N$3</formula>
    </cfRule>
  </conditionalFormatting>
  <conditionalFormatting sqref="AW42">
    <cfRule type="cellIs" dxfId="1" priority="201" operator="lessThan">
      <formula>$N$3</formula>
    </cfRule>
  </conditionalFormatting>
  <conditionalFormatting sqref="AW43">
    <cfRule type="cellIs" dxfId="1" priority="202" operator="lessThan">
      <formula>$N$3</formula>
    </cfRule>
  </conditionalFormatting>
  <conditionalFormatting sqref="AW44">
    <cfRule type="cellIs" dxfId="1" priority="200" operator="lessThan">
      <formula>$N$3</formula>
    </cfRule>
  </conditionalFormatting>
  <conditionalFormatting sqref="AW45">
    <cfRule type="cellIs" dxfId="1" priority="152" operator="lessThan">
      <formula>$N$3</formula>
    </cfRule>
  </conditionalFormatting>
  <conditionalFormatting sqref="AW46">
    <cfRule type="cellIs" dxfId="1" priority="198" operator="lessThan">
      <formula>$N$3</formula>
    </cfRule>
  </conditionalFormatting>
  <conditionalFormatting sqref="AW47">
    <cfRule type="cellIs" dxfId="1" priority="196" operator="lessThan">
      <formula>$N$3</formula>
    </cfRule>
  </conditionalFormatting>
  <conditionalFormatting sqref="AW48">
    <cfRule type="cellIs" dxfId="1" priority="199" operator="lessThan">
      <formula>$N$3</formula>
    </cfRule>
  </conditionalFormatting>
  <conditionalFormatting sqref="AW49">
    <cfRule type="cellIs" dxfId="1" priority="204" operator="lessThan">
      <formula>$N$3</formula>
    </cfRule>
  </conditionalFormatting>
  <conditionalFormatting sqref="AW52">
    <cfRule type="cellIs" dxfId="1" priority="203" operator="lessThan">
      <formula>$N$3</formula>
    </cfRule>
  </conditionalFormatting>
  <conditionalFormatting sqref="G54">
    <cfRule type="duplicateValues" dxfId="2" priority="10"/>
    <cfRule type="duplicateValues" dxfId="2" priority="9"/>
  </conditionalFormatting>
  <conditionalFormatting sqref="AW54">
    <cfRule type="cellIs" dxfId="1" priority="11" operator="lessThan">
      <formula>$N$3</formula>
    </cfRule>
  </conditionalFormatting>
  <conditionalFormatting sqref="AW55">
    <cfRule type="cellIs" dxfId="1" priority="239" operator="lessThan">
      <formula>$N$3</formula>
    </cfRule>
  </conditionalFormatting>
  <conditionalFormatting sqref="AW57">
    <cfRule type="cellIs" dxfId="1" priority="243" operator="lessThan">
      <formula>$N$3</formula>
    </cfRule>
  </conditionalFormatting>
  <conditionalFormatting sqref="AW58">
    <cfRule type="cellIs" dxfId="1" priority="244" operator="lessThan">
      <formula>$N$3</formula>
    </cfRule>
  </conditionalFormatting>
  <conditionalFormatting sqref="AW59">
    <cfRule type="cellIs" dxfId="1" priority="166" operator="lessThan">
      <formula>$N$3</formula>
    </cfRule>
  </conditionalFormatting>
  <conditionalFormatting sqref="AW60">
    <cfRule type="cellIs" dxfId="1" priority="165" operator="lessThan">
      <formula>$N$3</formula>
    </cfRule>
  </conditionalFormatting>
  <conditionalFormatting sqref="AW61">
    <cfRule type="cellIs" dxfId="1" priority="164" operator="lessThan">
      <formula>$N$3</formula>
    </cfRule>
  </conditionalFormatting>
  <conditionalFormatting sqref="AW62">
    <cfRule type="cellIs" dxfId="1" priority="242" operator="lessThan">
      <formula>$N$3</formula>
    </cfRule>
  </conditionalFormatting>
  <conditionalFormatting sqref="AW63">
    <cfRule type="cellIs" dxfId="1" priority="240" operator="lessThan">
      <formula>$N$3</formula>
    </cfRule>
  </conditionalFormatting>
  <conditionalFormatting sqref="AW64">
    <cfRule type="cellIs" dxfId="1" priority="238" operator="lessThan">
      <formula>$N$3</formula>
    </cfRule>
  </conditionalFormatting>
  <conditionalFormatting sqref="AW65">
    <cfRule type="cellIs" dxfId="1" priority="187" operator="lessThan">
      <formula>$N$3</formula>
    </cfRule>
  </conditionalFormatting>
  <conditionalFormatting sqref="AW66">
    <cfRule type="cellIs" dxfId="1" priority="192" operator="lessThan">
      <formula>$N$3</formula>
    </cfRule>
  </conditionalFormatting>
  <conditionalFormatting sqref="AW69">
    <cfRule type="cellIs" dxfId="1" priority="56" operator="lessThan">
      <formula>$N$3</formula>
    </cfRule>
  </conditionalFormatting>
  <conditionalFormatting sqref="AW70">
    <cfRule type="cellIs" dxfId="1" priority="189" operator="lessThan">
      <formula>$N$3</formula>
    </cfRule>
  </conditionalFormatting>
  <conditionalFormatting sqref="AW71">
    <cfRule type="cellIs" dxfId="1" priority="190" operator="lessThan">
      <formula>$N$3</formula>
    </cfRule>
  </conditionalFormatting>
  <conditionalFormatting sqref="AW72">
    <cfRule type="cellIs" dxfId="1" priority="194" operator="lessThan">
      <formula>$N$3</formula>
    </cfRule>
  </conditionalFormatting>
  <conditionalFormatting sqref="AW73">
    <cfRule type="cellIs" dxfId="1" priority="193" operator="lessThan">
      <formula>$N$3</formula>
    </cfRule>
  </conditionalFormatting>
  <conditionalFormatting sqref="AW74">
    <cfRule type="cellIs" dxfId="1" priority="191" operator="lessThan">
      <formula>$N$3</formula>
    </cfRule>
  </conditionalFormatting>
  <conditionalFormatting sqref="AW75">
    <cfRule type="cellIs" dxfId="1" priority="188" operator="lessThan">
      <formula>$N$3</formula>
    </cfRule>
  </conditionalFormatting>
  <conditionalFormatting sqref="AW78">
    <cfRule type="cellIs" dxfId="1" priority="241" operator="lessThan">
      <formula>$N$3</formula>
    </cfRule>
  </conditionalFormatting>
  <conditionalFormatting sqref="AW79">
    <cfRule type="cellIs" dxfId="1" priority="349" operator="lessThan">
      <formula>$N$3</formula>
    </cfRule>
  </conditionalFormatting>
  <conditionalFormatting sqref="AW80">
    <cfRule type="cellIs" dxfId="1" priority="54" operator="lessThan">
      <formula>$N$3</formula>
    </cfRule>
  </conditionalFormatting>
  <conditionalFormatting sqref="AW83">
    <cfRule type="cellIs" dxfId="1" priority="275" operator="lessThan">
      <formula>$N$3</formula>
    </cfRule>
  </conditionalFormatting>
  <conditionalFormatting sqref="AW84">
    <cfRule type="cellIs" dxfId="1" priority="329" operator="lessThan">
      <formula>$N$3</formula>
    </cfRule>
  </conditionalFormatting>
  <conditionalFormatting sqref="AW85">
    <cfRule type="cellIs" dxfId="1" priority="163" operator="lessThan">
      <formula>$N$3</formula>
    </cfRule>
  </conditionalFormatting>
  <conditionalFormatting sqref="AW86">
    <cfRule type="cellIs" dxfId="1" priority="162" operator="lessThan">
      <formula>$N$3</formula>
    </cfRule>
  </conditionalFormatting>
  <conditionalFormatting sqref="AW87">
    <cfRule type="cellIs" dxfId="1" priority="355" operator="lessThan">
      <formula>$N$3</formula>
    </cfRule>
  </conditionalFormatting>
  <conditionalFormatting sqref="AW88">
    <cfRule type="cellIs" dxfId="1" priority="354" operator="lessThan">
      <formula>$N$3</formula>
    </cfRule>
  </conditionalFormatting>
  <conditionalFormatting sqref="AW89">
    <cfRule type="cellIs" dxfId="1" priority="330" operator="lessThan">
      <formula>$N$3</formula>
    </cfRule>
  </conditionalFormatting>
  <conditionalFormatting sqref="AW90">
    <cfRule type="cellIs" dxfId="1" priority="158" operator="lessThan">
      <formula>$N$3</formula>
    </cfRule>
  </conditionalFormatting>
  <conditionalFormatting sqref="AW93">
    <cfRule type="cellIs" dxfId="1" priority="160" operator="lessThan">
      <formula>$N$3</formula>
    </cfRule>
  </conditionalFormatting>
  <conditionalFormatting sqref="AW94">
    <cfRule type="cellIs" dxfId="1" priority="159" operator="lessThan">
      <formula>$N$3</formula>
    </cfRule>
  </conditionalFormatting>
  <conditionalFormatting sqref="AW95">
    <cfRule type="cellIs" dxfId="1" priority="274" operator="lessThan">
      <formula>$N$3</formula>
    </cfRule>
  </conditionalFormatting>
  <conditionalFormatting sqref="AW98">
    <cfRule type="cellIs" dxfId="1" priority="348" operator="lessThan">
      <formula>$N$3</formula>
    </cfRule>
  </conditionalFormatting>
  <conditionalFormatting sqref="AW99">
    <cfRule type="cellIs" dxfId="1" priority="346" operator="lessThan">
      <formula>$N$3</formula>
    </cfRule>
  </conditionalFormatting>
  <conditionalFormatting sqref="AW100">
    <cfRule type="cellIs" dxfId="1" priority="345" operator="lessThan">
      <formula>$N$3</formula>
    </cfRule>
  </conditionalFormatting>
  <conditionalFormatting sqref="AW101">
    <cfRule type="cellIs" dxfId="1" priority="344" operator="lessThan">
      <formula>$N$3</formula>
    </cfRule>
  </conditionalFormatting>
  <conditionalFormatting sqref="AW102">
    <cfRule type="cellIs" dxfId="1" priority="324" operator="lessThan">
      <formula>$N$3</formula>
    </cfRule>
  </conditionalFormatting>
  <conditionalFormatting sqref="AW103">
    <cfRule type="cellIs" dxfId="1" priority="325" operator="lessThan">
      <formula>$N$3</formula>
    </cfRule>
  </conditionalFormatting>
  <conditionalFormatting sqref="AW104">
    <cfRule type="cellIs" dxfId="1" priority="249" operator="lessThan">
      <formula>$N$3</formula>
    </cfRule>
  </conditionalFormatting>
  <conditionalFormatting sqref="AW105">
    <cfRule type="cellIs" dxfId="1" priority="250" operator="lessThan">
      <formula>$N$3</formula>
    </cfRule>
  </conditionalFormatting>
  <conditionalFormatting sqref="AW107">
    <cfRule type="cellIs" dxfId="1" priority="184" operator="lessThan">
      <formula>$N$3</formula>
    </cfRule>
  </conditionalFormatting>
  <conditionalFormatting sqref="AW108">
    <cfRule type="cellIs" dxfId="1" priority="185" operator="lessThan">
      <formula>$N$3</formula>
    </cfRule>
  </conditionalFormatting>
  <conditionalFormatting sqref="AW109">
    <cfRule type="cellIs" dxfId="1" priority="186" operator="lessThan">
      <formula>$N$3</formula>
    </cfRule>
  </conditionalFormatting>
  <conditionalFormatting sqref="AW110">
    <cfRule type="cellIs" dxfId="1" priority="312" operator="lessThan">
      <formula>$N$3</formula>
    </cfRule>
  </conditionalFormatting>
  <conditionalFormatting sqref="AW111">
    <cfRule type="cellIs" dxfId="1" priority="331" operator="lessThan">
      <formula>$N$3</formula>
    </cfRule>
  </conditionalFormatting>
  <conditionalFormatting sqref="AW112">
    <cfRule type="cellIs" dxfId="1" priority="273" operator="lessThan">
      <formula>$N$3</formula>
    </cfRule>
  </conditionalFormatting>
  <conditionalFormatting sqref="AW113">
    <cfRule type="cellIs" dxfId="1" priority="272" operator="lessThan">
      <formula>$N$3</formula>
    </cfRule>
  </conditionalFormatting>
  <conditionalFormatting sqref="AW114">
    <cfRule type="cellIs" dxfId="1" priority="318" operator="lessThan">
      <formula>$N$3</formula>
    </cfRule>
  </conditionalFormatting>
  <conditionalFormatting sqref="AW115">
    <cfRule type="cellIs" dxfId="1" priority="319" operator="lessThan">
      <formula>$N$3</formula>
    </cfRule>
  </conditionalFormatting>
  <conditionalFormatting sqref="AW116">
    <cfRule type="cellIs" dxfId="1" priority="314" operator="lessThan">
      <formula>$N$3</formula>
    </cfRule>
  </conditionalFormatting>
  <conditionalFormatting sqref="AW118">
    <cfRule type="cellIs" dxfId="1" priority="258" operator="lessThan">
      <formula>$N$3</formula>
    </cfRule>
  </conditionalFormatting>
  <conditionalFormatting sqref="AW119">
    <cfRule type="cellIs" dxfId="1" priority="212" operator="lessThan">
      <formula>$N$3</formula>
    </cfRule>
  </conditionalFormatting>
  <conditionalFormatting sqref="AW120">
    <cfRule type="cellIs" dxfId="1" priority="211" operator="lessThan">
      <formula>$N$3</formula>
    </cfRule>
  </conditionalFormatting>
  <conditionalFormatting sqref="AW121">
    <cfRule type="cellIs" dxfId="1" priority="208" operator="lessThan">
      <formula>$N$3</formula>
    </cfRule>
  </conditionalFormatting>
  <conditionalFormatting sqref="AW122">
    <cfRule type="cellIs" dxfId="1" priority="209" operator="lessThan">
      <formula>$N$3</formula>
    </cfRule>
  </conditionalFormatting>
  <conditionalFormatting sqref="AW123">
    <cfRule type="cellIs" dxfId="1" priority="210" operator="lessThan">
      <formula>$N$3</formula>
    </cfRule>
  </conditionalFormatting>
  <conditionalFormatting sqref="AW124">
    <cfRule type="cellIs" dxfId="1" priority="157" operator="lessThan">
      <formula>$N$3</formula>
    </cfRule>
  </conditionalFormatting>
  <conditionalFormatting sqref="AW125">
    <cfRule type="cellIs" dxfId="1" priority="156" operator="lessThan">
      <formula>$N$3</formula>
    </cfRule>
  </conditionalFormatting>
  <conditionalFormatting sqref="AW126">
    <cfRule type="cellIs" dxfId="1" priority="207" operator="lessThan">
      <formula>$N$3</formula>
    </cfRule>
  </conditionalFormatting>
  <conditionalFormatting sqref="AW127">
    <cfRule type="cellIs" dxfId="1" priority="176" operator="lessThan">
      <formula>$N$3</formula>
    </cfRule>
  </conditionalFormatting>
  <conditionalFormatting sqref="AW128">
    <cfRule type="cellIs" dxfId="1" priority="177" operator="lessThan">
      <formula>$N$3</formula>
    </cfRule>
  </conditionalFormatting>
  <conditionalFormatting sqref="AW129">
    <cfRule type="cellIs" dxfId="1" priority="178" operator="lessThan">
      <formula>$N$3</formula>
    </cfRule>
  </conditionalFormatting>
  <conditionalFormatting sqref="AW130">
    <cfRule type="cellIs" dxfId="1" priority="179" operator="lessThan">
      <formula>$N$3</formula>
    </cfRule>
  </conditionalFormatting>
  <conditionalFormatting sqref="AW131">
    <cfRule type="cellIs" dxfId="1" priority="180" operator="lessThan">
      <formula>$N$3</formula>
    </cfRule>
  </conditionalFormatting>
  <conditionalFormatting sqref="AW132">
    <cfRule type="cellIs" dxfId="1" priority="153" operator="lessThan">
      <formula>$N$3</formula>
    </cfRule>
  </conditionalFormatting>
  <conditionalFormatting sqref="AW133">
    <cfRule type="cellIs" dxfId="1" priority="154" operator="lessThan">
      <formula>$N$3</formula>
    </cfRule>
  </conditionalFormatting>
  <conditionalFormatting sqref="AW134">
    <cfRule type="cellIs" dxfId="1" priority="155" operator="lessThan">
      <formula>$N$3</formula>
    </cfRule>
  </conditionalFormatting>
  <conditionalFormatting sqref="AW135">
    <cfRule type="cellIs" dxfId="1" priority="181" operator="lessThan">
      <formula>$N$3</formula>
    </cfRule>
  </conditionalFormatting>
  <conditionalFormatting sqref="AW136">
    <cfRule type="cellIs" dxfId="1" priority="182" operator="lessThan">
      <formula>$N$3</formula>
    </cfRule>
  </conditionalFormatting>
  <conditionalFormatting sqref="AW137">
    <cfRule type="cellIs" dxfId="1" priority="183" operator="lessThan">
      <formula>$N$3</formula>
    </cfRule>
  </conditionalFormatting>
  <conditionalFormatting sqref="AW138">
    <cfRule type="cellIs" dxfId="1" priority="206" operator="lessThan">
      <formula>$N$3</formula>
    </cfRule>
  </conditionalFormatting>
  <conditionalFormatting sqref="AW139">
    <cfRule type="cellIs" dxfId="1" priority="341" operator="lessThan">
      <formula>$N$3</formula>
    </cfRule>
  </conditionalFormatting>
  <conditionalFormatting sqref="AW140">
    <cfRule type="cellIs" dxfId="1" priority="278" operator="lessThan">
      <formula>$N$3</formula>
    </cfRule>
  </conditionalFormatting>
  <conditionalFormatting sqref="AW141">
    <cfRule type="cellIs" dxfId="1" priority="225" operator="lessThan">
      <formula>$N$3</formula>
    </cfRule>
  </conditionalFormatting>
  <conditionalFormatting sqref="AW142">
    <cfRule type="cellIs" dxfId="1" priority="228" operator="lessThan">
      <formula>$N$3</formula>
    </cfRule>
  </conditionalFormatting>
  <conditionalFormatting sqref="AW143">
    <cfRule type="cellIs" dxfId="1" priority="229" operator="lessThan">
      <formula>$N$3</formula>
    </cfRule>
  </conditionalFormatting>
  <conditionalFormatting sqref="AW144">
    <cfRule type="cellIs" dxfId="1" priority="224" operator="lessThan">
      <formula>$N$3</formula>
    </cfRule>
  </conditionalFormatting>
  <conditionalFormatting sqref="AW145">
    <cfRule type="cellIs" dxfId="1" priority="223" operator="lessThan">
      <formula>$N$3</formula>
    </cfRule>
  </conditionalFormatting>
  <conditionalFormatting sqref="AW146">
    <cfRule type="cellIs" dxfId="1" priority="222" operator="lessThan">
      <formula>$N$3</formula>
    </cfRule>
  </conditionalFormatting>
  <conditionalFormatting sqref="AW147">
    <cfRule type="cellIs" dxfId="1" priority="221" operator="lessThan">
      <formula>$N$3</formula>
    </cfRule>
  </conditionalFormatting>
  <conditionalFormatting sqref="AW148">
    <cfRule type="cellIs" dxfId="1" priority="340" operator="lessThan">
      <formula>$N$3</formula>
    </cfRule>
  </conditionalFormatting>
  <conditionalFormatting sqref="AW150">
    <cfRule type="cellIs" dxfId="1" priority="309" operator="lessThan">
      <formula>$N$3</formula>
    </cfRule>
  </conditionalFormatting>
  <conditionalFormatting sqref="AW151">
    <cfRule type="cellIs" dxfId="1" priority="310" operator="lessThan">
      <formula>$N$3</formula>
    </cfRule>
  </conditionalFormatting>
  <conditionalFormatting sqref="AW153">
    <cfRule type="cellIs" dxfId="1" priority="347" operator="lessThan">
      <formula>$N$3</formula>
    </cfRule>
  </conditionalFormatting>
  <conditionalFormatting sqref="AW155">
    <cfRule type="cellIs" dxfId="1" priority="287" operator="lessThan">
      <formula>$N$3</formula>
    </cfRule>
  </conditionalFormatting>
  <conditionalFormatting sqref="AW156">
    <cfRule type="cellIs" dxfId="1" priority="308" operator="lessThan">
      <formula>$N$3</formula>
    </cfRule>
  </conditionalFormatting>
  <conditionalFormatting sqref="AW158">
    <cfRule type="cellIs" dxfId="1" priority="270" operator="lessThan">
      <formula>$N$3</formula>
    </cfRule>
  </conditionalFormatting>
  <conditionalFormatting sqref="AW159">
    <cfRule type="cellIs" dxfId="1" priority="307" operator="lessThan">
      <formula>$N$3</formula>
    </cfRule>
  </conditionalFormatting>
  <conditionalFormatting sqref="AW162">
    <cfRule type="cellIs" dxfId="1" priority="292" operator="lessThan">
      <formula>$N$3</formula>
    </cfRule>
  </conditionalFormatting>
  <conditionalFormatting sqref="AW163">
    <cfRule type="cellIs" dxfId="1" priority="306" operator="lessThan">
      <formula>$N$3</formula>
    </cfRule>
  </conditionalFormatting>
  <conditionalFormatting sqref="AW164">
    <cfRule type="cellIs" dxfId="1" priority="317" operator="lessThan">
      <formula>$N$3</formula>
    </cfRule>
  </conditionalFormatting>
  <conditionalFormatting sqref="AW165">
    <cfRule type="cellIs" dxfId="1" priority="305" operator="lessThan">
      <formula>$N$3</formula>
    </cfRule>
  </conditionalFormatting>
  <conditionalFormatting sqref="AW168">
    <cfRule type="cellIs" dxfId="1" priority="286" operator="lessThan">
      <formula>$N$3</formula>
    </cfRule>
  </conditionalFormatting>
  <conditionalFormatting sqref="AW169">
    <cfRule type="cellIs" dxfId="1" priority="304" operator="lessThan">
      <formula>$N$3</formula>
    </cfRule>
  </conditionalFormatting>
  <conditionalFormatting sqref="AW171">
    <cfRule type="cellIs" dxfId="1" priority="227" operator="lessThan">
      <formula>$N$3</formula>
    </cfRule>
  </conditionalFormatting>
  <conditionalFormatting sqref="AW172">
    <cfRule type="cellIs" dxfId="1" priority="284" operator="lessThan">
      <formula>$N$3</formula>
    </cfRule>
  </conditionalFormatting>
  <conditionalFormatting sqref="AW174">
    <cfRule type="cellIs" dxfId="1" priority="303" operator="lessThan">
      <formula>$N$3</formula>
    </cfRule>
  </conditionalFormatting>
  <conditionalFormatting sqref="AW176">
    <cfRule type="cellIs" dxfId="1" priority="302" operator="lessThan">
      <formula>$N$3</formula>
    </cfRule>
  </conditionalFormatting>
  <conditionalFormatting sqref="AW177">
    <cfRule type="cellIs" dxfId="1" priority="352" operator="lessThan">
      <formula>$N$3</formula>
    </cfRule>
  </conditionalFormatting>
  <conditionalFormatting sqref="AW178">
    <cfRule type="cellIs" dxfId="1" priority="327" operator="lessThan">
      <formula>$N$3</formula>
    </cfRule>
  </conditionalFormatting>
  <conditionalFormatting sqref="AW180">
    <cfRule type="cellIs" dxfId="1" priority="300" operator="lessThan">
      <formula>$N$3</formula>
    </cfRule>
  </conditionalFormatting>
  <conditionalFormatting sqref="AW181">
    <cfRule type="cellIs" dxfId="1" priority="301" operator="lessThan">
      <formula>$N$3</formula>
    </cfRule>
  </conditionalFormatting>
  <conditionalFormatting sqref="AW183">
    <cfRule type="cellIs" dxfId="1" priority="291" operator="lessThan">
      <formula>$N$3</formula>
    </cfRule>
  </conditionalFormatting>
  <conditionalFormatting sqref="AW184">
    <cfRule type="cellIs" dxfId="1" priority="326" operator="lessThan">
      <formula>$N$3</formula>
    </cfRule>
  </conditionalFormatting>
  <conditionalFormatting sqref="AW185">
    <cfRule type="cellIs" dxfId="1" priority="269" operator="lessThan">
      <formula>$N$3</formula>
    </cfRule>
  </conditionalFormatting>
  <conditionalFormatting sqref="AW186">
    <cfRule type="cellIs" dxfId="1" priority="322" operator="lessThan">
      <formula>$N$3</formula>
    </cfRule>
  </conditionalFormatting>
  <conditionalFormatting sqref="AW187">
    <cfRule type="cellIs" dxfId="1" priority="259" operator="lessThan">
      <formula>$N$3</formula>
    </cfRule>
  </conditionalFormatting>
  <conditionalFormatting sqref="AW188">
    <cfRule type="cellIs" dxfId="1" priority="260" operator="lessThan">
      <formula>$N$3</formula>
    </cfRule>
  </conditionalFormatting>
  <conditionalFormatting sqref="AW189">
    <cfRule type="cellIs" dxfId="1" priority="321" operator="lessThan">
      <formula>$N$3</formula>
    </cfRule>
  </conditionalFormatting>
  <conditionalFormatting sqref="AW190">
    <cfRule type="cellIs" dxfId="1" priority="279" operator="lessThan">
      <formula>$N$3</formula>
    </cfRule>
  </conditionalFormatting>
  <conditionalFormatting sqref="AW191">
    <cfRule type="cellIs" dxfId="1" priority="323" operator="lessThan">
      <formula>$N$3</formula>
    </cfRule>
  </conditionalFormatting>
  <conditionalFormatting sqref="AW192">
    <cfRule type="cellIs" dxfId="1" priority="271" operator="lessThan">
      <formula>$N$3</formula>
    </cfRule>
  </conditionalFormatting>
  <conditionalFormatting sqref="AW194">
    <cfRule type="cellIs" dxfId="1" priority="285" operator="lessThan">
      <formula>$N$3</formula>
    </cfRule>
  </conditionalFormatting>
  <conditionalFormatting sqref="AW195">
    <cfRule type="cellIs" dxfId="1" priority="299" operator="lessThan">
      <formula>$N$3</formula>
    </cfRule>
  </conditionalFormatting>
  <conditionalFormatting sqref="AW197">
    <cfRule type="cellIs" dxfId="1" priority="280" operator="lessThan">
      <formula>$N$3</formula>
    </cfRule>
  </conditionalFormatting>
  <conditionalFormatting sqref="AW199">
    <cfRule type="cellIs" dxfId="1" priority="328" operator="lessThan">
      <formula>$N$3</formula>
    </cfRule>
  </conditionalFormatting>
  <conditionalFormatting sqref="AW200">
    <cfRule type="cellIs" dxfId="1" priority="289" operator="lessThan">
      <formula>$N$3</formula>
    </cfRule>
  </conditionalFormatting>
  <conditionalFormatting sqref="AW202">
    <cfRule type="cellIs" dxfId="1" priority="298" operator="lessThan">
      <formula>$N$3</formula>
    </cfRule>
  </conditionalFormatting>
  <conditionalFormatting sqref="AW203">
    <cfRule type="cellIs" dxfId="1" priority="290" operator="lessThan">
      <formula>$N$3</formula>
    </cfRule>
  </conditionalFormatting>
  <conditionalFormatting sqref="AW206">
    <cfRule type="cellIs" dxfId="1" priority="283" operator="lessThan">
      <formula>$N$3</formula>
    </cfRule>
  </conditionalFormatting>
  <conditionalFormatting sqref="AW207">
    <cfRule type="cellIs" dxfId="1" priority="264" operator="lessThan">
      <formula>$N$3</formula>
    </cfRule>
  </conditionalFormatting>
  <conditionalFormatting sqref="AW208">
    <cfRule type="cellIs" dxfId="1" priority="297" operator="lessThan">
      <formula>$N$3</formula>
    </cfRule>
  </conditionalFormatting>
  <conditionalFormatting sqref="AW210">
    <cfRule type="cellIs" dxfId="1" priority="282" operator="lessThan">
      <formula>$N$3</formula>
    </cfRule>
  </conditionalFormatting>
  <conditionalFormatting sqref="AW211">
    <cfRule type="cellIs" dxfId="1" priority="296" operator="lessThan">
      <formula>$N$3</formula>
    </cfRule>
  </conditionalFormatting>
  <conditionalFormatting sqref="AW212">
    <cfRule type="cellIs" dxfId="1" priority="281" operator="lessThan">
      <formula>$N$3</formula>
    </cfRule>
  </conditionalFormatting>
  <conditionalFormatting sqref="AW213">
    <cfRule type="cellIs" dxfId="1" priority="320" operator="lessThan">
      <formula>$N$3</formula>
    </cfRule>
  </conditionalFormatting>
  <conditionalFormatting sqref="AW214">
    <cfRule type="cellIs" dxfId="1" priority="262" operator="lessThan">
      <formula>$N$3</formula>
    </cfRule>
  </conditionalFormatting>
  <conditionalFormatting sqref="AW215">
    <cfRule type="cellIs" dxfId="1" priority="295" operator="lessThan">
      <formula>$N$3</formula>
    </cfRule>
  </conditionalFormatting>
  <conditionalFormatting sqref="AW216">
    <cfRule type="cellIs" dxfId="1" priority="263" operator="lessThan">
      <formula>$N$3</formula>
    </cfRule>
  </conditionalFormatting>
  <conditionalFormatting sqref="AW217">
    <cfRule type="cellIs" dxfId="1" priority="337" operator="lessThan">
      <formula>$N$3</formula>
    </cfRule>
  </conditionalFormatting>
  <conditionalFormatting sqref="AW220">
    <cfRule type="cellIs" dxfId="1" priority="268" operator="lessThan">
      <formula>$N$3</formula>
    </cfRule>
  </conditionalFormatting>
  <conditionalFormatting sqref="AW222">
    <cfRule type="cellIs" dxfId="1" priority="334" operator="lessThan">
      <formula>$N$3</formula>
    </cfRule>
  </conditionalFormatting>
  <conditionalFormatting sqref="AW223">
    <cfRule type="cellIs" dxfId="1" priority="335" operator="lessThan">
      <formula>$N$3</formula>
    </cfRule>
  </conditionalFormatting>
  <conditionalFormatting sqref="AW225">
    <cfRule type="cellIs" dxfId="1" priority="294" operator="lessThan">
      <formula>$N$3</formula>
    </cfRule>
  </conditionalFormatting>
  <conditionalFormatting sqref="AW226">
    <cfRule type="cellIs" dxfId="1" priority="261" operator="lessThan">
      <formula>$N$3</formula>
    </cfRule>
  </conditionalFormatting>
  <conditionalFormatting sqref="AW229">
    <cfRule type="cellIs" dxfId="1" priority="356" operator="lessThan">
      <formula>$N$3</formula>
    </cfRule>
  </conditionalFormatting>
  <conditionalFormatting sqref="AW238">
    <cfRule type="cellIs" dxfId="1" priority="293" operator="lessThan">
      <formula>$N$3</formula>
    </cfRule>
  </conditionalFormatting>
  <conditionalFormatting sqref="AW242">
    <cfRule type="cellIs" dxfId="1" priority="311" operator="lessThan">
      <formula>$N$3</formula>
    </cfRule>
  </conditionalFormatting>
  <conditionalFormatting sqref="AW245">
    <cfRule type="cellIs" dxfId="1" priority="255" operator="lessThan">
      <formula>$N$3</formula>
    </cfRule>
  </conditionalFormatting>
  <conditionalFormatting sqref="AW246">
    <cfRule type="cellIs" dxfId="1" priority="256" operator="lessThan">
      <formula>$N$3</formula>
    </cfRule>
  </conditionalFormatting>
  <conditionalFormatting sqref="AW250">
    <cfRule type="cellIs" dxfId="1" priority="353" operator="lessThan">
      <formula>$N$3</formula>
    </cfRule>
  </conditionalFormatting>
  <conditionalFormatting sqref="AW263">
    <cfRule type="cellIs" dxfId="1" priority="253" operator="lessThan">
      <formula>$N$3</formula>
    </cfRule>
  </conditionalFormatting>
  <conditionalFormatting sqref="AW264">
    <cfRule type="cellIs" dxfId="1" priority="72" operator="lessThan">
      <formula>$N$3</formula>
    </cfRule>
  </conditionalFormatting>
  <conditionalFormatting sqref="AW267">
    <cfRule type="cellIs" dxfId="1" priority="78" operator="lessThan">
      <formula>$N$3</formula>
    </cfRule>
  </conditionalFormatting>
  <conditionalFormatting sqref="AW268">
    <cfRule type="cellIs" dxfId="1" priority="81" operator="lessThan">
      <formula>$N$3</formula>
    </cfRule>
  </conditionalFormatting>
  <conditionalFormatting sqref="AW272">
    <cfRule type="cellIs" dxfId="1" priority="23" operator="lessThan">
      <formula>$N$3</formula>
    </cfRule>
  </conditionalFormatting>
  <conditionalFormatting sqref="AW275">
    <cfRule type="cellIs" dxfId="1" priority="74" operator="lessThan">
      <formula>$N$3</formula>
    </cfRule>
  </conditionalFormatting>
  <conditionalFormatting sqref="AW276">
    <cfRule type="cellIs" dxfId="1" priority="75" operator="lessThan">
      <formula>$N$3</formula>
    </cfRule>
  </conditionalFormatting>
  <conditionalFormatting sqref="AW277">
    <cfRule type="cellIs" dxfId="1" priority="76" operator="lessThan">
      <formula>$N$3</formula>
    </cfRule>
  </conditionalFormatting>
  <conditionalFormatting sqref="AW280">
    <cfRule type="cellIs" dxfId="1" priority="70" operator="lessThan">
      <formula>$N$3</formula>
    </cfRule>
  </conditionalFormatting>
  <conditionalFormatting sqref="AW281">
    <cfRule type="cellIs" dxfId="1" priority="71" operator="lessThan">
      <formula>$N$3</formula>
    </cfRule>
  </conditionalFormatting>
  <conditionalFormatting sqref="AW282">
    <cfRule type="cellIs" dxfId="1" priority="77" operator="lessThan">
      <formula>$N$3</formula>
    </cfRule>
  </conditionalFormatting>
  <conditionalFormatting sqref="AW285">
    <cfRule type="cellIs" dxfId="1" priority="80" operator="lessThan">
      <formula>$N$3</formula>
    </cfRule>
  </conditionalFormatting>
  <conditionalFormatting sqref="AW287">
    <cfRule type="cellIs" dxfId="1" priority="79" operator="lessThan">
      <formula>$N$3</formula>
    </cfRule>
  </conditionalFormatting>
  <conditionalFormatting sqref="AW293">
    <cfRule type="cellIs" dxfId="1" priority="73" operator="lessThan">
      <formula>$N$3</formula>
    </cfRule>
  </conditionalFormatting>
  <conditionalFormatting sqref="AW295">
    <cfRule type="cellIs" dxfId="1" priority="82" operator="lessThan">
      <formula>$N$3</formula>
    </cfRule>
  </conditionalFormatting>
  <conditionalFormatting sqref="AW296">
    <cfRule type="cellIs" dxfId="1" priority="85" operator="lessThan">
      <formula>$N$3</formula>
    </cfRule>
  </conditionalFormatting>
  <conditionalFormatting sqref="AW297">
    <cfRule type="cellIs" dxfId="1" priority="84" operator="lessThan">
      <formula>$N$3</formula>
    </cfRule>
  </conditionalFormatting>
  <conditionalFormatting sqref="AW299">
    <cfRule type="cellIs" dxfId="1" priority="67" operator="lessThan">
      <formula>$N$3</formula>
    </cfRule>
  </conditionalFormatting>
  <conditionalFormatting sqref="AW300">
    <cfRule type="cellIs" dxfId="1" priority="68" operator="lessThan">
      <formula>$N$3</formula>
    </cfRule>
  </conditionalFormatting>
  <conditionalFormatting sqref="AW302">
    <cfRule type="cellIs" dxfId="1" priority="69" operator="lessThan">
      <formula>$N$3</formula>
    </cfRule>
  </conditionalFormatting>
  <conditionalFormatting sqref="AW304">
    <cfRule type="cellIs" dxfId="1" priority="254" operator="lessThan">
      <formula>$N$3</formula>
    </cfRule>
  </conditionalFormatting>
  <conditionalFormatting sqref="AW307">
    <cfRule type="cellIs" dxfId="1" priority="288" operator="lessThan">
      <formula>$N$3</formula>
    </cfRule>
  </conditionalFormatting>
  <conditionalFormatting sqref="AW308">
    <cfRule type="cellIs" dxfId="1" priority="32" operator="lessThan">
      <formula>$N$3</formula>
    </cfRule>
  </conditionalFormatting>
  <conditionalFormatting sqref="AW309">
    <cfRule type="cellIs" dxfId="1" priority="316" operator="lessThan">
      <formula>$N$3</formula>
    </cfRule>
  </conditionalFormatting>
  <conditionalFormatting sqref="AW315">
    <cfRule type="cellIs" dxfId="1" priority="265" operator="lessThan">
      <formula>$N$3</formula>
    </cfRule>
  </conditionalFormatting>
  <conditionalFormatting sqref="AW316">
    <cfRule type="cellIs" dxfId="1" priority="266" operator="lessThan">
      <formula>$N$3</formula>
    </cfRule>
  </conditionalFormatting>
  <conditionalFormatting sqref="AW317">
    <cfRule type="cellIs" dxfId="1" priority="267" operator="lessThan">
      <formula>$N$3</formula>
    </cfRule>
  </conditionalFormatting>
  <conditionalFormatting sqref="AW319">
    <cfRule type="cellIs" dxfId="1" priority="28" operator="lessThan">
      <formula>$N$3</formula>
    </cfRule>
  </conditionalFormatting>
  <conditionalFormatting sqref="AW321">
    <cfRule type="cellIs" dxfId="1" priority="251" operator="lessThan">
      <formula>$N$3</formula>
    </cfRule>
  </conditionalFormatting>
  <conditionalFormatting sqref="AW322">
    <cfRule type="cellIs" dxfId="1" priority="252" operator="lessThan">
      <formula>$N$3</formula>
    </cfRule>
  </conditionalFormatting>
  <conditionalFormatting sqref="AW323">
    <cfRule type="cellIs" dxfId="1" priority="277" operator="lessThan">
      <formula>$N$3</formula>
    </cfRule>
  </conditionalFormatting>
  <conditionalFormatting sqref="AW326">
    <cfRule type="cellIs" dxfId="1" priority="315" operator="lessThan">
      <formula>$N$3</formula>
    </cfRule>
  </conditionalFormatting>
  <conditionalFormatting sqref="AW328">
    <cfRule type="cellIs" dxfId="1" priority="313" operator="lessThan">
      <formula>$N$3</formula>
    </cfRule>
  </conditionalFormatting>
  <conditionalFormatting sqref="AW334">
    <cfRule type="cellIs" dxfId="1" priority="45" operator="lessThan">
      <formula>$N$3</formula>
    </cfRule>
  </conditionalFormatting>
  <conditionalFormatting sqref="AW336">
    <cfRule type="cellIs" dxfId="1" priority="46" operator="lessThan">
      <formula>$N$3</formula>
    </cfRule>
  </conditionalFormatting>
  <conditionalFormatting sqref="AW337">
    <cfRule type="cellIs" dxfId="1" priority="26" operator="lessThan">
      <formula>$N$3</formula>
    </cfRule>
  </conditionalFormatting>
  <conditionalFormatting sqref="AW338">
    <cfRule type="cellIs" dxfId="1" priority="48" operator="lessThan">
      <formula>$N$3</formula>
    </cfRule>
  </conditionalFormatting>
  <conditionalFormatting sqref="AW339">
    <cfRule type="cellIs" dxfId="1" priority="47" operator="lessThan">
      <formula>$N$3</formula>
    </cfRule>
  </conditionalFormatting>
  <conditionalFormatting sqref="AW341">
    <cfRule type="cellIs" dxfId="1" priority="42" operator="lessThan">
      <formula>$N$3</formula>
    </cfRule>
  </conditionalFormatting>
  <conditionalFormatting sqref="AW342">
    <cfRule type="cellIs" dxfId="1" priority="43" operator="lessThan">
      <formula>$N$3</formula>
    </cfRule>
  </conditionalFormatting>
  <conditionalFormatting sqref="AW344">
    <cfRule type="cellIs" dxfId="1" priority="44" operator="lessThan">
      <formula>$N$3</formula>
    </cfRule>
  </conditionalFormatting>
  <conditionalFormatting sqref="AW348">
    <cfRule type="cellIs" dxfId="1" priority="30" operator="lessThan">
      <formula>$N$3</formula>
    </cfRule>
  </conditionalFormatting>
  <conditionalFormatting sqref="AW352">
    <cfRule type="cellIs" dxfId="1" priority="36" operator="lessThan">
      <formula>$N$3</formula>
    </cfRule>
  </conditionalFormatting>
  <conditionalFormatting sqref="AW354">
    <cfRule type="cellIs" dxfId="1" priority="37" operator="lessThan">
      <formula>$N$3</formula>
    </cfRule>
  </conditionalFormatting>
  <conditionalFormatting sqref="AW355">
    <cfRule type="cellIs" dxfId="1" priority="39" operator="lessThan">
      <formula>$N$3</formula>
    </cfRule>
  </conditionalFormatting>
  <conditionalFormatting sqref="AW356">
    <cfRule type="cellIs" dxfId="1" priority="38" operator="lessThan">
      <formula>$N$3</formula>
    </cfRule>
  </conditionalFormatting>
  <conditionalFormatting sqref="AW358">
    <cfRule type="cellIs" dxfId="1" priority="34" operator="lessThan">
      <formula>$N$3</formula>
    </cfRule>
  </conditionalFormatting>
  <conditionalFormatting sqref="AW359">
    <cfRule type="cellIs" dxfId="1" priority="35" operator="lessThan">
      <formula>$N$3</formula>
    </cfRule>
  </conditionalFormatting>
  <conditionalFormatting sqref="AW362">
    <cfRule type="cellIs" dxfId="1" priority="257" operator="lessThan">
      <formula>$N$3</formula>
    </cfRule>
  </conditionalFormatting>
  <conditionalFormatting sqref="AW364">
    <cfRule type="cellIs" dxfId="1" priority="332" operator="lessThan">
      <formula>$N$3</formula>
    </cfRule>
  </conditionalFormatting>
  <conditionalFormatting sqref="AW365">
    <cfRule type="cellIs" dxfId="1" priority="351" operator="lessThan">
      <formula>$N$3</formula>
    </cfRule>
  </conditionalFormatting>
  <conditionalFormatting sqref="AW366">
    <cfRule type="cellIs" dxfId="1" priority="339" operator="lessThan">
      <formula>$N$3</formula>
    </cfRule>
  </conditionalFormatting>
  <conditionalFormatting sqref="AW368">
    <cfRule type="cellIs" dxfId="1" priority="219" operator="lessThan">
      <formula>$N$3</formula>
    </cfRule>
  </conditionalFormatting>
  <conditionalFormatting sqref="AW369">
    <cfRule type="cellIs" dxfId="1" priority="220" operator="lessThan">
      <formula>$N$3</formula>
    </cfRule>
  </conditionalFormatting>
  <conditionalFormatting sqref="AW371">
    <cfRule type="cellIs" dxfId="1" priority="226" operator="lessThan">
      <formula>$N$3</formula>
    </cfRule>
  </conditionalFormatting>
  <conditionalFormatting sqref="AW375">
    <cfRule type="cellIs" dxfId="1" priority="350" operator="lessThan">
      <formula>$N$3</formula>
    </cfRule>
  </conditionalFormatting>
  <conditionalFormatting sqref="G380">
    <cfRule type="duplicateValues" dxfId="2" priority="146"/>
  </conditionalFormatting>
  <conditionalFormatting sqref="G382">
    <cfRule type="duplicateValues" dxfId="2" priority="147"/>
  </conditionalFormatting>
  <conditionalFormatting sqref="G383">
    <cfRule type="duplicateValues" dxfId="2" priority="148"/>
  </conditionalFormatting>
  <conditionalFormatting sqref="BS384">
    <cfRule type="cellIs" dxfId="1" priority="95" operator="lessThan">
      <formula>$N$3</formula>
    </cfRule>
  </conditionalFormatting>
  <conditionalFormatting sqref="BS385">
    <cfRule type="cellIs" dxfId="1" priority="96" operator="lessThan">
      <formula>$N$3</formula>
    </cfRule>
  </conditionalFormatting>
  <conditionalFormatting sqref="BS386">
    <cfRule type="cellIs" dxfId="1" priority="97" operator="lessThan">
      <formula>$N$3</formula>
    </cfRule>
  </conditionalFormatting>
  <conditionalFormatting sqref="BS389">
    <cfRule type="cellIs" dxfId="1" priority="92" operator="lessThan">
      <formula>$N$3</formula>
    </cfRule>
  </conditionalFormatting>
  <conditionalFormatting sqref="BS390">
    <cfRule type="cellIs" dxfId="1" priority="93" operator="lessThan">
      <formula>$N$3</formula>
    </cfRule>
  </conditionalFormatting>
  <conditionalFormatting sqref="G391">
    <cfRule type="duplicateValues" dxfId="2" priority="15"/>
  </conditionalFormatting>
  <conditionalFormatting sqref="BS391">
    <cfRule type="cellIs" dxfId="1" priority="14" operator="lessThan">
      <formula>$N$3</formula>
    </cfRule>
  </conditionalFormatting>
  <conditionalFormatting sqref="BS392">
    <cfRule type="cellIs" dxfId="1" priority="98" operator="lessThan">
      <formula>$N$3</formula>
    </cfRule>
  </conditionalFormatting>
  <conditionalFormatting sqref="G397">
    <cfRule type="duplicateValues" dxfId="2" priority="21"/>
  </conditionalFormatting>
  <conditionalFormatting sqref="BS398">
    <cfRule type="cellIs" dxfId="1" priority="99" operator="lessThan">
      <formula>$N$3</formula>
    </cfRule>
  </conditionalFormatting>
  <conditionalFormatting sqref="BS404">
    <cfRule type="cellIs" dxfId="1" priority="94" operator="lessThan">
      <formula>$N$3</formula>
    </cfRule>
  </conditionalFormatting>
  <conditionalFormatting sqref="BS406">
    <cfRule type="cellIs" dxfId="1" priority="101" operator="lessThan">
      <formula>$N$3</formula>
    </cfRule>
  </conditionalFormatting>
  <conditionalFormatting sqref="BS407">
    <cfRule type="cellIs" dxfId="1" priority="104" operator="lessThan">
      <formula>$N$3</formula>
    </cfRule>
  </conditionalFormatting>
  <conditionalFormatting sqref="BS408">
    <cfRule type="cellIs" dxfId="1" priority="102" operator="lessThan">
      <formula>$N$3</formula>
    </cfRule>
  </conditionalFormatting>
  <conditionalFormatting sqref="BS410">
    <cfRule type="cellIs" dxfId="1" priority="89" operator="lessThan">
      <formula>$N$3</formula>
    </cfRule>
  </conditionalFormatting>
  <conditionalFormatting sqref="BS411">
    <cfRule type="cellIs" dxfId="1" priority="90" operator="lessThan">
      <formula>$N$3</formula>
    </cfRule>
  </conditionalFormatting>
  <conditionalFormatting sqref="BS413">
    <cfRule type="cellIs" dxfId="1" priority="91" operator="lessThan">
      <formula>$N$3</formula>
    </cfRule>
  </conditionalFormatting>
  <conditionalFormatting sqref="BS417">
    <cfRule type="cellIs" dxfId="1" priority="103" operator="lessThan">
      <formula>$N$3</formula>
    </cfRule>
  </conditionalFormatting>
  <conditionalFormatting sqref="G467">
    <cfRule type="duplicateValues" dxfId="2" priority="4"/>
    <cfRule type="duplicateValues" dxfId="2" priority="7"/>
  </conditionalFormatting>
  <conditionalFormatting sqref="G479">
    <cfRule type="duplicateValues" dxfId="2" priority="149"/>
  </conditionalFormatting>
  <conditionalFormatting sqref="AW480">
    <cfRule type="cellIs" dxfId="1" priority="119" operator="lessThan">
      <formula>$N$3</formula>
    </cfRule>
  </conditionalFormatting>
  <conditionalFormatting sqref="AW481">
    <cfRule type="cellIs" dxfId="1" priority="118" operator="lessThan">
      <formula>$N$3</formula>
    </cfRule>
  </conditionalFormatting>
  <conditionalFormatting sqref="G487">
    <cfRule type="duplicateValues" dxfId="2" priority="130"/>
  </conditionalFormatting>
  <conditionalFormatting sqref="AW487">
    <cfRule type="cellIs" dxfId="1" priority="129" operator="lessThan">
      <formula>$N$3</formula>
    </cfRule>
  </conditionalFormatting>
  <conditionalFormatting sqref="G488">
    <cfRule type="duplicateValues" dxfId="2" priority="128"/>
  </conditionalFormatting>
  <conditionalFormatting sqref="AW488">
    <cfRule type="cellIs" dxfId="1" priority="127" operator="lessThan">
      <formula>$N$3</formula>
    </cfRule>
  </conditionalFormatting>
  <conditionalFormatting sqref="G489">
    <cfRule type="duplicateValues" dxfId="2" priority="124"/>
  </conditionalFormatting>
  <conditionalFormatting sqref="G506">
    <cfRule type="duplicateValues" dxfId="2" priority="109"/>
  </conditionalFormatting>
  <conditionalFormatting sqref="AW542">
    <cfRule type="cellIs" dxfId="1" priority="140" operator="lessThan">
      <formula>$N$3</formula>
    </cfRule>
  </conditionalFormatting>
  <conditionalFormatting sqref="AW543">
    <cfRule type="cellIs" dxfId="1" priority="139" operator="lessThan">
      <formula>$N$3</formula>
    </cfRule>
  </conditionalFormatting>
  <conditionalFormatting sqref="E466:E467">
    <cfRule type="duplicateValues" dxfId="2" priority="5"/>
  </conditionalFormatting>
  <conditionalFormatting sqref="G362:G365">
    <cfRule type="duplicateValues" dxfId="2" priority="24"/>
  </conditionalFormatting>
  <conditionalFormatting sqref="G418:G426">
    <cfRule type="duplicateValues" dxfId="2" priority="131"/>
  </conditionalFormatting>
  <conditionalFormatting sqref="G429:G434">
    <cfRule type="duplicateValues" dxfId="2" priority="112"/>
  </conditionalFormatting>
  <conditionalFormatting sqref="G465:G466">
    <cfRule type="duplicateValues" dxfId="2" priority="2"/>
    <cfRule type="duplicateValues" dxfId="2" priority="3"/>
  </conditionalFormatting>
  <conditionalFormatting sqref="G480:G481">
    <cfRule type="duplicateValues" dxfId="2" priority="117"/>
  </conditionalFormatting>
  <conditionalFormatting sqref="G497:G499">
    <cfRule type="duplicateValues" dxfId="2" priority="134"/>
  </conditionalFormatting>
  <conditionalFormatting sqref="G508:G509">
    <cfRule type="duplicateValues" dxfId="2" priority="17"/>
  </conditionalFormatting>
  <conditionalFormatting sqref="G510:G511">
    <cfRule type="duplicateValues" dxfId="2" priority="1"/>
  </conditionalFormatting>
  <conditionalFormatting sqref="G512:G514">
    <cfRule type="duplicateValues" dxfId="2" priority="116"/>
  </conditionalFormatting>
  <conditionalFormatting sqref="AW91:AW92">
    <cfRule type="cellIs" dxfId="1" priority="161" operator="lessThan">
      <formula>$N$3</formula>
    </cfRule>
  </conditionalFormatting>
  <conditionalFormatting sqref="AW273:AW274">
    <cfRule type="cellIs" dxfId="1" priority="83" operator="lessThan">
      <formula>$N$3</formula>
    </cfRule>
  </conditionalFormatting>
  <conditionalFormatting sqref="AW313:AW314">
    <cfRule type="cellIs" dxfId="1" priority="333" operator="lessThan">
      <formula>$N$3</formula>
    </cfRule>
  </conditionalFormatting>
  <conditionalFormatting sqref="AW381:AW418">
    <cfRule type="cellIs" dxfId="1" priority="8" operator="lessThan">
      <formula>$N$3</formula>
    </cfRule>
  </conditionalFormatting>
  <conditionalFormatting sqref="AW439:AW444">
    <cfRule type="cellIs" dxfId="1" priority="57" operator="lessThan">
      <formula>$N$3</formula>
    </cfRule>
  </conditionalFormatting>
  <conditionalFormatting sqref="AW464:AW467">
    <cfRule type="cellIs" dxfId="1" priority="6" operator="lessThan">
      <formula>$N$3</formula>
    </cfRule>
  </conditionalFormatting>
  <conditionalFormatting sqref="AW497:AW499">
    <cfRule type="cellIs" dxfId="1" priority="133" operator="lessThan">
      <formula>$N$3</formula>
    </cfRule>
  </conditionalFormatting>
  <conditionalFormatting sqref="AW505:AW517">
    <cfRule type="cellIs" dxfId="1" priority="110" operator="lessThan">
      <formula>$N$3</formula>
    </cfRule>
  </conditionalFormatting>
  <conditionalFormatting sqref="AW523:AW534">
    <cfRule type="cellIs" dxfId="1" priority="144" operator="lessThan">
      <formula>$N$3</formula>
    </cfRule>
  </conditionalFormatting>
  <conditionalFormatting sqref="AW539:AW541">
    <cfRule type="cellIs" dxfId="1" priority="143" operator="lessThan">
      <formula>$N$3</formula>
    </cfRule>
  </conditionalFormatting>
  <conditionalFormatting sqref="BS395:BS397">
    <cfRule type="cellIs" dxfId="1" priority="100" operator="lessThan">
      <formula>$N$3</formula>
    </cfRule>
  </conditionalFormatting>
  <conditionalFormatting sqref="G1:G53 G55:G436 G468:G1048576">
    <cfRule type="duplicateValues" dxfId="2" priority="13"/>
  </conditionalFormatting>
  <conditionalFormatting sqref="G1:G7 G374:G379 G381 G384:G390 G392:G395 G427:G428 G482:G486 G468:G478 G435:G436 G515:G552 G555:G1048576 G500:G504 G490:G496">
    <cfRule type="duplicateValues" dxfId="2" priority="151"/>
  </conditionalFormatting>
  <conditionalFormatting sqref="AW3 AW5:AW7 AW53 AW56 AW81:AW82 AW96:AW97 AW106 AW117 AW149 AW152 AW154 AW157 AW160:AW161 AW166:AW167 AW170 AW173 AW175 AW179 AW182 AW193 AW196 AW198 AW201 AW204:AW205 AW209 AW218:AW219 AW221 AW224 AW227:AW228 AW230:AW237 AW239:AW241 AW243:AW244 AW247:AW249 AW251:AW262 AW305:AW306 AW310:AW312 AW318 AW320 AW324:AW325 AW327 AW346:AW347 AW349:AW350 AW361 AW363 AW367 AW370 AW372:AW374 AW376">
    <cfRule type="cellIs" dxfId="1" priority="359" operator="lessThan">
      <formula>$N$3</formula>
    </cfRule>
  </conditionalFormatting>
  <conditionalFormatting sqref="G8:G21 G366:G373">
    <cfRule type="duplicateValues" dxfId="2" priority="132"/>
  </conditionalFormatting>
  <conditionalFormatting sqref="G22:G53 G55:G361">
    <cfRule type="duplicateValues" dxfId="2" priority="12"/>
  </conditionalFormatting>
  <conditionalFormatting sqref="AW39 AW41 AW50:AW51">
    <cfRule type="cellIs" dxfId="1" priority="205" operator="lessThan">
      <formula>$N$3</formula>
    </cfRule>
  </conditionalFormatting>
  <conditionalFormatting sqref="AW67:AW68 AW76:AW77">
    <cfRule type="cellIs" dxfId="1" priority="195" operator="lessThan">
      <formula>$N$3</formula>
    </cfRule>
  </conditionalFormatting>
  <conditionalFormatting sqref="AW265:AW266 AW269:AW271 AW278:AW279 AW283:AW284 AW286 AW288:AW292 AW294 AW298 AW301 AW303">
    <cfRule type="cellIs" dxfId="1" priority="86" operator="lessThan">
      <formula>$N$3</formula>
    </cfRule>
  </conditionalFormatting>
  <conditionalFormatting sqref="AW329:AW333 AW335 AW340 AW343 AW345">
    <cfRule type="cellIs" dxfId="1" priority="49" operator="lessThan">
      <formula>$N$3</formula>
    </cfRule>
  </conditionalFormatting>
  <conditionalFormatting sqref="AW351 AW353 AW357 AW360">
    <cfRule type="cellIs" dxfId="1" priority="40" operator="lessThan">
      <formula>$N$3</formula>
    </cfRule>
  </conditionalFormatting>
  <conditionalFormatting sqref="AW380 AW419:AW438 AW445:AW463 AW468:AW479 AW482:AW486 AW490:AW496 AW500:AW504 AW518">
    <cfRule type="cellIs" dxfId="1" priority="145" operator="lessThan">
      <formula>$N$3</formula>
    </cfRule>
  </conditionalFormatting>
  <conditionalFormatting sqref="BS387:BS388 BS393:BS394 BS399:BS403 BS405 BS409 BS412 BS414:BS416">
    <cfRule type="cellIs" dxfId="1" priority="105" operator="lessThan">
      <formula>$N$3</formula>
    </cfRule>
  </conditionalFormatting>
  <conditionalFormatting sqref="G396 G398:G417">
    <cfRule type="duplicateValues" dxfId="2" priority="138"/>
  </conditionalFormatting>
  <conditionalFormatting sqref="E470:E472 E477">
    <cfRule type="duplicateValues" dxfId="2" priority="136"/>
  </conditionalFormatting>
  <conditionalFormatting sqref="G505 G507">
    <cfRule type="duplicateValues" dxfId="2" priority="111"/>
  </conditionalFormatting>
  <pageMargins left="0" right="0" top="0.786805555555556" bottom="0" header="0.5" footer="0.5"/>
  <pageSetup paperSize="9" scale="11" orientation="landscape" horizontalDpi="600"/>
  <headerFooter/>
  <ignoredErrors>
    <ignoredError sqref="AW117:BX120 AX121:BX121 AW122:BX127 AX128:BX129 AW130:BX134 AX135:BX135 AW136:BX143 AX144:BX144 AW145:BX171 AX172:BX172 AW173:BX192 AX193:BX193 AW194:BX210 AX211:BX211 AW212:BX263 A518:N523 F392:F396 J392:J396 CC392:CO396 AW392:BX392 AX393:BX393 AW394:BX394 AW395:BR396 BT395:BX395 BT396:BW396 A392:D394 A395:C395 F548:V548 H549:U549 H550:V555 F549:F555 F556:CO567 A568:CO580 F468:F471 D445:D449 A445:B449 I512:N517 AX512:BW518 C512:E513 A516:D517 C514:D515 A512:A515 P512:Q512 CC512:CO512 P520:AV520 P519:AU519 AX519:CO519 P521:AV522 AX521:CO522 AW398:BX438 CC398:CO438 A398:D398 A399:A400 C399:D400 A401:D428 M398:Q405 CC320:CO328 AW320:BX328 L320:M328 C320:E328 A320:A328 J320:J328 AW349:BX350 CC349:CO350 A349:A350 C349:F350 L349:M350 J349:J350 O349:Q350 L309:M318 AW309:BX313 AX314:BX316 AW317:BX317 AX318:BX318 CC309:CO318 J309:J318 A309:E312 AW361:BX375 CC361:CO375 A361:A372 C361:F372 L361:M372 J361:J372 O361:Q362 CC346:CO347 AW346:BX347 L346:M347 C346:F347 A346:A347 O346:Q347 AW81:BX89 AX90:BX90 AW91:BX96 AX97:BX97 AW98:BX114 AX115:BX116 CC81:CO263 J81:J263 L81:M263 A81:E192 A193 C193:E193 A194:E204 L70:M79 J70:J79 CC70:CO79 AW70:BX72 AX73:BX73 AW74:BX76 AX77:BX78 AW79:BX79 A70:E72 A73 C73:E73 A74:E79 A373:F373 I373:J373 A374:J377 A378:I378 A379:J379 CC523:CO533 A532:AU532 AX523:BX533 A533:Q533 A534:AV536 AX534:CO535 AW445:BX451 BT452:BW453 AX480:BX487 BT473:BW479 AX473:BR473 AX474:BR479 AW452:BR463 CC445:CO463 J445:Q450 J451:O451 Q451 A450:A463 D437:D438 A437:B438 AW3:BX11 AX12:BX12 AW13:BX24 AX25:BX25 AW26:BX28 AX29:BX29 AW30:BX53 CC2:CO2 CC3:CD3 CF3:CO3 CC4:CO53 A313:A318 C313:E318 L304:M307 O320:O323 Q320:Q328 O325:O328 J346:J347 O363 Q363 O364:Q365 O366 Q366 O367:Q367 O368 Q368 O369:Q369 O370 Q370 O371:Q372 L373:Q376 L377:CO379 A380:D390 A396 C396 F380:F390 J380:J390 M380:Q383 M384:O384 Q384 M385:P386 M387:Q390 M392:O393 Q392:Q393 M394:Q396 F398:J398 F399:F426 J399:J412 L406:Q412 J413:O414 Q413:Q414 J418:Q420 I417:Q417 J415:Q416 J421:O422 Q421:Q422 F427:H428 CC513:CD514 CI513:CO514 CC515:CO517 P518:Q518 AZ520:CO520 P523:Q523 A524:Q525 A526:AU526 A527:Q531 AZ536:CO536 A537:AV538 AX537:CO538 AW380:BX390 CC380:CO390 J452:Q463 A470:D471 J3:J53 L3:M53 A306:E307 A305:B305 J304:J307 C500:D500 D490:D499 D501 C502:D504 A490:A504 F504 A1:F1 J1:CO1 H1 A2:G2 I2:CA2 O3:O53 Q3:Q53 Q70:Q79 O70:O79 O81:O156 A205:B214 D205:E214 A215:E227 O158:O193 A228:B263 D228:E263 Q81:Q263 O195:O263 A304 D304:E305 Q304:Q307 O304:O307 AW304:BX307 CC304:CO307 AW376:CO376 A429:B433 D431:F431 F429:F430 D429:D430 D433 F432:F434 I435:Q435 J423:Q434 A434:D434 A435 C435:F435 A436:H436 J436:Q438 A472:H472 C476 A473:C475 F473 E474:F475 I473:O473 Q473 I474:Q475 I476:O476 Q476 J478:Q478 I477:Q477 F476:F478 A476:A478 J479:AU479 A479:H479 A480:F481 I481:Q481 Q480 I480:O480 A482:Q482 A483:G484 I483:Q485 A485:F485 A486:Q486 A487:AU487 A488:AV489 AX488:CO489 J490:N503 Q490:Q491 AX490:BW504 CC490:CO490 P492:Q493 Q494:Q502 P503:Q504 I504:N504 Q513:Q517 CC491:CD491 CF491:CO491 CC492:CO504 BY518:CO518 AV518 A539:AU541 AX539:BX542 CC539:CO542 A542:AV542 A543:AV547 AX543:CO544 AZ545:CO545 AX546:CO546 AY547:CO547 A548:D567 X548:AV548 AX548:CO548 X549:CO555 A3:E53 Q309:Q318 O309:O318 Q55:Q68 O55:O68 A55:E68 L55:M68 J55:J68 CC55:CO68 AW55:BX68 D468:D469 A468:B469 J468:Q472 AW468:BX472 CC468:CO487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>
    <pageSetUpPr fitToPage="1"/>
  </sheetPr>
  <dimension ref="B2:AS32"/>
  <sheetViews>
    <sheetView zoomScale="55" zoomScaleNormal="55" topLeftCell="R14" workbookViewId="0">
      <selection activeCell="AQ29" sqref="AQ29"/>
    </sheetView>
  </sheetViews>
  <sheetFormatPr defaultColWidth="8.1484375" defaultRowHeight="15.2"/>
  <cols>
    <col min="1" max="1" width="2.71875" style="69" customWidth="1"/>
    <col min="2" max="2" width="9.8515625" style="69" customWidth="1"/>
    <col min="3" max="3" width="11.2734375" style="69" customWidth="1"/>
    <col min="4" max="4" width="11.5703125" style="69" customWidth="1"/>
    <col min="5" max="6" width="9.421875" style="69" customWidth="1"/>
    <col min="7" max="7" width="9.140625" style="69" customWidth="1"/>
    <col min="8" max="8" width="11.421875" style="69" customWidth="1"/>
    <col min="9" max="9" width="11.28125" style="69" customWidth="1"/>
    <col min="10" max="10" width="9.4140625" style="69" customWidth="1"/>
    <col min="11" max="11" width="9.9921875" style="69" customWidth="1"/>
    <col min="12" max="12" width="9.421875" style="69" customWidth="1"/>
    <col min="13" max="13" width="12.140625" style="69" customWidth="1"/>
    <col min="14" max="14" width="11.5703125" style="69" customWidth="1"/>
    <col min="15" max="17" width="9.1328125" style="69" customWidth="1"/>
    <col min="18" max="19" width="11.5703125" style="69" customWidth="1"/>
    <col min="20" max="20" width="9.421875" style="69" customWidth="1"/>
    <col min="21" max="22" width="9.7109375" style="69" customWidth="1"/>
    <col min="23" max="24" width="12.703125" style="69" customWidth="1"/>
    <col min="25" max="25" width="12.5546875" style="69" customWidth="1"/>
    <col min="26" max="27" width="12.875" style="69" customWidth="1"/>
    <col min="28" max="29" width="12.703125" style="69" customWidth="1"/>
    <col min="30" max="30" width="12.5546875" style="69" customWidth="1"/>
    <col min="31" max="32" width="12.875" style="69" customWidth="1"/>
    <col min="33" max="34" width="12.703125" style="69" customWidth="1"/>
    <col min="35" max="35" width="12.5546875" style="69" customWidth="1"/>
    <col min="36" max="37" width="12.875" style="69" customWidth="1"/>
    <col min="38" max="40" width="14.703125" style="69" customWidth="1"/>
    <col min="41" max="16384" width="8.1484375" style="69"/>
  </cols>
  <sheetData>
    <row r="2" ht="41" customHeight="1" spans="2:37">
      <c r="B2" s="292" t="s">
        <v>812</v>
      </c>
      <c r="C2" s="292"/>
      <c r="D2" s="292"/>
      <c r="E2" s="292"/>
      <c r="F2" s="292"/>
      <c r="G2" s="292"/>
      <c r="H2" s="292"/>
      <c r="I2" s="292"/>
      <c r="J2" s="292"/>
      <c r="K2" s="292"/>
      <c r="L2" s="292"/>
      <c r="M2" s="292"/>
      <c r="N2" s="292"/>
      <c r="O2" s="292"/>
      <c r="P2" s="292"/>
      <c r="Q2" s="292"/>
      <c r="R2" s="292"/>
      <c r="S2" s="292"/>
      <c r="T2" s="292"/>
      <c r="U2" s="292"/>
      <c r="V2" s="292"/>
      <c r="W2" s="292"/>
      <c r="X2" s="292"/>
      <c r="Y2" s="292"/>
      <c r="Z2" s="292"/>
      <c r="AA2" s="292"/>
      <c r="AB2" s="292"/>
      <c r="AC2" s="292"/>
      <c r="AD2" s="292"/>
      <c r="AE2" s="292"/>
      <c r="AF2" s="292"/>
      <c r="AG2" s="292"/>
      <c r="AH2" s="292"/>
      <c r="AI2" s="292"/>
      <c r="AJ2" s="292"/>
      <c r="AK2" s="292"/>
    </row>
    <row r="3" ht="26" customHeight="1" spans="2:37">
      <c r="B3" s="293" t="s">
        <v>813</v>
      </c>
      <c r="C3" s="294" t="s">
        <v>317</v>
      </c>
      <c r="D3" s="295"/>
      <c r="E3" s="295"/>
      <c r="F3" s="295"/>
      <c r="G3" s="311"/>
      <c r="H3" s="294" t="s">
        <v>314</v>
      </c>
      <c r="I3" s="295"/>
      <c r="J3" s="295"/>
      <c r="K3" s="295"/>
      <c r="L3" s="311"/>
      <c r="M3" s="294" t="s">
        <v>465</v>
      </c>
      <c r="N3" s="295"/>
      <c r="O3" s="295"/>
      <c r="P3" s="295"/>
      <c r="Q3" s="311"/>
      <c r="R3" s="294" t="s">
        <v>559</v>
      </c>
      <c r="S3" s="295"/>
      <c r="T3" s="295"/>
      <c r="U3" s="295"/>
      <c r="V3" s="311"/>
      <c r="W3" s="294" t="s">
        <v>360</v>
      </c>
      <c r="X3" s="295"/>
      <c r="Y3" s="295"/>
      <c r="Z3" s="295"/>
      <c r="AA3" s="311"/>
      <c r="AB3" s="294" t="s">
        <v>358</v>
      </c>
      <c r="AC3" s="295"/>
      <c r="AD3" s="295"/>
      <c r="AE3" s="295"/>
      <c r="AF3" s="311"/>
      <c r="AG3" s="314" t="s">
        <v>683</v>
      </c>
      <c r="AH3" s="314"/>
      <c r="AI3" s="315"/>
      <c r="AJ3" s="316"/>
      <c r="AK3" s="316"/>
    </row>
    <row r="4" ht="36" customHeight="1" spans="2:37">
      <c r="B4" s="293" t="s">
        <v>814</v>
      </c>
      <c r="C4" s="293" t="s">
        <v>815</v>
      </c>
      <c r="D4" s="293" t="s">
        <v>816</v>
      </c>
      <c r="E4" s="293" t="s">
        <v>817</v>
      </c>
      <c r="F4" s="293" t="s">
        <v>818</v>
      </c>
      <c r="G4" s="293" t="s">
        <v>819</v>
      </c>
      <c r="H4" s="293" t="s">
        <v>815</v>
      </c>
      <c r="I4" s="293" t="s">
        <v>816</v>
      </c>
      <c r="J4" s="293" t="s">
        <v>817</v>
      </c>
      <c r="K4" s="293" t="s">
        <v>818</v>
      </c>
      <c r="L4" s="293" t="s">
        <v>819</v>
      </c>
      <c r="M4" s="293" t="s">
        <v>815</v>
      </c>
      <c r="N4" s="293" t="s">
        <v>816</v>
      </c>
      <c r="O4" s="293" t="s">
        <v>817</v>
      </c>
      <c r="P4" s="293" t="s">
        <v>818</v>
      </c>
      <c r="Q4" s="293" t="s">
        <v>819</v>
      </c>
      <c r="R4" s="293" t="s">
        <v>815</v>
      </c>
      <c r="S4" s="293" t="s">
        <v>816</v>
      </c>
      <c r="T4" s="293" t="s">
        <v>817</v>
      </c>
      <c r="U4" s="293" t="s">
        <v>818</v>
      </c>
      <c r="V4" s="293" t="s">
        <v>819</v>
      </c>
      <c r="W4" s="293" t="s">
        <v>815</v>
      </c>
      <c r="X4" s="293" t="s">
        <v>816</v>
      </c>
      <c r="Y4" s="293" t="s">
        <v>817</v>
      </c>
      <c r="Z4" s="293" t="s">
        <v>818</v>
      </c>
      <c r="AA4" s="293" t="s">
        <v>819</v>
      </c>
      <c r="AB4" s="293" t="s">
        <v>815</v>
      </c>
      <c r="AC4" s="293" t="s">
        <v>816</v>
      </c>
      <c r="AD4" s="293" t="s">
        <v>817</v>
      </c>
      <c r="AE4" s="293" t="s">
        <v>818</v>
      </c>
      <c r="AF4" s="293" t="s">
        <v>819</v>
      </c>
      <c r="AG4" s="314" t="s">
        <v>820</v>
      </c>
      <c r="AH4" s="314" t="s">
        <v>817</v>
      </c>
      <c r="AI4" s="315" t="s">
        <v>818</v>
      </c>
      <c r="AJ4" s="316"/>
      <c r="AK4" s="316"/>
    </row>
    <row r="5" ht="36" customHeight="1" spans="2:37">
      <c r="B5" s="296" t="s">
        <v>821</v>
      </c>
      <c r="C5" s="296">
        <f>COUNTIFS(销售需求表!F:F,$C$3&amp;B5,销售需求表!B:B,"&gt;0")</f>
        <v>15</v>
      </c>
      <c r="D5" s="296">
        <f>SUMIFS(销售需求表!B:B,销售需求表!F:F,$C$3&amp;B5)</f>
        <v>12420</v>
      </c>
      <c r="E5" s="296">
        <f>SUMIFS('7月排产计划'!AW:AW,'7月排产计划'!D:D,$C$3&amp;B5)</f>
        <v>9000</v>
      </c>
      <c r="F5" s="296">
        <f t="shared" ref="F5:F11" si="0">D5-E5</f>
        <v>3420</v>
      </c>
      <c r="G5" s="296">
        <f>ROUND(E5/集装箱CONTAINER!D14,0)</f>
        <v>14</v>
      </c>
      <c r="H5" s="296">
        <f>COUNTIFS(销售需求表!F:F,$H$3&amp;B5,销售需求表!B:B,"&gt;0")</f>
        <v>0</v>
      </c>
      <c r="I5" s="296">
        <f>SUMIFS(销售需求表!B:B,销售需求表!F:F,$H$3&amp;B5)</f>
        <v>0</v>
      </c>
      <c r="J5" s="296">
        <f>SUMIFS('7月排产计划'!AW:AW,'7月排产计划'!D:D,$H$3&amp;B5)</f>
        <v>0</v>
      </c>
      <c r="K5" s="296" t="s">
        <v>66</v>
      </c>
      <c r="L5" s="296" t="s">
        <v>66</v>
      </c>
      <c r="M5" s="296" t="s">
        <v>66</v>
      </c>
      <c r="N5" s="296">
        <f>SUMIFS(销售需求表!B:B,销售需求表!F:F,$M$3&amp;B5)</f>
        <v>0</v>
      </c>
      <c r="O5" s="296" t="s">
        <v>66</v>
      </c>
      <c r="P5" s="296" t="s">
        <v>66</v>
      </c>
      <c r="Q5" s="296" t="s">
        <v>66</v>
      </c>
      <c r="R5" s="296" t="s">
        <v>66</v>
      </c>
      <c r="S5" s="296">
        <f>SUMIFS(销售需求表!B:B,销售需求表!F:F,$R$3&amp;B5)</f>
        <v>0</v>
      </c>
      <c r="T5" s="296">
        <f>SUMIFS('7月排产计划'!AW:AW,'7月排产计划'!D:D,$R$3&amp;B5)</f>
        <v>0</v>
      </c>
      <c r="U5" s="296">
        <f t="shared" ref="U5:U11" si="1">S5-T5</f>
        <v>0</v>
      </c>
      <c r="V5" s="296" t="s">
        <v>66</v>
      </c>
      <c r="W5" s="296">
        <f>COUNTIFS(销售需求表!F:F,$W$3&amp;B5,销售需求表!B:B,"&gt;0")</f>
        <v>0</v>
      </c>
      <c r="X5" s="296">
        <f>SUMIFS(销售需求表!B:B,销售需求表!F:F,$W$3&amp;B5)</f>
        <v>0</v>
      </c>
      <c r="Y5" s="296">
        <f>SUMIFS('7月排产计划'!AW:AW,'7月排产计划'!D:D,$W$3&amp;B5)</f>
        <v>0</v>
      </c>
      <c r="Z5" s="296">
        <f>X5-Y5</f>
        <v>0</v>
      </c>
      <c r="AA5" s="296" t="s">
        <v>66</v>
      </c>
      <c r="AB5" s="296" t="s">
        <v>66</v>
      </c>
      <c r="AC5" s="296">
        <f>SUMIFS(销售需求表!B:B,销售需求表!F:F,$AB$3&amp;B5)</f>
        <v>0</v>
      </c>
      <c r="AD5" s="296">
        <f>SUMIFS('7月排产计划'!AW:AW,'7月排产计划'!D:D,$AB$3&amp;B5)</f>
        <v>0</v>
      </c>
      <c r="AE5" s="296" t="s">
        <v>66</v>
      </c>
      <c r="AF5" s="296" t="s">
        <v>66</v>
      </c>
      <c r="AG5" s="317">
        <f>SUM(D5,I5,N5,S5,X5,AC5)</f>
        <v>12420</v>
      </c>
      <c r="AH5" s="318">
        <f>SUM(E5,J5,O5,T5,Y5,AD5)</f>
        <v>9000</v>
      </c>
      <c r="AI5" s="319">
        <f t="shared" ref="AI5:AI11" si="2">SUM(F5,K5,P5,U5)</f>
        <v>3420</v>
      </c>
      <c r="AJ5" s="320"/>
      <c r="AK5" s="320"/>
    </row>
    <row r="6" ht="36" customHeight="1" spans="2:37">
      <c r="B6" s="296" t="s">
        <v>822</v>
      </c>
      <c r="C6" s="296">
        <f>COUNTIFS(销售需求表!F:F,$C$3&amp;B6,销售需求表!B:B,"&gt;0")</f>
        <v>1</v>
      </c>
      <c r="D6" s="296">
        <f>SUMIFS(销售需求表!B:B,销售需求表!F:F,$C$3&amp;B6)</f>
        <v>500</v>
      </c>
      <c r="E6" s="296">
        <f>SUMIFS('7月排产计划'!AW:AW,'7月排产计划'!D:D,$C$3&amp;B6)</f>
        <v>910</v>
      </c>
      <c r="F6" s="296">
        <f t="shared" si="0"/>
        <v>-410</v>
      </c>
      <c r="G6" s="296">
        <f>ROUND(E6/集装箱CONTAINER!D4,0)</f>
        <v>5</v>
      </c>
      <c r="H6" s="296">
        <f>COUNTIFS(销售需求表!F:F,$H$3&amp;B6,销售需求表!B:B,"&gt;0")</f>
        <v>11</v>
      </c>
      <c r="I6" s="296">
        <f>SUMIFS(销售需求表!B:B,销售需求表!F:F,$H$3&amp;B6)</f>
        <v>14930</v>
      </c>
      <c r="J6" s="296">
        <f>SUMIFS('7月排产计划'!AW:AW,'7月排产计划'!D:D,$H$3&amp;B6)</f>
        <v>15630</v>
      </c>
      <c r="K6" s="296">
        <f t="shared" ref="K6:K11" si="3">I6-J6</f>
        <v>-700</v>
      </c>
      <c r="L6" s="296">
        <f>ROUND(J6/集装箱CONTAINER!D15,0)</f>
        <v>24</v>
      </c>
      <c r="M6" s="296" t="s">
        <v>66</v>
      </c>
      <c r="N6" s="296">
        <f>SUMIFS(销售需求表!B:B,销售需求表!F:F,$M$3&amp;B6)</f>
        <v>0</v>
      </c>
      <c r="O6" s="296" t="s">
        <v>66</v>
      </c>
      <c r="P6" s="296" t="s">
        <v>66</v>
      </c>
      <c r="Q6" s="296" t="s">
        <v>66</v>
      </c>
      <c r="R6" s="296" t="s">
        <v>66</v>
      </c>
      <c r="S6" s="296">
        <f>SUMIFS(销售需求表!B:B,销售需求表!F:F,$R$3&amp;B6)</f>
        <v>0</v>
      </c>
      <c r="T6" s="296">
        <f>SUMIFS('7月排产计划'!AW:AW,'7月排产计划'!D:D,$R$3&amp;B6)</f>
        <v>0</v>
      </c>
      <c r="U6" s="296">
        <f t="shared" si="1"/>
        <v>0</v>
      </c>
      <c r="V6" s="296" t="s">
        <v>66</v>
      </c>
      <c r="W6" s="296">
        <f>COUNTIFS(销售需求表!F:F,$W$3&amp;B6,销售需求表!B:B,"&gt;0")</f>
        <v>0</v>
      </c>
      <c r="X6" s="296">
        <f>SUMIFS(销售需求表!B:B,销售需求表!F:F,$W$3&amp;B6)</f>
        <v>0</v>
      </c>
      <c r="Y6" s="296">
        <f>SUMIFS('7月排产计划'!AW:AW,'7月排产计划'!D:D,$W$3&amp;B6)</f>
        <v>0</v>
      </c>
      <c r="Z6" s="296">
        <f>X6-Y6</f>
        <v>0</v>
      </c>
      <c r="AA6" s="296" t="s">
        <v>66</v>
      </c>
      <c r="AB6" s="296" t="s">
        <v>66</v>
      </c>
      <c r="AC6" s="296">
        <f>SUMIFS(销售需求表!B:B,销售需求表!F:F,$AB$3&amp;B6)</f>
        <v>0</v>
      </c>
      <c r="AD6" s="296">
        <f>SUMIFS('7月排产计划'!AW:AW,'7月排产计划'!D:D,$AB$3&amp;B6)</f>
        <v>0</v>
      </c>
      <c r="AE6" s="296" t="s">
        <v>66</v>
      </c>
      <c r="AF6" s="296" t="s">
        <v>66</v>
      </c>
      <c r="AG6" s="317">
        <f t="shared" ref="AG6:AG13" si="4">SUM(D6,I6,N6,S6,X6,AC6)</f>
        <v>15430</v>
      </c>
      <c r="AH6" s="318">
        <f t="shared" ref="AH6:AH11" si="5">SUM(E6,J6,O6,T6,Y6,AD6)</f>
        <v>16540</v>
      </c>
      <c r="AI6" s="319">
        <f t="shared" si="2"/>
        <v>-1110</v>
      </c>
      <c r="AJ6" s="320"/>
      <c r="AK6" s="320"/>
    </row>
    <row r="7" ht="36" customHeight="1" spans="2:37">
      <c r="B7" s="296" t="s">
        <v>823</v>
      </c>
      <c r="C7" s="296">
        <f>COUNTIFS(销售需求表!F:F,$C$3&amp;B7,销售需求表!B:B,"&gt;0")</f>
        <v>1</v>
      </c>
      <c r="D7" s="296">
        <f>SUMIFS(销售需求表!B:B,销售需求表!F:F,$C$3&amp;B7)</f>
        <v>1000</v>
      </c>
      <c r="E7" s="296">
        <f>SUMIFS('7月排产计划'!AW:AW,'7月排产计划'!D:D,$C$3&amp;B7)</f>
        <v>1040</v>
      </c>
      <c r="F7" s="296">
        <f t="shared" si="0"/>
        <v>-40</v>
      </c>
      <c r="G7" s="296">
        <f>ROUND(E7/集装箱CONTAINER!D5,0)</f>
        <v>6</v>
      </c>
      <c r="H7" s="296">
        <f>COUNTIFS(销售需求表!F:F,$H$3&amp;B7,销售需求表!B:B,"&gt;0")</f>
        <v>22</v>
      </c>
      <c r="I7" s="296">
        <f>SUMIFS(销售需求表!B:B,销售需求表!F:F,$H$3&amp;B7)</f>
        <v>30180</v>
      </c>
      <c r="J7" s="296">
        <f>SUMIFS('7月排产计划'!AW:AW,'7月排产计划'!D:D,$H$3&amp;B7)</f>
        <v>22970</v>
      </c>
      <c r="K7" s="296">
        <f t="shared" si="3"/>
        <v>7210</v>
      </c>
      <c r="L7" s="296">
        <f>ROUND(J7/集装箱CONTAINER!D17,0)</f>
        <v>38</v>
      </c>
      <c r="M7" s="296" t="s">
        <v>66</v>
      </c>
      <c r="N7" s="296">
        <f>SUMIFS(销售需求表!B:B,销售需求表!F:F,$M$3&amp;B7)</f>
        <v>0</v>
      </c>
      <c r="O7" s="296" t="s">
        <v>66</v>
      </c>
      <c r="P7" s="296" t="s">
        <v>66</v>
      </c>
      <c r="Q7" s="296" t="s">
        <v>66</v>
      </c>
      <c r="R7" s="296" t="s">
        <v>66</v>
      </c>
      <c r="S7" s="296">
        <f>SUMIFS(销售需求表!B:B,销售需求表!F:F,$R$3&amp;B7)</f>
        <v>0</v>
      </c>
      <c r="T7" s="296">
        <f>SUMIFS('7月排产计划'!AW:AW,'7月排产计划'!D:D,$R$3&amp;B7)</f>
        <v>0</v>
      </c>
      <c r="U7" s="296">
        <f t="shared" si="1"/>
        <v>0</v>
      </c>
      <c r="V7" s="296" t="s">
        <v>66</v>
      </c>
      <c r="W7" s="296">
        <f>COUNTIFS(销售需求表!F:F,$W$3&amp;B7,销售需求表!B:B,"&gt;0")</f>
        <v>0</v>
      </c>
      <c r="X7" s="296">
        <f>SUMIFS(销售需求表!B:B,销售需求表!F:F,$W$3&amp;B7)</f>
        <v>0</v>
      </c>
      <c r="Y7" s="296">
        <f>SUMIFS('7月排产计划'!AW:AW,'7月排产计划'!D:D,$W$3&amp;B7)</f>
        <v>0</v>
      </c>
      <c r="Z7" s="296">
        <f>X7-Y7</f>
        <v>0</v>
      </c>
      <c r="AA7" s="296" t="s">
        <v>66</v>
      </c>
      <c r="AB7" s="296" t="s">
        <v>66</v>
      </c>
      <c r="AC7" s="296">
        <f>SUMIFS(销售需求表!B:B,销售需求表!F:F,$AB$3&amp;B7)</f>
        <v>0</v>
      </c>
      <c r="AD7" s="296">
        <f>SUMIFS('7月排产计划'!AW:AW,'7月排产计划'!D:D,$AB$3&amp;B7)</f>
        <v>0</v>
      </c>
      <c r="AE7" s="296" t="s">
        <v>66</v>
      </c>
      <c r="AF7" s="296" t="s">
        <v>66</v>
      </c>
      <c r="AG7" s="317">
        <f t="shared" si="4"/>
        <v>31180</v>
      </c>
      <c r="AH7" s="318">
        <f t="shared" si="5"/>
        <v>24010</v>
      </c>
      <c r="AI7" s="319">
        <f t="shared" si="2"/>
        <v>7170</v>
      </c>
      <c r="AJ7" s="320"/>
      <c r="AK7" s="320"/>
    </row>
    <row r="8" ht="36" customHeight="1" spans="2:37">
      <c r="B8" s="296" t="s">
        <v>824</v>
      </c>
      <c r="C8" s="296">
        <f>COUNTIFS(销售需求表!F:F,$C$3&amp;B8,销售需求表!B:B,"&gt;0")</f>
        <v>56</v>
      </c>
      <c r="D8" s="296">
        <f>SUMIFS(销售需求表!B:B,销售需求表!F:F,$C$3&amp;B8)</f>
        <v>66590</v>
      </c>
      <c r="E8" s="296">
        <f>SUMIFS('7月排产计划'!AW:AW,'7月排产计划'!D:D,$C$3&amp;B8)</f>
        <v>70850</v>
      </c>
      <c r="F8" s="296">
        <f t="shared" si="0"/>
        <v>-4260</v>
      </c>
      <c r="G8" s="296">
        <f>ROUND(E8/集装箱CONTAINER!D6,0)</f>
        <v>293</v>
      </c>
      <c r="H8" s="296">
        <f>COUNTIFS(销售需求表!F:F,$H$3&amp;B8,销售需求表!B:B,"&gt;0")</f>
        <v>0</v>
      </c>
      <c r="I8" s="296">
        <f>SUMIFS(销售需求表!B:B,销售需求表!F:F,$H$3&amp;B8)</f>
        <v>0</v>
      </c>
      <c r="J8" s="296">
        <f>SUMIFS('7月排产计划'!AW:AW,'7月排产计划'!D:D,$H$3&amp;B8)</f>
        <v>0</v>
      </c>
      <c r="K8" s="296">
        <f t="shared" si="3"/>
        <v>0</v>
      </c>
      <c r="L8" s="296">
        <f>ROUND(J8/集装箱CONTAINER!D6,0)</f>
        <v>0</v>
      </c>
      <c r="M8" s="296" t="s">
        <v>66</v>
      </c>
      <c r="N8" s="296">
        <f>SUMIFS(销售需求表!B:B,销售需求表!F:F,$M$3&amp;B8)</f>
        <v>120</v>
      </c>
      <c r="O8" s="296" t="s">
        <v>66</v>
      </c>
      <c r="P8" s="296" t="s">
        <v>66</v>
      </c>
      <c r="Q8" s="296" t="s">
        <v>66</v>
      </c>
      <c r="R8" s="296" t="s">
        <v>66</v>
      </c>
      <c r="S8" s="296">
        <f>SUMIFS(销售需求表!B:B,销售需求表!F:F,$R$3&amp;B8)</f>
        <v>0</v>
      </c>
      <c r="T8" s="296">
        <f>SUMIFS('7月排产计划'!AW:AW,'7月排产计划'!D:D,$R$3&amp;B8)</f>
        <v>0</v>
      </c>
      <c r="U8" s="296">
        <f t="shared" si="1"/>
        <v>0</v>
      </c>
      <c r="V8" s="296" t="s">
        <v>66</v>
      </c>
      <c r="W8" s="296">
        <f>COUNTIFS(销售需求表!F:F,$W$3&amp;B8,销售需求表!B:B,"&gt;0")</f>
        <v>0</v>
      </c>
      <c r="X8" s="296">
        <f>SUMIFS(销售需求表!B:B,销售需求表!F:F,$W$3&amp;B8)</f>
        <v>0</v>
      </c>
      <c r="Y8" s="296">
        <f>SUMIFS('7月排产计划'!AW:AW,'7月排产计划'!D:D,$W$3&amp;B8)</f>
        <v>0</v>
      </c>
      <c r="Z8" s="296">
        <f>X8-Y8</f>
        <v>0</v>
      </c>
      <c r="AA8" s="296" t="s">
        <v>66</v>
      </c>
      <c r="AB8" s="296" t="s">
        <v>66</v>
      </c>
      <c r="AC8" s="296">
        <f>SUMIFS(销售需求表!B:B,销售需求表!F:F,$AB$3&amp;B8)</f>
        <v>0</v>
      </c>
      <c r="AD8" s="296">
        <f>SUMIFS('7月排产计划'!AW:AW,'7月排产计划'!D:D,$AB$3&amp;B8)</f>
        <v>0</v>
      </c>
      <c r="AE8" s="296" t="s">
        <v>66</v>
      </c>
      <c r="AF8" s="296" t="s">
        <v>66</v>
      </c>
      <c r="AG8" s="317">
        <f t="shared" si="4"/>
        <v>66710</v>
      </c>
      <c r="AH8" s="318">
        <f t="shared" si="5"/>
        <v>70850</v>
      </c>
      <c r="AI8" s="319">
        <f t="shared" si="2"/>
        <v>-4260</v>
      </c>
      <c r="AJ8" s="320"/>
      <c r="AK8" s="320"/>
    </row>
    <row r="9" ht="36" customHeight="1" spans="2:37">
      <c r="B9" s="296" t="s">
        <v>825</v>
      </c>
      <c r="C9" s="296">
        <f>COUNTIFS(销售需求表!F:F,$C$3&amp;B9,销售需求表!B:B,"&gt;0")</f>
        <v>26</v>
      </c>
      <c r="D9" s="296">
        <f>SUMIFS(销售需求表!B:B,销售需求表!F:F,$C$3&amp;B9)</f>
        <v>21530</v>
      </c>
      <c r="E9" s="296">
        <f>SUMIFS('7月排产计划'!AW:AW,'7月排产计划'!D:D,$C$3&amp;B9)</f>
        <v>16368</v>
      </c>
      <c r="F9" s="296">
        <f t="shared" si="0"/>
        <v>5162</v>
      </c>
      <c r="G9" s="296">
        <f>ROUND(E9/265,0)</f>
        <v>62</v>
      </c>
      <c r="H9" s="296">
        <f>COUNTIFS(销售需求表!F:F,$H$3&amp;B9,销售需求表!B:B,"&gt;0")</f>
        <v>94</v>
      </c>
      <c r="I9" s="296">
        <f>SUMIFS(销售需求表!B:B,销售需求表!F:F,$H$3&amp;B9)</f>
        <v>88910</v>
      </c>
      <c r="J9" s="296">
        <f>SUMIFS('7月排产计划'!AW:AW,'7月排产计划'!D:D,$H$3&amp;B9)</f>
        <v>69936</v>
      </c>
      <c r="K9" s="296">
        <f t="shared" si="3"/>
        <v>18974</v>
      </c>
      <c r="L9" s="296">
        <f>ROUND(J9/集装箱CONTAINER!D10,0)</f>
        <v>257</v>
      </c>
      <c r="M9" s="296">
        <f>COUNTIFS(销售需求表!F:F,"巴西22.5寸",销售需求表!B:B,"&gt;0")</f>
        <v>1</v>
      </c>
      <c r="N9" s="296">
        <f>SUMIFS(销售需求表!B:B,销售需求表!F:F,$M$3&amp;B9)</f>
        <v>81420</v>
      </c>
      <c r="O9" s="296">
        <f>SUMIFS('7月排产计划'!AW:AW,'7月排产计划'!D:D,$M$3&amp;B9)</f>
        <v>59398</v>
      </c>
      <c r="P9" s="296">
        <f>N9-O9</f>
        <v>22022</v>
      </c>
      <c r="Q9" s="296">
        <f>ROUND(O9/集装箱CONTAINER!D11,0)</f>
        <v>238</v>
      </c>
      <c r="R9" s="296">
        <f>COUNTIFS(销售需求表!F:F,$R$3&amp;B9,销售需求表!B:B,"&gt;0")</f>
        <v>1</v>
      </c>
      <c r="S9" s="296">
        <f>SUMIFS(销售需求表!B:B,销售需求表!F:F,$R$3&amp;B9)</f>
        <v>120</v>
      </c>
      <c r="T9" s="296">
        <f>SUMIFS('7月排产计划'!AW:AW,'7月排产计划'!D:D,$R$3&amp;B9)</f>
        <v>3000</v>
      </c>
      <c r="U9" s="296">
        <f t="shared" si="1"/>
        <v>-2880</v>
      </c>
      <c r="V9" s="296">
        <f>ROUND(T9/集装箱CONTAINER!D10,0)</f>
        <v>11</v>
      </c>
      <c r="W9" s="296">
        <f>COUNTIFS(销售需求表!F:F,$W$3&amp;B9,销售需求表!B:B,"&gt;0")</f>
        <v>0</v>
      </c>
      <c r="X9" s="296">
        <f>SUMIFS(销售需求表!B:B,销售需求表!F:F,$W$3&amp;B9)</f>
        <v>0</v>
      </c>
      <c r="Y9" s="296">
        <f>SUMIFS('7月排产计划'!AW:AW,'7月排产计划'!D:D,$W$3&amp;B9)</f>
        <v>0</v>
      </c>
      <c r="Z9" s="296">
        <f>X9-Y9</f>
        <v>0</v>
      </c>
      <c r="AA9" s="296">
        <f>ROUND(Y9/集装箱CONTAINER!D10,0)</f>
        <v>0</v>
      </c>
      <c r="AB9" s="296">
        <f>COUNTIFS(销售需求表!P:P,$R$3&amp;L9,销售需求表!L:L,"&gt;0")</f>
        <v>0</v>
      </c>
      <c r="AC9" s="296">
        <f>SUMIFS(销售需求表!B:B,销售需求表!F:F,$AB$3&amp;B9)</f>
        <v>0</v>
      </c>
      <c r="AD9" s="296">
        <f>SUMIFS('7月排产计划'!AW:AW,'7月排产计划'!D:D,$AB$3&amp;B9)</f>
        <v>0</v>
      </c>
      <c r="AE9" s="296">
        <f t="shared" ref="AE9:AE11" si="6">AC9-AD9</f>
        <v>0</v>
      </c>
      <c r="AF9" s="296">
        <f>ROUND(AD9/集装箱CONTAINER!D10,0)</f>
        <v>0</v>
      </c>
      <c r="AG9" s="317">
        <f t="shared" si="4"/>
        <v>191980</v>
      </c>
      <c r="AH9" s="318">
        <f t="shared" si="5"/>
        <v>148702</v>
      </c>
      <c r="AI9" s="319">
        <f t="shared" si="2"/>
        <v>43278</v>
      </c>
      <c r="AJ9" s="320"/>
      <c r="AK9" s="320"/>
    </row>
    <row r="10" ht="36" customHeight="1" spans="2:37">
      <c r="B10" s="296" t="s">
        <v>826</v>
      </c>
      <c r="C10" s="296">
        <f>COUNTIFS(销售需求表!F:F,$C$3&amp;B10,销售需求表!B:B,"&gt;0")</f>
        <v>11</v>
      </c>
      <c r="D10" s="296">
        <f>SUMIFS(销售需求表!B:B,销售需求表!F:F,$C$3&amp;B10)</f>
        <v>12600</v>
      </c>
      <c r="E10" s="296">
        <f>SUMIFS('7月排产计划'!AW:AW,'7月排产计划'!D:D,$C$3&amp;B10)</f>
        <v>18206</v>
      </c>
      <c r="F10" s="296">
        <f t="shared" si="0"/>
        <v>-5606</v>
      </c>
      <c r="G10" s="296">
        <f>ROUND(E10/集装箱CONTAINER!D5,0)</f>
        <v>98</v>
      </c>
      <c r="H10" s="296">
        <f>COUNTIFS(销售需求表!F:F,$H$3&amp;B10,销售需求表!B:B,"&gt;0")</f>
        <v>1</v>
      </c>
      <c r="I10" s="296">
        <f>SUMIFS(销售需求表!B:B,销售需求表!F:F,$H$3&amp;B10)</f>
        <v>600</v>
      </c>
      <c r="J10" s="296">
        <f>SUMIFS('7月排产计划'!AW:AW,'7月排产计划'!D:D,$H$3&amp;B10)</f>
        <v>600</v>
      </c>
      <c r="K10" s="296">
        <f t="shared" si="3"/>
        <v>0</v>
      </c>
      <c r="L10" s="296">
        <f>ROUND(J10/集装箱CONTAINER!D11,0)</f>
        <v>2</v>
      </c>
      <c r="M10" s="296" t="s">
        <v>66</v>
      </c>
      <c r="N10" s="296">
        <f>SUMIFS(销售需求表!B:B,销售需求表!F:F,$M$3&amp;B10)</f>
        <v>0</v>
      </c>
      <c r="O10" s="296" t="s">
        <v>66</v>
      </c>
      <c r="P10" s="296" t="s">
        <v>66</v>
      </c>
      <c r="Q10" s="296" t="s">
        <v>66</v>
      </c>
      <c r="R10" s="296">
        <f>COUNTIFS(销售需求表!F:F,$R$3&amp;B10,销售需求表!B:B,"&gt;0")</f>
        <v>3</v>
      </c>
      <c r="S10" s="296">
        <f>SUMIFS(销售需求表!B:B,销售需求表!F:F,$R$3&amp;B10)</f>
        <v>830</v>
      </c>
      <c r="T10" s="296">
        <f>SUMIFS('7月排产计划'!AW:AW,'7月排产计划'!D:D,$R$3&amp;B10)</f>
        <v>0</v>
      </c>
      <c r="U10" s="296">
        <f t="shared" si="1"/>
        <v>830</v>
      </c>
      <c r="V10" s="296">
        <f>ROUND(T10/集装箱CONTAINER!D4,0)</f>
        <v>0</v>
      </c>
      <c r="W10" s="296">
        <f>COUNTIFS(销售需求表!F:F,$W$3&amp;B10,销售需求表!B:B,"&gt;0")</f>
        <v>0</v>
      </c>
      <c r="X10" s="296">
        <f>SUMIFS(销售需求表!B:B,销售需求表!F:F,$W$3&amp;B10)</f>
        <v>0</v>
      </c>
      <c r="Y10" s="296">
        <f>SUMIFS('7月排产计划'!AW:AW,'7月排产计划'!D:D,$W$3&amp;B10)</f>
        <v>0</v>
      </c>
      <c r="Z10" s="296">
        <f t="shared" ref="Z9:Z11" si="7">X10-Y10</f>
        <v>0</v>
      </c>
      <c r="AA10" s="296">
        <f>ROUND(Y10/集装箱CONTAINER!D11,0)</f>
        <v>0</v>
      </c>
      <c r="AB10" s="296">
        <f>COUNTIFS(销售需求表!P:P,$R$3&amp;L10,销售需求表!L:L,"&gt;0")</f>
        <v>0</v>
      </c>
      <c r="AC10" s="296">
        <f>SUMIFS(销售需求表!B:B,销售需求表!F:F,$AB$3&amp;B10)</f>
        <v>0</v>
      </c>
      <c r="AD10" s="296">
        <f>SUMIFS('7月排产计划'!AW:AW,'7月排产计划'!D:D,$AB$3&amp;B10)</f>
        <v>0</v>
      </c>
      <c r="AE10" s="296">
        <f t="shared" si="6"/>
        <v>0</v>
      </c>
      <c r="AF10" s="296">
        <f>ROUND(AD10/集装箱CONTAINER!D11,0)</f>
        <v>0</v>
      </c>
      <c r="AG10" s="317">
        <f t="shared" si="4"/>
        <v>14030</v>
      </c>
      <c r="AH10" s="318">
        <f t="shared" si="5"/>
        <v>18806</v>
      </c>
      <c r="AI10" s="319">
        <f t="shared" si="2"/>
        <v>-4776</v>
      </c>
      <c r="AJ10" s="320"/>
      <c r="AK10" s="320"/>
    </row>
    <row r="11" ht="36" customHeight="1" spans="2:37">
      <c r="B11" s="297" t="s">
        <v>827</v>
      </c>
      <c r="C11" s="296">
        <f>COUNTIFS(销售需求表!F:F,$C$3&amp;B11,销售需求表!B:B,"&gt;0")</f>
        <v>4</v>
      </c>
      <c r="D11" s="296">
        <f>SUMIFS(销售需求表!B:B,销售需求表!F:F,$C$3&amp;B11)</f>
        <v>2100</v>
      </c>
      <c r="E11" s="296">
        <f>SUMIFS('7月排产计划'!AW:AW,'7月排产计划'!D:D,$C$3&amp;B11)</f>
        <v>1064</v>
      </c>
      <c r="F11" s="296">
        <f t="shared" si="0"/>
        <v>1036</v>
      </c>
      <c r="G11" s="296">
        <f>ROUND(E11/集装箱CONTAINER!D6,0)</f>
        <v>4</v>
      </c>
      <c r="H11" s="296">
        <f>COUNTIFS(销售需求表!F:F,$H$3&amp;B11,销售需求表!B:B,"&gt;0")</f>
        <v>23</v>
      </c>
      <c r="I11" s="296">
        <f>SUMIFS(销售需求表!B:B,销售需求表!F:F,$H$3&amp;B11)</f>
        <v>16260</v>
      </c>
      <c r="J11" s="296">
        <f>SUMIFS('7月排产计划'!AW:AW,'7月排产计划'!D:D,$H$3&amp;B11)</f>
        <v>10402</v>
      </c>
      <c r="K11" s="296">
        <f t="shared" si="3"/>
        <v>5858</v>
      </c>
      <c r="L11" s="296">
        <f>ROUND(J11/集装箱CONTAINER!D12,0)</f>
        <v>38</v>
      </c>
      <c r="M11" s="296" t="s">
        <v>66</v>
      </c>
      <c r="N11" s="296">
        <f>SUMIFS(销售需求表!B:B,销售需求表!F:F,$M$3&amp;B11)</f>
        <v>0</v>
      </c>
      <c r="O11" s="296" t="s">
        <v>66</v>
      </c>
      <c r="P11" s="296" t="s">
        <v>66</v>
      </c>
      <c r="Q11" s="296" t="s">
        <v>66</v>
      </c>
      <c r="R11" s="296">
        <f>COUNTIFS(销售需求表!F:F,R5&amp;B11,销售需求表!B:B,"&gt;0")</f>
        <v>0</v>
      </c>
      <c r="S11" s="296">
        <f>SUMIFS(销售需求表!B:B,销售需求表!F:F,$R$3&amp;B11)</f>
        <v>0</v>
      </c>
      <c r="T11" s="296">
        <f>SUMIFS('7月排产计划'!AW:AW,'7月排产计划'!D:D,$R$3&amp;B11)</f>
        <v>0</v>
      </c>
      <c r="U11" s="296">
        <f t="shared" si="1"/>
        <v>0</v>
      </c>
      <c r="V11" s="296" t="s">
        <v>66</v>
      </c>
      <c r="W11" s="296">
        <f>COUNTIFS(销售需求表!F:F,$W$3&amp;B11,销售需求表!B:B,"&gt;0")</f>
        <v>0</v>
      </c>
      <c r="X11" s="296">
        <f>SUMIFS(销售需求表!B:B,销售需求表!F:F,$W$3&amp;B11)</f>
        <v>0</v>
      </c>
      <c r="Y11" s="296">
        <f>SUMIFS('7月排产计划'!AW:AW,'7月排产计划'!D:D,$W$3&amp;B11)</f>
        <v>0</v>
      </c>
      <c r="Z11" s="296">
        <f t="shared" si="7"/>
        <v>0</v>
      </c>
      <c r="AA11" s="296" t="s">
        <v>66</v>
      </c>
      <c r="AB11" s="296">
        <f>COUNTIFS(销售需求表!P:P,AB5&amp;L11,销售需求表!L:L,"&gt;0")</f>
        <v>0</v>
      </c>
      <c r="AC11" s="296">
        <f>SUMIFS(销售需求表!B:B,销售需求表!F:F,$AB$3&amp;B11)</f>
        <v>0</v>
      </c>
      <c r="AD11" s="296">
        <f>SUMIFS('7月排产计划'!AW:AW,'7月排产计划'!D:D,$AB$3&amp;B11)</f>
        <v>0</v>
      </c>
      <c r="AE11" s="296">
        <f t="shared" si="6"/>
        <v>0</v>
      </c>
      <c r="AF11" s="296">
        <f>ROUND(AD11/集装箱CONTAINER!D12,0)</f>
        <v>0</v>
      </c>
      <c r="AG11" s="317">
        <f t="shared" si="4"/>
        <v>18360</v>
      </c>
      <c r="AH11" s="318">
        <f t="shared" si="5"/>
        <v>11466</v>
      </c>
      <c r="AI11" s="319">
        <f t="shared" si="2"/>
        <v>6894</v>
      </c>
      <c r="AJ11" s="320"/>
      <c r="AK11" s="320"/>
    </row>
    <row r="12" ht="36" customHeight="1" spans="2:37">
      <c r="B12" s="298" t="s">
        <v>357</v>
      </c>
      <c r="C12" s="299"/>
      <c r="D12" s="299"/>
      <c r="E12" s="299"/>
      <c r="F12" s="299"/>
      <c r="G12" s="299"/>
      <c r="H12" s="299"/>
      <c r="I12" s="299"/>
      <c r="J12" s="299"/>
      <c r="K12" s="299"/>
      <c r="L12" s="299"/>
      <c r="M12" s="299"/>
      <c r="N12" s="299"/>
      <c r="O12" s="299"/>
      <c r="P12" s="299"/>
      <c r="Q12" s="299"/>
      <c r="R12" s="299"/>
      <c r="S12" s="299"/>
      <c r="T12" s="299"/>
      <c r="U12" s="299"/>
      <c r="V12" s="299"/>
      <c r="W12" s="299"/>
      <c r="X12" s="299"/>
      <c r="Y12" s="299"/>
      <c r="Z12" s="299"/>
      <c r="AA12" s="299"/>
      <c r="AB12" s="299"/>
      <c r="AC12" s="299"/>
      <c r="AD12" s="299"/>
      <c r="AE12" s="299"/>
      <c r="AF12" s="299"/>
      <c r="AG12" s="317">
        <f t="shared" si="4"/>
        <v>0</v>
      </c>
      <c r="AH12" s="318">
        <f>E12+J12+O12+T12</f>
        <v>0</v>
      </c>
      <c r="AI12" s="319">
        <f>F12+K12+P12+U12</f>
        <v>0</v>
      </c>
      <c r="AJ12" s="320"/>
      <c r="AK12" s="320"/>
    </row>
    <row r="13" ht="36" customHeight="1" spans="2:37">
      <c r="B13" s="300" t="s">
        <v>683</v>
      </c>
      <c r="C13" s="297">
        <f t="shared" ref="C13:AF13" si="8">SUM(C5:C12)</f>
        <v>114</v>
      </c>
      <c r="D13" s="297">
        <f t="shared" si="8"/>
        <v>116740</v>
      </c>
      <c r="E13" s="297">
        <f t="shared" si="8"/>
        <v>117438</v>
      </c>
      <c r="F13" s="297">
        <f t="shared" si="8"/>
        <v>-698</v>
      </c>
      <c r="G13" s="297">
        <f t="shared" si="8"/>
        <v>482</v>
      </c>
      <c r="H13" s="297">
        <f t="shared" si="8"/>
        <v>151</v>
      </c>
      <c r="I13" s="297">
        <f t="shared" si="8"/>
        <v>150880</v>
      </c>
      <c r="J13" s="297">
        <f t="shared" si="8"/>
        <v>119538</v>
      </c>
      <c r="K13" s="297">
        <f t="shared" si="8"/>
        <v>31342</v>
      </c>
      <c r="L13" s="297">
        <f t="shared" si="8"/>
        <v>359</v>
      </c>
      <c r="M13" s="297">
        <f t="shared" si="8"/>
        <v>1</v>
      </c>
      <c r="N13" s="297">
        <f t="shared" si="8"/>
        <v>81540</v>
      </c>
      <c r="O13" s="297">
        <f t="shared" si="8"/>
        <v>59398</v>
      </c>
      <c r="P13" s="297">
        <f t="shared" si="8"/>
        <v>22022</v>
      </c>
      <c r="Q13" s="297">
        <f t="shared" si="8"/>
        <v>238</v>
      </c>
      <c r="R13" s="297">
        <f t="shared" si="8"/>
        <v>4</v>
      </c>
      <c r="S13" s="297">
        <f t="shared" si="8"/>
        <v>950</v>
      </c>
      <c r="T13" s="297">
        <f t="shared" si="8"/>
        <v>3000</v>
      </c>
      <c r="U13" s="297">
        <f t="shared" si="8"/>
        <v>-2050</v>
      </c>
      <c r="V13" s="297">
        <f t="shared" si="8"/>
        <v>11</v>
      </c>
      <c r="W13" s="297">
        <f t="shared" si="8"/>
        <v>0</v>
      </c>
      <c r="X13" s="297">
        <f t="shared" si="8"/>
        <v>0</v>
      </c>
      <c r="Y13" s="297">
        <f t="shared" si="8"/>
        <v>0</v>
      </c>
      <c r="Z13" s="297">
        <f t="shared" si="8"/>
        <v>0</v>
      </c>
      <c r="AA13" s="297">
        <f t="shared" si="8"/>
        <v>0</v>
      </c>
      <c r="AB13" s="297">
        <f t="shared" si="8"/>
        <v>0</v>
      </c>
      <c r="AC13" s="297">
        <f t="shared" si="8"/>
        <v>0</v>
      </c>
      <c r="AD13" s="297">
        <f t="shared" si="8"/>
        <v>0</v>
      </c>
      <c r="AE13" s="297">
        <f t="shared" si="8"/>
        <v>0</v>
      </c>
      <c r="AF13" s="297">
        <f t="shared" si="8"/>
        <v>0</v>
      </c>
      <c r="AG13" s="317">
        <f t="shared" si="4"/>
        <v>350110</v>
      </c>
      <c r="AH13" s="317">
        <f>SUM(E13,J13,O13,T13,Y13,AD13)</f>
        <v>299374</v>
      </c>
      <c r="AI13" s="319">
        <f>F13+K13+P13+U13</f>
        <v>50616</v>
      </c>
      <c r="AJ13" s="320"/>
      <c r="AK13" s="320"/>
    </row>
    <row r="14" ht="106" customHeight="1" spans="2:37">
      <c r="B14" s="301" t="s">
        <v>828</v>
      </c>
      <c r="C14" s="302"/>
      <c r="D14" s="302"/>
      <c r="E14" s="302"/>
      <c r="F14" s="302"/>
      <c r="G14" s="302"/>
      <c r="H14" s="302"/>
      <c r="I14" s="302"/>
      <c r="J14" s="302"/>
      <c r="K14" s="302"/>
      <c r="L14" s="302"/>
      <c r="M14" s="302"/>
      <c r="N14" s="302"/>
      <c r="O14" s="302"/>
      <c r="P14" s="302"/>
      <c r="Q14" s="302"/>
      <c r="R14" s="302"/>
      <c r="S14" s="302"/>
      <c r="T14" s="302"/>
      <c r="U14" s="302"/>
      <c r="V14" s="302"/>
      <c r="W14" s="302"/>
      <c r="X14" s="302"/>
      <c r="Y14" s="302"/>
      <c r="Z14" s="302"/>
      <c r="AA14" s="302"/>
      <c r="AB14" s="302"/>
      <c r="AC14" s="302"/>
      <c r="AD14" s="302"/>
      <c r="AE14" s="302"/>
      <c r="AF14" s="302"/>
      <c r="AG14" s="302"/>
      <c r="AH14" s="302"/>
      <c r="AI14" s="321"/>
      <c r="AJ14" s="322"/>
      <c r="AK14" s="322"/>
    </row>
    <row r="15" ht="22" customHeight="1"/>
    <row r="16" ht="41" customHeight="1" spans="2:37">
      <c r="B16" s="303" t="s">
        <v>829</v>
      </c>
      <c r="C16" s="303"/>
      <c r="D16" s="303"/>
      <c r="E16" s="303"/>
      <c r="F16" s="303"/>
      <c r="G16" s="303"/>
      <c r="H16" s="303"/>
      <c r="I16" s="303"/>
      <c r="J16" s="303"/>
      <c r="K16" s="303"/>
      <c r="L16" s="303"/>
      <c r="M16" s="303"/>
      <c r="N16" s="303"/>
      <c r="O16" s="303"/>
      <c r="P16" s="303"/>
      <c r="Q16" s="303"/>
      <c r="R16" s="303"/>
      <c r="S16" s="303"/>
      <c r="T16" s="303"/>
      <c r="U16" s="303"/>
      <c r="V16" s="303"/>
      <c r="W16" s="303"/>
      <c r="X16" s="303"/>
      <c r="Y16" s="303"/>
      <c r="Z16" s="303"/>
      <c r="AA16" s="303"/>
      <c r="AB16" s="303"/>
      <c r="AC16" s="303"/>
      <c r="AD16" s="303"/>
      <c r="AE16" s="303"/>
      <c r="AF16" s="303"/>
      <c r="AG16" s="303"/>
      <c r="AH16" s="303"/>
      <c r="AI16" s="303"/>
      <c r="AJ16" s="303"/>
      <c r="AK16" s="303"/>
    </row>
    <row r="17" ht="31" customHeight="1" spans="2:45">
      <c r="B17" s="304" t="s">
        <v>813</v>
      </c>
      <c r="C17" s="305" t="s">
        <v>343</v>
      </c>
      <c r="D17" s="306"/>
      <c r="E17" s="306"/>
      <c r="F17" s="306"/>
      <c r="G17" s="312"/>
      <c r="H17" s="305" t="s">
        <v>315</v>
      </c>
      <c r="I17" s="306"/>
      <c r="J17" s="306"/>
      <c r="K17" s="306"/>
      <c r="L17" s="312"/>
      <c r="M17" s="305" t="s">
        <v>361</v>
      </c>
      <c r="N17" s="306"/>
      <c r="O17" s="306"/>
      <c r="P17" s="306"/>
      <c r="Q17" s="312"/>
      <c r="R17" s="305" t="s">
        <v>357</v>
      </c>
      <c r="S17" s="306"/>
      <c r="T17" s="306"/>
      <c r="U17" s="306"/>
      <c r="V17" s="306"/>
      <c r="W17" s="305" t="s">
        <v>757</v>
      </c>
      <c r="X17" s="306"/>
      <c r="Y17" s="306"/>
      <c r="Z17" s="306"/>
      <c r="AA17" s="312"/>
      <c r="AB17" s="305" t="s">
        <v>664</v>
      </c>
      <c r="AC17" s="306"/>
      <c r="AD17" s="306"/>
      <c r="AE17" s="306"/>
      <c r="AF17" s="312"/>
      <c r="AG17" s="305" t="s">
        <v>97</v>
      </c>
      <c r="AH17" s="306"/>
      <c r="AI17" s="306"/>
      <c r="AJ17" s="306"/>
      <c r="AK17" s="312"/>
      <c r="AL17" s="305" t="s">
        <v>708</v>
      </c>
      <c r="AM17" s="306"/>
      <c r="AN17" s="306"/>
      <c r="AO17" s="306"/>
      <c r="AP17" s="312"/>
      <c r="AQ17" s="323" t="s">
        <v>683</v>
      </c>
      <c r="AR17" s="323"/>
      <c r="AS17" s="326"/>
    </row>
    <row r="18" ht="59" customHeight="1" spans="2:45">
      <c r="B18" s="293" t="s">
        <v>814</v>
      </c>
      <c r="C18" s="293" t="s">
        <v>815</v>
      </c>
      <c r="D18" s="293" t="s">
        <v>816</v>
      </c>
      <c r="E18" s="293" t="s">
        <v>817</v>
      </c>
      <c r="F18" s="293" t="s">
        <v>818</v>
      </c>
      <c r="G18" s="293" t="s">
        <v>819</v>
      </c>
      <c r="H18" s="293" t="s">
        <v>815</v>
      </c>
      <c r="I18" s="293" t="s">
        <v>816</v>
      </c>
      <c r="J18" s="293" t="s">
        <v>817</v>
      </c>
      <c r="K18" s="293" t="s">
        <v>818</v>
      </c>
      <c r="L18" s="293" t="s">
        <v>819</v>
      </c>
      <c r="M18" s="293" t="s">
        <v>815</v>
      </c>
      <c r="N18" s="293" t="s">
        <v>816</v>
      </c>
      <c r="O18" s="293" t="s">
        <v>817</v>
      </c>
      <c r="P18" s="293" t="s">
        <v>818</v>
      </c>
      <c r="Q18" s="293" t="s">
        <v>819</v>
      </c>
      <c r="R18" s="293" t="s">
        <v>815</v>
      </c>
      <c r="S18" s="293" t="s">
        <v>816</v>
      </c>
      <c r="T18" s="293" t="s">
        <v>817</v>
      </c>
      <c r="U18" s="293" t="s">
        <v>818</v>
      </c>
      <c r="V18" s="293" t="s">
        <v>819</v>
      </c>
      <c r="W18" s="293" t="s">
        <v>815</v>
      </c>
      <c r="X18" s="293" t="s">
        <v>816</v>
      </c>
      <c r="Y18" s="293" t="s">
        <v>817</v>
      </c>
      <c r="Z18" s="293" t="s">
        <v>818</v>
      </c>
      <c r="AA18" s="293" t="s">
        <v>819</v>
      </c>
      <c r="AB18" s="293" t="s">
        <v>815</v>
      </c>
      <c r="AC18" s="293" t="s">
        <v>816</v>
      </c>
      <c r="AD18" s="293" t="s">
        <v>817</v>
      </c>
      <c r="AE18" s="293" t="s">
        <v>818</v>
      </c>
      <c r="AF18" s="293" t="s">
        <v>819</v>
      </c>
      <c r="AG18" s="293" t="s">
        <v>815</v>
      </c>
      <c r="AH18" s="293" t="s">
        <v>816</v>
      </c>
      <c r="AI18" s="293" t="s">
        <v>817</v>
      </c>
      <c r="AJ18" s="293" t="s">
        <v>818</v>
      </c>
      <c r="AK18" s="293" t="s">
        <v>819</v>
      </c>
      <c r="AL18" s="293" t="s">
        <v>815</v>
      </c>
      <c r="AM18" s="293" t="s">
        <v>816</v>
      </c>
      <c r="AN18" s="293" t="s">
        <v>817</v>
      </c>
      <c r="AO18" s="293" t="s">
        <v>818</v>
      </c>
      <c r="AP18" s="293" t="s">
        <v>819</v>
      </c>
      <c r="AQ18" s="314" t="s">
        <v>830</v>
      </c>
      <c r="AR18" s="314" t="s">
        <v>817</v>
      </c>
      <c r="AS18" s="315" t="s">
        <v>818</v>
      </c>
    </row>
    <row r="19" ht="38" customHeight="1" spans="2:45">
      <c r="B19" s="293" t="s">
        <v>831</v>
      </c>
      <c r="C19" s="296">
        <f>COUNTIFS(销售需求表!F:F,C16&amp;B19,销售需求表!B:B,"&gt;0")</f>
        <v>0</v>
      </c>
      <c r="D19" s="296">
        <f>SUMIFS(销售需求表!B:B,销售需求表!F:F,$C$17&amp;B19)</f>
        <v>0</v>
      </c>
      <c r="E19" s="296" t="s">
        <v>66</v>
      </c>
      <c r="F19" s="296" t="s">
        <v>66</v>
      </c>
      <c r="G19" s="296"/>
      <c r="H19" s="296" t="s">
        <v>66</v>
      </c>
      <c r="I19" s="296" t="s">
        <v>66</v>
      </c>
      <c r="J19" s="296" t="s">
        <v>66</v>
      </c>
      <c r="K19" s="296" t="s">
        <v>66</v>
      </c>
      <c r="L19" s="296"/>
      <c r="M19" s="296" t="s">
        <v>66</v>
      </c>
      <c r="N19" s="296" t="s">
        <v>66</v>
      </c>
      <c r="O19" s="296" t="s">
        <v>66</v>
      </c>
      <c r="P19" s="296" t="s">
        <v>66</v>
      </c>
      <c r="Q19" s="296"/>
      <c r="R19" s="296">
        <f>COUNTIFS(销售需求表!F:F,$R$17&amp;B19,销售需求表!B:B,"&gt;0")</f>
        <v>0</v>
      </c>
      <c r="S19" s="296">
        <f>SUMIFS(销售需求表!B:B,销售需求表!F:F,$R$17&amp;B19)</f>
        <v>0</v>
      </c>
      <c r="T19" s="296">
        <f>SUMIFS('7月排产计划'!AW:AW,'7月排产计划'!D:D,$R$17&amp;B19)</f>
        <v>0</v>
      </c>
      <c r="U19" s="296">
        <f t="shared" ref="U19:U24" si="9">S19-T19</f>
        <v>0</v>
      </c>
      <c r="V19" s="313">
        <f>T19/3800</f>
        <v>0</v>
      </c>
      <c r="W19" s="296">
        <f>COUNTIFS(销售需求表!F:F,$W$17&amp;B19,销售需求表!B:B,"&gt;0")</f>
        <v>0</v>
      </c>
      <c r="X19" s="296">
        <f>SUMIFS(销售需求表!B:B,销售需求表!F:F,$W$17&amp;B19)</f>
        <v>0</v>
      </c>
      <c r="Y19" s="296">
        <f>SUMIFS('7月排产计划'!AW:AW,'7月排产计划'!D:D,$W$17&amp;B19)</f>
        <v>0</v>
      </c>
      <c r="Z19" s="296">
        <f>X19-Y19</f>
        <v>0</v>
      </c>
      <c r="AA19" s="313">
        <f>Y19/1000</f>
        <v>0</v>
      </c>
      <c r="AB19" s="296">
        <f>COUNTIFS(销售需求表!F:F,$AB$17&amp;B19,销售需求表!B:B,"&gt;0")</f>
        <v>0</v>
      </c>
      <c r="AC19" s="296">
        <f>SUMIFS(销售需求表!B:B,销售需求表!F:F,$AB$17&amp;B19)</f>
        <v>0</v>
      </c>
      <c r="AD19" s="296">
        <f>SUMIFS('7月排产计划'!AW:AW,'7月排产计划'!D:D,$AB$17&amp;B19)</f>
        <v>0</v>
      </c>
      <c r="AE19" s="296">
        <f>AC19-AD19</f>
        <v>0</v>
      </c>
      <c r="AF19" s="313">
        <f>AD19/1000</f>
        <v>0</v>
      </c>
      <c r="AG19" s="296">
        <f>COUNTIFS(销售需求表!F:F,$AG$17&amp;B19,销售需求表!B:B,"&gt;0")</f>
        <v>0</v>
      </c>
      <c r="AH19" s="296">
        <f>SUMIFS(销售需求表!B:B,销售需求表!F:F,$AG$17&amp;B19)</f>
        <v>0</v>
      </c>
      <c r="AI19" s="296">
        <f>SUMIFS('7月排产计划'!AW:AW,'7月排产计划'!D:D,$AG$17&amp;B19)</f>
        <v>0</v>
      </c>
      <c r="AJ19" s="296">
        <f t="shared" ref="AJ19:AJ28" si="10">AH19-AI19</f>
        <v>0</v>
      </c>
      <c r="AK19" s="313">
        <f t="shared" ref="AK19:AK28" si="11">AI19/1000</f>
        <v>0</v>
      </c>
      <c r="AL19" s="296">
        <f>COUNTIFS(销售需求表!F:F,$AL$17&amp;B19,销售需求表!B:B,"&gt;0")</f>
        <v>0</v>
      </c>
      <c r="AM19" s="296">
        <f>SUMIFS(销售需求表!B:B,销售需求表!F:F,$AL$17&amp;B19)</f>
        <v>0</v>
      </c>
      <c r="AN19" s="296">
        <f>SUMIFS('7月排产计划'!AW:AW,'7月排产计划'!D:D,$AL$17&amp;B19)</f>
        <v>0</v>
      </c>
      <c r="AO19" s="296">
        <f t="shared" ref="AO19:AO28" si="12">AM19-AN19</f>
        <v>0</v>
      </c>
      <c r="AP19" s="313">
        <f t="shared" ref="AP19:AP21" si="13">AN19/1000</f>
        <v>0</v>
      </c>
      <c r="AQ19" s="324">
        <f>SUM(D19,I19,N19,S19,X19,AC19,AM19,AH19)</f>
        <v>0</v>
      </c>
      <c r="AR19" s="325">
        <f>SUM(E19,J19,O19,T19,Y19,AD19,AN19,AI19)</f>
        <v>0</v>
      </c>
      <c r="AS19" s="325">
        <f>AQ19-AR19</f>
        <v>0</v>
      </c>
    </row>
    <row r="20" ht="38" customHeight="1" spans="2:45">
      <c r="B20" s="293" t="s">
        <v>832</v>
      </c>
      <c r="C20" s="296">
        <f>COUNTIFS(销售需求表!F:F,C16&amp;B20,销售需求表!B:B,"&gt;0")</f>
        <v>0</v>
      </c>
      <c r="D20" s="296">
        <f>SUMIFS(销售需求表!B:B,销售需求表!F:F,$C$17&amp;B20)</f>
        <v>0</v>
      </c>
      <c r="E20" s="296" t="s">
        <v>66</v>
      </c>
      <c r="F20" s="296" t="s">
        <v>66</v>
      </c>
      <c r="G20" s="296"/>
      <c r="H20" s="296" t="s">
        <v>66</v>
      </c>
      <c r="I20" s="296" t="s">
        <v>66</v>
      </c>
      <c r="J20" s="296" t="s">
        <v>66</v>
      </c>
      <c r="K20" s="296" t="s">
        <v>66</v>
      </c>
      <c r="L20" s="296"/>
      <c r="M20" s="296" t="s">
        <v>66</v>
      </c>
      <c r="N20" s="296" t="s">
        <v>66</v>
      </c>
      <c r="O20" s="296" t="s">
        <v>66</v>
      </c>
      <c r="P20" s="296" t="s">
        <v>66</v>
      </c>
      <c r="Q20" s="296"/>
      <c r="R20" s="296">
        <f>COUNTIFS(销售需求表!F:F,$R$17&amp;B20,销售需求表!B:B,"&gt;0")</f>
        <v>0</v>
      </c>
      <c r="S20" s="296">
        <f>SUMIFS(销售需求表!B:B,销售需求表!F:F,$R$17&amp;B20)</f>
        <v>0</v>
      </c>
      <c r="T20" s="296">
        <f>SUMIFS('7月排产计划'!AW:AW,'7月排产计划'!D:D,$R$17&amp;B20)</f>
        <v>0</v>
      </c>
      <c r="U20" s="296">
        <f t="shared" si="9"/>
        <v>0</v>
      </c>
      <c r="V20" s="313">
        <f>T20/3800</f>
        <v>0</v>
      </c>
      <c r="W20" s="296">
        <f>COUNTIFS(销售需求表!F:F,$W$17&amp;B20,销售需求表!B:B,"&gt;0")</f>
        <v>0</v>
      </c>
      <c r="X20" s="296">
        <f>SUMIFS(销售需求表!B:B,销售需求表!F:F,$W$17&amp;B20)</f>
        <v>0</v>
      </c>
      <c r="Y20" s="296">
        <f>SUMIFS('7月排产计划'!AW:AW,'7月排产计划'!D:D,$W$17&amp;B20)</f>
        <v>0</v>
      </c>
      <c r="Z20" s="296">
        <f t="shared" ref="Z20:Z28" si="14">X20-Y20</f>
        <v>0</v>
      </c>
      <c r="AA20" s="313">
        <f>Y20/1000</f>
        <v>0</v>
      </c>
      <c r="AB20" s="296">
        <f>COUNTIFS(销售需求表!F:F,$AB$17&amp;B20,销售需求表!B:B,"&gt;0")</f>
        <v>0</v>
      </c>
      <c r="AC20" s="296">
        <f>SUMIFS(销售需求表!B:B,销售需求表!F:F,$AB$17&amp;B20)</f>
        <v>0</v>
      </c>
      <c r="AD20" s="296">
        <f>SUMIFS('7月排产计划'!AW:AW,'7月排产计划'!D:D,$AB$17&amp;B20)</f>
        <v>0</v>
      </c>
      <c r="AE20" s="296">
        <f t="shared" ref="AE20:AE28" si="15">AC20-AD20</f>
        <v>0</v>
      </c>
      <c r="AF20" s="313">
        <f>AD20/1000</f>
        <v>0</v>
      </c>
      <c r="AG20" s="296">
        <f>COUNTIFS(销售需求表!F:F,$AG$17&amp;B20,销售需求表!B:B,"&gt;0")</f>
        <v>0</v>
      </c>
      <c r="AH20" s="296">
        <f>SUMIFS(销售需求表!B:B,销售需求表!F:F,$AG$17&amp;B20)</f>
        <v>0</v>
      </c>
      <c r="AI20" s="296">
        <f>SUMIFS('7月排产计划'!AW:AW,'7月排产计划'!D:D,$AG$17&amp;B20)</f>
        <v>0</v>
      </c>
      <c r="AJ20" s="296">
        <f t="shared" si="10"/>
        <v>0</v>
      </c>
      <c r="AK20" s="313">
        <f t="shared" si="11"/>
        <v>0</v>
      </c>
      <c r="AL20" s="296">
        <f>COUNTIFS(销售需求表!F:F,$AL$17&amp;B20,销售需求表!B:B,"&gt;0")</f>
        <v>0</v>
      </c>
      <c r="AM20" s="296">
        <f>SUMIFS(销售需求表!B:B,销售需求表!F:F,$AL$17&amp;B20)</f>
        <v>0</v>
      </c>
      <c r="AN20" s="296">
        <f>SUMIFS('7月排产计划'!AW:AW,'7月排产计划'!D:D,$AL$17&amp;B20)</f>
        <v>0</v>
      </c>
      <c r="AO20" s="296">
        <f t="shared" si="12"/>
        <v>0</v>
      </c>
      <c r="AP20" s="313">
        <f t="shared" si="13"/>
        <v>0</v>
      </c>
      <c r="AQ20" s="324">
        <f t="shared" ref="AQ20:AQ28" si="16">SUM(D20,I20,N20,S20,X20,AC20,AM20,AH20)</f>
        <v>0</v>
      </c>
      <c r="AR20" s="325">
        <f t="shared" ref="AR20:AR28" si="17">SUM(E20,J20,O20,T20,Y20,AD20,AN20,AI20)</f>
        <v>0</v>
      </c>
      <c r="AS20" s="325">
        <f t="shared" ref="AS20:AS28" si="18">AQ20-AR20</f>
        <v>0</v>
      </c>
    </row>
    <row r="21" ht="38" customHeight="1" spans="2:45">
      <c r="B21" s="293" t="s">
        <v>833</v>
      </c>
      <c r="C21" s="296">
        <f>COUNTIFS(销售需求表!F:F,C17&amp;B21,销售需求表!B:B,"&gt;0")</f>
        <v>0</v>
      </c>
      <c r="D21" s="296">
        <f>SUMIFS(销售需求表!B:B,销售需求表!F:F,$C$17&amp;B21)</f>
        <v>0</v>
      </c>
      <c r="E21" s="296" t="s">
        <v>66</v>
      </c>
      <c r="F21" s="296" t="s">
        <v>66</v>
      </c>
      <c r="G21" s="296"/>
      <c r="H21" s="296" t="s">
        <v>66</v>
      </c>
      <c r="I21" s="296" t="s">
        <v>66</v>
      </c>
      <c r="J21" s="296" t="s">
        <v>66</v>
      </c>
      <c r="K21" s="296" t="s">
        <v>66</v>
      </c>
      <c r="L21" s="296"/>
      <c r="M21" s="296" t="s">
        <v>66</v>
      </c>
      <c r="N21" s="296" t="s">
        <v>66</v>
      </c>
      <c r="O21" s="296" t="s">
        <v>66</v>
      </c>
      <c r="P21" s="296" t="s">
        <v>66</v>
      </c>
      <c r="Q21" s="296"/>
      <c r="R21" s="296">
        <f>COUNTIFS(销售需求表!F:F,$R$17&amp;B21,销售需求表!B:B,"&gt;0")</f>
        <v>0</v>
      </c>
      <c r="S21" s="296">
        <f>SUMIFS(销售需求表!B:B,销售需求表!F:F,$R$17&amp;B21)</f>
        <v>0</v>
      </c>
      <c r="T21" s="296">
        <f>SUMIFS('7月排产计划'!AW:AW,'7月排产计划'!D:D,$R$17&amp;B21)</f>
        <v>0</v>
      </c>
      <c r="U21" s="296">
        <f t="shared" si="9"/>
        <v>0</v>
      </c>
      <c r="V21" s="313">
        <f>T21/3800</f>
        <v>0</v>
      </c>
      <c r="W21" s="296">
        <f>COUNTIFS(销售需求表!F:F,$W$17&amp;B21,销售需求表!B:B,"&gt;0")</f>
        <v>0</v>
      </c>
      <c r="X21" s="296">
        <f>SUMIFS(销售需求表!B:B,销售需求表!F:F,$W$17&amp;B21)</f>
        <v>0</v>
      </c>
      <c r="Y21" s="296">
        <f>SUMIFS('7月排产计划'!AW:AW,'7月排产计划'!D:D,$W$17&amp;B21)</f>
        <v>10580</v>
      </c>
      <c r="Z21" s="296">
        <f t="shared" si="14"/>
        <v>-10580</v>
      </c>
      <c r="AA21" s="313">
        <f>Y21/1000</f>
        <v>10.58</v>
      </c>
      <c r="AB21" s="296">
        <f>COUNTIFS(销售需求表!F:F,$AB$17&amp;B21,销售需求表!B:B,"&gt;0")</f>
        <v>0</v>
      </c>
      <c r="AC21" s="296">
        <f>SUMIFS(销售需求表!B:B,销售需求表!F:F,$AB$17&amp;B21)</f>
        <v>0</v>
      </c>
      <c r="AD21" s="296">
        <f>SUMIFS('7月排产计划'!AW:AW,'7月排产计划'!D:D,$AB$17&amp;B21)</f>
        <v>0</v>
      </c>
      <c r="AE21" s="296">
        <f t="shared" si="15"/>
        <v>0</v>
      </c>
      <c r="AF21" s="313">
        <f>AD21/1000</f>
        <v>0</v>
      </c>
      <c r="AG21" s="296">
        <f>COUNTIFS(销售需求表!F:F,$AG$17&amp;B21,销售需求表!B:B,"&gt;0")</f>
        <v>3</v>
      </c>
      <c r="AH21" s="296">
        <f>SUMIFS(销售需求表!B:B,销售需求表!F:F,$AG$17&amp;B21)</f>
        <v>590</v>
      </c>
      <c r="AI21" s="296">
        <f>SUMIFS('7月排产计划'!AW:AW,'7月排产计划'!D:D,$AG$17&amp;B21)</f>
        <v>9000</v>
      </c>
      <c r="AJ21" s="296">
        <f t="shared" si="10"/>
        <v>-8410</v>
      </c>
      <c r="AK21" s="313">
        <f t="shared" si="11"/>
        <v>9</v>
      </c>
      <c r="AL21" s="296">
        <f>COUNTIFS(销售需求表!F:F,$AL$17&amp;B21,销售需求表!B:B,"&gt;0")</f>
        <v>0</v>
      </c>
      <c r="AM21" s="296">
        <f>SUMIFS(销售需求表!B:B,销售需求表!F:F,$AL$17&amp;B21)</f>
        <v>0</v>
      </c>
      <c r="AN21" s="296">
        <f>SUMIFS('7月排产计划'!AW:AW,'7月排产计划'!D:D,$AL$17&amp;B21)</f>
        <v>27280</v>
      </c>
      <c r="AO21" s="296">
        <f t="shared" si="12"/>
        <v>-27280</v>
      </c>
      <c r="AP21" s="313">
        <f t="shared" si="13"/>
        <v>27.28</v>
      </c>
      <c r="AQ21" s="324">
        <f t="shared" si="16"/>
        <v>590</v>
      </c>
      <c r="AR21" s="325">
        <f t="shared" si="17"/>
        <v>46860</v>
      </c>
      <c r="AS21" s="325">
        <f t="shared" si="18"/>
        <v>-46270</v>
      </c>
    </row>
    <row r="22" ht="38" customHeight="1" spans="2:45">
      <c r="B22" s="293" t="s">
        <v>834</v>
      </c>
      <c r="C22" s="296">
        <f>COUNTIFS(销售需求表!F:F,"轻卡13寸",销售需求表!B:B,"&gt;0")</f>
        <v>0</v>
      </c>
      <c r="D22" s="296">
        <f>SUMIFS(销售需求表!B:B,销售需求表!F:F,$C$17&amp;B22)</f>
        <v>0</v>
      </c>
      <c r="E22" s="296" t="s">
        <v>66</v>
      </c>
      <c r="F22" s="296" t="s">
        <v>66</v>
      </c>
      <c r="G22" s="296"/>
      <c r="H22" s="296" t="s">
        <v>66</v>
      </c>
      <c r="I22" s="296" t="s">
        <v>66</v>
      </c>
      <c r="J22" s="296" t="s">
        <v>66</v>
      </c>
      <c r="K22" s="296" t="s">
        <v>66</v>
      </c>
      <c r="L22" s="296"/>
      <c r="M22" s="296" t="s">
        <v>66</v>
      </c>
      <c r="N22" s="296" t="s">
        <v>66</v>
      </c>
      <c r="O22" s="296" t="s">
        <v>66</v>
      </c>
      <c r="P22" s="296" t="s">
        <v>66</v>
      </c>
      <c r="Q22" s="296"/>
      <c r="R22" s="296">
        <f>COUNTIFS(销售需求表!F:F,$R$17&amp;B22,销售需求表!B:B,"&gt;0")</f>
        <v>0</v>
      </c>
      <c r="S22" s="296">
        <f>SUMIFS(销售需求表!B:B,销售需求表!F:F,$R$17&amp;B22)</f>
        <v>0</v>
      </c>
      <c r="T22" s="296">
        <f>SUMIFS('7月排产计划'!AW:AW,'7月排产计划'!D:D,$R$17&amp;B22)</f>
        <v>0</v>
      </c>
      <c r="U22" s="296">
        <f t="shared" si="9"/>
        <v>0</v>
      </c>
      <c r="V22" s="313">
        <f>T22/1900</f>
        <v>0</v>
      </c>
      <c r="W22" s="296">
        <f>COUNTIFS(销售需求表!F:F,$W$17&amp;B22,销售需求表!B:B,"&gt;0")</f>
        <v>0</v>
      </c>
      <c r="X22" s="296">
        <f>SUMIFS(销售需求表!B:B,销售需求表!F:F,$W$17&amp;B22)</f>
        <v>0</v>
      </c>
      <c r="Y22" s="296">
        <f>SUMIFS('7月排产计划'!AW:AW,'7月排产计划'!D:D,$W$17&amp;B22)</f>
        <v>0</v>
      </c>
      <c r="Z22" s="296">
        <f t="shared" si="14"/>
        <v>0</v>
      </c>
      <c r="AA22" s="296"/>
      <c r="AB22" s="296">
        <f>COUNTIFS(销售需求表!F:F,$AB$17&amp;B22,销售需求表!B:B,"&gt;0")</f>
        <v>3</v>
      </c>
      <c r="AC22" s="296">
        <f>SUMIFS(销售需求表!B:B,销售需求表!F:F,$AB$17&amp;B22)</f>
        <v>21700</v>
      </c>
      <c r="AD22" s="296">
        <f>SUMIFS('7月排产计划'!AW:AW,'7月排产计划'!D:D,$AB$17&amp;B22)</f>
        <v>43000</v>
      </c>
      <c r="AE22" s="296">
        <f t="shared" si="15"/>
        <v>-21300</v>
      </c>
      <c r="AF22" s="296"/>
      <c r="AG22" s="296">
        <f>COUNTIFS(销售需求表!F:F,$AG$17&amp;B22,销售需求表!B:B,"&gt;0")</f>
        <v>0</v>
      </c>
      <c r="AH22" s="296">
        <f>SUMIFS(销售需求表!B:B,销售需求表!F:F,$AG$17&amp;B22)</f>
        <v>0</v>
      </c>
      <c r="AI22" s="296">
        <f>SUMIFS('7月排产计划'!AW:AW,'7月排产计划'!D:D,$AG$17&amp;B22)</f>
        <v>0</v>
      </c>
      <c r="AJ22" s="296">
        <f t="shared" si="10"/>
        <v>0</v>
      </c>
      <c r="AK22" s="313">
        <f t="shared" si="11"/>
        <v>0</v>
      </c>
      <c r="AL22" s="296">
        <f>COUNTIFS(销售需求表!F:F,$AL$17&amp;B22,销售需求表!B:B,"&gt;0")</f>
        <v>0</v>
      </c>
      <c r="AM22" s="296">
        <f>SUMIFS(销售需求表!B:B,销售需求表!F:F,$AL$17&amp;B22)</f>
        <v>0</v>
      </c>
      <c r="AN22" s="296">
        <f>SUMIFS('7月排产计划'!AW:AW,'7月排产计划'!D:D,$AL$17&amp;B22)</f>
        <v>0</v>
      </c>
      <c r="AO22" s="296">
        <f t="shared" si="12"/>
        <v>0</v>
      </c>
      <c r="AP22" s="296"/>
      <c r="AQ22" s="324">
        <f t="shared" si="16"/>
        <v>21700</v>
      </c>
      <c r="AR22" s="325">
        <f t="shared" si="17"/>
        <v>43000</v>
      </c>
      <c r="AS22" s="325">
        <f t="shared" si="18"/>
        <v>-21300</v>
      </c>
    </row>
    <row r="23" ht="38" customHeight="1" spans="2:45">
      <c r="B23" s="293" t="s">
        <v>835</v>
      </c>
      <c r="C23" s="296">
        <f>COUNTIFS(销售需求表!F:F,"轻卡14寸",销售需求表!B:B,"&gt;0")</f>
        <v>0</v>
      </c>
      <c r="D23" s="296">
        <f>SUMIFS(销售需求表!B:B,销售需求表!F:F,$C$17&amp;B23)</f>
        <v>0</v>
      </c>
      <c r="E23" s="296" t="s">
        <v>66</v>
      </c>
      <c r="F23" s="296" t="s">
        <v>66</v>
      </c>
      <c r="G23" s="296"/>
      <c r="H23" s="296" t="s">
        <v>66</v>
      </c>
      <c r="I23" s="296" t="s">
        <v>66</v>
      </c>
      <c r="J23" s="296" t="s">
        <v>66</v>
      </c>
      <c r="K23" s="296" t="s">
        <v>66</v>
      </c>
      <c r="L23" s="296"/>
      <c r="M23" s="296" t="s">
        <v>66</v>
      </c>
      <c r="N23" s="296" t="s">
        <v>66</v>
      </c>
      <c r="O23" s="296" t="s">
        <v>66</v>
      </c>
      <c r="P23" s="296" t="s">
        <v>66</v>
      </c>
      <c r="Q23" s="296"/>
      <c r="R23" s="296">
        <f>COUNTIFS(销售需求表!F:F,$R$17&amp;B23,销售需求表!B:B,"&gt;0")</f>
        <v>0</v>
      </c>
      <c r="S23" s="296">
        <f>SUMIFS(销售需求表!B:B,销售需求表!F:F,$R$17&amp;B23)</f>
        <v>0</v>
      </c>
      <c r="T23" s="296">
        <f>SUMIFS('7月排产计划'!AW:AW,'7月排产计划'!D:D,$R$17&amp;B23)</f>
        <v>0</v>
      </c>
      <c r="U23" s="296">
        <f t="shared" si="9"/>
        <v>0</v>
      </c>
      <c r="V23" s="313">
        <f>T23/1600</f>
        <v>0</v>
      </c>
      <c r="W23" s="296">
        <f>COUNTIFS(销售需求表!F:F,$W$17&amp;B23,销售需求表!B:B,"&gt;0")</f>
        <v>0</v>
      </c>
      <c r="X23" s="296">
        <f>SUMIFS(销售需求表!B:B,销售需求表!F:F,$W$17&amp;B23)</f>
        <v>0</v>
      </c>
      <c r="Y23" s="296">
        <f>SUMIFS('7月排产计划'!AW:AW,'7月排产计划'!D:D,$W$17&amp;B23)</f>
        <v>0</v>
      </c>
      <c r="Z23" s="296">
        <f t="shared" si="14"/>
        <v>0</v>
      </c>
      <c r="AA23" s="296"/>
      <c r="AB23" s="296">
        <f>COUNTIFS(销售需求表!F:F,$AB$17&amp;B23,销售需求表!B:B,"&gt;0")</f>
        <v>10</v>
      </c>
      <c r="AC23" s="296">
        <f>SUMIFS(销售需求表!B:B,销售需求表!F:F,$AB$17&amp;B23)</f>
        <v>121500</v>
      </c>
      <c r="AD23" s="296">
        <f>SUMIFS('7月排产计划'!AW:AW,'7月排产计划'!D:D,$AB$17&amp;B23)</f>
        <v>80000</v>
      </c>
      <c r="AE23" s="296">
        <f t="shared" si="15"/>
        <v>41500</v>
      </c>
      <c r="AF23" s="296"/>
      <c r="AG23" s="296">
        <f>COUNTIFS(销售需求表!F:F,$AG$17&amp;B23,销售需求表!B:B,"&gt;0")</f>
        <v>0</v>
      </c>
      <c r="AH23" s="296">
        <f>SUMIFS(销售需求表!B:B,销售需求表!F:F,$AG$17&amp;B23)</f>
        <v>0</v>
      </c>
      <c r="AI23" s="296">
        <f>SUMIFS('7月排产计划'!AW:AW,'7月排产计划'!D:D,$AG$17&amp;B23)</f>
        <v>0</v>
      </c>
      <c r="AJ23" s="296">
        <f t="shared" si="10"/>
        <v>0</v>
      </c>
      <c r="AK23" s="313">
        <f t="shared" si="11"/>
        <v>0</v>
      </c>
      <c r="AL23" s="296">
        <f>COUNTIFS(销售需求表!F:F,$AL$17&amp;B23,销售需求表!B:B,"&gt;0")</f>
        <v>0</v>
      </c>
      <c r="AM23" s="296">
        <f>SUMIFS(销售需求表!B:B,销售需求表!F:F,$AL$17&amp;B23)</f>
        <v>0</v>
      </c>
      <c r="AN23" s="296">
        <f>SUMIFS('7月排产计划'!AW:AW,'7月排产计划'!D:D,$AL$17&amp;B23)</f>
        <v>147620</v>
      </c>
      <c r="AO23" s="296">
        <f t="shared" si="12"/>
        <v>-147620</v>
      </c>
      <c r="AP23" s="296"/>
      <c r="AQ23" s="324">
        <f t="shared" si="16"/>
        <v>121500</v>
      </c>
      <c r="AR23" s="325">
        <f t="shared" si="17"/>
        <v>227620</v>
      </c>
      <c r="AS23" s="325">
        <f t="shared" si="18"/>
        <v>-106120</v>
      </c>
    </row>
    <row r="24" ht="38" customHeight="1" spans="2:45">
      <c r="B24" s="293" t="s">
        <v>836</v>
      </c>
      <c r="C24" s="296">
        <f>COUNTIFS(销售需求表!F:F,"轻卡15寸",销售需求表!B:B,"&gt;0")</f>
        <v>1</v>
      </c>
      <c r="D24" s="296">
        <f>SUMIFS(销售需求表!B:B,销售需求表!F:F,$C$17&amp;B24)</f>
        <v>800</v>
      </c>
      <c r="E24" s="296">
        <f>SUMIFS('7月排产计划'!AW:AW,'7月排产计划'!D:D,$C$17&amp;B24)</f>
        <v>858</v>
      </c>
      <c r="F24" s="296">
        <f>D24-E24</f>
        <v>-58</v>
      </c>
      <c r="G24" s="313">
        <f>E24/750</f>
        <v>1.144</v>
      </c>
      <c r="H24" s="296" t="s">
        <v>66</v>
      </c>
      <c r="I24" s="296" t="s">
        <v>66</v>
      </c>
      <c r="J24" s="296" t="s">
        <v>66</v>
      </c>
      <c r="K24" s="296" t="s">
        <v>66</v>
      </c>
      <c r="L24" s="296"/>
      <c r="M24" s="296" t="s">
        <v>66</v>
      </c>
      <c r="N24" s="296" t="s">
        <v>66</v>
      </c>
      <c r="O24" s="296" t="s">
        <v>66</v>
      </c>
      <c r="P24" s="296" t="s">
        <v>66</v>
      </c>
      <c r="Q24" s="296"/>
      <c r="R24" s="296">
        <f>COUNTIFS(销售需求表!F:F,$R$17&amp;B24,销售需求表!B:B,"&gt;0")</f>
        <v>1</v>
      </c>
      <c r="S24" s="296">
        <f>SUMIFS(销售需求表!B:B,销售需求表!F:F,$R$17&amp;B24)</f>
        <v>500</v>
      </c>
      <c r="T24" s="296">
        <f>SUMIFS('7月排产计划'!AW:AW,'7月排产计划'!D:D,$R$17&amp;B24)</f>
        <v>550</v>
      </c>
      <c r="U24" s="296">
        <f t="shared" si="9"/>
        <v>-50</v>
      </c>
      <c r="V24" s="313">
        <f>T24/1250</f>
        <v>0.44</v>
      </c>
      <c r="W24" s="296">
        <f>COUNTIFS(销售需求表!F:F,$W$17&amp;B24,销售需求表!B:B,"&gt;0")</f>
        <v>0</v>
      </c>
      <c r="X24" s="296">
        <f>SUMIFS(销售需求表!B:B,销售需求表!F:F,$W$17&amp;B24)</f>
        <v>0</v>
      </c>
      <c r="Y24" s="296">
        <f>SUMIFS('7月排产计划'!AW:AW,'7月排产计划'!D:D,$W$17&amp;B24)</f>
        <v>0</v>
      </c>
      <c r="Z24" s="296">
        <f t="shared" si="14"/>
        <v>0</v>
      </c>
      <c r="AA24" s="296"/>
      <c r="AB24" s="296">
        <f>COUNTIFS(销售需求表!F:F,$AB$17&amp;B24,销售需求表!B:B,"&gt;0")</f>
        <v>2</v>
      </c>
      <c r="AC24" s="296">
        <f>SUMIFS(销售需求表!B:B,销售需求表!F:F,$AB$17&amp;B24)</f>
        <v>700</v>
      </c>
      <c r="AD24" s="296">
        <f>SUMIFS('7月排产计划'!AW:AW,'7月排产计划'!D:D,$AB$17&amp;B24)</f>
        <v>32320</v>
      </c>
      <c r="AE24" s="296">
        <f t="shared" si="15"/>
        <v>-31620</v>
      </c>
      <c r="AF24" s="296"/>
      <c r="AG24" s="296">
        <f>COUNTIFS(销售需求表!F:F,$AG$17&amp;B24,销售需求表!B:B,"&gt;0")</f>
        <v>2</v>
      </c>
      <c r="AH24" s="296">
        <f>SUMIFS(销售需求表!B:B,销售需求表!F:F,$AG$17&amp;B24)</f>
        <v>520</v>
      </c>
      <c r="AI24" s="296">
        <f>SUMIFS('7月排产计划'!AW:AW,'7月排产计划'!D:D,$AG$17&amp;B24)</f>
        <v>6000</v>
      </c>
      <c r="AJ24" s="296">
        <f t="shared" si="10"/>
        <v>-5480</v>
      </c>
      <c r="AK24" s="313">
        <f t="shared" si="11"/>
        <v>6</v>
      </c>
      <c r="AL24" s="296">
        <f>COUNTIFS(销售需求表!F:F,$AL$17&amp;B24,销售需求表!B:B,"&gt;0")</f>
        <v>0</v>
      </c>
      <c r="AM24" s="296">
        <f>SUMIFS(销售需求表!B:B,销售需求表!F:F,$AL$17&amp;B24)</f>
        <v>0</v>
      </c>
      <c r="AN24" s="296">
        <f>SUMIFS('7月排产计划'!AW:AW,'7月排产计划'!D:D,$AL$17&amp;B24)</f>
        <v>0</v>
      </c>
      <c r="AO24" s="296">
        <f t="shared" si="12"/>
        <v>0</v>
      </c>
      <c r="AP24" s="296"/>
      <c r="AQ24" s="324">
        <f t="shared" si="16"/>
        <v>2520</v>
      </c>
      <c r="AR24" s="325">
        <f t="shared" si="17"/>
        <v>39728</v>
      </c>
      <c r="AS24" s="325">
        <f t="shared" si="18"/>
        <v>-37208</v>
      </c>
    </row>
    <row r="25" ht="38" customHeight="1" spans="2:45">
      <c r="B25" s="293" t="s">
        <v>837</v>
      </c>
      <c r="C25" s="296">
        <f>COUNTIFS(销售需求表!F:F,"轻卡16寸",销售需求表!B:B,"&gt;0")</f>
        <v>12</v>
      </c>
      <c r="D25" s="296">
        <f>SUMIFS(销售需求表!B:B,销售需求表!F:F,$C$17&amp;B25)</f>
        <v>36450</v>
      </c>
      <c r="E25" s="296">
        <f>SUMIFS('7月排产计划'!AW:AW,'7月排产计划'!D:D,$C$17&amp;B25)</f>
        <v>30874</v>
      </c>
      <c r="F25" s="296">
        <f>D25-E25</f>
        <v>5576</v>
      </c>
      <c r="G25" s="313">
        <f>E25/650</f>
        <v>47.4984615384615</v>
      </c>
      <c r="H25" s="296" t="s">
        <v>66</v>
      </c>
      <c r="I25" s="296" t="s">
        <v>66</v>
      </c>
      <c r="J25" s="296" t="s">
        <v>66</v>
      </c>
      <c r="K25" s="296" t="s">
        <v>66</v>
      </c>
      <c r="L25" s="296"/>
      <c r="M25" s="296" t="s">
        <v>66</v>
      </c>
      <c r="N25" s="296" t="s">
        <v>66</v>
      </c>
      <c r="O25" s="296" t="s">
        <v>66</v>
      </c>
      <c r="P25" s="296" t="s">
        <v>66</v>
      </c>
      <c r="Q25" s="296"/>
      <c r="R25" s="296" t="s">
        <v>66</v>
      </c>
      <c r="S25" s="296">
        <f>SUMIFS(销售需求表!B:B,销售需求表!F:F,$R$17&amp;B25)</f>
        <v>0</v>
      </c>
      <c r="T25" s="296" t="s">
        <v>66</v>
      </c>
      <c r="U25" s="296" t="s">
        <v>66</v>
      </c>
      <c r="V25" s="313"/>
      <c r="W25" s="296">
        <f>COUNTIFS(销售需求表!F:F,$W$17&amp;B25,销售需求表!B:B,"&gt;0")</f>
        <v>0</v>
      </c>
      <c r="X25" s="296">
        <f>SUMIFS(销售需求表!B:B,销售需求表!F:F,$W$17&amp;B25)</f>
        <v>0</v>
      </c>
      <c r="Y25" s="296">
        <f>SUMIFS('7月排产计划'!AW:AW,'7月排产计划'!D:D,$W$17&amp;B25)</f>
        <v>0</v>
      </c>
      <c r="Z25" s="296">
        <f t="shared" si="14"/>
        <v>0</v>
      </c>
      <c r="AA25" s="296"/>
      <c r="AB25" s="296">
        <f>COUNTIFS(销售需求表!F:F,$AB$17&amp;B25,销售需求表!B:B,"&gt;0")</f>
        <v>0</v>
      </c>
      <c r="AC25" s="296">
        <f>SUMIFS(销售需求表!B:B,销售需求表!F:F,$AB$17&amp;B25)</f>
        <v>0</v>
      </c>
      <c r="AD25" s="296">
        <f>SUMIFS('7月排产计划'!AW:AW,'7月排产计划'!D:D,$AB$17&amp;B25)</f>
        <v>23720</v>
      </c>
      <c r="AE25" s="296">
        <f t="shared" si="15"/>
        <v>-23720</v>
      </c>
      <c r="AF25" s="296"/>
      <c r="AG25" s="296">
        <f>COUNTIFS(销售需求表!F:F,$AG$17&amp;B25,销售需求表!B:B,"&gt;0")</f>
        <v>0</v>
      </c>
      <c r="AH25" s="296">
        <f>SUMIFS(销售需求表!B:B,销售需求表!F:F,$AG$17&amp;B25)</f>
        <v>0</v>
      </c>
      <c r="AI25" s="296">
        <f>SUMIFS('7月排产计划'!AW:AW,'7月排产计划'!D:D,$AG$17&amp;B25)</f>
        <v>0</v>
      </c>
      <c r="AJ25" s="296">
        <f t="shared" si="10"/>
        <v>0</v>
      </c>
      <c r="AK25" s="313">
        <f t="shared" si="11"/>
        <v>0</v>
      </c>
      <c r="AL25" s="296">
        <f>COUNTIFS(销售需求表!F:F,$AL$17&amp;B25,销售需求表!B:B,"&gt;0")</f>
        <v>0</v>
      </c>
      <c r="AM25" s="296">
        <f>SUMIFS(销售需求表!B:B,销售需求表!F:F,$AL$17&amp;B25)</f>
        <v>0</v>
      </c>
      <c r="AN25" s="296">
        <f>SUMIFS('7月排产计划'!AW:AW,'7月排产计划'!D:D,$AL$17&amp;B25)</f>
        <v>0</v>
      </c>
      <c r="AO25" s="296">
        <f t="shared" si="12"/>
        <v>0</v>
      </c>
      <c r="AP25" s="296"/>
      <c r="AQ25" s="324">
        <f t="shared" si="16"/>
        <v>36450</v>
      </c>
      <c r="AR25" s="325">
        <f t="shared" si="17"/>
        <v>54594</v>
      </c>
      <c r="AS25" s="325">
        <f t="shared" si="18"/>
        <v>-18144</v>
      </c>
    </row>
    <row r="26" ht="38" customHeight="1" spans="2:45">
      <c r="B26" s="293" t="s">
        <v>838</v>
      </c>
      <c r="C26" s="296">
        <f>COUNTIFS(销售需求表!F:F,"轻卡16.1寸",销售需求表!B:B,"&gt;0")</f>
        <v>0</v>
      </c>
      <c r="D26" s="296">
        <f>SUMIFS(销售需求表!B:B,销售需求表!F:F,$C$17&amp;B26)</f>
        <v>0</v>
      </c>
      <c r="E26" s="296">
        <f>SUMIFS('7月排产计划'!AW:AW,'7月排产计划'!D:D,$C$17&amp;B26)</f>
        <v>0</v>
      </c>
      <c r="F26" s="296">
        <f>D26-E26</f>
        <v>0</v>
      </c>
      <c r="G26" s="313">
        <f>E26/650</f>
        <v>0</v>
      </c>
      <c r="H26" s="296" t="s">
        <v>66</v>
      </c>
      <c r="I26" s="296" t="s">
        <v>66</v>
      </c>
      <c r="J26" s="296" t="s">
        <v>66</v>
      </c>
      <c r="K26" s="296" t="s">
        <v>66</v>
      </c>
      <c r="L26" s="296"/>
      <c r="M26" s="296" t="s">
        <v>66</v>
      </c>
      <c r="N26" s="296" t="s">
        <v>66</v>
      </c>
      <c r="O26" s="296" t="s">
        <v>66</v>
      </c>
      <c r="P26" s="296" t="s">
        <v>66</v>
      </c>
      <c r="Q26" s="296"/>
      <c r="R26" s="296" t="s">
        <v>66</v>
      </c>
      <c r="S26" s="296">
        <f>SUMIFS(销售需求表!B:B,销售需求表!F:F,$R$17&amp;B26)</f>
        <v>0</v>
      </c>
      <c r="T26" s="296" t="s">
        <v>66</v>
      </c>
      <c r="U26" s="296" t="s">
        <v>66</v>
      </c>
      <c r="V26" s="313"/>
      <c r="W26" s="296">
        <f>COUNTIFS(销售需求表!F:F,$W$17&amp;B26,销售需求表!B:B,"&gt;0")</f>
        <v>0</v>
      </c>
      <c r="X26" s="296">
        <f>SUMIFS(销售需求表!B:B,销售需求表!F:F,$W$17&amp;B26)</f>
        <v>0</v>
      </c>
      <c r="Y26" s="296">
        <f>SUMIFS('7月排产计划'!AW:AW,'7月排产计划'!D:D,$W$17&amp;B26)</f>
        <v>0</v>
      </c>
      <c r="Z26" s="296">
        <f t="shared" si="14"/>
        <v>0</v>
      </c>
      <c r="AA26" s="296"/>
      <c r="AB26" s="296">
        <f>COUNTIFS(销售需求表!F:F,$AB$17&amp;B26,销售需求表!B:B,"&gt;0")</f>
        <v>0</v>
      </c>
      <c r="AC26" s="296">
        <f>SUMIFS(销售需求表!B:B,销售需求表!F:F,$AB$17&amp;B26)</f>
        <v>0</v>
      </c>
      <c r="AD26" s="296">
        <f>SUMIFS('7月排产计划'!AW:AW,'7月排产计划'!D:D,$AB$17&amp;B26)</f>
        <v>0</v>
      </c>
      <c r="AE26" s="296">
        <f t="shared" si="15"/>
        <v>0</v>
      </c>
      <c r="AF26" s="296"/>
      <c r="AG26" s="296">
        <f>COUNTIFS(销售需求表!F:F,$AG$17&amp;B26,销售需求表!B:B,"&gt;0")</f>
        <v>1</v>
      </c>
      <c r="AH26" s="296">
        <f>SUMIFS(销售需求表!B:B,销售需求表!F:F,$AG$17&amp;B26)</f>
        <v>140</v>
      </c>
      <c r="AI26" s="296">
        <f>SUMIFS('7月排产计划'!AW:AW,'7月排产计划'!D:D,$AG$17&amp;B26)</f>
        <v>3000</v>
      </c>
      <c r="AJ26" s="296">
        <f t="shared" si="10"/>
        <v>-2860</v>
      </c>
      <c r="AK26" s="313">
        <f t="shared" si="11"/>
        <v>3</v>
      </c>
      <c r="AL26" s="296">
        <f>COUNTIFS(销售需求表!F:F,$AL$17&amp;B26,销售需求表!B:B,"&gt;0")</f>
        <v>0</v>
      </c>
      <c r="AM26" s="296">
        <f>SUMIFS(销售需求表!B:B,销售需求表!F:F,$AL$17&amp;B26)</f>
        <v>0</v>
      </c>
      <c r="AN26" s="296">
        <f>SUMIFS('7月排产计划'!AW:AW,'7月排产计划'!D:D,$AL$17&amp;B26)</f>
        <v>0</v>
      </c>
      <c r="AO26" s="296">
        <f t="shared" si="12"/>
        <v>0</v>
      </c>
      <c r="AP26" s="296"/>
      <c r="AQ26" s="324">
        <f t="shared" si="16"/>
        <v>140</v>
      </c>
      <c r="AR26" s="325">
        <f t="shared" si="17"/>
        <v>3000</v>
      </c>
      <c r="AS26" s="325">
        <f t="shared" si="18"/>
        <v>-2860</v>
      </c>
    </row>
    <row r="27" ht="38" customHeight="1" spans="2:45">
      <c r="B27" s="293" t="s">
        <v>839</v>
      </c>
      <c r="C27" s="296" t="s">
        <v>66</v>
      </c>
      <c r="D27" s="296" t="s">
        <v>66</v>
      </c>
      <c r="E27" s="296" t="s">
        <v>66</v>
      </c>
      <c r="F27" s="296" t="s">
        <v>66</v>
      </c>
      <c r="G27" s="296"/>
      <c r="H27" s="296">
        <f>COUNTIFS(销售需求表!F:F,"载重20寸",销售需求表!B:B,"&gt;0")</f>
        <v>26</v>
      </c>
      <c r="I27" s="296">
        <f>SUMIFS(销售需求表!B:B,销售需求表!F:F,$H$17&amp;B27)</f>
        <v>22660</v>
      </c>
      <c r="J27" s="296">
        <f>SUMIFS('7月排产计划'!AW:AW,'7月排产计划'!D:D,$H$17&amp;B27)</f>
        <v>16280</v>
      </c>
      <c r="K27" s="296">
        <f>I27-J27</f>
        <v>6380</v>
      </c>
      <c r="L27" s="313">
        <f>J27/286</f>
        <v>56.9230769230769</v>
      </c>
      <c r="M27" s="296" t="s">
        <v>66</v>
      </c>
      <c r="N27" s="296" t="s">
        <v>66</v>
      </c>
      <c r="O27" s="296" t="s">
        <v>66</v>
      </c>
      <c r="P27" s="296" t="s">
        <v>66</v>
      </c>
      <c r="Q27" s="296"/>
      <c r="R27" s="296" t="s">
        <v>66</v>
      </c>
      <c r="S27" s="296">
        <f>SUMIFS(销售需求表!B:B,销售需求表!F:F,$R$17&amp;B27)</f>
        <v>0</v>
      </c>
      <c r="T27" s="296" t="s">
        <v>66</v>
      </c>
      <c r="U27" s="296" t="s">
        <v>66</v>
      </c>
      <c r="V27" s="313"/>
      <c r="W27" s="296">
        <f>COUNTIFS(销售需求表!F:F,$W$17&amp;B27,销售需求表!B:B,"&gt;0")</f>
        <v>0</v>
      </c>
      <c r="X27" s="296">
        <f>SUMIFS(销售需求表!B:B,销售需求表!F:F,$W$17&amp;B27)</f>
        <v>0</v>
      </c>
      <c r="Y27" s="296">
        <f>SUMIFS('7月排产计划'!AW:AW,'7月排产计划'!D:D,$W$17&amp;B27)</f>
        <v>0</v>
      </c>
      <c r="Z27" s="296">
        <f t="shared" si="14"/>
        <v>0</v>
      </c>
      <c r="AA27" s="296"/>
      <c r="AB27" s="296">
        <f>COUNTIFS(销售需求表!F:F,$AB$17&amp;B27,销售需求表!B:B,"&gt;0")</f>
        <v>0</v>
      </c>
      <c r="AC27" s="296">
        <f>SUMIFS(销售需求表!B:B,销售需求表!F:F,$AB$17&amp;B27)</f>
        <v>0</v>
      </c>
      <c r="AD27" s="296">
        <f>SUMIFS('7月排产计划'!AW:AW,'7月排产计划'!D:D,$AB$17&amp;B27)</f>
        <v>0</v>
      </c>
      <c r="AE27" s="296">
        <f t="shared" si="15"/>
        <v>0</v>
      </c>
      <c r="AF27" s="296"/>
      <c r="AG27" s="296">
        <f>COUNTIFS(销售需求表!F:F,$AG$17&amp;B27,销售需求表!B:B,"&gt;0")</f>
        <v>0</v>
      </c>
      <c r="AH27" s="296">
        <f>SUMIFS(销售需求表!B:B,销售需求表!F:F,$AG$17&amp;B27)</f>
        <v>0</v>
      </c>
      <c r="AI27" s="296">
        <f>SUMIFS('7月排产计划'!AW:AW,'7月排产计划'!D:D,$AG$17&amp;B27)</f>
        <v>0</v>
      </c>
      <c r="AJ27" s="296">
        <f t="shared" si="10"/>
        <v>0</v>
      </c>
      <c r="AK27" s="313">
        <f t="shared" si="11"/>
        <v>0</v>
      </c>
      <c r="AL27" s="296">
        <f>COUNTIFS(销售需求表!F:F,$AL$17&amp;B27,销售需求表!B:B,"&gt;0")</f>
        <v>0</v>
      </c>
      <c r="AM27" s="296">
        <f>SUMIFS(销售需求表!B:B,销售需求表!F:F,$AL$17&amp;B27)</f>
        <v>0</v>
      </c>
      <c r="AN27" s="296">
        <f>SUMIFS('7月排产计划'!AW:AW,'7月排产计划'!D:D,$AL$17&amp;B27)</f>
        <v>0</v>
      </c>
      <c r="AO27" s="296">
        <f t="shared" si="12"/>
        <v>0</v>
      </c>
      <c r="AP27" s="296"/>
      <c r="AQ27" s="324">
        <f t="shared" si="16"/>
        <v>22660</v>
      </c>
      <c r="AR27" s="325">
        <f t="shared" si="17"/>
        <v>16280</v>
      </c>
      <c r="AS27" s="325">
        <f t="shared" si="18"/>
        <v>6380</v>
      </c>
    </row>
    <row r="28" ht="38" customHeight="1" spans="2:45">
      <c r="B28" s="296" t="s">
        <v>840</v>
      </c>
      <c r="C28" s="296" t="s">
        <v>66</v>
      </c>
      <c r="D28" s="296" t="s">
        <v>66</v>
      </c>
      <c r="E28" s="296" t="s">
        <v>66</v>
      </c>
      <c r="F28" s="296" t="s">
        <v>66</v>
      </c>
      <c r="G28" s="296"/>
      <c r="H28" s="296" t="s">
        <v>66</v>
      </c>
      <c r="I28" s="296" t="s">
        <v>66</v>
      </c>
      <c r="J28" s="296" t="s">
        <v>66</v>
      </c>
      <c r="K28" s="296" t="s">
        <v>66</v>
      </c>
      <c r="L28" s="313"/>
      <c r="M28" s="296">
        <f>COUNTIFS(销售需求表!F:F,"工程胎25寸",销售需求表!B:B,"&gt;0")</f>
        <v>2</v>
      </c>
      <c r="N28" s="296">
        <f>SUMIFS(销售需求表!B:B,销售需求表!F:F,$M$17&amp;B28)</f>
        <v>280</v>
      </c>
      <c r="O28" s="296">
        <f>SUMIFS('7月排产计划'!AW:AW,'7月排产计划'!D:D,$M$17&amp;B28)</f>
        <v>1860</v>
      </c>
      <c r="P28" s="296">
        <f>N28-O28</f>
        <v>-1580</v>
      </c>
      <c r="Q28" s="313">
        <f>O28/48</f>
        <v>38.75</v>
      </c>
      <c r="R28" s="296" t="s">
        <v>66</v>
      </c>
      <c r="S28" s="296">
        <f>SUMIFS(销售需求表!B:B,销售需求表!F:F,$R$17&amp;B28)</f>
        <v>0</v>
      </c>
      <c r="T28" s="296" t="s">
        <v>66</v>
      </c>
      <c r="U28" s="296" t="s">
        <v>66</v>
      </c>
      <c r="V28" s="313"/>
      <c r="W28" s="296">
        <f>COUNTIFS(销售需求表!F:F,$W$17&amp;B28,销售需求表!B:B,"&gt;0")</f>
        <v>0</v>
      </c>
      <c r="X28" s="296">
        <f>SUMIFS(销售需求表!B:B,销售需求表!F:F,$W$17&amp;B28)</f>
        <v>0</v>
      </c>
      <c r="Y28" s="296">
        <f>SUMIFS('7月排产计划'!AW:AW,'7月排产计划'!D:D,$W$17&amp;B28)</f>
        <v>0</v>
      </c>
      <c r="Z28" s="296">
        <f t="shared" si="14"/>
        <v>0</v>
      </c>
      <c r="AA28" s="296"/>
      <c r="AB28" s="296">
        <f>COUNTIFS(销售需求表!F:F,$AB$17&amp;B28,销售需求表!B:B,"&gt;0")</f>
        <v>0</v>
      </c>
      <c r="AC28" s="296">
        <f>SUMIFS(销售需求表!B:B,销售需求表!F:F,$AB$17&amp;B28)</f>
        <v>0</v>
      </c>
      <c r="AD28" s="296">
        <f>SUMIFS('7月排产计划'!AW:AW,'7月排产计划'!D:D,$AB$17&amp;B28)</f>
        <v>0</v>
      </c>
      <c r="AE28" s="296">
        <f t="shared" si="15"/>
        <v>0</v>
      </c>
      <c r="AF28" s="296"/>
      <c r="AG28" s="296">
        <f>COUNTIFS(销售需求表!F:F,$AG$17&amp;B28,销售需求表!B:B,"&gt;0")</f>
        <v>0</v>
      </c>
      <c r="AH28" s="296">
        <f>SUMIFS(销售需求表!B:B,销售需求表!F:F,$AG$17&amp;B28)</f>
        <v>0</v>
      </c>
      <c r="AI28" s="296">
        <f>SUMIFS('7月排产计划'!AW:AW,'7月排产计划'!D:D,$AG$17&amp;B28)</f>
        <v>0</v>
      </c>
      <c r="AJ28" s="296">
        <f t="shared" si="10"/>
        <v>0</v>
      </c>
      <c r="AK28" s="313">
        <f t="shared" si="11"/>
        <v>0</v>
      </c>
      <c r="AL28" s="296">
        <f>COUNTIFS(销售需求表!F:F,$AL$17&amp;B28,销售需求表!B:B,"&gt;0")</f>
        <v>0</v>
      </c>
      <c r="AM28" s="296">
        <f>SUMIFS(销售需求表!B:B,销售需求表!F:F,$AL$17&amp;B28)</f>
        <v>0</v>
      </c>
      <c r="AN28" s="296">
        <f>SUMIFS('7月排产计划'!AW:AW,'7月排产计划'!D:D,$AL$17&amp;B28)</f>
        <v>0</v>
      </c>
      <c r="AO28" s="296">
        <f t="shared" si="12"/>
        <v>0</v>
      </c>
      <c r="AP28" s="296"/>
      <c r="AQ28" s="324">
        <f t="shared" si="16"/>
        <v>280</v>
      </c>
      <c r="AR28" s="325">
        <f t="shared" si="17"/>
        <v>1860</v>
      </c>
      <c r="AS28" s="325">
        <f t="shared" si="18"/>
        <v>-1580</v>
      </c>
    </row>
    <row r="29" ht="38" customHeight="1" spans="2:45">
      <c r="B29" s="293" t="s">
        <v>683</v>
      </c>
      <c r="C29" s="296">
        <f t="shared" ref="C29:Q29" si="19">SUM(C19:C28)</f>
        <v>13</v>
      </c>
      <c r="D29" s="296">
        <f t="shared" si="19"/>
        <v>37250</v>
      </c>
      <c r="E29" s="296">
        <f t="shared" si="19"/>
        <v>31732</v>
      </c>
      <c r="F29" s="296">
        <f t="shared" si="19"/>
        <v>5518</v>
      </c>
      <c r="G29" s="313">
        <f t="shared" si="19"/>
        <v>48.6424615384615</v>
      </c>
      <c r="H29" s="296">
        <f t="shared" si="19"/>
        <v>26</v>
      </c>
      <c r="I29" s="296">
        <f t="shared" si="19"/>
        <v>22660</v>
      </c>
      <c r="J29" s="296">
        <f t="shared" si="19"/>
        <v>16280</v>
      </c>
      <c r="K29" s="296">
        <f t="shared" si="19"/>
        <v>6380</v>
      </c>
      <c r="L29" s="313">
        <f t="shared" si="19"/>
        <v>56.9230769230769</v>
      </c>
      <c r="M29" s="296">
        <f t="shared" si="19"/>
        <v>2</v>
      </c>
      <c r="N29" s="296">
        <f t="shared" si="19"/>
        <v>280</v>
      </c>
      <c r="O29" s="296">
        <f t="shared" si="19"/>
        <v>1860</v>
      </c>
      <c r="P29" s="296">
        <f t="shared" si="19"/>
        <v>-1580</v>
      </c>
      <c r="Q29" s="313">
        <f t="shared" si="19"/>
        <v>38.75</v>
      </c>
      <c r="R29" s="296">
        <f>SUM(R21:R28)</f>
        <v>1</v>
      </c>
      <c r="S29" s="296">
        <f>SUM(S19:S28)</f>
        <v>500</v>
      </c>
      <c r="T29" s="296">
        <f>SUM(T19:T28)</f>
        <v>550</v>
      </c>
      <c r="U29" s="296">
        <f>SUM(U19:U28)</f>
        <v>-50</v>
      </c>
      <c r="V29" s="313">
        <f>SUM(V21:V28)</f>
        <v>0.44</v>
      </c>
      <c r="W29" s="296">
        <f t="shared" ref="W29:AB29" si="20">SUM(W19:W28)</f>
        <v>0</v>
      </c>
      <c r="X29" s="296">
        <f t="shared" si="20"/>
        <v>0</v>
      </c>
      <c r="Y29" s="296">
        <f t="shared" si="20"/>
        <v>10580</v>
      </c>
      <c r="Z29" s="296">
        <f t="shared" si="20"/>
        <v>-10580</v>
      </c>
      <c r="AA29" s="313">
        <f t="shared" si="20"/>
        <v>10.58</v>
      </c>
      <c r="AB29" s="296">
        <f t="shared" si="20"/>
        <v>15</v>
      </c>
      <c r="AC29" s="296">
        <f t="shared" ref="AC29:AK29" si="21">SUM(AC19:AC28)</f>
        <v>143900</v>
      </c>
      <c r="AD29" s="296">
        <f t="shared" si="21"/>
        <v>179040</v>
      </c>
      <c r="AE29" s="296">
        <f t="shared" si="21"/>
        <v>-35140</v>
      </c>
      <c r="AF29" s="313">
        <f t="shared" si="21"/>
        <v>0</v>
      </c>
      <c r="AG29" s="296">
        <f t="shared" si="21"/>
        <v>6</v>
      </c>
      <c r="AH29" s="296">
        <f t="shared" si="21"/>
        <v>1250</v>
      </c>
      <c r="AI29" s="296">
        <f t="shared" si="21"/>
        <v>18000</v>
      </c>
      <c r="AJ29" s="296">
        <f t="shared" si="21"/>
        <v>-16750</v>
      </c>
      <c r="AK29" s="313">
        <f t="shared" si="21"/>
        <v>18</v>
      </c>
      <c r="AL29" s="296">
        <f t="shared" ref="AL29:AR29" si="22">SUM(AL19:AL28)</f>
        <v>0</v>
      </c>
      <c r="AM29" s="296">
        <f t="shared" si="22"/>
        <v>0</v>
      </c>
      <c r="AN29" s="296">
        <f t="shared" si="22"/>
        <v>174900</v>
      </c>
      <c r="AO29" s="296">
        <f t="shared" si="22"/>
        <v>-174900</v>
      </c>
      <c r="AP29" s="313">
        <f t="shared" si="22"/>
        <v>27.28</v>
      </c>
      <c r="AQ29" s="317">
        <f t="shared" si="22"/>
        <v>205840</v>
      </c>
      <c r="AR29" s="317">
        <f t="shared" si="22"/>
        <v>432942</v>
      </c>
      <c r="AS29" s="317">
        <f>SUM(AS21:AS28)</f>
        <v>-227102</v>
      </c>
    </row>
    <row r="30" ht="38" customHeight="1" spans="2:45">
      <c r="B30" s="293"/>
      <c r="C30" s="296"/>
      <c r="D30" s="296"/>
      <c r="E30" s="296"/>
      <c r="F30" s="296"/>
      <c r="G30" s="296"/>
      <c r="H30" s="296"/>
      <c r="I30" s="296"/>
      <c r="J30" s="296"/>
      <c r="K30" s="296"/>
      <c r="L30" s="296"/>
      <c r="M30" s="296"/>
      <c r="N30" s="296"/>
      <c r="O30" s="296"/>
      <c r="P30" s="296"/>
      <c r="Q30" s="296"/>
      <c r="R30" s="296"/>
      <c r="S30" s="296"/>
      <c r="T30" s="296"/>
      <c r="U30" s="296"/>
      <c r="V30" s="296"/>
      <c r="W30" s="296"/>
      <c r="X30" s="296"/>
      <c r="Y30" s="296"/>
      <c r="Z30" s="296"/>
      <c r="AA30" s="296"/>
      <c r="AB30" s="296"/>
      <c r="AC30" s="296"/>
      <c r="AD30" s="296"/>
      <c r="AE30" s="296"/>
      <c r="AF30" s="296"/>
      <c r="AG30" s="296"/>
      <c r="AH30" s="296"/>
      <c r="AI30" s="296"/>
      <c r="AJ30" s="296"/>
      <c r="AK30" s="296"/>
      <c r="AL30" s="296"/>
      <c r="AM30" s="296"/>
      <c r="AN30" s="296"/>
      <c r="AO30" s="296"/>
      <c r="AP30" s="296"/>
      <c r="AQ30" s="317"/>
      <c r="AR30" s="317"/>
      <c r="AS30" s="317"/>
    </row>
    <row r="31" ht="62" customHeight="1" spans="2:45">
      <c r="B31" s="307" t="s">
        <v>828</v>
      </c>
      <c r="C31" s="308"/>
      <c r="D31" s="308"/>
      <c r="E31" s="308"/>
      <c r="F31" s="308"/>
      <c r="G31" s="308"/>
      <c r="H31" s="308"/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Y31" s="308"/>
      <c r="Z31" s="308"/>
      <c r="AA31" s="308"/>
      <c r="AB31" s="308"/>
      <c r="AC31" s="308"/>
      <c r="AD31" s="308"/>
      <c r="AE31" s="308"/>
      <c r="AF31" s="308"/>
      <c r="AG31" s="308"/>
      <c r="AH31" s="308"/>
      <c r="AI31" s="308"/>
      <c r="AJ31" s="308"/>
      <c r="AK31" s="308"/>
      <c r="AL31" s="308"/>
      <c r="AM31" s="308"/>
      <c r="AN31" s="308"/>
      <c r="AO31" s="308"/>
      <c r="AP31" s="308"/>
      <c r="AQ31" s="308"/>
      <c r="AR31" s="308"/>
      <c r="AS31" s="327"/>
    </row>
    <row r="32" ht="62" customHeight="1" spans="2:45">
      <c r="B32" s="309"/>
      <c r="C32" s="310"/>
      <c r="D32" s="310"/>
      <c r="E32" s="310"/>
      <c r="F32" s="310"/>
      <c r="G32" s="310"/>
      <c r="H32" s="310"/>
      <c r="I32" s="310"/>
      <c r="J32" s="310"/>
      <c r="K32" s="310"/>
      <c r="L32" s="310"/>
      <c r="M32" s="310"/>
      <c r="N32" s="310"/>
      <c r="O32" s="310"/>
      <c r="P32" s="310"/>
      <c r="Q32" s="310"/>
      <c r="R32" s="310"/>
      <c r="S32" s="310"/>
      <c r="T32" s="310"/>
      <c r="U32" s="310"/>
      <c r="V32" s="310"/>
      <c r="W32" s="310"/>
      <c r="X32" s="310"/>
      <c r="Y32" s="310"/>
      <c r="Z32" s="310"/>
      <c r="AA32" s="310"/>
      <c r="AB32" s="310"/>
      <c r="AC32" s="310"/>
      <c r="AD32" s="310"/>
      <c r="AE32" s="310"/>
      <c r="AF32" s="310"/>
      <c r="AG32" s="310"/>
      <c r="AH32" s="310"/>
      <c r="AI32" s="310"/>
      <c r="AJ32" s="310"/>
      <c r="AK32" s="310"/>
      <c r="AL32" s="310"/>
      <c r="AM32" s="310"/>
      <c r="AN32" s="310"/>
      <c r="AO32" s="310"/>
      <c r="AP32" s="310"/>
      <c r="AQ32" s="310"/>
      <c r="AR32" s="310"/>
      <c r="AS32" s="328"/>
    </row>
  </sheetData>
  <mergeCells count="18">
    <mergeCell ref="B2:Y2"/>
    <mergeCell ref="C3:G3"/>
    <mergeCell ref="H3:L3"/>
    <mergeCell ref="M3:Q3"/>
    <mergeCell ref="R3:V3"/>
    <mergeCell ref="W3:AA3"/>
    <mergeCell ref="AB3:AF3"/>
    <mergeCell ref="AG3:AI3"/>
    <mergeCell ref="B16:Y16"/>
    <mergeCell ref="C17:G17"/>
    <mergeCell ref="H17:L17"/>
    <mergeCell ref="M17:Q17"/>
    <mergeCell ref="R17:V17"/>
    <mergeCell ref="W17:AA17"/>
    <mergeCell ref="AB17:AF17"/>
    <mergeCell ref="AG17:AK17"/>
    <mergeCell ref="AL17:AP17"/>
    <mergeCell ref="AQ17:AS17"/>
  </mergeCells>
  <pageMargins left="0.75" right="0.75" top="1" bottom="1" header="0.5" footer="0.5"/>
  <pageSetup paperSize="9" scale="25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pageSetUpPr fitToPage="1"/>
  </sheetPr>
  <dimension ref="B2:AD40"/>
  <sheetViews>
    <sheetView zoomScale="70" zoomScaleNormal="70" topLeftCell="J1" workbookViewId="0">
      <selection activeCell="W8" sqref="W8"/>
    </sheetView>
  </sheetViews>
  <sheetFormatPr defaultColWidth="8.796875" defaultRowHeight="16.8"/>
  <cols>
    <col min="1" max="1" width="2.8984375" style="258" customWidth="1"/>
    <col min="2" max="2" width="17.8984375" style="258" customWidth="1"/>
    <col min="3" max="7" width="14.1015625" style="258" customWidth="1"/>
    <col min="8" max="8" width="2.8515625" style="258" customWidth="1"/>
    <col min="9" max="9" width="18" style="258" customWidth="1"/>
    <col min="10" max="13" width="14.703125" style="258" customWidth="1"/>
    <col min="14" max="14" width="13.5703125" style="258" customWidth="1"/>
    <col min="15" max="15" width="3" style="258" customWidth="1"/>
    <col min="16" max="16" width="17.8984375" style="258" customWidth="1"/>
    <col min="17" max="21" width="14.1015625" style="258" customWidth="1"/>
    <col min="22" max="22" width="9.5" style="113" customWidth="1"/>
    <col min="23" max="23" width="13.8984375" style="113" customWidth="1"/>
    <col min="24" max="24" width="1.9921875" style="113" customWidth="1"/>
    <col min="25" max="25" width="16.796875" style="258" customWidth="1"/>
    <col min="26" max="29" width="13.5" style="258" customWidth="1"/>
    <col min="30" max="30" width="13" style="258" customWidth="1"/>
    <col min="31" max="31" width="12.796875" style="258"/>
    <col min="32" max="16384" width="8.796875" style="258"/>
  </cols>
  <sheetData>
    <row r="2" ht="26" spans="2:30">
      <c r="B2" s="259" t="s">
        <v>841</v>
      </c>
      <c r="C2" s="260"/>
      <c r="D2" s="260"/>
      <c r="E2" s="260"/>
      <c r="F2" s="260"/>
      <c r="G2" s="260"/>
      <c r="I2" s="259" t="s">
        <v>842</v>
      </c>
      <c r="J2" s="260"/>
      <c r="K2" s="260"/>
      <c r="L2" s="260"/>
      <c r="M2" s="260"/>
      <c r="N2" s="260"/>
      <c r="P2" s="259" t="s">
        <v>843</v>
      </c>
      <c r="Q2" s="260"/>
      <c r="R2" s="260"/>
      <c r="S2" s="260"/>
      <c r="T2" s="260"/>
      <c r="U2" s="260"/>
      <c r="X2" s="285"/>
      <c r="Y2" s="259" t="s">
        <v>842</v>
      </c>
      <c r="Z2" s="260"/>
      <c r="AA2" s="260"/>
      <c r="AB2" s="260"/>
      <c r="AC2" s="260"/>
      <c r="AD2" s="260"/>
    </row>
    <row r="3" ht="34" customHeight="1" spans="2:30">
      <c r="B3" s="261" t="s">
        <v>844</v>
      </c>
      <c r="C3" s="262" t="s">
        <v>845</v>
      </c>
      <c r="D3" s="262" t="s">
        <v>846</v>
      </c>
      <c r="E3" s="262" t="s">
        <v>847</v>
      </c>
      <c r="F3" s="262" t="s">
        <v>848</v>
      </c>
      <c r="G3" s="262" t="s">
        <v>683</v>
      </c>
      <c r="I3" s="261" t="s">
        <v>844</v>
      </c>
      <c r="J3" s="262" t="s">
        <v>845</v>
      </c>
      <c r="K3" s="262" t="s">
        <v>846</v>
      </c>
      <c r="L3" s="262" t="s">
        <v>847</v>
      </c>
      <c r="M3" s="262" t="s">
        <v>848</v>
      </c>
      <c r="N3" s="262" t="s">
        <v>683</v>
      </c>
      <c r="P3" s="261" t="s">
        <v>844</v>
      </c>
      <c r="Q3" s="262" t="s">
        <v>845</v>
      </c>
      <c r="R3" s="262" t="s">
        <v>846</v>
      </c>
      <c r="S3" s="262" t="s">
        <v>847</v>
      </c>
      <c r="T3" s="262" t="s">
        <v>848</v>
      </c>
      <c r="U3" s="262" t="s">
        <v>683</v>
      </c>
      <c r="V3" s="246" t="s">
        <v>849</v>
      </c>
      <c r="W3" s="246" t="s">
        <v>850</v>
      </c>
      <c r="X3" s="225"/>
      <c r="Y3" s="261" t="s">
        <v>844</v>
      </c>
      <c r="Z3" s="262" t="s">
        <v>845</v>
      </c>
      <c r="AA3" s="262" t="s">
        <v>846</v>
      </c>
      <c r="AB3" s="262" t="s">
        <v>847</v>
      </c>
      <c r="AC3" s="262" t="s">
        <v>848</v>
      </c>
      <c r="AD3" s="262" t="s">
        <v>683</v>
      </c>
    </row>
    <row r="4" ht="27" customHeight="1" spans="2:30">
      <c r="B4" s="261" t="s">
        <v>690</v>
      </c>
      <c r="C4" s="263" t="e">
        <f>'7月排产计划'!#REF!</f>
        <v>#REF!</v>
      </c>
      <c r="D4" s="263" t="e">
        <f>'7月排产计划'!#REF!</f>
        <v>#REF!</v>
      </c>
      <c r="E4" s="263" t="e">
        <f>'7月排产计划'!#REF!</f>
        <v>#REF!</v>
      </c>
      <c r="F4" s="263" t="e">
        <f>'7月排产计划'!#REF!</f>
        <v>#REF!</v>
      </c>
      <c r="G4" s="263" t="e">
        <f>SUM(C4:F4)</f>
        <v>#REF!</v>
      </c>
      <c r="I4" s="261" t="s">
        <v>690</v>
      </c>
      <c r="J4" s="275">
        <f>'7月排产计划'!BY2</f>
        <v>57034</v>
      </c>
      <c r="K4" s="275">
        <f>'7月排产计划'!BZ2</f>
        <v>62050</v>
      </c>
      <c r="L4" s="275">
        <f>'7月排产计划'!CA2</f>
        <v>72418</v>
      </c>
      <c r="M4" s="275">
        <f>'7月排产计划'!CB2</f>
        <v>82194</v>
      </c>
      <c r="N4" s="275">
        <f>SUM(J4:M4)</f>
        <v>273696</v>
      </c>
      <c r="P4" s="261" t="s">
        <v>690</v>
      </c>
      <c r="Q4" s="263" t="e">
        <f>'7月排产计划'!#REF!/10000</f>
        <v>#REF!</v>
      </c>
      <c r="R4" s="263" t="e">
        <f>'7月排产计划'!#REF!/10000</f>
        <v>#REF!</v>
      </c>
      <c r="S4" s="263" t="e">
        <f>'7月排产计划'!#REF!/10000</f>
        <v>#REF!</v>
      </c>
      <c r="T4" s="263" t="e">
        <f>'7月排产计划'!#REF!/10000</f>
        <v>#REF!</v>
      </c>
      <c r="U4" s="263" t="e">
        <f t="shared" ref="U4:U15" si="0">SUM(Q4:T4)</f>
        <v>#REF!</v>
      </c>
      <c r="V4" s="286">
        <f>'[1]2026年产能规划R11'!$K$35</f>
        <v>20859.20694</v>
      </c>
      <c r="W4" s="286" t="e">
        <f>U4-V4</f>
        <v>#REF!</v>
      </c>
      <c r="X4" s="272"/>
      <c r="Y4" s="261" t="s">
        <v>690</v>
      </c>
      <c r="Z4" s="275">
        <f>'7月排产计划'!BY2</f>
        <v>57034</v>
      </c>
      <c r="AA4" s="275">
        <f>'7月排产计划'!BZ2</f>
        <v>62050</v>
      </c>
      <c r="AB4" s="275">
        <f>'7月排产计划'!CA2</f>
        <v>72418</v>
      </c>
      <c r="AC4" s="275">
        <f>'7月排产计划'!CB2</f>
        <v>82194</v>
      </c>
      <c r="AD4" s="275">
        <f>SUM(Z4:AC4)</f>
        <v>273696</v>
      </c>
    </row>
    <row r="5" ht="27" customHeight="1" spans="2:30">
      <c r="B5" s="261" t="s">
        <v>811</v>
      </c>
      <c r="C5" s="263">
        <f>'7月排产计划'!CE543</f>
        <v>20.72</v>
      </c>
      <c r="D5" s="263">
        <f>'7月排产计划'!CF543</f>
        <v>20.72</v>
      </c>
      <c r="E5" s="263">
        <f>'7月排产计划'!CG543</f>
        <v>23.68</v>
      </c>
      <c r="F5" s="263">
        <f>'7月排产计划'!CH543</f>
        <v>26.64</v>
      </c>
      <c r="G5" s="263">
        <f>SUM(C5:F5)</f>
        <v>91.76</v>
      </c>
      <c r="I5" s="261" t="s">
        <v>811</v>
      </c>
      <c r="J5" s="263">
        <f>'7月排产计划'!BY543</f>
        <v>8260</v>
      </c>
      <c r="K5" s="263">
        <f>'7月排产计划'!BZ543</f>
        <v>8260</v>
      </c>
      <c r="L5" s="263">
        <f>'7月排产计划'!CA543</f>
        <v>9440</v>
      </c>
      <c r="M5" s="263">
        <f>'7月排产计划'!CB543</f>
        <v>10620</v>
      </c>
      <c r="N5" s="263">
        <f>SUM(J5:M5)</f>
        <v>36580</v>
      </c>
      <c r="P5" s="261" t="s">
        <v>811</v>
      </c>
      <c r="Q5" s="263">
        <f>'7月排产计划'!CK544/10000</f>
        <v>14.91756</v>
      </c>
      <c r="R5" s="263">
        <f>'7月排产计划'!CL544/10000</f>
        <v>14.91756</v>
      </c>
      <c r="S5" s="263">
        <f>'7月排产计划'!CM544/10000</f>
        <v>17.04864</v>
      </c>
      <c r="T5" s="263">
        <f>'7月排产计划'!CN544/10000</f>
        <v>19.17972</v>
      </c>
      <c r="U5" s="263">
        <f t="shared" si="0"/>
        <v>66.06348</v>
      </c>
      <c r="V5" s="286">
        <f>'[1]2026年产能规划R11'!$K$200</f>
        <v>71.0079552</v>
      </c>
      <c r="W5" s="286">
        <f t="shared" ref="W5:W15" si="1">U5-V5</f>
        <v>-4.9444752</v>
      </c>
      <c r="X5" s="272"/>
      <c r="Y5" s="261" t="s">
        <v>851</v>
      </c>
      <c r="Z5" s="275">
        <f t="shared" ref="Z5:Z9" si="2">Z4/7</f>
        <v>8147.71428571429</v>
      </c>
      <c r="AA5" s="275">
        <f t="shared" ref="AA5:AA9" si="3">AA4/7</f>
        <v>8864.28571428571</v>
      </c>
      <c r="AB5" s="275">
        <f t="shared" ref="AB5:AB9" si="4">AB4/8</f>
        <v>9052.25</v>
      </c>
      <c r="AC5" s="275">
        <f>AC4/9</f>
        <v>9132.66666666667</v>
      </c>
      <c r="AD5" s="275">
        <f>AD4/31</f>
        <v>8828.90322580645</v>
      </c>
    </row>
    <row r="6" ht="27" customHeight="1" spans="2:30">
      <c r="B6" s="264" t="s">
        <v>852</v>
      </c>
      <c r="C6" s="265">
        <f>SUM(C7:C13)</f>
        <v>858.51</v>
      </c>
      <c r="D6" s="265">
        <f>SUM(D7:D13)</f>
        <v>867.15</v>
      </c>
      <c r="E6" s="265">
        <f>SUM(E7:E13)</f>
        <v>1063.62</v>
      </c>
      <c r="F6" s="265">
        <f>SUM(F7:F13)</f>
        <v>1224.67</v>
      </c>
      <c r="G6" s="265">
        <f t="shared" ref="G6:G15" si="5">SUM(C6:F6)</f>
        <v>4013.95</v>
      </c>
      <c r="I6" s="264" t="s">
        <v>853</v>
      </c>
      <c r="J6" s="276">
        <f>SUM(J7:J13)</f>
        <v>78876</v>
      </c>
      <c r="K6" s="276">
        <f>SUM(K7:K13)</f>
        <v>81352</v>
      </c>
      <c r="L6" s="276">
        <f>SUM(L7:L13)</f>
        <v>103720</v>
      </c>
      <c r="M6" s="276">
        <f>SUM(M7:M13)</f>
        <v>126210</v>
      </c>
      <c r="N6" s="276">
        <f t="shared" ref="N6:N15" si="6">SUM(J6:M6)</f>
        <v>390158</v>
      </c>
      <c r="P6" s="264" t="s">
        <v>853</v>
      </c>
      <c r="Q6" s="265">
        <f t="shared" ref="Q6:T6" si="7">SUM(Q7:Q13)</f>
        <v>1290.59881</v>
      </c>
      <c r="R6" s="265">
        <f t="shared" si="7"/>
        <v>1306.17288</v>
      </c>
      <c r="S6" s="265">
        <f t="shared" si="7"/>
        <v>1624.771062</v>
      </c>
      <c r="T6" s="265">
        <f t="shared" si="7"/>
        <v>1878.602321</v>
      </c>
      <c r="U6" s="265">
        <f t="shared" si="0"/>
        <v>6100.145073</v>
      </c>
      <c r="V6" s="286"/>
      <c r="W6" s="286"/>
      <c r="X6" s="272"/>
      <c r="Y6" s="261" t="s">
        <v>811</v>
      </c>
      <c r="Z6" s="275">
        <f>'7月排产计划'!BY543</f>
        <v>8260</v>
      </c>
      <c r="AA6" s="275">
        <f>'7月排产计划'!BZ543</f>
        <v>8260</v>
      </c>
      <c r="AB6" s="275">
        <f>'7月排产计划'!CA543</f>
        <v>9440</v>
      </c>
      <c r="AC6" s="275">
        <f>'7月排产计划'!CB543</f>
        <v>10620</v>
      </c>
      <c r="AD6" s="275">
        <f>SUM(Z6:AC6)</f>
        <v>36580</v>
      </c>
    </row>
    <row r="7" ht="27" customHeight="1" spans="2:30">
      <c r="B7" s="237" t="s">
        <v>343</v>
      </c>
      <c r="C7" s="266">
        <f>SUMIFS('7月排产计划'!CE:CE,'7月排产计划'!$BX:$BX,$B7)</f>
        <v>162.64</v>
      </c>
      <c r="D7" s="266">
        <f>SUMIFS('7月排产计划'!CF:CF,'7月排产计划'!$BX:$BX,$B7)</f>
        <v>162.79</v>
      </c>
      <c r="E7" s="266">
        <f>SUMIFS('7月排产计划'!CG:CG,'7月排产计划'!$BX:$BX,$B7)</f>
        <v>187.1</v>
      </c>
      <c r="F7" s="266">
        <f>SUMIFS('7月排产计划'!CH:CH,'7月排产计划'!$BX:$BX,$B7)</f>
        <v>210.5</v>
      </c>
      <c r="G7" s="266">
        <f t="shared" si="5"/>
        <v>723.03</v>
      </c>
      <c r="I7" s="237" t="s">
        <v>343</v>
      </c>
      <c r="J7" s="277">
        <f>SUMIFS('7月排产计划'!BY:BY,'7月排产计划'!$BX:$BX,$I7)</f>
        <v>6748</v>
      </c>
      <c r="K7" s="277">
        <f>SUMIFS('7月排产计划'!BZ:BZ,'7月排产计划'!$BX:$BX,$I7)</f>
        <v>6746</v>
      </c>
      <c r="L7" s="277">
        <f>SUMIFS('7月排产计划'!CA:CA,'7月排产计划'!$BX:$BX,$I7)</f>
        <v>7696</v>
      </c>
      <c r="M7" s="277">
        <f>SUMIFS('7月排产计划'!CB:CB,'7月排产计划'!$BX:$BX,$I7)</f>
        <v>8658</v>
      </c>
      <c r="N7" s="277">
        <f t="shared" si="6"/>
        <v>29848</v>
      </c>
      <c r="P7" s="237" t="s">
        <v>343</v>
      </c>
      <c r="Q7" s="266">
        <f>SUMIFS('7月排产计划'!CK:CK,'7月排产计划'!$BX:$BX,$P7)/10000</f>
        <v>236.372713</v>
      </c>
      <c r="R7" s="266">
        <f>SUMIFS('7月排产计划'!CL:CL,'7月排产计划'!$BX:$BX,$P7)/10000</f>
        <v>238.375321</v>
      </c>
      <c r="S7" s="266">
        <f>SUMIFS('7月排产计划'!CM:CM,'7月排产计划'!$BX:$BX,$P7)/10000</f>
        <v>286.546358</v>
      </c>
      <c r="T7" s="266">
        <f>SUMIFS('7月排产计划'!CN:CN,'7月排产计划'!$BX:$BX,$P7)/10000</f>
        <v>327.163329</v>
      </c>
      <c r="U7" s="266">
        <f t="shared" si="0"/>
        <v>1088.457721</v>
      </c>
      <c r="V7" s="287">
        <f>'[1]2026年产能规划R11'!$K$85</f>
        <v>821.268864</v>
      </c>
      <c r="W7" s="287">
        <f>U8+U7-V7</f>
        <v>1745.63074</v>
      </c>
      <c r="X7" s="288"/>
      <c r="Y7" s="261" t="s">
        <v>851</v>
      </c>
      <c r="Z7" s="275">
        <f t="shared" si="2"/>
        <v>1180</v>
      </c>
      <c r="AA7" s="275">
        <f t="shared" si="3"/>
        <v>1180</v>
      </c>
      <c r="AB7" s="275">
        <f t="shared" si="4"/>
        <v>1180</v>
      </c>
      <c r="AC7" s="275">
        <f>AC6/9</f>
        <v>1180</v>
      </c>
      <c r="AD7" s="275">
        <f>AD6/31</f>
        <v>1180</v>
      </c>
    </row>
    <row r="8" ht="27" customHeight="1" spans="2:30">
      <c r="B8" s="237" t="s">
        <v>315</v>
      </c>
      <c r="C8" s="266">
        <f>SUMIFS('7月排产计划'!CE:CE,'7月排产计划'!$BX:$BX,$B8)</f>
        <v>212.52</v>
      </c>
      <c r="D8" s="266">
        <f>SUMIFS('7月排产计划'!CF:CF,'7月排产计划'!$BX:$BX,$B8)</f>
        <v>216.71</v>
      </c>
      <c r="E8" s="266">
        <f>SUMIFS('7月排产计划'!CG:CG,'7月排产计划'!$BX:$BX,$B8)</f>
        <v>245.82</v>
      </c>
      <c r="F8" s="266">
        <f>SUMIFS('7月排产计划'!CH:CH,'7月排产计划'!$BX:$BX,$B8)</f>
        <v>277.63</v>
      </c>
      <c r="G8" s="266">
        <f t="shared" si="5"/>
        <v>952.68</v>
      </c>
      <c r="I8" s="237" t="s">
        <v>315</v>
      </c>
      <c r="J8" s="277">
        <f>SUMIFS('7月排产计划'!BY:BY,'7月排产计划'!$BX:$BX,$I8)</f>
        <v>3608</v>
      </c>
      <c r="K8" s="277">
        <f>SUMIFS('7月排产计划'!BZ:BZ,'7月排产计划'!$BX:$BX,$I8)</f>
        <v>3696</v>
      </c>
      <c r="L8" s="277">
        <f>SUMIFS('7月排产计划'!CA:CA,'7月排产计划'!$BX:$BX,$I8)</f>
        <v>4224</v>
      </c>
      <c r="M8" s="277">
        <f>SUMIFS('7月排产计划'!CB:CB,'7月排产计划'!$BX:$BX,$I8)</f>
        <v>4752</v>
      </c>
      <c r="N8" s="277">
        <f t="shared" si="6"/>
        <v>16280</v>
      </c>
      <c r="P8" s="237" t="s">
        <v>315</v>
      </c>
      <c r="Q8" s="266">
        <f>SUMIFS('7月排产计划'!CK:CK,'7月排产计划'!$BX:$BX,$P8)/10000</f>
        <v>325.284595</v>
      </c>
      <c r="R8" s="266">
        <f>SUMIFS('7月排产计划'!CL:CL,'7月排产计划'!$BX:$BX,$P8)/10000</f>
        <v>330.050964</v>
      </c>
      <c r="S8" s="266">
        <f>SUMIFS('7月排产计划'!CM:CM,'7月排产计划'!$BX:$BX,$P8)/10000</f>
        <v>384.470295</v>
      </c>
      <c r="T8" s="266">
        <f>SUMIFS('7月排产计划'!CN:CN,'7月排产计划'!$BX:$BX,$P8)/10000</f>
        <v>438.636029</v>
      </c>
      <c r="U8" s="266">
        <f t="shared" si="0"/>
        <v>1478.441883</v>
      </c>
      <c r="V8" s="287">
        <f>'[1]2026年产能规划R11'!$K$101</f>
        <v>1677.39264</v>
      </c>
      <c r="W8" s="287">
        <f>U9+U8-V8</f>
        <v>-191.465961</v>
      </c>
      <c r="X8" s="288"/>
      <c r="Y8" s="264" t="s">
        <v>853</v>
      </c>
      <c r="Z8" s="276">
        <f>SUM(Z10,Z12,Z14,Z16,Z18,Z20,Z22)</f>
        <v>78876</v>
      </c>
      <c r="AA8" s="276">
        <f>SUM(AA10,AA12,AA14,AA16,AA18,AA20,AA22)</f>
        <v>81352</v>
      </c>
      <c r="AB8" s="276">
        <f>SUM(AB10,AB12,AB14,AB16,AB18,AB20,AB22)</f>
        <v>103720</v>
      </c>
      <c r="AC8" s="276">
        <f>SUM(AC10,AC12,AC14,AC16,AC18,AC20,AC22)</f>
        <v>126210</v>
      </c>
      <c r="AD8" s="276">
        <f>SUM(Z8:AC8)</f>
        <v>390158</v>
      </c>
    </row>
    <row r="9" ht="27" customHeight="1" spans="2:30">
      <c r="B9" s="238" t="s">
        <v>357</v>
      </c>
      <c r="C9" s="266">
        <f>SUMIFS('7月排产计划'!CE:CE,'7月排产计划'!$BX:$BX,$B9)</f>
        <v>5.07</v>
      </c>
      <c r="D9" s="266">
        <f>SUMIFS('7月排产计划'!CF:CF,'7月排产计划'!$BX:$BX,$B9)</f>
        <v>0</v>
      </c>
      <c r="E9" s="266">
        <f>SUMIFS('7月排产计划'!CG:CG,'7月排产计划'!$BX:$BX,$B9)</f>
        <v>0</v>
      </c>
      <c r="F9" s="266">
        <f>SUMIFS('7月排产计划'!CH:CH,'7月排产计划'!$BX:$BX,$B9)</f>
        <v>0</v>
      </c>
      <c r="G9" s="266">
        <f t="shared" si="5"/>
        <v>5.07</v>
      </c>
      <c r="I9" s="238" t="s">
        <v>357</v>
      </c>
      <c r="J9" s="277">
        <f>SUMIFS('7月排产计划'!BY:BY,'7月排产计划'!$BX:$BX,$I9)</f>
        <v>550</v>
      </c>
      <c r="K9" s="277">
        <f>SUMIFS('7月排产计划'!BZ:BZ,'7月排产计划'!$BX:$BX,$I9)</f>
        <v>0</v>
      </c>
      <c r="L9" s="277">
        <f>SUMIFS('7月排产计划'!CA:CA,'7月排产计划'!$BX:$BX,$I9)</f>
        <v>0</v>
      </c>
      <c r="M9" s="277">
        <f>SUMIFS('7月排产计划'!CB:CB,'7月排产计划'!$BX:$BX,$I9)</f>
        <v>0</v>
      </c>
      <c r="N9" s="277">
        <f t="shared" si="6"/>
        <v>550</v>
      </c>
      <c r="P9" s="238" t="s">
        <v>357</v>
      </c>
      <c r="Q9" s="266">
        <f>SUMIFS('7月排产计划'!CK:CK,'7月排产计划'!$BX:$BX,$P9)/10000</f>
        <v>7.484796</v>
      </c>
      <c r="R9" s="266">
        <f>SUMIFS('7月排产计划'!CL:CL,'7月排产计划'!$BX:$BX,$P9)/10000</f>
        <v>0</v>
      </c>
      <c r="S9" s="266">
        <f>SUMIFS('7月排产计划'!CM:CM,'7月排产计划'!$BX:$BX,$P9)/10000</f>
        <v>0</v>
      </c>
      <c r="T9" s="266">
        <f>SUMIFS('7月排产计划'!CN:CN,'7月排产计划'!$BX:$BX,$P9)/10000</f>
        <v>0</v>
      </c>
      <c r="U9" s="266">
        <f t="shared" si="0"/>
        <v>7.484796</v>
      </c>
      <c r="V9" s="286">
        <f>'[1]2026年产能规划R11'!$K$77</f>
        <v>1176.35328</v>
      </c>
      <c r="W9" s="286">
        <f t="shared" si="1"/>
        <v>-1168.868484</v>
      </c>
      <c r="X9" s="272"/>
      <c r="Y9" s="261" t="s">
        <v>851</v>
      </c>
      <c r="Z9" s="275">
        <f t="shared" si="2"/>
        <v>11268</v>
      </c>
      <c r="AA9" s="275">
        <f t="shared" si="3"/>
        <v>11621.7142857143</v>
      </c>
      <c r="AB9" s="275">
        <f t="shared" si="4"/>
        <v>12965</v>
      </c>
      <c r="AC9" s="275">
        <f>AC8/9</f>
        <v>14023.3333333333</v>
      </c>
      <c r="AD9" s="275">
        <f>AD8/31</f>
        <v>12585.7419354839</v>
      </c>
    </row>
    <row r="10" ht="27" customHeight="1" spans="2:30">
      <c r="B10" s="237" t="s">
        <v>854</v>
      </c>
      <c r="C10" s="266">
        <f>SUMIFS('7月排产计划'!CE:CE,'7月排产计划'!$BX:$BX,$B10)</f>
        <v>282.11</v>
      </c>
      <c r="D10" s="266">
        <f>SUMIFS('7月排产计划'!CF:CF,'7月排产计划'!$BX:$BX,$B10)</f>
        <v>280.37</v>
      </c>
      <c r="E10" s="266">
        <f>SUMIFS('7月排产计划'!CG:CG,'7月排产计划'!$BX:$BX,$B10)</f>
        <v>377.8</v>
      </c>
      <c r="F10" s="266">
        <f>SUMIFS('7月排产计划'!CH:CH,'7月排产计划'!$BX:$BX,$B10)</f>
        <v>425.42</v>
      </c>
      <c r="G10" s="266">
        <f t="shared" si="5"/>
        <v>1365.7</v>
      </c>
      <c r="I10" s="237" t="s">
        <v>854</v>
      </c>
      <c r="J10" s="277">
        <f>SUMIFS('7月排产计划'!BY:BY,'7月排产计划'!$BX:$BX,$I10)</f>
        <v>32340</v>
      </c>
      <c r="K10" s="277">
        <f>SUMIFS('7月排产计划'!BZ:BZ,'7月排产计划'!$BX:$BX,$I10)</f>
        <v>32340</v>
      </c>
      <c r="L10" s="277">
        <f>SUMIFS('7月排产计划'!CA:CA,'7月排产计划'!$BX:$BX,$I10)</f>
        <v>43040</v>
      </c>
      <c r="M10" s="277">
        <f>SUMIFS('7月排产计划'!CB:CB,'7月排产计划'!$BX:$BX,$I10)</f>
        <v>48420</v>
      </c>
      <c r="N10" s="277">
        <f t="shared" si="6"/>
        <v>156140</v>
      </c>
      <c r="P10" s="237" t="s">
        <v>854</v>
      </c>
      <c r="Q10" s="266">
        <f>SUMIFS('7月排产计划'!CK:CK,'7月排产计划'!$BX:$BX,$P10)/10000</f>
        <v>429.333863</v>
      </c>
      <c r="R10" s="266">
        <f>SUMIFS('7月排产计划'!CL:CL,'7月排产计划'!$BX:$BX,$P10)/10000</f>
        <v>426.691293</v>
      </c>
      <c r="S10" s="266">
        <f>SUMIFS('7月排产计划'!CM:CM,'7月排产计划'!$BX:$BX,$P10)/10000</f>
        <v>574.647855</v>
      </c>
      <c r="T10" s="266">
        <f>SUMIFS('7月排产计划'!CN:CN,'7月排产计划'!$BX:$BX,$P10)/10000</f>
        <v>647.028961</v>
      </c>
      <c r="U10" s="266">
        <f t="shared" si="0"/>
        <v>2077.701972</v>
      </c>
      <c r="V10" s="286">
        <f>'[1]2026年产能规划R11'!$K$65</f>
        <v>4655.952</v>
      </c>
      <c r="W10" s="286">
        <f t="shared" si="1"/>
        <v>-2578.250028</v>
      </c>
      <c r="X10" s="272"/>
      <c r="Y10" s="237" t="s">
        <v>343</v>
      </c>
      <c r="Z10" s="277">
        <f>SUMIFS('7月排产计划'!BY:BY,'7月排产计划'!$BX:$BX,$Y10)</f>
        <v>6748</v>
      </c>
      <c r="AA10" s="277">
        <f>SUMIFS('7月排产计划'!BZ:BZ,'7月排产计划'!$BX:$BX,$Y10)</f>
        <v>6746</v>
      </c>
      <c r="AB10" s="277">
        <f>SUMIFS('7月排产计划'!CA:CA,'7月排产计划'!$BX:$BX,$Y10)</f>
        <v>7696</v>
      </c>
      <c r="AC10" s="277">
        <f>SUMIFS('7月排产计划'!CB:CB,'7月排产计划'!$BX:$BX,$Y10)</f>
        <v>8658</v>
      </c>
      <c r="AD10" s="277">
        <f>SUM(Z10:AC10)</f>
        <v>29848</v>
      </c>
    </row>
    <row r="11" ht="27" customHeight="1" spans="2:30">
      <c r="B11" s="237" t="s">
        <v>361</v>
      </c>
      <c r="C11" s="266">
        <f>SUMIFS('7月排产计划'!CE:CE,'7月排产计划'!$BX:$BX,$B11)</f>
        <v>89.16</v>
      </c>
      <c r="D11" s="266">
        <f>SUMIFS('7月排产计划'!CF:CF,'7月排产计划'!$BX:$BX,$B11)</f>
        <v>89.16</v>
      </c>
      <c r="E11" s="266">
        <f>SUMIFS('7月排产计划'!CG:CG,'7月排产计划'!$BX:$BX,$B11)</f>
        <v>101.9</v>
      </c>
      <c r="F11" s="266">
        <f>SUMIFS('7月排产计划'!CH:CH,'7月排产计划'!$BX:$BX,$B11)</f>
        <v>114.64</v>
      </c>
      <c r="G11" s="266">
        <f t="shared" si="5"/>
        <v>394.86</v>
      </c>
      <c r="I11" s="237" t="s">
        <v>361</v>
      </c>
      <c r="J11" s="277">
        <f>SUMIFS('7月排产计划'!BY:BY,'7月排产计划'!$BX:$BX,$I11)</f>
        <v>420</v>
      </c>
      <c r="K11" s="277">
        <f>SUMIFS('7月排产计划'!BZ:BZ,'7月排产计划'!$BX:$BX,$I11)</f>
        <v>420</v>
      </c>
      <c r="L11" s="277">
        <f>SUMIFS('7月排产计划'!CA:CA,'7月排产计划'!$BX:$BX,$I11)</f>
        <v>480</v>
      </c>
      <c r="M11" s="277">
        <f>SUMIFS('7月排产计划'!CB:CB,'7月排产计划'!$BX:$BX,$I11)</f>
        <v>540</v>
      </c>
      <c r="N11" s="277">
        <f t="shared" si="6"/>
        <v>1860</v>
      </c>
      <c r="P11" s="237" t="s">
        <v>361</v>
      </c>
      <c r="Q11" s="266">
        <f>SUMIFS('7月排产计划'!CK:CK,'7月排产计划'!$BX:$BX,$P11)/10000</f>
        <v>134.163406</v>
      </c>
      <c r="R11" s="266">
        <f>SUMIFS('7月排产计划'!CL:CL,'7月排产计划'!$BX:$BX,$P11)/10000</f>
        <v>136.696619</v>
      </c>
      <c r="S11" s="266">
        <f>SUMIFS('7月排产计划'!CM:CM,'7月排产计划'!$BX:$BX,$P11)/10000</f>
        <v>156.224707</v>
      </c>
      <c r="T11" s="266">
        <f>SUMIFS('7月排产计划'!CN:CN,'7月排产计划'!$BX:$BX,$P11)/10000</f>
        <v>175.752796</v>
      </c>
      <c r="U11" s="266">
        <f t="shared" si="0"/>
        <v>602.837528</v>
      </c>
      <c r="V11" s="286">
        <f>'[1]2026年产能规划R11'!$K$93</f>
        <v>499.224</v>
      </c>
      <c r="W11" s="286">
        <f t="shared" si="1"/>
        <v>103.613528</v>
      </c>
      <c r="X11" s="272"/>
      <c r="Y11" s="261" t="s">
        <v>851</v>
      </c>
      <c r="Z11" s="275">
        <f t="shared" ref="Z11:Z15" si="8">Z10/7</f>
        <v>964</v>
      </c>
      <c r="AA11" s="275">
        <f t="shared" ref="AA11:AA15" si="9">AA10/7</f>
        <v>963.714285714286</v>
      </c>
      <c r="AB11" s="275">
        <f t="shared" ref="AB11:AB15" si="10">AB10/8</f>
        <v>962</v>
      </c>
      <c r="AC11" s="275">
        <f>AC10/9</f>
        <v>962</v>
      </c>
      <c r="AD11" s="275">
        <f>AD10/31</f>
        <v>962.838709677419</v>
      </c>
    </row>
    <row r="12" ht="27" customHeight="1" spans="2:30">
      <c r="B12" s="237" t="s">
        <v>757</v>
      </c>
      <c r="C12" s="266">
        <f>SUMIFS('7月排产计划'!CE:CE,'7月排产计划'!$BX:$BX,$B12)</f>
        <v>18.28</v>
      </c>
      <c r="D12" s="266">
        <f>SUMIFS('7月排产计划'!CF:CF,'7月排产计划'!$BX:$BX,$B12)</f>
        <v>23.53</v>
      </c>
      <c r="E12" s="266">
        <f>SUMIFS('7月排产计划'!CG:CG,'7月排产计划'!$BX:$BX,$B12)</f>
        <v>31.4</v>
      </c>
      <c r="F12" s="266">
        <f>SUMIFS('7月排产计划'!CH:CH,'7月排产计划'!$BX:$BX,$B12)</f>
        <v>35.32</v>
      </c>
      <c r="G12" s="266">
        <f t="shared" si="5"/>
        <v>108.53</v>
      </c>
      <c r="I12" s="237" t="s">
        <v>757</v>
      </c>
      <c r="J12" s="277">
        <f>SUMIFS('7月排产计划'!BY:BY,'7月排产计划'!$BX:$BX,$I12)</f>
        <v>1820</v>
      </c>
      <c r="K12" s="277">
        <f>SUMIFS('7月排产计划'!BZ:BZ,'7月排产计划'!$BX:$BX,$I12)</f>
        <v>2300</v>
      </c>
      <c r="L12" s="277">
        <f>SUMIFS('7月排产计划'!CA:CA,'7月排产计划'!$BX:$BX,$I12)</f>
        <v>3040</v>
      </c>
      <c r="M12" s="277">
        <f>SUMIFS('7月排产计划'!CB:CB,'7月排产计划'!$BX:$BX,$I12)</f>
        <v>3420</v>
      </c>
      <c r="N12" s="277">
        <f t="shared" si="6"/>
        <v>10580</v>
      </c>
      <c r="P12" s="237" t="s">
        <v>757</v>
      </c>
      <c r="Q12" s="266">
        <f>SUMIFS('7月排产计划'!CK:CK,'7月排产计划'!$BX:$BX,$P12)/10000</f>
        <v>26.977369</v>
      </c>
      <c r="R12" s="266">
        <f>SUMIFS('7月排产计划'!CL:CL,'7月排产计划'!$BX:$BX,$P12)/10000</f>
        <v>34.733454</v>
      </c>
      <c r="S12" s="266">
        <f>SUMIFS('7月排产计划'!CM:CM,'7月排产计划'!$BX:$BX,$P12)/10000</f>
        <v>46.343447</v>
      </c>
      <c r="T12" s="266">
        <f>SUMIFS('7月排产计划'!CN:CN,'7月排产计划'!$BX:$BX,$P12)/10000</f>
        <v>52.13638</v>
      </c>
      <c r="U12" s="266">
        <f t="shared" si="0"/>
        <v>160.19065</v>
      </c>
      <c r="V12" s="286">
        <f>'[1]2026年产能规划R11'!$K$132+'[1]2026年产能规划R11'!$K$140</f>
        <v>980.6664</v>
      </c>
      <c r="W12" s="286">
        <f t="shared" si="1"/>
        <v>-820.47575</v>
      </c>
      <c r="X12" s="272"/>
      <c r="Y12" s="237" t="s">
        <v>315</v>
      </c>
      <c r="Z12" s="277">
        <f>SUMIFS('7月排产计划'!BY:BY,'7月排产计划'!$BX:$BX,$Y12)</f>
        <v>3608</v>
      </c>
      <c r="AA12" s="277">
        <f>SUMIFS('7月排产计划'!BZ:BZ,'7月排产计划'!$BX:$BX,$Y12)</f>
        <v>3696</v>
      </c>
      <c r="AB12" s="277">
        <f>SUMIFS('7月排产计划'!CA:CA,'7月排产计划'!$BX:$BX,$Y12)</f>
        <v>4224</v>
      </c>
      <c r="AC12" s="277">
        <f>SUMIFS('7月排产计划'!CB:CB,'7月排产计划'!$BX:$BX,$Y12)</f>
        <v>4752</v>
      </c>
      <c r="AD12" s="277">
        <f>SUM(Z12:AC12)</f>
        <v>16280</v>
      </c>
    </row>
    <row r="13" ht="27" customHeight="1" spans="2:30">
      <c r="B13" s="237" t="s">
        <v>708</v>
      </c>
      <c r="C13" s="266">
        <f>SUMIFS('7月排产计划'!CE:CE,'7月排产计划'!$BX:$BX,$B13)</f>
        <v>88.73</v>
      </c>
      <c r="D13" s="266">
        <f>SUMIFS('7月排产计划'!CF:CF,'7月排产计划'!$BX:$BX,$B13)</f>
        <v>94.59</v>
      </c>
      <c r="E13" s="266">
        <f>SUMIFS('7月排产计划'!CG:CG,'7月排产计划'!$BX:$BX,$B13)</f>
        <v>119.6</v>
      </c>
      <c r="F13" s="266">
        <f>SUMIFS('7月排产计划'!CH:CH,'7月排产计划'!$BX:$BX,$B13)</f>
        <v>161.16</v>
      </c>
      <c r="G13" s="266">
        <f t="shared" si="5"/>
        <v>464.08</v>
      </c>
      <c r="I13" s="237" t="s">
        <v>708</v>
      </c>
      <c r="J13" s="277">
        <f>SUMIFS('7月排产计划'!BY:BY,'7月排产计划'!$BX:$BX,$I13)</f>
        <v>33390</v>
      </c>
      <c r="K13" s="277">
        <f>SUMIFS('7月排产计划'!BZ:BZ,'7月排产计划'!$BX:$BX,$I13)</f>
        <v>35850</v>
      </c>
      <c r="L13" s="277">
        <f>SUMIFS('7月排产计划'!CA:CA,'7月排产计划'!$BX:$BX,$I13)</f>
        <v>45240</v>
      </c>
      <c r="M13" s="277">
        <f>SUMIFS('7月排产计划'!CB:CB,'7月排产计划'!$BX:$BX,$I13)</f>
        <v>60420</v>
      </c>
      <c r="N13" s="277">
        <f t="shared" si="6"/>
        <v>174900</v>
      </c>
      <c r="P13" s="237" t="s">
        <v>708</v>
      </c>
      <c r="Q13" s="266">
        <f>SUMIFS('7月排产计划'!CK:CK,'7月排产计划'!$BX:$BX,$P13)/10000</f>
        <v>130.982068</v>
      </c>
      <c r="R13" s="266">
        <f>SUMIFS('7月排产计划'!CL:CL,'7月排产计划'!$BX:$BX,$P13)/10000</f>
        <v>139.625229</v>
      </c>
      <c r="S13" s="266">
        <f>SUMIFS('7月排产计划'!CM:CM,'7月排产计划'!$BX:$BX,$P13)/10000</f>
        <v>176.5384</v>
      </c>
      <c r="T13" s="266">
        <f>SUMIFS('7月排产计划'!CN:CN,'7月排产计划'!$BX:$BX,$P13)/10000</f>
        <v>237.884826</v>
      </c>
      <c r="U13" s="266">
        <f t="shared" si="0"/>
        <v>685.030523</v>
      </c>
      <c r="V13" s="286">
        <f>'[1]2026年产能规划R11'!$K$124</f>
        <v>324.2724</v>
      </c>
      <c r="W13" s="286">
        <f t="shared" si="1"/>
        <v>360.758123</v>
      </c>
      <c r="X13" s="272"/>
      <c r="Y13" s="261" t="s">
        <v>851</v>
      </c>
      <c r="Z13" s="275">
        <f t="shared" si="8"/>
        <v>515.428571428571</v>
      </c>
      <c r="AA13" s="275">
        <f t="shared" si="9"/>
        <v>528</v>
      </c>
      <c r="AB13" s="275">
        <f t="shared" si="10"/>
        <v>528</v>
      </c>
      <c r="AC13" s="275">
        <f>AC12/9</f>
        <v>528</v>
      </c>
      <c r="AD13" s="275">
        <f>AD12/31</f>
        <v>525.161290322581</v>
      </c>
    </row>
    <row r="14" ht="25" customHeight="1" spans="2:30">
      <c r="B14" s="261" t="s">
        <v>796</v>
      </c>
      <c r="C14" s="263">
        <f>'7月排产计划'!CE534</f>
        <v>116.88</v>
      </c>
      <c r="D14" s="263">
        <f>'7月排产计划'!CF534</f>
        <v>116.88</v>
      </c>
      <c r="E14" s="263">
        <f>'7月排产计划'!CG534</f>
        <v>133.56</v>
      </c>
      <c r="F14" s="263">
        <f>'7月排产计划'!CH534</f>
        <v>150.26</v>
      </c>
      <c r="G14" s="263">
        <f t="shared" si="5"/>
        <v>517.58</v>
      </c>
      <c r="I14" s="261" t="s">
        <v>796</v>
      </c>
      <c r="J14" s="275">
        <f>'7月排产计划'!BY534</f>
        <v>35000</v>
      </c>
      <c r="K14" s="275">
        <f>'7月排产计划'!BZ534</f>
        <v>35000</v>
      </c>
      <c r="L14" s="275">
        <f>'7月排产计划'!CA534</f>
        <v>40000</v>
      </c>
      <c r="M14" s="275">
        <f>'7月排产计划'!CB534</f>
        <v>45000</v>
      </c>
      <c r="N14" s="275">
        <f t="shared" si="6"/>
        <v>155000</v>
      </c>
      <c r="P14" s="261" t="s">
        <v>796</v>
      </c>
      <c r="Q14" s="263">
        <f>'7月排产计划'!CK535/10000</f>
        <v>185.63181</v>
      </c>
      <c r="R14" s="263">
        <f>'7月排产计划'!CL535/10000</f>
        <v>185.63181</v>
      </c>
      <c r="S14" s="263">
        <f>'7月排产计划'!CM535/10000</f>
        <v>212.15064</v>
      </c>
      <c r="T14" s="263">
        <f>'7月排产计划'!CN535/10000</f>
        <v>238.66947</v>
      </c>
      <c r="U14" s="263">
        <f t="shared" si="0"/>
        <v>822.08373</v>
      </c>
      <c r="V14" s="286">
        <f>'[1]2026年产能规划R11'!$K$189</f>
        <v>582.552</v>
      </c>
      <c r="W14" s="286">
        <f t="shared" si="1"/>
        <v>239.53173</v>
      </c>
      <c r="X14" s="272"/>
      <c r="Y14" s="238" t="s">
        <v>357</v>
      </c>
      <c r="Z14" s="277">
        <f>SUMIFS('7月排产计划'!BY:BY,'7月排产计划'!$BX:$BX,$Y14)</f>
        <v>550</v>
      </c>
      <c r="AA14" s="277">
        <f>SUMIFS('7月排产计划'!BZ:BZ,'7月排产计划'!$BX:$BX,$Y14)</f>
        <v>0</v>
      </c>
      <c r="AB14" s="277">
        <f>SUMIFS('7月排产计划'!CA:CA,'7月排产计划'!$BX:$BX,$Y14)</f>
        <v>0</v>
      </c>
      <c r="AC14" s="277">
        <f>SUMIFS('7月排产计划'!CB:CB,'7月排产计划'!$BX:$BX,$Y14)</f>
        <v>0</v>
      </c>
      <c r="AD14" s="277">
        <f>SUM(Z14:AC14)</f>
        <v>550</v>
      </c>
    </row>
    <row r="15" ht="28" customHeight="1" spans="2:30">
      <c r="B15" s="261" t="s">
        <v>683</v>
      </c>
      <c r="C15" s="263" t="e">
        <f>SUM(C4:C6,C14)</f>
        <v>#REF!</v>
      </c>
      <c r="D15" s="263" t="e">
        <f>SUM(D4:D6,D14)</f>
        <v>#REF!</v>
      </c>
      <c r="E15" s="263" t="e">
        <f>SUM(E4:E6,E14)</f>
        <v>#REF!</v>
      </c>
      <c r="F15" s="263" t="e">
        <f>SUM(F4:F6,F14)</f>
        <v>#REF!</v>
      </c>
      <c r="G15" s="273" t="e">
        <f t="shared" si="5"/>
        <v>#REF!</v>
      </c>
      <c r="I15" s="261" t="s">
        <v>683</v>
      </c>
      <c r="J15" s="275">
        <f>SUM(J4:J6,J14)</f>
        <v>179170</v>
      </c>
      <c r="K15" s="275">
        <f>SUM(K4:K6,K14)</f>
        <v>186662</v>
      </c>
      <c r="L15" s="275">
        <f>SUM(L4:L6,L14)</f>
        <v>225578</v>
      </c>
      <c r="M15" s="275">
        <f>SUM(M4:M6,M14)</f>
        <v>264024</v>
      </c>
      <c r="N15" s="282">
        <f t="shared" si="6"/>
        <v>855434</v>
      </c>
      <c r="P15" s="261" t="s">
        <v>683</v>
      </c>
      <c r="Q15" s="263" t="e">
        <f t="shared" ref="Q15:T15" si="11">SUM(Q4:Q6,Q14)</f>
        <v>#REF!</v>
      </c>
      <c r="R15" s="263" t="e">
        <f t="shared" si="11"/>
        <v>#REF!</v>
      </c>
      <c r="S15" s="263" t="e">
        <f t="shared" si="11"/>
        <v>#REF!</v>
      </c>
      <c r="T15" s="263" t="e">
        <f t="shared" si="11"/>
        <v>#REF!</v>
      </c>
      <c r="U15" s="273" t="e">
        <f t="shared" si="0"/>
        <v>#REF!</v>
      </c>
      <c r="V15" s="286">
        <f>SUM(V4:V14)</f>
        <v>31647.8964792</v>
      </c>
      <c r="W15" s="286" t="e">
        <f t="shared" si="1"/>
        <v>#REF!</v>
      </c>
      <c r="X15" s="272"/>
      <c r="Y15" s="261" t="s">
        <v>851</v>
      </c>
      <c r="Z15" s="275">
        <f t="shared" si="8"/>
        <v>78.5714285714286</v>
      </c>
      <c r="AA15" s="275">
        <f t="shared" si="9"/>
        <v>0</v>
      </c>
      <c r="AB15" s="275">
        <f t="shared" si="10"/>
        <v>0</v>
      </c>
      <c r="AC15" s="275">
        <f>AC14/9</f>
        <v>0</v>
      </c>
      <c r="AD15" s="275">
        <f>AD14/31</f>
        <v>17.741935483871</v>
      </c>
    </row>
    <row r="16" ht="25" customHeight="1" spans="2:30">
      <c r="B16" s="261" t="s">
        <v>855</v>
      </c>
      <c r="C16" s="263" t="e">
        <f>ROUND(C15/7,2)</f>
        <v>#REF!</v>
      </c>
      <c r="D16" s="263" t="e">
        <f>ROUND(D15/7,2)</f>
        <v>#REF!</v>
      </c>
      <c r="E16" s="263" t="e">
        <f>ROUND(E15/8,2)</f>
        <v>#REF!</v>
      </c>
      <c r="F16" s="263" t="e">
        <f>ROUND(F15/9,2)</f>
        <v>#REF!</v>
      </c>
      <c r="G16" s="273"/>
      <c r="I16" s="261" t="s">
        <v>855</v>
      </c>
      <c r="J16" s="275">
        <f>J15/7</f>
        <v>25595.7142857143</v>
      </c>
      <c r="K16" s="275">
        <f>K15/7</f>
        <v>26666</v>
      </c>
      <c r="L16" s="275">
        <f>L15/8</f>
        <v>28197.25</v>
      </c>
      <c r="M16" s="275">
        <f>M15/9</f>
        <v>29336</v>
      </c>
      <c r="N16" s="283"/>
      <c r="P16" s="261" t="s">
        <v>855</v>
      </c>
      <c r="Q16" s="263" t="e">
        <f t="shared" ref="Q16:T16" si="12">ROUND(Q15/7,2)</f>
        <v>#REF!</v>
      </c>
      <c r="R16" s="263" t="e">
        <f t="shared" si="12"/>
        <v>#REF!</v>
      </c>
      <c r="S16" s="263" t="e">
        <f>ROUND(S15/8,2)</f>
        <v>#REF!</v>
      </c>
      <c r="T16" s="263" t="e">
        <f>ROUND(T15/9,2)</f>
        <v>#REF!</v>
      </c>
      <c r="U16" s="273"/>
      <c r="V16" s="289" t="s">
        <v>856</v>
      </c>
      <c r="W16" s="286" t="e">
        <f>W15/30</f>
        <v>#REF!</v>
      </c>
      <c r="X16" s="272"/>
      <c r="Y16" s="237" t="s">
        <v>776</v>
      </c>
      <c r="Z16" s="277">
        <f>SUMIFS('7月排产计划'!BY:BY,'7月排产计划'!$BX:$BX,$Y16)</f>
        <v>32340</v>
      </c>
      <c r="AA16" s="277">
        <f>SUMIFS('7月排产计划'!BZ:BZ,'7月排产计划'!$BX:$BX,$Y16)</f>
        <v>32340</v>
      </c>
      <c r="AB16" s="277">
        <f>SUMIFS('7月排产计划'!CA:CA,'7月排产计划'!$BX:$BX,$Y16)</f>
        <v>43040</v>
      </c>
      <c r="AC16" s="277">
        <f>SUMIFS('7月排产计划'!CB:CB,'7月排产计划'!$BX:$BX,$Y16)</f>
        <v>48420</v>
      </c>
      <c r="AD16" s="277">
        <f>SUM(Z16:AC16)</f>
        <v>156140</v>
      </c>
    </row>
    <row r="17" ht="25" customHeight="1" spans="2:30">
      <c r="B17" s="267" t="s">
        <v>857</v>
      </c>
      <c r="C17" s="268" t="e">
        <f>G15/31</f>
        <v>#REF!</v>
      </c>
      <c r="D17" s="269"/>
      <c r="E17" s="269"/>
      <c r="F17" s="269"/>
      <c r="G17" s="274"/>
      <c r="I17" s="267" t="s">
        <v>858</v>
      </c>
      <c r="J17" s="278">
        <f>N15/31</f>
        <v>27594.6451612903</v>
      </c>
      <c r="K17" s="279"/>
      <c r="L17" s="279"/>
      <c r="M17" s="279"/>
      <c r="N17" s="284"/>
      <c r="P17" s="267" t="s">
        <v>859</v>
      </c>
      <c r="Q17" s="268" t="e">
        <f>U15/31</f>
        <v>#REF!</v>
      </c>
      <c r="R17" s="269"/>
      <c r="S17" s="269"/>
      <c r="T17" s="269"/>
      <c r="U17" s="274"/>
      <c r="V17" s="272"/>
      <c r="W17" s="272"/>
      <c r="X17" s="272"/>
      <c r="Y17" s="261" t="s">
        <v>851</v>
      </c>
      <c r="Z17" s="275">
        <f t="shared" ref="Z17:Z21" si="13">Z16/7</f>
        <v>4620</v>
      </c>
      <c r="AA17" s="275">
        <f t="shared" ref="AA17:AA21" si="14">AA16/7</f>
        <v>4620</v>
      </c>
      <c r="AB17" s="275">
        <f t="shared" ref="AB17:AB21" si="15">AB16/8</f>
        <v>5380</v>
      </c>
      <c r="AC17" s="275">
        <f>AC16/9</f>
        <v>5380</v>
      </c>
      <c r="AD17" s="275">
        <f>AD16/31</f>
        <v>5036.77419354839</v>
      </c>
    </row>
    <row r="18" ht="22" customHeight="1" spans="2:30">
      <c r="B18" s="270"/>
      <c r="C18" s="271"/>
      <c r="D18" s="271"/>
      <c r="E18" s="271"/>
      <c r="F18" s="271"/>
      <c r="G18" s="271"/>
      <c r="I18" s="270"/>
      <c r="J18" s="280"/>
      <c r="K18" s="280"/>
      <c r="L18" s="280"/>
      <c r="M18" s="280"/>
      <c r="N18" s="280"/>
      <c r="P18" s="270"/>
      <c r="Q18" s="271"/>
      <c r="R18" s="271"/>
      <c r="S18" s="271"/>
      <c r="T18" s="271"/>
      <c r="U18" s="271"/>
      <c r="V18" s="272"/>
      <c r="W18" s="272"/>
      <c r="Y18" s="237" t="s">
        <v>361</v>
      </c>
      <c r="Z18" s="277">
        <f>SUMIFS('7月排产计划'!BY:BY,'7月排产计划'!$BX:$BX,$Y18)</f>
        <v>420</v>
      </c>
      <c r="AA18" s="277">
        <f>SUMIFS('7月排产计划'!BZ:BZ,'7月排产计划'!$BX:$BX,$Y18)</f>
        <v>420</v>
      </c>
      <c r="AB18" s="277">
        <f>SUMIFS('7月排产计划'!CA:CA,'7月排产计划'!$BX:$BX,$Y18)</f>
        <v>480</v>
      </c>
      <c r="AC18" s="277">
        <f>SUMIFS('7月排产计划'!CB:CB,'7月排产计划'!$BX:$BX,$Y18)</f>
        <v>540</v>
      </c>
      <c r="AD18" s="277">
        <f>SUM(Z18:AC18)</f>
        <v>1860</v>
      </c>
    </row>
    <row r="19" ht="22" customHeight="1" spans="2:30">
      <c r="B19" s="225"/>
      <c r="C19" s="113"/>
      <c r="D19" s="113"/>
      <c r="E19" s="113"/>
      <c r="F19" s="272"/>
      <c r="Q19" s="113"/>
      <c r="R19" s="113"/>
      <c r="S19" s="113"/>
      <c r="T19" s="113"/>
      <c r="Y19" s="261" t="s">
        <v>851</v>
      </c>
      <c r="Z19" s="275">
        <f t="shared" si="13"/>
        <v>60</v>
      </c>
      <c r="AA19" s="275">
        <f t="shared" si="14"/>
        <v>60</v>
      </c>
      <c r="AB19" s="275">
        <f t="shared" si="15"/>
        <v>60</v>
      </c>
      <c r="AC19" s="275">
        <f>AC18/9</f>
        <v>60</v>
      </c>
      <c r="AD19" s="275">
        <f>AD18/31</f>
        <v>60</v>
      </c>
    </row>
    <row r="20" ht="22" customHeight="1" spans="2:30">
      <c r="B20" s="113" t="s">
        <v>690</v>
      </c>
      <c r="C20" s="272" t="e">
        <f>C4/7</f>
        <v>#REF!</v>
      </c>
      <c r="D20" s="272" t="e">
        <f>D4/7</f>
        <v>#REF!</v>
      </c>
      <c r="E20" s="272" t="e">
        <f>E4/8</f>
        <v>#REF!</v>
      </c>
      <c r="F20" s="272" t="e">
        <f>F4/9</f>
        <v>#REF!</v>
      </c>
      <c r="G20" s="272" t="e">
        <f>G4/31</f>
        <v>#REF!</v>
      </c>
      <c r="I20" s="113" t="s">
        <v>690</v>
      </c>
      <c r="J20" s="281">
        <f>J4/7</f>
        <v>8147.71428571429</v>
      </c>
      <c r="K20" s="281">
        <f>K4/7</f>
        <v>8864.28571428571</v>
      </c>
      <c r="L20" s="281">
        <f>L4/8</f>
        <v>9052.25</v>
      </c>
      <c r="M20" s="281">
        <f>M4/9</f>
        <v>9132.66666666667</v>
      </c>
      <c r="N20" s="281">
        <f>N4/31</f>
        <v>8828.90322580645</v>
      </c>
      <c r="P20" s="113" t="s">
        <v>690</v>
      </c>
      <c r="Q20" s="272" t="e">
        <f>Q4/7</f>
        <v>#REF!</v>
      </c>
      <c r="R20" s="272" t="e">
        <f>R4/7</f>
        <v>#REF!</v>
      </c>
      <c r="S20" s="272" t="e">
        <f>S4/8</f>
        <v>#REF!</v>
      </c>
      <c r="T20" s="272" t="e">
        <f>T4/9</f>
        <v>#REF!</v>
      </c>
      <c r="U20" s="272" t="e">
        <f>U4/31</f>
        <v>#REF!</v>
      </c>
      <c r="Y20" s="237" t="s">
        <v>757</v>
      </c>
      <c r="Z20" s="277">
        <f>SUMIFS('7月排产计划'!BY:BY,'7月排产计划'!$BX:$BX,$Y20)</f>
        <v>1820</v>
      </c>
      <c r="AA20" s="277">
        <f>SUMIFS('7月排产计划'!BZ:BZ,'7月排产计划'!$BX:$BX,$Y20)</f>
        <v>2300</v>
      </c>
      <c r="AB20" s="277">
        <f>SUMIFS('7月排产计划'!CA:CA,'7月排产计划'!$BX:$BX,$Y20)</f>
        <v>3040</v>
      </c>
      <c r="AC20" s="277">
        <f>SUMIFS('7月排产计划'!CB:CB,'7月排产计划'!$BX:$BX,$Y20)</f>
        <v>3420</v>
      </c>
      <c r="AD20" s="277">
        <f>SUM(Z20:AC20)</f>
        <v>10580</v>
      </c>
    </row>
    <row r="21" ht="22" customHeight="1" spans="2:30">
      <c r="B21" s="113" t="s">
        <v>811</v>
      </c>
      <c r="C21" s="272">
        <f>C5/7</f>
        <v>2.96</v>
      </c>
      <c r="D21" s="272">
        <f>D5/7</f>
        <v>2.96</v>
      </c>
      <c r="E21" s="272">
        <f>E5/8</f>
        <v>2.96</v>
      </c>
      <c r="F21" s="272">
        <f>F5/9</f>
        <v>2.96</v>
      </c>
      <c r="G21" s="272">
        <f>G5/31</f>
        <v>2.96</v>
      </c>
      <c r="I21" s="113" t="s">
        <v>811</v>
      </c>
      <c r="J21" s="281">
        <f>J5/7</f>
        <v>1180</v>
      </c>
      <c r="K21" s="281">
        <f>K5/7</f>
        <v>1180</v>
      </c>
      <c r="L21" s="281">
        <f>L5/8</f>
        <v>1180</v>
      </c>
      <c r="M21" s="281">
        <f>M5/9</f>
        <v>1180</v>
      </c>
      <c r="N21" s="281">
        <f>N5/31</f>
        <v>1180</v>
      </c>
      <c r="P21" s="113" t="s">
        <v>811</v>
      </c>
      <c r="Q21" s="272">
        <f>Q5/7</f>
        <v>2.13108</v>
      </c>
      <c r="R21" s="272">
        <f>R5/7</f>
        <v>2.13108</v>
      </c>
      <c r="S21" s="272">
        <f>S5/8</f>
        <v>2.13108</v>
      </c>
      <c r="T21" s="272">
        <f>T5/9</f>
        <v>2.13108</v>
      </c>
      <c r="U21" s="272">
        <f>U5/31</f>
        <v>2.13108</v>
      </c>
      <c r="Y21" s="261" t="s">
        <v>851</v>
      </c>
      <c r="Z21" s="275">
        <f t="shared" si="13"/>
        <v>260</v>
      </c>
      <c r="AA21" s="275">
        <f t="shared" si="14"/>
        <v>328.571428571429</v>
      </c>
      <c r="AB21" s="275">
        <f t="shared" si="15"/>
        <v>380</v>
      </c>
      <c r="AC21" s="275">
        <f>AC20/9</f>
        <v>380</v>
      </c>
      <c r="AD21" s="275">
        <f>AD20/31</f>
        <v>341.290322580645</v>
      </c>
    </row>
    <row r="22" ht="22" customHeight="1" spans="2:30">
      <c r="B22" s="113" t="s">
        <v>343</v>
      </c>
      <c r="C22" s="272">
        <f>C7/7</f>
        <v>23.2342857142857</v>
      </c>
      <c r="D22" s="272">
        <f t="shared" ref="D22:D29" si="16">D7/7</f>
        <v>23.2557142857143</v>
      </c>
      <c r="E22" s="272">
        <f>E7/8</f>
        <v>23.3875</v>
      </c>
      <c r="F22" s="272">
        <f>F7/9</f>
        <v>23.3888888888889</v>
      </c>
      <c r="G22" s="272">
        <f>G7/31</f>
        <v>23.3235483870968</v>
      </c>
      <c r="I22" s="113" t="s">
        <v>343</v>
      </c>
      <c r="J22" s="281">
        <f t="shared" ref="J22:J29" si="17">J7/7</f>
        <v>964</v>
      </c>
      <c r="K22" s="281">
        <f t="shared" ref="K22:K29" si="18">K7/7</f>
        <v>963.714285714286</v>
      </c>
      <c r="L22" s="281">
        <f t="shared" ref="L22:L29" si="19">L7/8</f>
        <v>962</v>
      </c>
      <c r="M22" s="281">
        <f>M7/8</f>
        <v>1082.25</v>
      </c>
      <c r="N22" s="281">
        <f t="shared" ref="N22:N29" si="20">N7/31</f>
        <v>962.838709677419</v>
      </c>
      <c r="P22" s="113" t="s">
        <v>343</v>
      </c>
      <c r="Q22" s="272">
        <f t="shared" ref="Q22:Q29" si="21">Q7/7</f>
        <v>33.7675304285714</v>
      </c>
      <c r="R22" s="272">
        <f t="shared" ref="R22:R29" si="22">R7/7</f>
        <v>34.0536172857143</v>
      </c>
      <c r="S22" s="272">
        <f t="shared" ref="S22:S29" si="23">S7/8</f>
        <v>35.81829475</v>
      </c>
      <c r="T22" s="272">
        <f>T7/9</f>
        <v>36.351481</v>
      </c>
      <c r="U22" s="272">
        <f t="shared" ref="U22:U29" si="24">U7/31</f>
        <v>35.1115393870968</v>
      </c>
      <c r="Y22" s="237" t="s">
        <v>708</v>
      </c>
      <c r="Z22" s="277">
        <f>SUMIFS('7月排产计划'!BY:BY,'7月排产计划'!$BX:$BX,$Y22)</f>
        <v>33390</v>
      </c>
      <c r="AA22" s="277">
        <f>SUMIFS('7月排产计划'!BZ:BZ,'7月排产计划'!$BX:$BX,$Y22)</f>
        <v>35850</v>
      </c>
      <c r="AB22" s="277">
        <f>SUMIFS('7月排产计划'!CA:CA,'7月排产计划'!$BX:$BX,$Y22)</f>
        <v>45240</v>
      </c>
      <c r="AC22" s="277">
        <f>SUMIFS('7月排产计划'!CB:CB,'7月排产计划'!$BX:$BX,$Y22)</f>
        <v>60420</v>
      </c>
      <c r="AD22" s="277">
        <f>SUM(Z22:AC22)</f>
        <v>174900</v>
      </c>
    </row>
    <row r="23" ht="22" customHeight="1" spans="2:30">
      <c r="B23" s="113" t="s">
        <v>315</v>
      </c>
      <c r="C23" s="272">
        <f t="shared" ref="C23:C29" si="25">C8/7</f>
        <v>30.36</v>
      </c>
      <c r="D23" s="272">
        <f t="shared" si="16"/>
        <v>30.9585714285714</v>
      </c>
      <c r="E23" s="272">
        <f t="shared" ref="E23:E29" si="26">E8/8</f>
        <v>30.7275</v>
      </c>
      <c r="F23" s="272">
        <f t="shared" ref="F23:F29" si="27">F8/9</f>
        <v>30.8477777777778</v>
      </c>
      <c r="G23" s="272">
        <f t="shared" ref="G23:G29" si="28">G8/31</f>
        <v>30.7316129032258</v>
      </c>
      <c r="I23" s="113" t="s">
        <v>315</v>
      </c>
      <c r="J23" s="281">
        <f t="shared" si="17"/>
        <v>515.428571428571</v>
      </c>
      <c r="K23" s="281">
        <f t="shared" si="18"/>
        <v>528</v>
      </c>
      <c r="L23" s="281">
        <f t="shared" si="19"/>
        <v>528</v>
      </c>
      <c r="M23" s="281">
        <f>M8/9</f>
        <v>528</v>
      </c>
      <c r="N23" s="281">
        <f t="shared" si="20"/>
        <v>525.161290322581</v>
      </c>
      <c r="P23" s="113" t="s">
        <v>315</v>
      </c>
      <c r="Q23" s="272">
        <f t="shared" si="21"/>
        <v>46.4692278571429</v>
      </c>
      <c r="R23" s="272">
        <f t="shared" si="22"/>
        <v>47.1501377142857</v>
      </c>
      <c r="S23" s="272">
        <f t="shared" si="23"/>
        <v>48.058786875</v>
      </c>
      <c r="T23" s="272">
        <f t="shared" ref="T23:T29" si="29">T8/9</f>
        <v>48.7373365555556</v>
      </c>
      <c r="U23" s="272">
        <f t="shared" si="24"/>
        <v>47.6916736451613</v>
      </c>
      <c r="Y23" s="261" t="s">
        <v>851</v>
      </c>
      <c r="Z23" s="275">
        <f>Z22/7</f>
        <v>4770</v>
      </c>
      <c r="AA23" s="275">
        <f>AA22/7</f>
        <v>5121.42857142857</v>
      </c>
      <c r="AB23" s="275">
        <f>AB22/8</f>
        <v>5655</v>
      </c>
      <c r="AC23" s="275">
        <f>AC22/9</f>
        <v>6713.33333333333</v>
      </c>
      <c r="AD23" s="275">
        <f>AD22/31</f>
        <v>5641.93548387097</v>
      </c>
    </row>
    <row r="24" ht="22" customHeight="1" spans="2:30">
      <c r="B24" s="113" t="s">
        <v>357</v>
      </c>
      <c r="C24" s="272">
        <f t="shared" si="25"/>
        <v>0.724285714285714</v>
      </c>
      <c r="D24" s="272">
        <f t="shared" si="16"/>
        <v>0</v>
      </c>
      <c r="E24" s="272">
        <f t="shared" si="26"/>
        <v>0</v>
      </c>
      <c r="F24" s="272">
        <f t="shared" si="27"/>
        <v>0</v>
      </c>
      <c r="G24" s="272">
        <f t="shared" si="28"/>
        <v>0.163548387096774</v>
      </c>
      <c r="I24" s="113" t="s">
        <v>357</v>
      </c>
      <c r="J24" s="281">
        <f t="shared" si="17"/>
        <v>78.5714285714286</v>
      </c>
      <c r="K24" s="281">
        <f t="shared" si="18"/>
        <v>0</v>
      </c>
      <c r="L24" s="281">
        <f t="shared" si="19"/>
        <v>0</v>
      </c>
      <c r="M24" s="281">
        <f t="shared" ref="M24:M29" si="30">M9/9</f>
        <v>0</v>
      </c>
      <c r="N24" s="281">
        <f t="shared" si="20"/>
        <v>17.741935483871</v>
      </c>
      <c r="P24" s="113" t="s">
        <v>357</v>
      </c>
      <c r="Q24" s="272">
        <f t="shared" si="21"/>
        <v>1.06925657142857</v>
      </c>
      <c r="R24" s="272">
        <f t="shared" si="22"/>
        <v>0</v>
      </c>
      <c r="S24" s="272">
        <f t="shared" si="23"/>
        <v>0</v>
      </c>
      <c r="T24" s="272">
        <f t="shared" si="29"/>
        <v>0</v>
      </c>
      <c r="U24" s="272">
        <f t="shared" si="24"/>
        <v>0.241445032258065</v>
      </c>
      <c r="Y24" s="261" t="s">
        <v>796</v>
      </c>
      <c r="Z24" s="275">
        <f>'7月排产计划'!BY534</f>
        <v>35000</v>
      </c>
      <c r="AA24" s="275">
        <f>'7月排产计划'!BZ534</f>
        <v>35000</v>
      </c>
      <c r="AB24" s="275">
        <f>'7月排产计划'!CA534</f>
        <v>40000</v>
      </c>
      <c r="AC24" s="275">
        <f>'7月排产计划'!CB534</f>
        <v>45000</v>
      </c>
      <c r="AD24" s="275">
        <f>SUM(Z24:AC24)</f>
        <v>155000</v>
      </c>
    </row>
    <row r="25" ht="22" customHeight="1" spans="2:30">
      <c r="B25" s="113" t="s">
        <v>664</v>
      </c>
      <c r="C25" s="272">
        <f t="shared" si="25"/>
        <v>40.3014285714286</v>
      </c>
      <c r="D25" s="272">
        <f t="shared" si="16"/>
        <v>40.0528571428571</v>
      </c>
      <c r="E25" s="272">
        <f t="shared" si="26"/>
        <v>47.225</v>
      </c>
      <c r="F25" s="272">
        <f t="shared" si="27"/>
        <v>47.2688888888889</v>
      </c>
      <c r="G25" s="272">
        <f t="shared" si="28"/>
        <v>44.0548387096774</v>
      </c>
      <c r="I25" s="113" t="s">
        <v>664</v>
      </c>
      <c r="J25" s="281">
        <f t="shared" si="17"/>
        <v>4620</v>
      </c>
      <c r="K25" s="281">
        <f t="shared" si="18"/>
        <v>4620</v>
      </c>
      <c r="L25" s="281">
        <f t="shared" si="19"/>
        <v>5380</v>
      </c>
      <c r="M25" s="281">
        <f t="shared" si="30"/>
        <v>5380</v>
      </c>
      <c r="N25" s="281">
        <f t="shared" si="20"/>
        <v>5036.77419354839</v>
      </c>
      <c r="P25" s="113" t="s">
        <v>664</v>
      </c>
      <c r="Q25" s="272">
        <f t="shared" si="21"/>
        <v>61.333409</v>
      </c>
      <c r="R25" s="272">
        <f t="shared" si="22"/>
        <v>60.955899</v>
      </c>
      <c r="S25" s="272">
        <f t="shared" si="23"/>
        <v>71.830981875</v>
      </c>
      <c r="T25" s="272">
        <f t="shared" si="29"/>
        <v>71.8921067777778</v>
      </c>
      <c r="U25" s="272">
        <f t="shared" si="24"/>
        <v>67.0226442580645</v>
      </c>
      <c r="Y25" s="261" t="s">
        <v>851</v>
      </c>
      <c r="Z25" s="275">
        <f>Z24/7</f>
        <v>5000</v>
      </c>
      <c r="AA25" s="275">
        <f>AA24/7</f>
        <v>5000</v>
      </c>
      <c r="AB25" s="275">
        <f>AB24/8</f>
        <v>5000</v>
      </c>
      <c r="AC25" s="275">
        <f>AC24/9</f>
        <v>5000</v>
      </c>
      <c r="AD25" s="275">
        <f>AD24/31</f>
        <v>5000</v>
      </c>
    </row>
    <row r="26" ht="22" customHeight="1" spans="2:30">
      <c r="B26" s="113" t="s">
        <v>361</v>
      </c>
      <c r="C26" s="272">
        <f t="shared" si="25"/>
        <v>12.7371428571429</v>
      </c>
      <c r="D26" s="272">
        <f t="shared" si="16"/>
        <v>12.7371428571429</v>
      </c>
      <c r="E26" s="272">
        <f t="shared" si="26"/>
        <v>12.7375</v>
      </c>
      <c r="F26" s="272">
        <f t="shared" si="27"/>
        <v>12.7377777777778</v>
      </c>
      <c r="G26" s="272">
        <f t="shared" si="28"/>
        <v>12.7374193548387</v>
      </c>
      <c r="I26" s="113" t="s">
        <v>361</v>
      </c>
      <c r="J26" s="281">
        <f t="shared" si="17"/>
        <v>60</v>
      </c>
      <c r="K26" s="281">
        <f t="shared" si="18"/>
        <v>60</v>
      </c>
      <c r="L26" s="281">
        <f t="shared" si="19"/>
        <v>60</v>
      </c>
      <c r="M26" s="281">
        <f t="shared" si="30"/>
        <v>60</v>
      </c>
      <c r="N26" s="281">
        <f t="shared" si="20"/>
        <v>60</v>
      </c>
      <c r="P26" s="113" t="s">
        <v>361</v>
      </c>
      <c r="Q26" s="272">
        <f t="shared" si="21"/>
        <v>19.1662008571429</v>
      </c>
      <c r="R26" s="272">
        <f t="shared" si="22"/>
        <v>19.5280884285714</v>
      </c>
      <c r="S26" s="272">
        <f t="shared" si="23"/>
        <v>19.528088375</v>
      </c>
      <c r="T26" s="272">
        <f t="shared" si="29"/>
        <v>19.5280884444444</v>
      </c>
      <c r="U26" s="272">
        <f t="shared" si="24"/>
        <v>19.4463718709677</v>
      </c>
      <c r="Y26" s="261" t="s">
        <v>683</v>
      </c>
      <c r="Z26" s="275">
        <f>SUM(Z4,Z6,,Z8,Z24)</f>
        <v>179170</v>
      </c>
      <c r="AA26" s="275">
        <f>SUM(AA4,AA6,,AA8,AA24)</f>
        <v>186662</v>
      </c>
      <c r="AB26" s="275">
        <f>SUM(AB4,AB6,,AB8,AB24)</f>
        <v>225578</v>
      </c>
      <c r="AC26" s="275">
        <f>SUM(AC4,AC6,,AC8,AC24)</f>
        <v>264024</v>
      </c>
      <c r="AD26" s="282">
        <f>SUM(Z26:AC26)</f>
        <v>855434</v>
      </c>
    </row>
    <row r="27" ht="22" customHeight="1" spans="2:30">
      <c r="B27" s="113" t="s">
        <v>757</v>
      </c>
      <c r="C27" s="272">
        <f t="shared" si="25"/>
        <v>2.61142857142857</v>
      </c>
      <c r="D27" s="272">
        <f t="shared" si="16"/>
        <v>3.36142857142857</v>
      </c>
      <c r="E27" s="272">
        <f t="shared" si="26"/>
        <v>3.925</v>
      </c>
      <c r="F27" s="272">
        <f t="shared" si="27"/>
        <v>3.92444444444444</v>
      </c>
      <c r="G27" s="272">
        <f t="shared" si="28"/>
        <v>3.50096774193548</v>
      </c>
      <c r="I27" s="113" t="s">
        <v>757</v>
      </c>
      <c r="J27" s="281">
        <f t="shared" si="17"/>
        <v>260</v>
      </c>
      <c r="K27" s="281">
        <f t="shared" si="18"/>
        <v>328.571428571429</v>
      </c>
      <c r="L27" s="281">
        <f t="shared" si="19"/>
        <v>380</v>
      </c>
      <c r="M27" s="281">
        <f t="shared" si="30"/>
        <v>380</v>
      </c>
      <c r="N27" s="281">
        <f t="shared" si="20"/>
        <v>341.290322580645</v>
      </c>
      <c r="P27" s="113" t="s">
        <v>757</v>
      </c>
      <c r="Q27" s="272">
        <f t="shared" si="21"/>
        <v>3.85390985714286</v>
      </c>
      <c r="R27" s="272">
        <f t="shared" si="22"/>
        <v>4.961922</v>
      </c>
      <c r="S27" s="272">
        <f t="shared" si="23"/>
        <v>5.792930875</v>
      </c>
      <c r="T27" s="272">
        <f t="shared" si="29"/>
        <v>5.79293111111111</v>
      </c>
      <c r="U27" s="272">
        <f t="shared" si="24"/>
        <v>5.16744032258064</v>
      </c>
      <c r="Y27" s="261" t="s">
        <v>855</v>
      </c>
      <c r="Z27" s="275">
        <f>Z26/7</f>
        <v>25595.7142857143</v>
      </c>
      <c r="AA27" s="275">
        <f>AA26/7</f>
        <v>26666</v>
      </c>
      <c r="AB27" s="275">
        <f>AB26/8</f>
        <v>28197.25</v>
      </c>
      <c r="AC27" s="275">
        <f>AC26/9</f>
        <v>29336</v>
      </c>
      <c r="AD27" s="283"/>
    </row>
    <row r="28" ht="22" customHeight="1" spans="2:30">
      <c r="B28" s="113" t="s">
        <v>708</v>
      </c>
      <c r="C28" s="272">
        <f t="shared" si="25"/>
        <v>12.6757142857143</v>
      </c>
      <c r="D28" s="272">
        <f t="shared" si="16"/>
        <v>13.5128571428571</v>
      </c>
      <c r="E28" s="272">
        <f t="shared" si="26"/>
        <v>14.95</v>
      </c>
      <c r="F28" s="272">
        <f t="shared" si="27"/>
        <v>17.9066666666667</v>
      </c>
      <c r="G28" s="272">
        <f t="shared" si="28"/>
        <v>14.9703225806452</v>
      </c>
      <c r="I28" s="113" t="s">
        <v>708</v>
      </c>
      <c r="J28" s="281">
        <f t="shared" si="17"/>
        <v>4770</v>
      </c>
      <c r="K28" s="281">
        <f t="shared" si="18"/>
        <v>5121.42857142857</v>
      </c>
      <c r="L28" s="281">
        <f t="shared" si="19"/>
        <v>5655</v>
      </c>
      <c r="M28" s="281">
        <f t="shared" si="30"/>
        <v>6713.33333333333</v>
      </c>
      <c r="N28" s="281">
        <f t="shared" si="20"/>
        <v>5641.93548387097</v>
      </c>
      <c r="P28" s="113" t="s">
        <v>708</v>
      </c>
      <c r="Q28" s="272">
        <f t="shared" si="21"/>
        <v>18.711724</v>
      </c>
      <c r="R28" s="272">
        <f t="shared" si="22"/>
        <v>19.9464612857143</v>
      </c>
      <c r="S28" s="272">
        <f t="shared" si="23"/>
        <v>22.0673</v>
      </c>
      <c r="T28" s="272">
        <f t="shared" si="29"/>
        <v>26.4316473333333</v>
      </c>
      <c r="U28" s="272">
        <f t="shared" si="24"/>
        <v>22.0977588064516</v>
      </c>
      <c r="Y28" s="261" t="s">
        <v>851</v>
      </c>
      <c r="Z28" s="290"/>
      <c r="AA28" s="291"/>
      <c r="AB28" s="291"/>
      <c r="AC28" s="291"/>
      <c r="AD28" s="283"/>
    </row>
    <row r="29" ht="22" customHeight="1" spans="2:30">
      <c r="B29" s="113" t="s">
        <v>796</v>
      </c>
      <c r="C29" s="272">
        <f t="shared" si="25"/>
        <v>16.6971428571429</v>
      </c>
      <c r="D29" s="272">
        <f t="shared" si="16"/>
        <v>16.6971428571429</v>
      </c>
      <c r="E29" s="272">
        <f t="shared" si="26"/>
        <v>16.695</v>
      </c>
      <c r="F29" s="272">
        <f t="shared" si="27"/>
        <v>16.6955555555556</v>
      </c>
      <c r="G29" s="272">
        <f t="shared" si="28"/>
        <v>16.6961290322581</v>
      </c>
      <c r="I29" s="113" t="s">
        <v>796</v>
      </c>
      <c r="J29" s="281">
        <f t="shared" si="17"/>
        <v>5000</v>
      </c>
      <c r="K29" s="281">
        <f t="shared" si="18"/>
        <v>5000</v>
      </c>
      <c r="L29" s="281">
        <f t="shared" si="19"/>
        <v>5000</v>
      </c>
      <c r="M29" s="281">
        <f t="shared" si="30"/>
        <v>5000</v>
      </c>
      <c r="N29" s="281">
        <f t="shared" si="20"/>
        <v>5000</v>
      </c>
      <c r="P29" s="113" t="s">
        <v>796</v>
      </c>
      <c r="Q29" s="272">
        <f t="shared" si="21"/>
        <v>26.51883</v>
      </c>
      <c r="R29" s="272">
        <f t="shared" si="22"/>
        <v>26.51883</v>
      </c>
      <c r="S29" s="272">
        <f t="shared" si="23"/>
        <v>26.51883</v>
      </c>
      <c r="T29" s="272">
        <f t="shared" si="29"/>
        <v>26.51883</v>
      </c>
      <c r="U29" s="272">
        <f t="shared" si="24"/>
        <v>26.51883</v>
      </c>
      <c r="Y29" s="267" t="s">
        <v>858</v>
      </c>
      <c r="Z29" s="278">
        <f>AD26/31</f>
        <v>27594.6451612903</v>
      </c>
      <c r="AA29" s="279"/>
      <c r="AB29" s="279"/>
      <c r="AC29" s="279"/>
      <c r="AD29" s="284"/>
    </row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</sheetData>
  <mergeCells count="8">
    <mergeCell ref="B2:G2"/>
    <mergeCell ref="I2:N2"/>
    <mergeCell ref="P2:U2"/>
    <mergeCell ref="Y2:AD2"/>
    <mergeCell ref="C17:G17"/>
    <mergeCell ref="J17:N17"/>
    <mergeCell ref="Q17:U17"/>
    <mergeCell ref="Z29:AD29"/>
  </mergeCells>
  <pageMargins left="0.75" right="0.75" top="1" bottom="1" header="0.5" footer="0.5"/>
  <pageSetup paperSize="9" scale="31" orientation="landscape"/>
  <headerFooter/>
  <ignoredErrors>
    <ignoredError sqref="Y14:AD14 Y12:AD12 Y10:AD10 Y6:AD6 Y4:AD4 Y30:AD40 Y18:AD18 Y20:AD20 Y22:AD22 Y24:AD24 Y26:AD26 Y28:AD28 Z16:AD16 Y17:AB17 Y15:AB15 Y13:AB13 Y11:AB11 Y9:AB9 Y5:AB5 Y21:AB21 Y19:AB19 Y23:AB23 Y25:AB25 Y27:AA27 Y29 C2:H2 J2:O2 Q2:W2 Z2:AD2 B3:E3 G3:L3 N3:S3 U3 Y3:AB3 AD3 B4 D4:U4 B5:U5 W4:W5 B11:N14 J10:N10 C10:H10 B7:N9 C6:N6 P6:W6 P11:U14 Q10:U10 P7:U9 Y7:AB7 Y8:AD8 W9:W14 B15:W15 B16:E16 G16:L16 N16:S16 U16 W16 B17 D17:I17 K17:P17 R17:W17 J19:P19 U19:W19 V20:W29 O20:O29 AD27 B30:D31 F30:W31 AA29:AD29 B36:W41 M34:W35 B34:K35 B32:W33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L18"/>
  <sheetViews>
    <sheetView zoomScale="85" zoomScaleNormal="85" workbookViewId="0">
      <selection activeCell="G188" sqref="G188"/>
    </sheetView>
  </sheetViews>
  <sheetFormatPr defaultColWidth="8.796875" defaultRowHeight="16.8"/>
  <cols>
    <col min="2" max="2" width="9.703125" customWidth="1"/>
    <col min="5" max="5" width="10.203125" customWidth="1"/>
    <col min="6" max="11" width="21.3984375" customWidth="1"/>
    <col min="12" max="12" width="59.5" customWidth="1"/>
  </cols>
  <sheetData>
    <row r="1" customFormat="1" ht="23.2" spans="1:12">
      <c r="A1" s="233" t="s">
        <v>860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</row>
    <row r="2" customFormat="1" ht="33" customHeight="1" spans="1:12">
      <c r="A2" s="234" t="s">
        <v>844</v>
      </c>
      <c r="B2" s="234" t="s">
        <v>861</v>
      </c>
      <c r="C2" s="234" t="s">
        <v>862</v>
      </c>
      <c r="D2" s="234" t="s">
        <v>863</v>
      </c>
      <c r="E2" s="234" t="s">
        <v>864</v>
      </c>
      <c r="F2" s="240" t="s">
        <v>865</v>
      </c>
      <c r="G2" s="241"/>
      <c r="H2" s="241"/>
      <c r="I2" s="241"/>
      <c r="J2" s="241"/>
      <c r="K2" s="248"/>
      <c r="L2" s="234" t="s">
        <v>866</v>
      </c>
    </row>
    <row r="3" customFormat="1" ht="45" customHeight="1" spans="1:12">
      <c r="A3" s="235"/>
      <c r="B3" s="236"/>
      <c r="C3" s="236"/>
      <c r="D3" s="236"/>
      <c r="E3" s="236"/>
      <c r="F3" s="237" t="s">
        <v>867</v>
      </c>
      <c r="G3" s="237" t="s">
        <v>868</v>
      </c>
      <c r="H3" s="237" t="s">
        <v>869</v>
      </c>
      <c r="I3" s="237" t="s">
        <v>870</v>
      </c>
      <c r="J3" s="237" t="s">
        <v>871</v>
      </c>
      <c r="K3" s="237" t="s">
        <v>872</v>
      </c>
      <c r="L3" s="236"/>
    </row>
    <row r="4" customFormat="1" ht="33" customHeight="1" spans="1:12">
      <c r="A4" s="234" t="s">
        <v>690</v>
      </c>
      <c r="B4" s="237" t="s">
        <v>873</v>
      </c>
      <c r="C4" s="238">
        <f>排产对比表对比!I13</f>
        <v>150880</v>
      </c>
      <c r="D4" s="238">
        <f>排产对比表对比!J13</f>
        <v>119538</v>
      </c>
      <c r="E4" s="238">
        <f t="shared" ref="E4:E7" si="0">C4-D4</f>
        <v>31342</v>
      </c>
      <c r="F4" s="242"/>
      <c r="G4" s="243" t="s">
        <v>874</v>
      </c>
      <c r="H4" s="244" t="s">
        <v>875</v>
      </c>
      <c r="I4" s="244" t="s">
        <v>876</v>
      </c>
      <c r="J4" s="244"/>
      <c r="K4" s="249"/>
      <c r="L4" s="250" t="s">
        <v>877</v>
      </c>
    </row>
    <row r="5" customFormat="1" ht="33" customHeight="1" spans="1:12">
      <c r="A5" s="235"/>
      <c r="B5" s="237" t="s">
        <v>878</v>
      </c>
      <c r="C5" s="238">
        <f>排产对比表对比!N13</f>
        <v>81540</v>
      </c>
      <c r="D5" s="238">
        <f>排产对比表对比!O13</f>
        <v>59398</v>
      </c>
      <c r="E5" s="238">
        <f t="shared" si="0"/>
        <v>22142</v>
      </c>
      <c r="F5" s="242"/>
      <c r="G5" s="243"/>
      <c r="H5" s="244"/>
      <c r="I5" s="251"/>
      <c r="J5" s="247" t="s">
        <v>879</v>
      </c>
      <c r="K5" s="249"/>
      <c r="L5" s="250"/>
    </row>
    <row r="6" customFormat="1" ht="39" customHeight="1" spans="1:12">
      <c r="A6" s="235"/>
      <c r="B6" s="237" t="s">
        <v>880</v>
      </c>
      <c r="C6" s="238">
        <f>排产对比表对比!S13</f>
        <v>950</v>
      </c>
      <c r="D6" s="238">
        <f>排产对比表对比!T13</f>
        <v>3000</v>
      </c>
      <c r="E6" s="238">
        <f t="shared" si="0"/>
        <v>-2050</v>
      </c>
      <c r="F6" s="244"/>
      <c r="G6" s="244"/>
      <c r="H6" s="244"/>
      <c r="I6" s="251"/>
      <c r="J6" s="247"/>
      <c r="K6" s="249"/>
      <c r="L6" s="250"/>
    </row>
    <row r="7" customFormat="1" ht="33" customHeight="1" spans="1:12">
      <c r="A7" s="235"/>
      <c r="B7" s="237" t="s">
        <v>881</v>
      </c>
      <c r="C7" s="238">
        <f>排产对比表对比!D13+排产对比表对比!X13+排产对比表对比!AC13</f>
        <v>116740</v>
      </c>
      <c r="D7" s="238">
        <f>排产对比表对比!E13+排产对比表对比!Y13+排产对比表对比!AD13</f>
        <v>117438</v>
      </c>
      <c r="E7" s="238">
        <f t="shared" si="0"/>
        <v>-698</v>
      </c>
      <c r="F7" s="244"/>
      <c r="G7" s="243"/>
      <c r="H7" s="244"/>
      <c r="I7" s="251"/>
      <c r="J7" s="246" t="s">
        <v>882</v>
      </c>
      <c r="K7" s="252"/>
      <c r="L7" s="253"/>
    </row>
    <row r="8" customFormat="1" ht="33" customHeight="1" spans="1:12">
      <c r="A8" s="236"/>
      <c r="B8" s="239" t="s">
        <v>683</v>
      </c>
      <c r="C8" s="238">
        <f>SUM(C4:C7)</f>
        <v>350110</v>
      </c>
      <c r="D8" s="238">
        <f>SUM(D4:D7)</f>
        <v>299374</v>
      </c>
      <c r="E8" s="238">
        <f>SUM(E4:E7)</f>
        <v>50736</v>
      </c>
      <c r="F8" s="244"/>
      <c r="G8" s="245"/>
      <c r="H8" s="244"/>
      <c r="I8" s="251"/>
      <c r="J8" s="246"/>
      <c r="K8" s="249"/>
      <c r="L8" s="250"/>
    </row>
    <row r="9" customFormat="1" ht="33" customHeight="1" spans="1:12">
      <c r="A9" s="234" t="s">
        <v>853</v>
      </c>
      <c r="B9" s="237" t="s">
        <v>883</v>
      </c>
      <c r="C9" s="238">
        <f>排产对比表对比!D29</f>
        <v>37250</v>
      </c>
      <c r="D9" s="238">
        <f>排产对比表对比!E29</f>
        <v>31732</v>
      </c>
      <c r="E9" s="238">
        <f t="shared" ref="E9:E12" si="1">C9-D9</f>
        <v>5518</v>
      </c>
      <c r="F9" s="244"/>
      <c r="G9" s="243"/>
      <c r="H9" s="244"/>
      <c r="I9" s="247"/>
      <c r="J9" s="246" t="s">
        <v>884</v>
      </c>
      <c r="K9" s="249"/>
      <c r="L9" s="250"/>
    </row>
    <row r="10" customFormat="1" ht="33" customHeight="1" spans="1:12">
      <c r="A10" s="235"/>
      <c r="B10" s="237" t="s">
        <v>885</v>
      </c>
      <c r="C10" s="238">
        <f>排产对比表对比!I29</f>
        <v>22660</v>
      </c>
      <c r="D10" s="238">
        <f>排产对比表对比!J29</f>
        <v>16280</v>
      </c>
      <c r="E10" s="238">
        <f t="shared" si="1"/>
        <v>6380</v>
      </c>
      <c r="F10" s="244"/>
      <c r="G10" s="243"/>
      <c r="H10" s="243"/>
      <c r="I10" s="251"/>
      <c r="J10" s="246" t="s">
        <v>884</v>
      </c>
      <c r="K10" s="249"/>
      <c r="L10" s="250"/>
    </row>
    <row r="11" customFormat="1" ht="33" customHeight="1" spans="1:12">
      <c r="A11" s="235"/>
      <c r="B11" s="237" t="s">
        <v>886</v>
      </c>
      <c r="C11" s="238">
        <f>排产对比表对比!N29</f>
        <v>280</v>
      </c>
      <c r="D11" s="238">
        <f>排产对比表对比!O29</f>
        <v>1860</v>
      </c>
      <c r="E11" s="238">
        <f t="shared" si="1"/>
        <v>-1580</v>
      </c>
      <c r="F11" s="244"/>
      <c r="G11" s="242"/>
      <c r="H11" s="242"/>
      <c r="I11" s="251"/>
      <c r="J11" s="246" t="s">
        <v>887</v>
      </c>
      <c r="K11" s="249"/>
      <c r="L11" s="250"/>
    </row>
    <row r="12" customFormat="1" ht="33" customHeight="1" spans="1:12">
      <c r="A12" s="235"/>
      <c r="B12" s="237" t="s">
        <v>888</v>
      </c>
      <c r="C12" s="238">
        <f>排产对比表对比!S29</f>
        <v>500</v>
      </c>
      <c r="D12" s="238">
        <f>排产对比表对比!T29</f>
        <v>550</v>
      </c>
      <c r="E12" s="238">
        <f t="shared" si="1"/>
        <v>-50</v>
      </c>
      <c r="F12" s="243"/>
      <c r="G12" s="243"/>
      <c r="H12" s="244"/>
      <c r="I12" s="251"/>
      <c r="J12" s="246" t="s">
        <v>887</v>
      </c>
      <c r="K12" s="254"/>
      <c r="L12" s="255" t="s">
        <v>889</v>
      </c>
    </row>
    <row r="13" customFormat="1" ht="33" customHeight="1" spans="1:12">
      <c r="A13" s="236"/>
      <c r="B13" s="239" t="s">
        <v>683</v>
      </c>
      <c r="C13" s="238">
        <f>SUM(C9:C12)</f>
        <v>60690</v>
      </c>
      <c r="D13" s="238">
        <f>SUM(D9:D12)</f>
        <v>50422</v>
      </c>
      <c r="E13" s="238">
        <f>SUM(E9:E12)</f>
        <v>10268</v>
      </c>
      <c r="F13" s="244"/>
      <c r="G13" s="244"/>
      <c r="H13" s="244"/>
      <c r="I13" s="251"/>
      <c r="J13" s="251"/>
      <c r="K13" s="252"/>
      <c r="L13" s="256"/>
    </row>
    <row r="14" customFormat="1" ht="56" customHeight="1" spans="1:12">
      <c r="A14" s="237" t="s">
        <v>890</v>
      </c>
      <c r="B14" s="238" t="s">
        <v>357</v>
      </c>
      <c r="C14" s="238">
        <f>排产对比表对比!AC29</f>
        <v>143900</v>
      </c>
      <c r="D14" s="238">
        <v>149490</v>
      </c>
      <c r="E14" s="238">
        <f t="shared" ref="E14:E17" si="2">C14-D14</f>
        <v>-5590</v>
      </c>
      <c r="F14" s="242" t="s">
        <v>891</v>
      </c>
      <c r="G14" s="244"/>
      <c r="H14" s="246" t="s">
        <v>892</v>
      </c>
      <c r="I14" s="247" t="s">
        <v>893</v>
      </c>
      <c r="J14" s="246" t="s">
        <v>887</v>
      </c>
      <c r="K14" s="249"/>
      <c r="L14" s="249" t="s">
        <v>894</v>
      </c>
    </row>
    <row r="15" customFormat="1" ht="63" customHeight="1" spans="1:12">
      <c r="A15" s="234" t="s">
        <v>895</v>
      </c>
      <c r="B15" s="238" t="s">
        <v>757</v>
      </c>
      <c r="C15" s="238">
        <v>7000</v>
      </c>
      <c r="D15" s="238">
        <f>排产对比表对比!Y29</f>
        <v>10580</v>
      </c>
      <c r="E15" s="238">
        <f t="shared" si="2"/>
        <v>-3580</v>
      </c>
      <c r="F15" s="244"/>
      <c r="G15" s="244"/>
      <c r="H15" s="244"/>
      <c r="I15" s="244"/>
      <c r="J15" s="246" t="s">
        <v>887</v>
      </c>
      <c r="K15" s="252"/>
      <c r="L15" s="257" t="s">
        <v>896</v>
      </c>
    </row>
    <row r="16" customFormat="1" ht="45" customHeight="1" spans="1:12">
      <c r="A16" s="235"/>
      <c r="B16" s="237" t="s">
        <v>708</v>
      </c>
      <c r="C16" s="238">
        <v>47000</v>
      </c>
      <c r="D16" s="238">
        <f>排产对比表对比!AN29</f>
        <v>174900</v>
      </c>
      <c r="E16" s="238">
        <f t="shared" si="2"/>
        <v>-127900</v>
      </c>
      <c r="F16" s="247" t="s">
        <v>897</v>
      </c>
      <c r="G16" s="244"/>
      <c r="H16" s="244"/>
      <c r="I16" s="244"/>
      <c r="J16" s="243"/>
      <c r="K16" s="249"/>
      <c r="L16" s="257" t="s">
        <v>898</v>
      </c>
    </row>
    <row r="17" customFormat="1" ht="33" customHeight="1" spans="1:12">
      <c r="A17" s="236"/>
      <c r="B17" s="239" t="s">
        <v>683</v>
      </c>
      <c r="C17" s="238"/>
      <c r="D17" s="238">
        <f>SUM(D15:D16)</f>
        <v>185480</v>
      </c>
      <c r="E17" s="238">
        <f t="shared" si="2"/>
        <v>-185480</v>
      </c>
      <c r="F17" s="244"/>
      <c r="G17" s="244"/>
      <c r="H17" s="244"/>
      <c r="I17" s="244"/>
      <c r="J17" s="244"/>
      <c r="K17" s="252"/>
      <c r="L17" s="256"/>
    </row>
    <row r="18" ht="34" customHeight="1" spans="1:12">
      <c r="A18" s="237" t="s">
        <v>683</v>
      </c>
      <c r="B18" s="238"/>
      <c r="C18" s="238">
        <f>SUM(C4:C12)</f>
        <v>760910</v>
      </c>
      <c r="D18" s="238">
        <f>D8+D13+D14+D17</f>
        <v>684766</v>
      </c>
      <c r="E18" s="238">
        <f>SUM(E4:E12)</f>
        <v>111740</v>
      </c>
      <c r="F18" s="244"/>
      <c r="G18" s="244"/>
      <c r="H18" s="244"/>
      <c r="I18" s="244"/>
      <c r="J18" s="244"/>
      <c r="K18" s="252"/>
      <c r="L18" s="256"/>
    </row>
  </sheetData>
  <mergeCells count="12">
    <mergeCell ref="A1:L1"/>
    <mergeCell ref="F2:K2"/>
    <mergeCell ref="A18:B18"/>
    <mergeCell ref="A2:A3"/>
    <mergeCell ref="A4:A8"/>
    <mergeCell ref="A9:A13"/>
    <mergeCell ref="A15:A17"/>
    <mergeCell ref="B2:B3"/>
    <mergeCell ref="C2:C3"/>
    <mergeCell ref="D2:D3"/>
    <mergeCell ref="E2:E3"/>
    <mergeCell ref="L2:L3"/>
  </mergeCells>
  <conditionalFormatting sqref="E4:K18">
    <cfRule type="cellIs" dxfId="2" priority="1" operator="lessThan">
      <formula>0</formula>
    </cfRule>
  </conditionalFormatting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C1:K24"/>
  <sheetViews>
    <sheetView topLeftCell="A13" workbookViewId="0">
      <selection activeCell="I32" sqref="I32"/>
    </sheetView>
  </sheetViews>
  <sheetFormatPr defaultColWidth="8.796875" defaultRowHeight="16.8"/>
  <cols>
    <col min="1" max="2" width="8.796875" style="113"/>
    <col min="3" max="3" width="11.6015625" style="113" customWidth="1"/>
    <col min="4" max="4" width="9.1015625" style="113" customWidth="1"/>
    <col min="5" max="5" width="7.8984375" style="113" customWidth="1"/>
    <col min="6" max="6" width="7.703125" style="113" customWidth="1"/>
    <col min="7" max="8" width="8.8984375" style="113" customWidth="1"/>
    <col min="9" max="9" width="44.3984375" style="113" customWidth="1"/>
    <col min="10" max="10" width="7.796875" style="113" customWidth="1"/>
    <col min="11" max="11" width="8.796875" style="113" customWidth="1"/>
    <col min="12" max="16384" width="8.796875" style="113"/>
  </cols>
  <sheetData>
    <row r="1" ht="17" hidden="1" spans="3:4">
      <c r="C1" s="225" t="s">
        <v>899</v>
      </c>
      <c r="D1" s="113">
        <v>30</v>
      </c>
    </row>
    <row r="2" hidden="1"/>
    <row r="3" ht="34" hidden="1" spans="3:11">
      <c r="C3" s="226" t="s">
        <v>900</v>
      </c>
      <c r="D3" s="226" t="s">
        <v>901</v>
      </c>
      <c r="E3" s="231" t="s">
        <v>902</v>
      </c>
      <c r="F3" s="226" t="s">
        <v>903</v>
      </c>
      <c r="G3" s="226" t="s">
        <v>904</v>
      </c>
      <c r="H3" s="226"/>
      <c r="I3" s="226" t="s">
        <v>905</v>
      </c>
      <c r="J3" s="226" t="s">
        <v>906</v>
      </c>
      <c r="K3" s="226" t="s">
        <v>907</v>
      </c>
    </row>
    <row r="4" hidden="1" spans="3:11">
      <c r="C4" s="227" t="s">
        <v>908</v>
      </c>
      <c r="D4" s="227">
        <f>SUM(D5:D11)</f>
        <v>0</v>
      </c>
      <c r="E4" s="232">
        <f>AVERAGE(E5:E11)</f>
        <v>298.571428571429</v>
      </c>
      <c r="F4" s="227">
        <f>SUM(F5:F11)</f>
        <v>28</v>
      </c>
      <c r="G4" s="227">
        <f>SUM(G5:G11)</f>
        <v>319374</v>
      </c>
      <c r="H4" s="227"/>
      <c r="I4" s="227">
        <f>SUM(I5:I11)</f>
        <v>39.7</v>
      </c>
      <c r="J4" s="227" t="e">
        <f>#REF!-I4</f>
        <v>#REF!</v>
      </c>
      <c r="K4" s="227" t="s">
        <v>909</v>
      </c>
    </row>
    <row r="5" hidden="1" spans="3:11">
      <c r="C5" s="228">
        <v>16</v>
      </c>
      <c r="D5" s="228">
        <f>SUMIF(销售需求表!H:H,C5&amp;"全钢",销售需求表!B:B)</f>
        <v>0</v>
      </c>
      <c r="E5" s="228">
        <v>360</v>
      </c>
      <c r="F5" s="228" t="str">
        <f>IFERROR(ROUNDDOWN(D5/($F$2*E5),1),"")</f>
        <v/>
      </c>
      <c r="G5" s="228">
        <f>SUMIF('7月排产计划'!N:N,C5&amp;"全钢",'7月排产计划'!AW:AW)</f>
        <v>21000</v>
      </c>
      <c r="H5" s="228"/>
      <c r="I5" s="228">
        <f>IFERROR(ROUNDDOWN(G5/($D$1*E5),1),"")</f>
        <v>1.9</v>
      </c>
      <c r="J5" s="228" t="e">
        <f>#REF!-I5</f>
        <v>#REF!</v>
      </c>
      <c r="K5" s="228"/>
    </row>
    <row r="6" hidden="1" spans="3:11">
      <c r="C6" s="227">
        <v>17.5</v>
      </c>
      <c r="D6" s="227">
        <f>SUMIF(销售需求表!H:H,C6&amp;"全钢",销售需求表!B:B)</f>
        <v>0</v>
      </c>
      <c r="E6" s="227">
        <v>360</v>
      </c>
      <c r="F6" s="227">
        <v>2</v>
      </c>
      <c r="G6" s="227">
        <f>SUMIF('7月排产计划'!N:N,C6&amp;"全钢",'7月排产计划'!AW:AW)</f>
        <v>16540</v>
      </c>
      <c r="H6" s="227"/>
      <c r="I6" s="228">
        <f>IFERROR(ROUNDDOWN(G6/($D$1*E6),1),"")</f>
        <v>1.5</v>
      </c>
      <c r="J6" s="227" t="e">
        <f>#REF!-I6</f>
        <v>#REF!</v>
      </c>
      <c r="K6" s="227"/>
    </row>
    <row r="7" hidden="1" spans="3:11">
      <c r="C7" s="228">
        <v>19.5</v>
      </c>
      <c r="D7" s="228">
        <f>SUMIF(销售需求表!H:H,C7&amp;"全钢",销售需求表!B:B)</f>
        <v>0</v>
      </c>
      <c r="E7" s="228">
        <v>360</v>
      </c>
      <c r="F7" s="228">
        <v>2</v>
      </c>
      <c r="G7" s="228">
        <f>SUMIF('7月排产计划'!N:N,C7&amp;"全钢",'7月排产计划'!AW:AW)</f>
        <v>24010</v>
      </c>
      <c r="H7" s="228"/>
      <c r="I7" s="228">
        <f t="shared" ref="I6:I11" si="0">IFERROR(ROUNDDOWN(G7/($D$1*E7),1),"")</f>
        <v>2.2</v>
      </c>
      <c r="J7" s="228" t="e">
        <f>#REF!-I7</f>
        <v>#REF!</v>
      </c>
      <c r="K7" s="228"/>
    </row>
    <row r="8" hidden="1" spans="3:11">
      <c r="C8" s="227">
        <v>20</v>
      </c>
      <c r="D8" s="227">
        <f>SUMIF(销售需求表!H:H,C8&amp;"全钢",销售需求表!B:B)</f>
        <v>0</v>
      </c>
      <c r="E8" s="227">
        <v>230</v>
      </c>
      <c r="F8" s="227">
        <v>3</v>
      </c>
      <c r="G8" s="227">
        <f>SUMIF('7月排产计划'!N:N,C8&amp;"全钢",'7月排产计划'!AW:AW)</f>
        <v>70850</v>
      </c>
      <c r="H8" s="227"/>
      <c r="I8" s="228">
        <f t="shared" si="0"/>
        <v>10.2</v>
      </c>
      <c r="J8" s="227" t="e">
        <f>#REF!-I8</f>
        <v>#REF!</v>
      </c>
      <c r="K8" s="227"/>
    </row>
    <row r="9" hidden="1" spans="3:11">
      <c r="C9" s="228">
        <v>22.5</v>
      </c>
      <c r="D9" s="228">
        <f>SUMIF(销售需求表!H:H,C9&amp;"全钢",销售需求表!B:B)</f>
        <v>0</v>
      </c>
      <c r="E9" s="228">
        <v>260</v>
      </c>
      <c r="F9" s="228">
        <v>17</v>
      </c>
      <c r="G9" s="228">
        <f>SUMIF('7月排产计划'!N:N,C9&amp;"全钢",'7月排产计划'!AW:AW)</f>
        <v>153702</v>
      </c>
      <c r="H9" s="228"/>
      <c r="I9" s="228">
        <f t="shared" si="0"/>
        <v>19.7</v>
      </c>
      <c r="J9" s="228" t="e">
        <f>#REF!-I9</f>
        <v>#REF!</v>
      </c>
      <c r="K9" s="228"/>
    </row>
    <row r="10" hidden="1" spans="3:11">
      <c r="C10" s="227">
        <v>24.5</v>
      </c>
      <c r="D10" s="227">
        <f>SUMIF(销售需求表!H:H,C10&amp;"全钢",销售需求表!B:B)</f>
        <v>0</v>
      </c>
      <c r="E10" s="227">
        <v>240</v>
      </c>
      <c r="F10" s="227">
        <v>2</v>
      </c>
      <c r="G10" s="227">
        <f>SUMIF('7月排产计划'!N:N,C10&amp;"全钢",'7月排产计划'!AW:AW)</f>
        <v>14466</v>
      </c>
      <c r="H10" s="227"/>
      <c r="I10" s="228">
        <f t="shared" si="0"/>
        <v>2</v>
      </c>
      <c r="J10" s="227" t="e">
        <f>#REF!-I10</f>
        <v>#REF!</v>
      </c>
      <c r="K10" s="227"/>
    </row>
    <row r="11" hidden="1" spans="3:11">
      <c r="C11" s="228">
        <v>24</v>
      </c>
      <c r="D11" s="228">
        <f>SUMIF(销售需求表!H:H,C11&amp;"全钢",销售需求表!B:B)</f>
        <v>0</v>
      </c>
      <c r="E11" s="228">
        <v>280</v>
      </c>
      <c r="F11" s="228">
        <v>2</v>
      </c>
      <c r="G11" s="228">
        <f>SUMIF('7月排产计划'!N:N,C11&amp;"全钢",'7月排产计划'!AW:AW)</f>
        <v>18806</v>
      </c>
      <c r="H11" s="228"/>
      <c r="I11" s="228">
        <f t="shared" si="0"/>
        <v>2.2</v>
      </c>
      <c r="J11" s="228" t="e">
        <f>#REF!-I11</f>
        <v>#REF!</v>
      </c>
      <c r="K11" s="228"/>
    </row>
    <row r="12" hidden="1" spans="3:11">
      <c r="C12" s="226"/>
      <c r="D12" s="226"/>
      <c r="E12" s="226"/>
      <c r="F12" s="226"/>
      <c r="G12" s="226"/>
      <c r="H12" s="226"/>
      <c r="I12" s="226"/>
      <c r="J12" s="226"/>
      <c r="K12" s="226"/>
    </row>
    <row r="13" ht="17" spans="3:9">
      <c r="C13" s="229" t="s">
        <v>910</v>
      </c>
      <c r="D13" s="230"/>
      <c r="E13" s="230"/>
      <c r="F13" s="230"/>
      <c r="G13" s="230"/>
      <c r="H13" s="230"/>
      <c r="I13" s="230"/>
    </row>
    <row r="14" ht="17" spans="3:9">
      <c r="C14" s="226" t="s">
        <v>900</v>
      </c>
      <c r="D14" s="231" t="s">
        <v>691</v>
      </c>
      <c r="E14" s="231" t="s">
        <v>695</v>
      </c>
      <c r="F14" s="231" t="s">
        <v>693</v>
      </c>
      <c r="G14" s="231" t="s">
        <v>911</v>
      </c>
      <c r="H14" s="231" t="s">
        <v>912</v>
      </c>
      <c r="I14" s="231" t="s">
        <v>913</v>
      </c>
    </row>
    <row r="15" spans="3:9">
      <c r="C15" s="226">
        <v>16</v>
      </c>
      <c r="D15" s="231">
        <v>1</v>
      </c>
      <c r="E15" s="231"/>
      <c r="F15" s="231"/>
      <c r="G15" s="231"/>
      <c r="H15" s="231"/>
      <c r="I15" s="231"/>
    </row>
    <row r="16" spans="3:9">
      <c r="C16" s="226">
        <v>17.5</v>
      </c>
      <c r="D16" s="231">
        <v>2</v>
      </c>
      <c r="E16" s="231"/>
      <c r="F16" s="231"/>
      <c r="G16" s="231"/>
      <c r="H16" s="231"/>
      <c r="I16" s="231"/>
    </row>
    <row r="17" spans="3:9">
      <c r="C17" s="226">
        <v>19.5</v>
      </c>
      <c r="D17" s="231">
        <v>2</v>
      </c>
      <c r="E17" s="231"/>
      <c r="F17" s="231"/>
      <c r="G17" s="231"/>
      <c r="H17" s="231"/>
      <c r="I17" s="231"/>
    </row>
    <row r="18" ht="17" spans="3:9">
      <c r="C18" s="226">
        <v>20</v>
      </c>
      <c r="D18" s="231"/>
      <c r="E18" s="231">
        <v>7</v>
      </c>
      <c r="F18" s="231"/>
      <c r="G18" s="231"/>
      <c r="H18" s="231">
        <v>1</v>
      </c>
      <c r="I18" s="231" t="s">
        <v>914</v>
      </c>
    </row>
    <row r="19" ht="17" spans="3:9">
      <c r="C19" s="226">
        <v>22.5</v>
      </c>
      <c r="D19" s="231">
        <v>9</v>
      </c>
      <c r="E19" s="231"/>
      <c r="F19" s="231">
        <v>5</v>
      </c>
      <c r="G19" s="231"/>
      <c r="H19" s="231">
        <v>3</v>
      </c>
      <c r="I19" s="231" t="s">
        <v>914</v>
      </c>
    </row>
    <row r="20" spans="3:9">
      <c r="C20" s="226">
        <v>24</v>
      </c>
      <c r="D20" s="231"/>
      <c r="E20" s="231">
        <v>2</v>
      </c>
      <c r="F20" s="231"/>
      <c r="G20" s="231"/>
      <c r="H20" s="231"/>
      <c r="I20" s="231"/>
    </row>
    <row r="21" ht="17" spans="3:9">
      <c r="C21" s="226">
        <v>24.5</v>
      </c>
      <c r="D21" s="231">
        <v>2</v>
      </c>
      <c r="E21" s="231"/>
      <c r="F21" s="231"/>
      <c r="G21" s="231"/>
      <c r="H21" s="231"/>
      <c r="I21" s="231" t="s">
        <v>915</v>
      </c>
    </row>
    <row r="22" ht="17" spans="3:9">
      <c r="C22" s="226"/>
      <c r="D22" s="226"/>
      <c r="E22" s="226"/>
      <c r="F22" s="226"/>
      <c r="G22" s="226"/>
      <c r="H22" s="226"/>
      <c r="I22" s="231" t="s">
        <v>916</v>
      </c>
    </row>
    <row r="23" ht="17" spans="3:9">
      <c r="C23" s="231" t="s">
        <v>683</v>
      </c>
      <c r="D23" s="231">
        <f>SUM(D15:D22)</f>
        <v>16</v>
      </c>
      <c r="E23" s="231">
        <f>SUM(E15:E22)</f>
        <v>9</v>
      </c>
      <c r="F23" s="231">
        <f>SUM(F15:F22)</f>
        <v>5</v>
      </c>
      <c r="G23" s="231">
        <f>SUM(G15:G22)</f>
        <v>0</v>
      </c>
      <c r="H23" s="231">
        <f>SUM(H15:H22)</f>
        <v>4</v>
      </c>
      <c r="I23" s="226"/>
    </row>
    <row r="24" ht="17" spans="3:4">
      <c r="C24" s="225" t="s">
        <v>908</v>
      </c>
      <c r="D24" s="113">
        <f>SUM(D23:H23)</f>
        <v>34</v>
      </c>
    </row>
  </sheetData>
  <pageMargins left="0.75" right="0.75" top="1" bottom="1" header="0.5" footer="0.5"/>
  <pageSetup paperSize="9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14d776dc-aa36-42f1-abcc-28d05d9d105f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Arrows" iconId="1"/>
              <x14:cfIcon iconSet="3Arrows" iconId="2"/>
            </x14:iconSet>
          </x14:cfRule>
          <xm:sqref>J5</xm:sqref>
        </x14:conditionalFormatting>
        <x14:conditionalFormatting xmlns:xm="http://schemas.microsoft.com/office/excel/2006/main">
          <x14:cfRule type="iconSet" priority="2" id="{c8c99237-f8aa-4f52-b7a0-d6db48b33120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Arrows" iconId="1"/>
              <x14:cfIcon iconSet="3Arrows" iconId="2"/>
            </x14:iconSet>
          </x14:cfRule>
          <xm:sqref>J4 J6:J11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B2:BB1182"/>
  <sheetViews>
    <sheetView topLeftCell="AS1" workbookViewId="0">
      <selection activeCell="AZ201" sqref="AZ201:AZ202"/>
    </sheetView>
  </sheetViews>
  <sheetFormatPr defaultColWidth="8.796875" defaultRowHeight="17.6"/>
  <cols>
    <col min="1" max="1" width="1.796875" style="113" customWidth="1"/>
    <col min="2" max="2" width="12.6015625" style="114" customWidth="1"/>
    <col min="3" max="3" width="9.53125" style="114"/>
    <col min="4" max="4" width="23.515625" style="114" customWidth="1"/>
    <col min="5" max="5" width="43.0859375" style="114" customWidth="1"/>
    <col min="6" max="7" width="14" style="114"/>
    <col min="8" max="8" width="9.53125" style="114"/>
    <col min="9" max="9" width="10.8671875" style="114"/>
    <col min="10" max="10" width="29.703125" style="115" customWidth="1"/>
    <col min="11" max="11" width="13.765625" style="114"/>
    <col min="12" max="12" width="9.53125" style="114"/>
    <col min="13" max="13" width="20.5234375" style="114"/>
    <col min="14" max="14" width="34.015625" style="114" customWidth="1"/>
    <col min="15" max="15" width="10.375" style="114"/>
    <col min="16" max="17" width="9.53125" style="114"/>
    <col min="18" max="18" width="10.859375" style="114"/>
    <col min="19" max="19" width="22.796875" style="114" customWidth="1"/>
    <col min="20" max="20" width="14.578125" style="114" customWidth="1"/>
    <col min="21" max="21" width="9.53125" style="114"/>
    <col min="22" max="22" width="20.7421875" style="114"/>
    <col min="23" max="23" width="27.7734375" style="114" customWidth="1"/>
    <col min="24" max="24" width="8.796875" style="114" customWidth="1"/>
    <col min="25" max="26" width="9.53125" style="114"/>
    <col min="27" max="27" width="10.8671875" style="114"/>
    <col min="28" max="28" width="22.5" style="113" customWidth="1"/>
    <col min="29" max="29" width="13.765625" style="114"/>
    <col min="30" max="30" width="9.53125" style="114"/>
    <col min="31" max="31" width="20.75" style="114"/>
    <col min="32" max="32" width="24.640625" style="114"/>
    <col min="33" max="35" width="9.53125" style="114"/>
    <col min="36" max="36" width="10.859375" style="116"/>
    <col min="37" max="37" width="36.6015625" style="113" customWidth="1"/>
    <col min="38" max="38" width="12.8984375" style="116"/>
    <col min="39" max="39" width="9.71875" style="116"/>
    <col min="40" max="40" width="16.375" style="116" customWidth="1"/>
    <col min="41" max="41" width="34.1015625" style="116" customWidth="1"/>
    <col min="42" max="42" width="7.296875" style="116" customWidth="1"/>
    <col min="43" max="44" width="9.71875" style="116"/>
    <col min="45" max="45" width="10.8671875" style="116"/>
    <col min="46" max="46" width="32.703125" style="113" customWidth="1"/>
    <col min="47" max="47" width="11.2734375" style="116" customWidth="1"/>
    <col min="48" max="48" width="9.71875" style="116"/>
    <col min="49" max="49" width="18.1484375" style="116" customWidth="1"/>
    <col min="50" max="50" width="26.3984375" style="116" customWidth="1"/>
    <col min="51" max="52" width="9.71875" style="116"/>
    <col min="53" max="53" width="11.96875" style="116" customWidth="1"/>
    <col min="54" max="54" width="37" style="113" customWidth="1"/>
    <col min="55" max="16384" width="8.796875" style="113"/>
  </cols>
  <sheetData>
    <row r="2" ht="17.4" customHeight="1" spans="2:53">
      <c r="B2" s="117" t="s">
        <v>917</v>
      </c>
      <c r="C2" s="118"/>
      <c r="D2" s="118"/>
      <c r="E2" s="118"/>
      <c r="F2" s="118"/>
      <c r="G2" s="118"/>
      <c r="H2" s="118"/>
      <c r="I2" s="140"/>
      <c r="K2" s="141" t="s">
        <v>918</v>
      </c>
      <c r="L2" s="142"/>
      <c r="M2" s="142"/>
      <c r="N2" s="142"/>
      <c r="O2" s="142"/>
      <c r="P2" s="142"/>
      <c r="Q2" s="142"/>
      <c r="R2" s="163"/>
      <c r="T2" s="141" t="s">
        <v>919</v>
      </c>
      <c r="U2" s="142"/>
      <c r="V2" s="142"/>
      <c r="W2" s="142"/>
      <c r="X2" s="142"/>
      <c r="Y2" s="142"/>
      <c r="Z2" s="142"/>
      <c r="AA2" s="163"/>
      <c r="AC2" s="141" t="s">
        <v>920</v>
      </c>
      <c r="AD2" s="142"/>
      <c r="AE2" s="142"/>
      <c r="AF2" s="142"/>
      <c r="AG2" s="142"/>
      <c r="AH2" s="142"/>
      <c r="AI2" s="142"/>
      <c r="AJ2" s="163"/>
      <c r="AL2" s="141" t="s">
        <v>921</v>
      </c>
      <c r="AM2" s="142"/>
      <c r="AN2" s="142"/>
      <c r="AO2" s="142"/>
      <c r="AP2" s="142"/>
      <c r="AQ2" s="142"/>
      <c r="AR2" s="142"/>
      <c r="AS2" s="163"/>
      <c r="AU2" s="141" t="s">
        <v>922</v>
      </c>
      <c r="AV2" s="142"/>
      <c r="AW2" s="142"/>
      <c r="AX2" s="142"/>
      <c r="AY2" s="142"/>
      <c r="AZ2" s="142"/>
      <c r="BA2" s="163"/>
    </row>
    <row r="3" ht="16.8" spans="2:53">
      <c r="B3" s="119" t="s">
        <v>923</v>
      </c>
      <c r="C3" s="120" t="s">
        <v>924</v>
      </c>
      <c r="D3" s="120" t="s">
        <v>925</v>
      </c>
      <c r="E3" s="125" t="s">
        <v>926</v>
      </c>
      <c r="F3" s="120" t="s">
        <v>927</v>
      </c>
      <c r="G3" s="120" t="s">
        <v>928</v>
      </c>
      <c r="H3" s="121" t="s">
        <v>929</v>
      </c>
      <c r="I3" s="143" t="s">
        <v>930</v>
      </c>
      <c r="K3" s="119" t="s">
        <v>923</v>
      </c>
      <c r="L3" s="120" t="s">
        <v>924</v>
      </c>
      <c r="M3" s="120" t="s">
        <v>925</v>
      </c>
      <c r="N3" s="120" t="s">
        <v>926</v>
      </c>
      <c r="O3" s="120" t="s">
        <v>931</v>
      </c>
      <c r="P3" s="120" t="s">
        <v>932</v>
      </c>
      <c r="Q3" s="120" t="s">
        <v>929</v>
      </c>
      <c r="R3" s="143" t="s">
        <v>930</v>
      </c>
      <c r="T3" s="119" t="s">
        <v>923</v>
      </c>
      <c r="U3" s="120" t="s">
        <v>924</v>
      </c>
      <c r="V3" s="120" t="s">
        <v>925</v>
      </c>
      <c r="W3" s="120" t="s">
        <v>926</v>
      </c>
      <c r="X3" s="120"/>
      <c r="Y3" s="120" t="s">
        <v>932</v>
      </c>
      <c r="Z3" s="120" t="s">
        <v>929</v>
      </c>
      <c r="AA3" s="143" t="s">
        <v>930</v>
      </c>
      <c r="AC3" s="119" t="s">
        <v>923</v>
      </c>
      <c r="AD3" s="120" t="s">
        <v>924</v>
      </c>
      <c r="AE3" s="120" t="s">
        <v>925</v>
      </c>
      <c r="AF3" s="120" t="s">
        <v>926</v>
      </c>
      <c r="AG3" s="120" t="s">
        <v>931</v>
      </c>
      <c r="AH3" s="120" t="s">
        <v>932</v>
      </c>
      <c r="AI3" s="120" t="s">
        <v>929</v>
      </c>
      <c r="AJ3" s="143" t="s">
        <v>930</v>
      </c>
      <c r="AL3" s="119" t="s">
        <v>923</v>
      </c>
      <c r="AM3" s="120" t="s">
        <v>924</v>
      </c>
      <c r="AN3" s="120" t="s">
        <v>925</v>
      </c>
      <c r="AO3" s="120" t="s">
        <v>926</v>
      </c>
      <c r="AP3" s="120"/>
      <c r="AQ3" s="120" t="s">
        <v>932</v>
      </c>
      <c r="AR3" s="120" t="s">
        <v>929</v>
      </c>
      <c r="AS3" s="143" t="s">
        <v>930</v>
      </c>
      <c r="AU3" s="119" t="s">
        <v>923</v>
      </c>
      <c r="AV3" s="120" t="s">
        <v>924</v>
      </c>
      <c r="AW3" s="120" t="s">
        <v>925</v>
      </c>
      <c r="AX3" s="120" t="s">
        <v>926</v>
      </c>
      <c r="AY3" s="120" t="s">
        <v>932</v>
      </c>
      <c r="AZ3" s="120" t="s">
        <v>929</v>
      </c>
      <c r="BA3" s="143" t="s">
        <v>930</v>
      </c>
    </row>
    <row r="4" ht="13.8" customHeight="1" spans="2:54">
      <c r="B4" s="119" t="s">
        <v>933</v>
      </c>
      <c r="C4" s="120" t="s">
        <v>934</v>
      </c>
      <c r="D4" s="121" t="s">
        <v>935</v>
      </c>
      <c r="E4" s="120" t="s">
        <v>936</v>
      </c>
      <c r="F4" s="127">
        <f>G4--1.519+2.031</f>
        <v>23.705</v>
      </c>
      <c r="G4" s="127">
        <v>20.155</v>
      </c>
      <c r="H4" s="128">
        <v>20.1558</v>
      </c>
      <c r="I4" s="144">
        <f t="shared" ref="I4:I10" si="0">G4-H4</f>
        <v>-0.000799999999998136</v>
      </c>
      <c r="J4" s="115" t="str">
        <f t="shared" ref="J4:J11" si="1">_xlfn.TEXTJOIN("-",TRUE,B4,C4,D4)</f>
        <v>6.50R16-12PR-AZ686</v>
      </c>
      <c r="K4" s="119" t="s">
        <v>937</v>
      </c>
      <c r="L4" s="120" t="s">
        <v>934</v>
      </c>
      <c r="M4" s="120" t="s">
        <v>938</v>
      </c>
      <c r="N4" s="120" t="s">
        <v>939</v>
      </c>
      <c r="O4" s="120" t="s">
        <v>940</v>
      </c>
      <c r="P4" s="120">
        <v>17.91</v>
      </c>
      <c r="Q4" s="120">
        <v>17.93</v>
      </c>
      <c r="R4" s="143">
        <f t="shared" ref="R4:R8" si="2">P4-Q4</f>
        <v>-0.0199999999999996</v>
      </c>
      <c r="S4" s="113" t="str">
        <f>_xlfn.TEXTJOIN("-",TRUE,K4,L4,M4)</f>
        <v>7.00-15-12PR-R8037</v>
      </c>
      <c r="T4" s="119" t="s">
        <v>941</v>
      </c>
      <c r="U4" s="120" t="s">
        <v>942</v>
      </c>
      <c r="V4" s="120" t="s">
        <v>943</v>
      </c>
      <c r="W4" s="120" t="s">
        <v>944</v>
      </c>
      <c r="X4" s="120"/>
      <c r="Y4" s="133">
        <v>2.488</v>
      </c>
      <c r="Z4" s="133">
        <v>2.488</v>
      </c>
      <c r="AA4" s="144">
        <f t="shared" ref="AA4:AA7" si="3">Y4-Z4</f>
        <v>0</v>
      </c>
      <c r="AB4" s="113" t="str">
        <f>_xlfn.TEXTJOIN("-",TRUE,T4,U4,V4)</f>
        <v>4.80/400-8-4PR-TF11</v>
      </c>
      <c r="AC4" s="119" t="s">
        <v>945</v>
      </c>
      <c r="AD4" s="120" t="s">
        <v>946</v>
      </c>
      <c r="AE4" s="120" t="s">
        <v>947</v>
      </c>
      <c r="AF4" s="120" t="s">
        <v>948</v>
      </c>
      <c r="AG4" s="120" t="s">
        <v>66</v>
      </c>
      <c r="AH4" s="120">
        <v>7.82</v>
      </c>
      <c r="AI4" s="120">
        <v>7.77</v>
      </c>
      <c r="AJ4" s="144">
        <f t="shared" ref="AJ4:AJ7" si="4">AH4-AI4</f>
        <v>0.0500000000000007</v>
      </c>
      <c r="AK4" s="113" t="str">
        <f>_xlfn.TEXTJOIN("-",TRUE,AC4,AD4,AE4)</f>
        <v>5.00-8-10PR-STRONG GUARD LIFT</v>
      </c>
      <c r="AL4" s="119" t="s">
        <v>949</v>
      </c>
      <c r="AM4" s="120" t="s">
        <v>66</v>
      </c>
      <c r="AN4" s="120" t="s">
        <v>950</v>
      </c>
      <c r="AO4" s="120" t="s">
        <v>951</v>
      </c>
      <c r="AP4" s="120"/>
      <c r="AQ4" s="133">
        <v>5.404</v>
      </c>
      <c r="AR4" s="133">
        <v>5.411</v>
      </c>
      <c r="AS4" s="144">
        <f t="shared" ref="AS4:AS11" si="5">AQ4-AR4</f>
        <v>-0.00699999999999967</v>
      </c>
      <c r="AT4" s="113" t="str">
        <f>_xlfn.TEXTJOIN("-",TRUE,AL4,AM4,AN4)</f>
        <v>135/80R13-/-TRAILER ST290</v>
      </c>
      <c r="AU4" s="119" t="s">
        <v>952</v>
      </c>
      <c r="AV4" s="120" t="s">
        <v>66</v>
      </c>
      <c r="AW4" s="120" t="s">
        <v>953</v>
      </c>
      <c r="AX4" s="120" t="s">
        <v>954</v>
      </c>
      <c r="AY4" s="133">
        <v>5.829</v>
      </c>
      <c r="AZ4" s="133">
        <v>5.837</v>
      </c>
      <c r="BA4" s="144">
        <f t="shared" ref="BA4:BA7" si="6">AY4-AZ4</f>
        <v>-0.00800000000000001</v>
      </c>
      <c r="BB4" s="113" t="str">
        <f>_xlfn.TEXTJOIN("-",TRUE,AU4,AW4)</f>
        <v>165/55R14-C-108</v>
      </c>
    </row>
    <row r="5" ht="17" spans="2:54">
      <c r="B5" s="119" t="s">
        <v>933</v>
      </c>
      <c r="C5" s="120" t="s">
        <v>934</v>
      </c>
      <c r="D5" s="121" t="s">
        <v>955</v>
      </c>
      <c r="E5" s="120" t="s">
        <v>936</v>
      </c>
      <c r="F5" s="127">
        <f>G5-1.519+2.031</f>
        <v>20.667</v>
      </c>
      <c r="G5" s="127">
        <v>20.155</v>
      </c>
      <c r="H5" s="128">
        <v>20.1558</v>
      </c>
      <c r="I5" s="144">
        <f t="shared" si="0"/>
        <v>-0.000799999999998136</v>
      </c>
      <c r="J5" s="115" t="str">
        <f t="shared" si="1"/>
        <v>6.50R16-12PR-VAZ66</v>
      </c>
      <c r="K5" s="122"/>
      <c r="L5" s="123"/>
      <c r="M5" s="123"/>
      <c r="N5" s="123"/>
      <c r="O5" s="123"/>
      <c r="P5" s="123"/>
      <c r="Q5" s="123"/>
      <c r="R5" s="151"/>
      <c r="S5" s="113" t="str">
        <f t="shared" ref="S5:S68" si="7">_xlfn.TEXTJOIN("-",TRUE,K5,L5,M5)</f>
        <v/>
      </c>
      <c r="T5" s="122"/>
      <c r="U5" s="123"/>
      <c r="V5" s="123"/>
      <c r="W5" s="123"/>
      <c r="X5" s="123"/>
      <c r="Y5" s="123"/>
      <c r="Z5" s="123"/>
      <c r="AA5" s="151"/>
      <c r="AB5" s="113" t="str">
        <f>_xlfn.TEXTJOIN("-",TRUE,T5,U5,V5)</f>
        <v/>
      </c>
      <c r="AC5" s="122"/>
      <c r="AD5" s="123"/>
      <c r="AE5" s="123"/>
      <c r="AF5" s="123"/>
      <c r="AG5" s="123"/>
      <c r="AH5" s="123"/>
      <c r="AI5" s="123"/>
      <c r="AJ5" s="151"/>
      <c r="AK5" s="113" t="str">
        <f t="shared" ref="AK5:AK68" si="8">_xlfn.TEXTJOIN("-",TRUE,AC5,AD5,AE5)</f>
        <v/>
      </c>
      <c r="AL5" s="122"/>
      <c r="AM5" s="123"/>
      <c r="AN5" s="123"/>
      <c r="AO5" s="123"/>
      <c r="AP5" s="123"/>
      <c r="AQ5" s="130"/>
      <c r="AR5" s="130"/>
      <c r="AS5" s="145"/>
      <c r="AT5" s="113" t="str">
        <f t="shared" ref="AT5:AT36" si="9">_xlfn.TEXTJOIN("-",TRUE,AL5,AM5,AN5)</f>
        <v/>
      </c>
      <c r="AU5" s="119" t="s">
        <v>952</v>
      </c>
      <c r="AV5" s="120" t="s">
        <v>66</v>
      </c>
      <c r="AW5" s="120" t="s">
        <v>956</v>
      </c>
      <c r="AX5" s="120" t="s">
        <v>954</v>
      </c>
      <c r="AY5" s="133">
        <v>5.829</v>
      </c>
      <c r="AZ5" s="133">
        <v>5.837</v>
      </c>
      <c r="BA5" s="144">
        <f t="shared" si="6"/>
        <v>-0.00800000000000001</v>
      </c>
      <c r="BB5" s="113" t="str">
        <f t="shared" ref="BB5:BB68" si="10">_xlfn.TEXTJOIN("-",TRUE,AU5,AW5)</f>
        <v>165/55R14-G-118</v>
      </c>
    </row>
    <row r="6" spans="2:54">
      <c r="B6" s="122"/>
      <c r="C6" s="123"/>
      <c r="D6" s="123"/>
      <c r="E6" s="129"/>
      <c r="F6" s="130"/>
      <c r="G6" s="130"/>
      <c r="H6" s="131"/>
      <c r="I6" s="145"/>
      <c r="J6" s="115" t="str">
        <f t="shared" si="1"/>
        <v/>
      </c>
      <c r="K6" s="120" t="s">
        <v>957</v>
      </c>
      <c r="L6" s="120" t="s">
        <v>958</v>
      </c>
      <c r="M6" s="120" t="s">
        <v>959</v>
      </c>
      <c r="N6" s="120" t="s">
        <v>960</v>
      </c>
      <c r="O6" s="120" t="s">
        <v>66</v>
      </c>
      <c r="P6" s="120">
        <v>19.85</v>
      </c>
      <c r="Q6" s="120">
        <v>19.73</v>
      </c>
      <c r="R6" s="120">
        <f t="shared" si="2"/>
        <v>0.120000000000001</v>
      </c>
      <c r="S6" s="113" t="str">
        <f t="shared" si="7"/>
        <v>7.00-16LT-14PR-MR881</v>
      </c>
      <c r="T6" s="119" t="s">
        <v>961</v>
      </c>
      <c r="U6" s="120" t="s">
        <v>962</v>
      </c>
      <c r="V6" s="120" t="s">
        <v>943</v>
      </c>
      <c r="W6" s="120" t="s">
        <v>963</v>
      </c>
      <c r="X6" s="120"/>
      <c r="Y6" s="133">
        <v>3.7</v>
      </c>
      <c r="Z6" s="133">
        <v>3.72</v>
      </c>
      <c r="AA6" s="144">
        <f t="shared" si="3"/>
        <v>-0.02</v>
      </c>
      <c r="AB6" s="113" t="str">
        <f>_xlfn.TEXTJOIN("-",TRUE,T6,U6,V6)</f>
        <v>5.70-8-8PR-TF11</v>
      </c>
      <c r="AC6" s="119" t="s">
        <v>964</v>
      </c>
      <c r="AD6" s="120" t="s">
        <v>965</v>
      </c>
      <c r="AE6" s="120" t="s">
        <v>966</v>
      </c>
      <c r="AF6" s="120" t="s">
        <v>967</v>
      </c>
      <c r="AG6" s="120" t="s">
        <v>66</v>
      </c>
      <c r="AH6" s="120">
        <v>8.98</v>
      </c>
      <c r="AI6" s="120">
        <v>8.85</v>
      </c>
      <c r="AJ6" s="144">
        <f t="shared" si="4"/>
        <v>0.130000000000001</v>
      </c>
      <c r="AK6" s="113" t="str">
        <f t="shared" si="8"/>
        <v>5.70-12-6PR-STRONG GUARD SS</v>
      </c>
      <c r="AL6" s="119" t="s">
        <v>968</v>
      </c>
      <c r="AM6" s="120" t="s">
        <v>66</v>
      </c>
      <c r="AN6" s="120" t="s">
        <v>950</v>
      </c>
      <c r="AO6" s="120" t="s">
        <v>969</v>
      </c>
      <c r="AP6" s="120"/>
      <c r="AQ6" s="133">
        <v>5.995</v>
      </c>
      <c r="AR6" s="133">
        <v>5.997</v>
      </c>
      <c r="AS6" s="144">
        <f t="shared" si="5"/>
        <v>-0.00199999999999978</v>
      </c>
      <c r="AT6" s="113" t="str">
        <f t="shared" si="9"/>
        <v>145/80R13-/-TRAILER ST290</v>
      </c>
      <c r="AU6" s="119" t="s">
        <v>952</v>
      </c>
      <c r="AV6" s="120" t="s">
        <v>66</v>
      </c>
      <c r="AW6" s="175" t="s">
        <v>970</v>
      </c>
      <c r="AX6" s="120" t="s">
        <v>954</v>
      </c>
      <c r="AY6" s="133">
        <v>5.829</v>
      </c>
      <c r="AZ6" s="133">
        <v>5.837</v>
      </c>
      <c r="BA6" s="144">
        <f t="shared" si="6"/>
        <v>-0.00800000000000001</v>
      </c>
      <c r="BB6" s="113" t="str">
        <f t="shared" si="10"/>
        <v>165/55R14-T-118</v>
      </c>
    </row>
    <row r="7" ht="13.8" customHeight="1" spans="2:54">
      <c r="B7" s="119" t="s">
        <v>971</v>
      </c>
      <c r="C7" s="120" t="s">
        <v>958</v>
      </c>
      <c r="D7" s="121" t="s">
        <v>972</v>
      </c>
      <c r="E7" s="120" t="s">
        <v>973</v>
      </c>
      <c r="F7" s="127">
        <f>G7-1.606+2.17</f>
        <v>21.338</v>
      </c>
      <c r="G7" s="127">
        <v>20.774</v>
      </c>
      <c r="H7" s="128">
        <v>20.775</v>
      </c>
      <c r="I7" s="144">
        <f t="shared" si="0"/>
        <v>-0.000999999999997669</v>
      </c>
      <c r="J7" s="115" t="str">
        <f t="shared" si="1"/>
        <v>7.00R16-14PR-AZ850</v>
      </c>
      <c r="K7" s="146" t="s">
        <v>957</v>
      </c>
      <c r="L7" s="147" t="s">
        <v>958</v>
      </c>
      <c r="M7" s="147" t="s">
        <v>974</v>
      </c>
      <c r="N7" s="147" t="s">
        <v>975</v>
      </c>
      <c r="O7" s="147" t="s">
        <v>66</v>
      </c>
      <c r="P7" s="147">
        <v>21.06</v>
      </c>
      <c r="Q7" s="147">
        <v>20.84</v>
      </c>
      <c r="R7" s="164">
        <f t="shared" si="2"/>
        <v>0.219999999999999</v>
      </c>
      <c r="S7" s="113" t="str">
        <f t="shared" si="7"/>
        <v>7.00-16LT-14PR-MX882</v>
      </c>
      <c r="T7" s="119" t="s">
        <v>961</v>
      </c>
      <c r="U7" s="120" t="s">
        <v>962</v>
      </c>
      <c r="V7" s="114" t="s">
        <v>976</v>
      </c>
      <c r="W7" s="120" t="s">
        <v>963</v>
      </c>
      <c r="X7" s="120"/>
      <c r="Y7" s="133">
        <v>3.7</v>
      </c>
      <c r="Z7" s="133">
        <v>3.72</v>
      </c>
      <c r="AA7" s="144">
        <f t="shared" si="3"/>
        <v>-0.02</v>
      </c>
      <c r="AB7" s="113" t="str">
        <f t="shared" ref="AB7:AB12" si="11">_xlfn.TEXTJOIN("-",TRUE,T7,U7,V7)</f>
        <v>5.70-8-8PR-SU201</v>
      </c>
      <c r="AC7" s="119" t="s">
        <v>977</v>
      </c>
      <c r="AD7" s="120" t="s">
        <v>934</v>
      </c>
      <c r="AE7" s="120" t="s">
        <v>947</v>
      </c>
      <c r="AF7" s="120" t="s">
        <v>978</v>
      </c>
      <c r="AG7" s="120" t="s">
        <v>66</v>
      </c>
      <c r="AH7" s="120">
        <v>12.8</v>
      </c>
      <c r="AI7" s="120">
        <v>12.79</v>
      </c>
      <c r="AJ7" s="144">
        <f t="shared" si="4"/>
        <v>0.0100000000000016</v>
      </c>
      <c r="AK7" s="113" t="str">
        <f t="shared" si="8"/>
        <v>6.00-9-12PR-STRONG GUARD LIFT</v>
      </c>
      <c r="AL7" s="122"/>
      <c r="AM7" s="123"/>
      <c r="AN7" s="123"/>
      <c r="AO7" s="123"/>
      <c r="AP7" s="123"/>
      <c r="AQ7" s="130"/>
      <c r="AR7" s="130"/>
      <c r="AS7" s="145"/>
      <c r="AT7" s="113" t="str">
        <f t="shared" si="9"/>
        <v/>
      </c>
      <c r="AU7" s="119" t="s">
        <v>952</v>
      </c>
      <c r="AV7" s="120" t="s">
        <v>66</v>
      </c>
      <c r="AW7" s="175" t="s">
        <v>979</v>
      </c>
      <c r="AX7" s="120" t="s">
        <v>954</v>
      </c>
      <c r="AY7" s="133">
        <v>5.829</v>
      </c>
      <c r="AZ7" s="133">
        <v>5.837</v>
      </c>
      <c r="BA7" s="144">
        <f t="shared" si="6"/>
        <v>-0.00800000000000001</v>
      </c>
      <c r="BB7" s="113" t="str">
        <f t="shared" si="10"/>
        <v>165/55R14-Z-108</v>
      </c>
    </row>
    <row r="8" ht="17" spans="2:54">
      <c r="B8" s="119" t="s">
        <v>971</v>
      </c>
      <c r="C8" s="120" t="s">
        <v>958</v>
      </c>
      <c r="D8" s="121" t="s">
        <v>980</v>
      </c>
      <c r="E8" s="125" t="s">
        <v>973</v>
      </c>
      <c r="F8" s="127">
        <f>G8-1.606+2.17</f>
        <v>21.338</v>
      </c>
      <c r="G8" s="127">
        <v>20.774</v>
      </c>
      <c r="H8" s="128">
        <v>20.775</v>
      </c>
      <c r="I8" s="144">
        <f t="shared" si="0"/>
        <v>-0.000999999999997669</v>
      </c>
      <c r="J8" s="115" t="str">
        <f t="shared" si="1"/>
        <v>7.00R16-14PR-VAZ80</v>
      </c>
      <c r="K8" s="148" t="s">
        <v>981</v>
      </c>
      <c r="L8" s="125" t="s">
        <v>934</v>
      </c>
      <c r="M8" s="125" t="s">
        <v>938</v>
      </c>
      <c r="N8" s="125" t="s">
        <v>982</v>
      </c>
      <c r="O8" s="125" t="s">
        <v>66</v>
      </c>
      <c r="P8" s="125">
        <v>19.15</v>
      </c>
      <c r="Q8" s="125">
        <v>19.16</v>
      </c>
      <c r="R8" s="165">
        <f t="shared" si="2"/>
        <v>-0.0100000000000016</v>
      </c>
      <c r="S8" s="113" t="str">
        <f t="shared" si="7"/>
        <v>7.00-16-12PR-R8037</v>
      </c>
      <c r="T8" s="122"/>
      <c r="U8" s="123"/>
      <c r="V8" s="123"/>
      <c r="W8" s="123"/>
      <c r="X8" s="123"/>
      <c r="Y8" s="123"/>
      <c r="Z8" s="123"/>
      <c r="AA8" s="151"/>
      <c r="AB8" s="113" t="str">
        <f t="shared" si="11"/>
        <v/>
      </c>
      <c r="AC8" s="122"/>
      <c r="AD8" s="123"/>
      <c r="AE8" s="123"/>
      <c r="AF8" s="123"/>
      <c r="AG8" s="123"/>
      <c r="AH8" s="123"/>
      <c r="AI8" s="123"/>
      <c r="AJ8" s="151"/>
      <c r="AK8" s="113" t="str">
        <f t="shared" si="8"/>
        <v/>
      </c>
      <c r="AL8" s="119" t="s">
        <v>983</v>
      </c>
      <c r="AM8" s="120" t="s">
        <v>962</v>
      </c>
      <c r="AN8" s="120" t="s">
        <v>984</v>
      </c>
      <c r="AO8" s="120" t="s">
        <v>985</v>
      </c>
      <c r="AP8" s="120"/>
      <c r="AQ8" s="133">
        <v>5.795</v>
      </c>
      <c r="AR8" s="133">
        <v>5.852</v>
      </c>
      <c r="AS8" s="144">
        <f t="shared" si="5"/>
        <v>-0.0570000000000004</v>
      </c>
      <c r="AT8" s="113" t="str">
        <f t="shared" si="9"/>
        <v>ST145R12-8PR-ST Radial</v>
      </c>
      <c r="AU8" s="122"/>
      <c r="AV8" s="123"/>
      <c r="AW8" s="123"/>
      <c r="AX8" s="123"/>
      <c r="AY8" s="130"/>
      <c r="AZ8" s="130"/>
      <c r="BA8" s="145"/>
      <c r="BB8" s="113" t="str">
        <f t="shared" si="10"/>
        <v/>
      </c>
    </row>
    <row r="9" ht="13.8" customHeight="1" spans="2:54">
      <c r="B9" s="119" t="s">
        <v>971</v>
      </c>
      <c r="C9" s="120" t="s">
        <v>958</v>
      </c>
      <c r="D9" s="121" t="s">
        <v>935</v>
      </c>
      <c r="E9" s="120" t="s">
        <v>986</v>
      </c>
      <c r="F9" s="127">
        <f>G9-1.818+2.382</f>
        <v>23.916</v>
      </c>
      <c r="G9" s="127">
        <v>23.352</v>
      </c>
      <c r="H9" s="128">
        <v>23.2364</v>
      </c>
      <c r="I9" s="144">
        <f t="shared" si="0"/>
        <v>0.115600000000001</v>
      </c>
      <c r="J9" s="115" t="str">
        <f t="shared" si="1"/>
        <v>7.00R16-14PR-AZ686</v>
      </c>
      <c r="K9" s="149"/>
      <c r="L9" s="123"/>
      <c r="M9" s="123"/>
      <c r="N9" s="123"/>
      <c r="O9" s="123"/>
      <c r="P9" s="123"/>
      <c r="Q9" s="123"/>
      <c r="R9" s="151"/>
      <c r="S9" s="113" t="str">
        <f t="shared" si="7"/>
        <v/>
      </c>
      <c r="T9" s="119" t="s">
        <v>987</v>
      </c>
      <c r="U9" s="120" t="s">
        <v>988</v>
      </c>
      <c r="V9" s="120" t="s">
        <v>989</v>
      </c>
      <c r="W9" s="120" t="s">
        <v>990</v>
      </c>
      <c r="X9" s="120"/>
      <c r="Y9" s="133">
        <v>2.935</v>
      </c>
      <c r="Z9" s="133">
        <v>2.935</v>
      </c>
      <c r="AA9" s="144">
        <f t="shared" ref="AA9:AA15" si="12">Y9-Z9</f>
        <v>0</v>
      </c>
      <c r="AB9" s="113" t="str">
        <f t="shared" si="11"/>
        <v>16 X 6.50-8-2PR-TF01</v>
      </c>
      <c r="AC9" s="119" t="s">
        <v>991</v>
      </c>
      <c r="AD9" s="120" t="s">
        <v>934</v>
      </c>
      <c r="AE9" s="120" t="s">
        <v>947</v>
      </c>
      <c r="AF9" s="120" t="s">
        <v>992</v>
      </c>
      <c r="AG9" s="120" t="s">
        <v>66</v>
      </c>
      <c r="AH9" s="120">
        <v>16.79</v>
      </c>
      <c r="AI9" s="120">
        <v>16.64</v>
      </c>
      <c r="AJ9" s="144">
        <f t="shared" ref="AJ9:AJ15" si="13">AH9-AI9</f>
        <v>0.149999999999999</v>
      </c>
      <c r="AK9" s="113" t="str">
        <f t="shared" si="8"/>
        <v>6.50-10-12PR-STRONG GUARD LIFT</v>
      </c>
      <c r="AL9" s="119" t="s">
        <v>983</v>
      </c>
      <c r="AM9" s="120" t="s">
        <v>962</v>
      </c>
      <c r="AN9" s="170" t="s">
        <v>993</v>
      </c>
      <c r="AO9" s="120" t="s">
        <v>985</v>
      </c>
      <c r="AP9" s="120"/>
      <c r="AQ9" s="133">
        <v>5.795</v>
      </c>
      <c r="AR9" s="133">
        <v>5.852</v>
      </c>
      <c r="AS9" s="144">
        <f t="shared" si="5"/>
        <v>-0.0570000000000004</v>
      </c>
      <c r="AT9" s="113" t="str">
        <f t="shared" si="9"/>
        <v>ST145R12-8PR-RAINIER ST</v>
      </c>
      <c r="AU9" s="119" t="s">
        <v>994</v>
      </c>
      <c r="AV9" s="120" t="s">
        <v>66</v>
      </c>
      <c r="AW9" s="120" t="s">
        <v>953</v>
      </c>
      <c r="AX9" s="120" t="s">
        <v>995</v>
      </c>
      <c r="AY9" s="133">
        <v>5.683</v>
      </c>
      <c r="AZ9" s="133">
        <v>5.693</v>
      </c>
      <c r="BA9" s="144">
        <f t="shared" ref="BA9:BA12" si="14">AY9-AZ9</f>
        <v>-0.00999999999999979</v>
      </c>
      <c r="BB9" s="113" t="str">
        <f t="shared" si="10"/>
        <v>165/60R14-C-108</v>
      </c>
    </row>
    <row r="10" ht="13.8" customHeight="1" spans="2:54">
      <c r="B10" s="119" t="s">
        <v>971</v>
      </c>
      <c r="C10" s="120" t="s">
        <v>958</v>
      </c>
      <c r="D10" s="121" t="s">
        <v>955</v>
      </c>
      <c r="E10" s="120" t="s">
        <v>986</v>
      </c>
      <c r="F10" s="127">
        <f>G10-1.818+2.382</f>
        <v>23.916</v>
      </c>
      <c r="G10" s="127">
        <v>23.352</v>
      </c>
      <c r="H10" s="128">
        <v>23.2364</v>
      </c>
      <c r="I10" s="144">
        <f t="shared" si="0"/>
        <v>0.115600000000001</v>
      </c>
      <c r="J10" s="115" t="str">
        <f t="shared" si="1"/>
        <v>7.00R16-14PR-VAZ66</v>
      </c>
      <c r="K10" s="119" t="s">
        <v>996</v>
      </c>
      <c r="L10" s="120" t="s">
        <v>934</v>
      </c>
      <c r="M10" s="120" t="s">
        <v>938</v>
      </c>
      <c r="N10" s="120" t="s">
        <v>997</v>
      </c>
      <c r="O10" s="120" t="s">
        <v>998</v>
      </c>
      <c r="P10" s="120">
        <v>19.45</v>
      </c>
      <c r="Q10" s="120">
        <v>19.41</v>
      </c>
      <c r="R10" s="143">
        <f t="shared" ref="R10:R21" si="15">P10-Q10</f>
        <v>0.0399999999999991</v>
      </c>
      <c r="S10" s="113" t="str">
        <f t="shared" si="7"/>
        <v>7.50-15-12PR-R8037</v>
      </c>
      <c r="T10" s="119" t="s">
        <v>987</v>
      </c>
      <c r="U10" s="120" t="s">
        <v>988</v>
      </c>
      <c r="V10" s="120" t="s">
        <v>943</v>
      </c>
      <c r="W10" s="120" t="s">
        <v>990</v>
      </c>
      <c r="X10" s="120"/>
      <c r="Y10" s="133">
        <v>2.935</v>
      </c>
      <c r="Z10" s="133">
        <v>2.935</v>
      </c>
      <c r="AA10" s="144">
        <f t="shared" si="12"/>
        <v>0</v>
      </c>
      <c r="AB10" s="113" t="str">
        <f t="shared" si="11"/>
        <v>16 X 6.50-8-2PR-TF11</v>
      </c>
      <c r="AC10" s="122"/>
      <c r="AD10" s="123"/>
      <c r="AE10" s="123"/>
      <c r="AF10" s="123"/>
      <c r="AG10" s="123"/>
      <c r="AH10" s="123"/>
      <c r="AI10" s="123"/>
      <c r="AJ10" s="151"/>
      <c r="AK10" s="113" t="str">
        <f t="shared" si="8"/>
        <v/>
      </c>
      <c r="AL10" s="119" t="s">
        <v>983</v>
      </c>
      <c r="AM10" s="120" t="s">
        <v>946</v>
      </c>
      <c r="AN10" s="120" t="s">
        <v>984</v>
      </c>
      <c r="AO10" s="120" t="s">
        <v>999</v>
      </c>
      <c r="AP10" s="120"/>
      <c r="AQ10" s="133">
        <v>6.076</v>
      </c>
      <c r="AR10" s="133">
        <v>6.133</v>
      </c>
      <c r="AS10" s="144">
        <f t="shared" si="5"/>
        <v>-0.0570000000000004</v>
      </c>
      <c r="AT10" s="113" t="str">
        <f t="shared" si="9"/>
        <v>ST145R12-10PR-ST Radial</v>
      </c>
      <c r="AU10" s="119" t="s">
        <v>994</v>
      </c>
      <c r="AV10" s="120" t="s">
        <v>66</v>
      </c>
      <c r="AW10" s="120" t="s">
        <v>956</v>
      </c>
      <c r="AX10" s="120" t="s">
        <v>995</v>
      </c>
      <c r="AY10" s="133">
        <v>5.683</v>
      </c>
      <c r="AZ10" s="133">
        <v>5.693</v>
      </c>
      <c r="BA10" s="144">
        <f t="shared" si="14"/>
        <v>-0.00999999999999979</v>
      </c>
      <c r="BB10" s="113" t="str">
        <f t="shared" si="10"/>
        <v>165/60R14-G-118</v>
      </c>
    </row>
    <row r="11" spans="2:54">
      <c r="B11" s="122"/>
      <c r="C11" s="123"/>
      <c r="D11" s="123"/>
      <c r="E11" s="132"/>
      <c r="F11" s="130"/>
      <c r="G11" s="130"/>
      <c r="H11" s="131"/>
      <c r="I11" s="145"/>
      <c r="J11" s="115" t="str">
        <f t="shared" si="1"/>
        <v/>
      </c>
      <c r="K11" s="122"/>
      <c r="L11" s="123"/>
      <c r="M11" s="123"/>
      <c r="N11" s="123"/>
      <c r="O11" s="123"/>
      <c r="P11" s="123"/>
      <c r="Q11" s="123"/>
      <c r="R11" s="151"/>
      <c r="S11" s="113" t="str">
        <f t="shared" si="7"/>
        <v/>
      </c>
      <c r="T11" s="122"/>
      <c r="U11" s="123"/>
      <c r="V11" s="123"/>
      <c r="W11" s="123"/>
      <c r="X11" s="123"/>
      <c r="Y11" s="123"/>
      <c r="Z11" s="123"/>
      <c r="AA11" s="151"/>
      <c r="AB11" s="113" t="str">
        <f t="shared" si="11"/>
        <v/>
      </c>
      <c r="AC11" s="119" t="s">
        <v>1000</v>
      </c>
      <c r="AD11" s="120" t="s">
        <v>958</v>
      </c>
      <c r="AE11" s="120" t="s">
        <v>947</v>
      </c>
      <c r="AF11" s="120" t="s">
        <v>1001</v>
      </c>
      <c r="AG11" s="120" t="s">
        <v>66</v>
      </c>
      <c r="AH11" s="120">
        <v>21.62</v>
      </c>
      <c r="AI11" s="120">
        <v>22.02</v>
      </c>
      <c r="AJ11" s="144">
        <f t="shared" si="13"/>
        <v>-0.399999999999999</v>
      </c>
      <c r="AK11" s="113" t="str">
        <f t="shared" si="8"/>
        <v>7.00-12-14PR-STRONG GUARD LIFT</v>
      </c>
      <c r="AL11" s="119" t="s">
        <v>983</v>
      </c>
      <c r="AM11" s="120" t="s">
        <v>946</v>
      </c>
      <c r="AN11" s="170" t="s">
        <v>993</v>
      </c>
      <c r="AO11" s="120" t="s">
        <v>999</v>
      </c>
      <c r="AP11" s="120"/>
      <c r="AQ11" s="133">
        <v>6.076</v>
      </c>
      <c r="AR11" s="133">
        <v>6.133</v>
      </c>
      <c r="AS11" s="144">
        <f t="shared" si="5"/>
        <v>-0.0570000000000004</v>
      </c>
      <c r="AT11" s="113" t="str">
        <f t="shared" si="9"/>
        <v>ST145R12-10PR-RAINIER ST</v>
      </c>
      <c r="AU11" s="119" t="s">
        <v>994</v>
      </c>
      <c r="AV11" s="120" t="s">
        <v>66</v>
      </c>
      <c r="AW11" s="175" t="s">
        <v>970</v>
      </c>
      <c r="AX11" s="120" t="s">
        <v>995</v>
      </c>
      <c r="AY11" s="133">
        <v>5.683</v>
      </c>
      <c r="AZ11" s="133">
        <v>5.693</v>
      </c>
      <c r="BA11" s="144">
        <f t="shared" si="14"/>
        <v>-0.00999999999999979</v>
      </c>
      <c r="BB11" s="113" t="str">
        <f t="shared" si="10"/>
        <v>165/60R14-T-118</v>
      </c>
    </row>
    <row r="12" spans="2:54">
      <c r="B12" s="119" t="s">
        <v>807</v>
      </c>
      <c r="C12" s="120" t="s">
        <v>958</v>
      </c>
      <c r="D12" s="120" t="s">
        <v>1002</v>
      </c>
      <c r="E12" s="120" t="s">
        <v>1003</v>
      </c>
      <c r="F12" s="133">
        <f t="shared" ref="F12:F33" si="16">G12-1.944+2.331</f>
        <v>28.566</v>
      </c>
      <c r="G12" s="133">
        <v>28.179</v>
      </c>
      <c r="H12" s="128">
        <v>27.792</v>
      </c>
      <c r="I12" s="144">
        <f t="shared" ref="I12:I43" si="17">G12-H12</f>
        <v>0.386999999999997</v>
      </c>
      <c r="J12" s="115" t="str">
        <f t="shared" ref="J12:J17" si="18">_xlfn.TEXTJOIN("-",TRUE,B12,C12,D12)</f>
        <v>7.50R16-14PR-AZ601</v>
      </c>
      <c r="K12" s="119" t="s">
        <v>1004</v>
      </c>
      <c r="L12" s="120" t="s">
        <v>958</v>
      </c>
      <c r="M12" s="120" t="s">
        <v>1005</v>
      </c>
      <c r="N12" s="120" t="s">
        <v>1006</v>
      </c>
      <c r="O12" s="120" t="s">
        <v>940</v>
      </c>
      <c r="P12" s="133">
        <v>25.7</v>
      </c>
      <c r="Q12" s="133">
        <v>25.6</v>
      </c>
      <c r="R12" s="144">
        <f t="shared" si="15"/>
        <v>0.0999999999999979</v>
      </c>
      <c r="S12" s="113" t="str">
        <f t="shared" si="7"/>
        <v>7.50-16LT-14PR-CL891</v>
      </c>
      <c r="T12" s="119" t="s">
        <v>1007</v>
      </c>
      <c r="U12" s="120" t="s">
        <v>965</v>
      </c>
      <c r="V12" s="120" t="s">
        <v>1008</v>
      </c>
      <c r="W12" s="120" t="s">
        <v>1009</v>
      </c>
      <c r="X12" s="120"/>
      <c r="Y12" s="133">
        <v>5.338</v>
      </c>
      <c r="Z12" s="133">
        <v>5.36</v>
      </c>
      <c r="AA12" s="133">
        <f t="shared" si="12"/>
        <v>-0.0220000000000002</v>
      </c>
      <c r="AB12" s="113" t="str">
        <f t="shared" si="11"/>
        <v>18 X 8.50-8-6PR-SU202</v>
      </c>
      <c r="AC12" s="122"/>
      <c r="AD12" s="123"/>
      <c r="AE12" s="123"/>
      <c r="AF12" s="123"/>
      <c r="AG12" s="123"/>
      <c r="AH12" s="123"/>
      <c r="AI12" s="123"/>
      <c r="AJ12" s="151"/>
      <c r="AK12" s="113" t="str">
        <f t="shared" si="8"/>
        <v/>
      </c>
      <c r="AL12" s="122"/>
      <c r="AM12" s="123"/>
      <c r="AN12" s="123"/>
      <c r="AO12" s="123"/>
      <c r="AP12" s="123"/>
      <c r="AQ12" s="130"/>
      <c r="AR12" s="130"/>
      <c r="AS12" s="145"/>
      <c r="AT12" s="113" t="str">
        <f t="shared" si="9"/>
        <v/>
      </c>
      <c r="AU12" s="119" t="s">
        <v>994</v>
      </c>
      <c r="AV12" s="120" t="s">
        <v>66</v>
      </c>
      <c r="AW12" s="175" t="s">
        <v>979</v>
      </c>
      <c r="AX12" s="120" t="s">
        <v>995</v>
      </c>
      <c r="AY12" s="133">
        <v>5.683</v>
      </c>
      <c r="AZ12" s="133">
        <v>5.693</v>
      </c>
      <c r="BA12" s="144">
        <f t="shared" si="14"/>
        <v>-0.00999999999999979</v>
      </c>
      <c r="BB12" s="113" t="str">
        <f t="shared" si="10"/>
        <v>165/60R14-Z-108</v>
      </c>
    </row>
    <row r="13" ht="17" spans="2:54">
      <c r="B13" s="119" t="s">
        <v>807</v>
      </c>
      <c r="C13" s="120" t="s">
        <v>958</v>
      </c>
      <c r="D13" s="120" t="s">
        <v>1010</v>
      </c>
      <c r="E13" s="120" t="s">
        <v>1003</v>
      </c>
      <c r="F13" s="133">
        <f t="shared" si="16"/>
        <v>28.566</v>
      </c>
      <c r="G13" s="133">
        <v>28.179</v>
      </c>
      <c r="H13" s="128">
        <v>27.792</v>
      </c>
      <c r="I13" s="144">
        <f t="shared" si="17"/>
        <v>0.386999999999997</v>
      </c>
      <c r="J13" s="115" t="str">
        <f t="shared" si="18"/>
        <v>7.50R16-14PR-AZ119</v>
      </c>
      <c r="K13" s="119" t="s">
        <v>1011</v>
      </c>
      <c r="L13" s="120" t="s">
        <v>958</v>
      </c>
      <c r="M13" s="120" t="s">
        <v>1012</v>
      </c>
      <c r="N13" s="120" t="s">
        <v>1013</v>
      </c>
      <c r="O13" s="120" t="s">
        <v>1014</v>
      </c>
      <c r="P13" s="133">
        <v>24.81</v>
      </c>
      <c r="Q13" s="133">
        <v>24.7</v>
      </c>
      <c r="R13" s="144">
        <f t="shared" si="15"/>
        <v>0.109999999999999</v>
      </c>
      <c r="S13" s="113" t="str">
        <f t="shared" si="7"/>
        <v>7.50-16-14PR-L8056</v>
      </c>
      <c r="T13" s="119" t="s">
        <v>1007</v>
      </c>
      <c r="U13" s="120" t="s">
        <v>965</v>
      </c>
      <c r="V13" s="120" t="s">
        <v>1015</v>
      </c>
      <c r="W13" s="120" t="s">
        <v>1009</v>
      </c>
      <c r="X13" s="120"/>
      <c r="Y13" s="133">
        <v>5.338</v>
      </c>
      <c r="Z13" s="133">
        <v>5.36</v>
      </c>
      <c r="AA13" s="133">
        <f t="shared" si="12"/>
        <v>-0.0220000000000002</v>
      </c>
      <c r="AB13" s="113" t="str">
        <f t="shared" ref="AB13:AB76" si="19">_xlfn.TEXTJOIN("-",TRUE,T13,U13,V13)</f>
        <v>18 X 8.50-8-6PR-ZT202</v>
      </c>
      <c r="AC13" s="119" t="s">
        <v>937</v>
      </c>
      <c r="AD13" s="120" t="s">
        <v>965</v>
      </c>
      <c r="AE13" s="120" t="s">
        <v>966</v>
      </c>
      <c r="AF13" s="120" t="s">
        <v>1016</v>
      </c>
      <c r="AG13" s="120" t="s">
        <v>66</v>
      </c>
      <c r="AH13" s="120">
        <v>19.75</v>
      </c>
      <c r="AI13" s="120">
        <v>19.76</v>
      </c>
      <c r="AJ13" s="144">
        <f t="shared" si="13"/>
        <v>-0.0100000000000016</v>
      </c>
      <c r="AK13" s="113" t="str">
        <f t="shared" si="8"/>
        <v>7.00-15-6PR-STRONG GUARD SS</v>
      </c>
      <c r="AL13" s="119" t="s">
        <v>1017</v>
      </c>
      <c r="AM13" s="120" t="s">
        <v>66</v>
      </c>
      <c r="AN13" s="120" t="s">
        <v>950</v>
      </c>
      <c r="AO13" s="120" t="s">
        <v>1018</v>
      </c>
      <c r="AP13" s="120"/>
      <c r="AQ13" s="133">
        <v>5.759</v>
      </c>
      <c r="AR13" s="133">
        <v>5.761</v>
      </c>
      <c r="AS13" s="174">
        <f t="shared" ref="AS13:AS17" si="20">AQ13-AR13</f>
        <v>-0.00199999999999978</v>
      </c>
      <c r="AT13" s="113" t="str">
        <f t="shared" si="9"/>
        <v>155/70R13-/-TRAILER ST290</v>
      </c>
      <c r="AU13" s="122"/>
      <c r="AV13" s="123"/>
      <c r="AW13" s="123"/>
      <c r="AX13" s="123"/>
      <c r="AY13" s="130"/>
      <c r="AZ13" s="130"/>
      <c r="BA13" s="145"/>
      <c r="BB13" s="113" t="str">
        <f t="shared" si="10"/>
        <v/>
      </c>
    </row>
    <row r="14" ht="17" spans="2:54">
      <c r="B14" s="119" t="s">
        <v>807</v>
      </c>
      <c r="C14" s="120" t="s">
        <v>958</v>
      </c>
      <c r="D14" s="120" t="s">
        <v>1019</v>
      </c>
      <c r="E14" s="120" t="s">
        <v>1020</v>
      </c>
      <c r="F14" s="133">
        <f t="shared" si="16"/>
        <v>29.619</v>
      </c>
      <c r="G14" s="133">
        <v>29.232</v>
      </c>
      <c r="H14" s="128">
        <v>28.9197</v>
      </c>
      <c r="I14" s="144">
        <f t="shared" si="17"/>
        <v>0.3123</v>
      </c>
      <c r="J14" s="115" t="str">
        <f t="shared" si="18"/>
        <v>7.50R16-14PR-CB981</v>
      </c>
      <c r="K14" s="119" t="s">
        <v>1011</v>
      </c>
      <c r="L14" s="120" t="s">
        <v>958</v>
      </c>
      <c r="M14" s="120" t="s">
        <v>1021</v>
      </c>
      <c r="N14" s="125" t="s">
        <v>1022</v>
      </c>
      <c r="O14" s="120" t="s">
        <v>66</v>
      </c>
      <c r="P14" s="133">
        <v>25.23</v>
      </c>
      <c r="Q14" s="133">
        <v>25.48</v>
      </c>
      <c r="R14" s="144">
        <f t="shared" si="15"/>
        <v>-0.25</v>
      </c>
      <c r="S14" s="113" t="str">
        <f t="shared" si="7"/>
        <v>7.50-16-14PR-M8086</v>
      </c>
      <c r="T14" s="119" t="s">
        <v>1007</v>
      </c>
      <c r="U14" s="120" t="s">
        <v>942</v>
      </c>
      <c r="V14" s="120" t="s">
        <v>1023</v>
      </c>
      <c r="W14" s="120" t="s">
        <v>1024</v>
      </c>
      <c r="X14" s="120"/>
      <c r="Y14" s="133">
        <v>4.665</v>
      </c>
      <c r="Z14" s="133">
        <v>4.49</v>
      </c>
      <c r="AA14" s="133">
        <f t="shared" si="12"/>
        <v>0.175</v>
      </c>
      <c r="AB14" s="113" t="str">
        <f t="shared" si="19"/>
        <v>18 X 8.50-8-4PR-TF02</v>
      </c>
      <c r="AC14" s="119" t="s">
        <v>937</v>
      </c>
      <c r="AD14" s="120" t="s">
        <v>962</v>
      </c>
      <c r="AE14" s="120" t="s">
        <v>966</v>
      </c>
      <c r="AF14" s="120" t="s">
        <v>1025</v>
      </c>
      <c r="AG14" s="120" t="s">
        <v>66</v>
      </c>
      <c r="AH14" s="120">
        <v>20.54</v>
      </c>
      <c r="AI14" s="133">
        <v>20.2</v>
      </c>
      <c r="AJ14" s="144">
        <f t="shared" si="13"/>
        <v>0.34</v>
      </c>
      <c r="AK14" s="113" t="str">
        <f t="shared" si="8"/>
        <v>7.00-15-8PR-STRONG GUARD SS</v>
      </c>
      <c r="AL14" s="122"/>
      <c r="AM14" s="123"/>
      <c r="AN14" s="123"/>
      <c r="AO14" s="123"/>
      <c r="AP14" s="123"/>
      <c r="AQ14" s="130"/>
      <c r="AR14" s="130"/>
      <c r="AS14" s="145"/>
      <c r="AT14" s="113" t="str">
        <f t="shared" si="9"/>
        <v/>
      </c>
      <c r="AU14" s="119" t="s">
        <v>1026</v>
      </c>
      <c r="AV14" s="120" t="s">
        <v>66</v>
      </c>
      <c r="AW14" s="120" t="s">
        <v>953</v>
      </c>
      <c r="AX14" s="120" t="s">
        <v>1027</v>
      </c>
      <c r="AY14" s="133">
        <v>5.521</v>
      </c>
      <c r="AZ14" s="133">
        <v>5.521</v>
      </c>
      <c r="BA14" s="144">
        <f t="shared" ref="BA14:BA17" si="21">AY14-AZ14</f>
        <v>0</v>
      </c>
      <c r="BB14" s="113" t="str">
        <f t="shared" si="10"/>
        <v>165/65R13-C-108</v>
      </c>
    </row>
    <row r="15" ht="13.8" customHeight="1" spans="2:54">
      <c r="B15" s="119" t="s">
        <v>807</v>
      </c>
      <c r="C15" s="120" t="s">
        <v>958</v>
      </c>
      <c r="D15" s="120" t="s">
        <v>1028</v>
      </c>
      <c r="E15" s="120" t="s">
        <v>1029</v>
      </c>
      <c r="F15" s="133">
        <f t="shared" si="16"/>
        <v>30.178</v>
      </c>
      <c r="G15" s="133">
        <v>29.791</v>
      </c>
      <c r="H15" s="128">
        <v>29.74</v>
      </c>
      <c r="I15" s="144">
        <f t="shared" si="17"/>
        <v>0.0510000000000019</v>
      </c>
      <c r="J15" s="115" t="str">
        <f t="shared" si="18"/>
        <v>7.50R16-14PR-CM988</v>
      </c>
      <c r="K15" s="119" t="s">
        <v>1011</v>
      </c>
      <c r="L15" s="120" t="s">
        <v>958</v>
      </c>
      <c r="M15" s="120" t="s">
        <v>1030</v>
      </c>
      <c r="N15" s="125" t="s">
        <v>1022</v>
      </c>
      <c r="O15" s="120" t="s">
        <v>66</v>
      </c>
      <c r="P15" s="133">
        <v>25.23</v>
      </c>
      <c r="Q15" s="133">
        <v>25.48</v>
      </c>
      <c r="R15" s="144">
        <f t="shared" si="15"/>
        <v>-0.25</v>
      </c>
      <c r="S15" s="113" t="str">
        <f t="shared" si="7"/>
        <v>7.50-16-14PR-M8087</v>
      </c>
      <c r="T15" s="119" t="s">
        <v>1007</v>
      </c>
      <c r="U15" s="120" t="s">
        <v>942</v>
      </c>
      <c r="V15" s="120" t="s">
        <v>943</v>
      </c>
      <c r="W15" s="120" t="s">
        <v>1031</v>
      </c>
      <c r="X15" s="120"/>
      <c r="Y15" s="133">
        <v>4.412</v>
      </c>
      <c r="Z15" s="133">
        <v>4.555</v>
      </c>
      <c r="AA15" s="144">
        <f t="shared" si="12"/>
        <v>-0.143</v>
      </c>
      <c r="AB15" s="113" t="str">
        <f t="shared" si="19"/>
        <v>18 X 8.50-8-4PR-TF11</v>
      </c>
      <c r="AC15" s="119" t="s">
        <v>937</v>
      </c>
      <c r="AD15" s="120" t="s">
        <v>958</v>
      </c>
      <c r="AE15" s="120" t="s">
        <v>947</v>
      </c>
      <c r="AF15" s="120" t="s">
        <v>1032</v>
      </c>
      <c r="AG15" s="120" t="s">
        <v>66</v>
      </c>
      <c r="AH15" s="120">
        <v>25.85</v>
      </c>
      <c r="AI15" s="120">
        <v>26.13</v>
      </c>
      <c r="AJ15" s="144">
        <f t="shared" si="13"/>
        <v>-0.279999999999998</v>
      </c>
      <c r="AK15" s="113" t="str">
        <f t="shared" si="8"/>
        <v>7.00-15-14PR-STRONG GUARD LIFT</v>
      </c>
      <c r="AL15" s="171" t="s">
        <v>1033</v>
      </c>
      <c r="AM15" s="172" t="s">
        <v>66</v>
      </c>
      <c r="AN15" s="172" t="s">
        <v>950</v>
      </c>
      <c r="AO15" s="172" t="s">
        <v>1034</v>
      </c>
      <c r="AP15" s="172"/>
      <c r="AQ15" s="173">
        <v>6.197</v>
      </c>
      <c r="AR15" s="133">
        <v>6.198</v>
      </c>
      <c r="AS15" s="174">
        <f t="shared" si="20"/>
        <v>-0.00100000000000033</v>
      </c>
      <c r="AT15" s="113" t="str">
        <f t="shared" si="9"/>
        <v>155/80R13-/-TRAILER ST290</v>
      </c>
      <c r="AU15" s="119" t="s">
        <v>1026</v>
      </c>
      <c r="AV15" s="120" t="s">
        <v>66</v>
      </c>
      <c r="AW15" s="120" t="s">
        <v>956</v>
      </c>
      <c r="AX15" s="120" t="s">
        <v>1027</v>
      </c>
      <c r="AY15" s="133">
        <v>5.521</v>
      </c>
      <c r="AZ15" s="133">
        <v>5.521</v>
      </c>
      <c r="BA15" s="144">
        <f t="shared" si="21"/>
        <v>0</v>
      </c>
      <c r="BB15" s="113" t="str">
        <f t="shared" si="10"/>
        <v>165/65R13-G-118</v>
      </c>
    </row>
    <row r="16" ht="13.8" customHeight="1" spans="2:54">
      <c r="B16" s="119" t="s">
        <v>807</v>
      </c>
      <c r="C16" s="120" t="s">
        <v>958</v>
      </c>
      <c r="D16" s="120" t="s">
        <v>1035</v>
      </c>
      <c r="E16" s="125" t="s">
        <v>1036</v>
      </c>
      <c r="F16" s="133">
        <f t="shared" si="16"/>
        <v>28.823</v>
      </c>
      <c r="G16" s="133">
        <v>28.436</v>
      </c>
      <c r="H16" s="128">
        <v>27.9282</v>
      </c>
      <c r="I16" s="144">
        <f t="shared" si="17"/>
        <v>0.5078</v>
      </c>
      <c r="J16" s="115" t="str">
        <f t="shared" si="18"/>
        <v>7.50R16-14PR-CR926</v>
      </c>
      <c r="K16" s="119" t="s">
        <v>1011</v>
      </c>
      <c r="L16" s="120" t="s">
        <v>958</v>
      </c>
      <c r="M16" s="120" t="s">
        <v>1037</v>
      </c>
      <c r="N16" s="125" t="s">
        <v>1022</v>
      </c>
      <c r="O16" s="120" t="s">
        <v>66</v>
      </c>
      <c r="P16" s="133">
        <v>25.23</v>
      </c>
      <c r="Q16" s="133">
        <v>25.48</v>
      </c>
      <c r="R16" s="144">
        <f t="shared" si="15"/>
        <v>-0.25</v>
      </c>
      <c r="S16" s="113" t="str">
        <f t="shared" si="7"/>
        <v>7.50-16-14PR-AB313</v>
      </c>
      <c r="T16" s="122"/>
      <c r="U16" s="123"/>
      <c r="V16" s="123"/>
      <c r="W16" s="123"/>
      <c r="X16" s="123"/>
      <c r="Y16" s="123"/>
      <c r="Z16" s="123"/>
      <c r="AA16" s="151"/>
      <c r="AB16" s="113" t="str">
        <f t="shared" si="19"/>
        <v/>
      </c>
      <c r="AC16" s="122"/>
      <c r="AD16" s="123"/>
      <c r="AE16" s="123"/>
      <c r="AF16" s="123"/>
      <c r="AG16" s="123"/>
      <c r="AH16" s="123"/>
      <c r="AI16" s="123"/>
      <c r="AJ16" s="151"/>
      <c r="AK16" s="113" t="str">
        <f t="shared" si="8"/>
        <v/>
      </c>
      <c r="AL16" s="122"/>
      <c r="AM16" s="123"/>
      <c r="AN16" s="123"/>
      <c r="AO16" s="123"/>
      <c r="AP16" s="123"/>
      <c r="AQ16" s="130"/>
      <c r="AR16" s="130"/>
      <c r="AS16" s="145"/>
      <c r="AT16" s="113" t="str">
        <f t="shared" si="9"/>
        <v/>
      </c>
      <c r="AU16" s="119" t="s">
        <v>1026</v>
      </c>
      <c r="AV16" s="120" t="s">
        <v>66</v>
      </c>
      <c r="AW16" s="175" t="s">
        <v>970</v>
      </c>
      <c r="AX16" s="120" t="s">
        <v>1027</v>
      </c>
      <c r="AY16" s="133">
        <v>5.521</v>
      </c>
      <c r="AZ16" s="133">
        <v>5.521</v>
      </c>
      <c r="BA16" s="144">
        <f t="shared" si="21"/>
        <v>0</v>
      </c>
      <c r="BB16" s="113" t="str">
        <f t="shared" si="10"/>
        <v>165/65R13-T-118</v>
      </c>
    </row>
    <row r="17" spans="2:54">
      <c r="B17" s="119" t="s">
        <v>807</v>
      </c>
      <c r="C17" s="120" t="s">
        <v>958</v>
      </c>
      <c r="D17" s="120" t="s">
        <v>1038</v>
      </c>
      <c r="E17" s="125" t="s">
        <v>1036</v>
      </c>
      <c r="F17" s="133">
        <f t="shared" si="16"/>
        <v>28.823</v>
      </c>
      <c r="G17" s="133">
        <v>28.436</v>
      </c>
      <c r="H17" s="128">
        <v>28.5599</v>
      </c>
      <c r="I17" s="144">
        <f t="shared" si="17"/>
        <v>-0.123899999999999</v>
      </c>
      <c r="J17" s="115" t="str">
        <f t="shared" si="18"/>
        <v>7.50R16-14PR-AZ676</v>
      </c>
      <c r="K17" s="119" t="s">
        <v>1004</v>
      </c>
      <c r="L17" s="120" t="s">
        <v>958</v>
      </c>
      <c r="M17" s="120" t="s">
        <v>959</v>
      </c>
      <c r="N17" s="120" t="s">
        <v>1039</v>
      </c>
      <c r="O17" s="120" t="s">
        <v>66</v>
      </c>
      <c r="P17" s="133">
        <v>22.4</v>
      </c>
      <c r="Q17" s="133">
        <v>22.4</v>
      </c>
      <c r="R17" s="144">
        <f t="shared" si="15"/>
        <v>0</v>
      </c>
      <c r="S17" s="113" t="str">
        <f t="shared" si="7"/>
        <v>7.50-16LT-14PR-MR881</v>
      </c>
      <c r="T17" s="119" t="s">
        <v>1040</v>
      </c>
      <c r="U17" s="120" t="s">
        <v>942</v>
      </c>
      <c r="V17" s="120" t="s">
        <v>943</v>
      </c>
      <c r="W17" s="120" t="s">
        <v>1041</v>
      </c>
      <c r="X17" s="120"/>
      <c r="Y17" s="133">
        <v>5.165</v>
      </c>
      <c r="Z17" s="133">
        <v>5.06</v>
      </c>
      <c r="AA17" s="144">
        <f t="shared" ref="AA17:AA24" si="22">Y17-Z17</f>
        <v>0.105</v>
      </c>
      <c r="AB17" s="113" t="str">
        <f t="shared" si="19"/>
        <v>18 X 9.50-8-4PR-TF11</v>
      </c>
      <c r="AC17" s="119" t="s">
        <v>996</v>
      </c>
      <c r="AD17" s="120" t="s">
        <v>958</v>
      </c>
      <c r="AE17" s="120" t="s">
        <v>947</v>
      </c>
      <c r="AF17" s="120" t="s">
        <v>1042</v>
      </c>
      <c r="AG17" s="120" t="s">
        <v>66</v>
      </c>
      <c r="AH17" s="120">
        <v>30.71</v>
      </c>
      <c r="AI17" s="120">
        <v>30.81</v>
      </c>
      <c r="AJ17" s="143">
        <f t="shared" ref="AJ17:AJ22" si="23">AH17-AI17</f>
        <v>-0.0999999999999979</v>
      </c>
      <c r="AK17" s="113" t="str">
        <f t="shared" si="8"/>
        <v>7.50-15-14PR-STRONG GUARD LIFT</v>
      </c>
      <c r="AL17" s="171" t="s">
        <v>1043</v>
      </c>
      <c r="AM17" s="172" t="s">
        <v>962</v>
      </c>
      <c r="AN17" s="172" t="s">
        <v>950</v>
      </c>
      <c r="AO17" s="172" t="s">
        <v>1044</v>
      </c>
      <c r="AP17" s="172"/>
      <c r="AQ17" s="173">
        <v>7.041</v>
      </c>
      <c r="AR17" s="133">
        <v>7.043</v>
      </c>
      <c r="AS17" s="174">
        <f t="shared" si="20"/>
        <v>-0.00199999999999978</v>
      </c>
      <c r="AT17" s="113" t="str">
        <f t="shared" si="9"/>
        <v>155R13-8PR-TRAILER ST290</v>
      </c>
      <c r="AU17" s="119" t="s">
        <v>1026</v>
      </c>
      <c r="AV17" s="120" t="s">
        <v>66</v>
      </c>
      <c r="AW17" s="175" t="s">
        <v>979</v>
      </c>
      <c r="AX17" s="120" t="s">
        <v>1027</v>
      </c>
      <c r="AY17" s="133">
        <v>5.521</v>
      </c>
      <c r="AZ17" s="133">
        <v>5.521</v>
      </c>
      <c r="BA17" s="144">
        <f t="shared" si="21"/>
        <v>0</v>
      </c>
      <c r="BB17" s="113" t="str">
        <f t="shared" si="10"/>
        <v>165/65R13-Z-108</v>
      </c>
    </row>
    <row r="18" ht="13.8" customHeight="1" spans="2:54">
      <c r="B18" s="119" t="s">
        <v>807</v>
      </c>
      <c r="C18" s="120" t="s">
        <v>958</v>
      </c>
      <c r="D18" s="120" t="s">
        <v>1045</v>
      </c>
      <c r="E18" s="125" t="s">
        <v>1036</v>
      </c>
      <c r="F18" s="133">
        <f t="shared" si="16"/>
        <v>28.823</v>
      </c>
      <c r="G18" s="133">
        <v>28.436</v>
      </c>
      <c r="H18" s="128">
        <v>27.9282</v>
      </c>
      <c r="I18" s="144">
        <f t="shared" si="17"/>
        <v>0.5078</v>
      </c>
      <c r="J18" s="115" t="str">
        <f t="shared" ref="J18:J69" si="24">_xlfn.TEXTJOIN("-",TRUE,B18,C18,D18)</f>
        <v>7.50R16-14PR-TZ202</v>
      </c>
      <c r="K18" s="119" t="s">
        <v>1004</v>
      </c>
      <c r="L18" s="120" t="s">
        <v>958</v>
      </c>
      <c r="M18" s="120" t="s">
        <v>974</v>
      </c>
      <c r="N18" s="120" t="s">
        <v>1046</v>
      </c>
      <c r="O18" s="120" t="s">
        <v>66</v>
      </c>
      <c r="P18" s="133">
        <v>24.83</v>
      </c>
      <c r="Q18" s="133">
        <v>24.82</v>
      </c>
      <c r="R18" s="144">
        <f t="shared" si="15"/>
        <v>0.00999999999999801</v>
      </c>
      <c r="S18" s="113" t="str">
        <f t="shared" si="7"/>
        <v>7.50-16LT-14PR-MX882</v>
      </c>
      <c r="T18" s="122"/>
      <c r="U18" s="123"/>
      <c r="V18" s="123"/>
      <c r="W18" s="123"/>
      <c r="X18" s="123"/>
      <c r="Y18" s="123"/>
      <c r="Z18" s="123"/>
      <c r="AA18" s="151"/>
      <c r="AB18" s="113" t="str">
        <f t="shared" si="19"/>
        <v/>
      </c>
      <c r="AC18" s="122"/>
      <c r="AD18" s="123"/>
      <c r="AE18" s="123"/>
      <c r="AF18" s="123"/>
      <c r="AG18" s="123"/>
      <c r="AH18" s="123"/>
      <c r="AI18" s="123"/>
      <c r="AJ18" s="151"/>
      <c r="AK18" s="113" t="str">
        <f t="shared" si="8"/>
        <v/>
      </c>
      <c r="AL18" s="122"/>
      <c r="AM18" s="123"/>
      <c r="AN18" s="123"/>
      <c r="AO18" s="123"/>
      <c r="AP18" s="123"/>
      <c r="AQ18" s="130"/>
      <c r="AR18" s="130"/>
      <c r="AS18" s="145"/>
      <c r="AT18" s="113" t="str">
        <f t="shared" si="9"/>
        <v/>
      </c>
      <c r="AU18" s="122"/>
      <c r="AV18" s="123"/>
      <c r="AW18" s="123"/>
      <c r="AX18" s="123"/>
      <c r="AY18" s="130"/>
      <c r="AZ18" s="130"/>
      <c r="BA18" s="145"/>
      <c r="BB18" s="113" t="str">
        <f t="shared" si="10"/>
        <v/>
      </c>
    </row>
    <row r="19" ht="17" spans="2:54">
      <c r="B19" s="119" t="s">
        <v>807</v>
      </c>
      <c r="C19" s="120" t="s">
        <v>958</v>
      </c>
      <c r="D19" s="120" t="s">
        <v>1047</v>
      </c>
      <c r="E19" s="125" t="s">
        <v>1036</v>
      </c>
      <c r="F19" s="133">
        <f t="shared" si="16"/>
        <v>28.823</v>
      </c>
      <c r="G19" s="133">
        <v>28.436</v>
      </c>
      <c r="H19" s="128">
        <v>27.9282</v>
      </c>
      <c r="I19" s="144">
        <f t="shared" si="17"/>
        <v>0.5078</v>
      </c>
      <c r="J19" s="115" t="str">
        <f t="shared" si="24"/>
        <v>7.50R16-14PR-AZ126T</v>
      </c>
      <c r="K19" s="119" t="s">
        <v>1011</v>
      </c>
      <c r="L19" s="120" t="s">
        <v>958</v>
      </c>
      <c r="M19" s="120" t="s">
        <v>938</v>
      </c>
      <c r="N19" s="120" t="s">
        <v>1048</v>
      </c>
      <c r="O19" s="120" t="s">
        <v>940</v>
      </c>
      <c r="P19" s="133">
        <v>23.4</v>
      </c>
      <c r="Q19" s="133">
        <v>23.4</v>
      </c>
      <c r="R19" s="144">
        <f t="shared" si="15"/>
        <v>0</v>
      </c>
      <c r="S19" s="113" t="str">
        <f t="shared" si="7"/>
        <v>7.50-16-14PR-R8037</v>
      </c>
      <c r="T19" s="119" t="s">
        <v>1049</v>
      </c>
      <c r="U19" s="120" t="s">
        <v>988</v>
      </c>
      <c r="V19" s="120" t="s">
        <v>989</v>
      </c>
      <c r="W19" s="120" t="s">
        <v>1050</v>
      </c>
      <c r="X19" s="120"/>
      <c r="Y19" s="133">
        <v>5.065</v>
      </c>
      <c r="Z19" s="133">
        <v>5.465</v>
      </c>
      <c r="AA19" s="144">
        <f t="shared" si="22"/>
        <v>-0.399999999999999</v>
      </c>
      <c r="AB19" s="113" t="str">
        <f t="shared" si="19"/>
        <v>20 X 8.00-8-2PR-TF01</v>
      </c>
      <c r="AC19" s="119" t="s">
        <v>1051</v>
      </c>
      <c r="AD19" s="120" t="s">
        <v>958</v>
      </c>
      <c r="AE19" s="120" t="s">
        <v>947</v>
      </c>
      <c r="AF19" s="120" t="s">
        <v>1052</v>
      </c>
      <c r="AG19" s="120" t="s">
        <v>66</v>
      </c>
      <c r="AH19" s="120">
        <v>36.96</v>
      </c>
      <c r="AI19" s="120">
        <v>36.94</v>
      </c>
      <c r="AJ19" s="143">
        <f t="shared" si="23"/>
        <v>0.0200000000000031</v>
      </c>
      <c r="AK19" s="113" t="str">
        <f t="shared" si="8"/>
        <v>8.25-15-14PR-STRONG GUARD LIFT</v>
      </c>
      <c r="AL19" s="171" t="s">
        <v>1053</v>
      </c>
      <c r="AM19" s="172" t="s">
        <v>66</v>
      </c>
      <c r="AN19" s="172" t="s">
        <v>950</v>
      </c>
      <c r="AO19" s="172" t="s">
        <v>1054</v>
      </c>
      <c r="AP19" s="172"/>
      <c r="AQ19" s="173">
        <v>6.119</v>
      </c>
      <c r="AR19" s="133">
        <v>6.124</v>
      </c>
      <c r="AS19" s="174">
        <f t="shared" ref="AS19:AS39" si="25">AQ19-AR19</f>
        <v>-0.00499999999999989</v>
      </c>
      <c r="AT19" s="113" t="str">
        <f t="shared" si="9"/>
        <v>165/70R13-/-TRAILER ST290</v>
      </c>
      <c r="AU19" s="119" t="s">
        <v>1053</v>
      </c>
      <c r="AV19" s="120" t="s">
        <v>66</v>
      </c>
      <c r="AW19" s="120" t="s">
        <v>953</v>
      </c>
      <c r="AX19" s="120" t="s">
        <v>1055</v>
      </c>
      <c r="AY19" s="133">
        <v>5.545</v>
      </c>
      <c r="AZ19" s="133">
        <v>5.546</v>
      </c>
      <c r="BA19" s="144">
        <f t="shared" ref="BA19:BA22" si="26">AY19-AZ19</f>
        <v>-0.00100000000000033</v>
      </c>
      <c r="BB19" s="113" t="str">
        <f t="shared" si="10"/>
        <v>165/70R13-C-108</v>
      </c>
    </row>
    <row r="20" ht="13.8" customHeight="1" spans="2:54">
      <c r="B20" s="119" t="s">
        <v>807</v>
      </c>
      <c r="C20" s="120" t="s">
        <v>958</v>
      </c>
      <c r="D20" s="120" t="s">
        <v>1056</v>
      </c>
      <c r="E20" s="125" t="s">
        <v>1036</v>
      </c>
      <c r="F20" s="133">
        <f t="shared" si="16"/>
        <v>28.823</v>
      </c>
      <c r="G20" s="133">
        <v>28.436</v>
      </c>
      <c r="H20" s="128">
        <v>27.9282</v>
      </c>
      <c r="I20" s="144">
        <f t="shared" si="17"/>
        <v>0.5078</v>
      </c>
      <c r="J20" s="115" t="str">
        <f t="shared" si="24"/>
        <v>7.50R16-14PR-MT200</v>
      </c>
      <c r="K20" s="119" t="s">
        <v>1011</v>
      </c>
      <c r="L20" s="120" t="s">
        <v>958</v>
      </c>
      <c r="M20" s="120" t="s">
        <v>1057</v>
      </c>
      <c r="N20" s="125" t="s">
        <v>1058</v>
      </c>
      <c r="O20" s="120" t="s">
        <v>1014</v>
      </c>
      <c r="P20" s="133">
        <v>24.45</v>
      </c>
      <c r="Q20" s="133">
        <v>24.45</v>
      </c>
      <c r="R20" s="144">
        <f t="shared" si="15"/>
        <v>0</v>
      </c>
      <c r="S20" s="113" t="str">
        <f t="shared" si="7"/>
        <v>7.50-16-14PR-R8038</v>
      </c>
      <c r="T20" s="119" t="s">
        <v>1049</v>
      </c>
      <c r="U20" s="120" t="s">
        <v>942</v>
      </c>
      <c r="V20" s="120" t="s">
        <v>989</v>
      </c>
      <c r="W20" s="120" t="s">
        <v>1059</v>
      </c>
      <c r="X20" s="120"/>
      <c r="Y20" s="133">
        <v>5.23</v>
      </c>
      <c r="Z20" s="133">
        <v>5.375</v>
      </c>
      <c r="AA20" s="144">
        <f t="shared" si="22"/>
        <v>-0.145</v>
      </c>
      <c r="AB20" s="113" t="str">
        <f t="shared" si="19"/>
        <v>20 X 8.00-8-4PR-TF01</v>
      </c>
      <c r="AC20" s="122"/>
      <c r="AD20" s="123"/>
      <c r="AE20" s="123"/>
      <c r="AF20" s="123"/>
      <c r="AG20" s="123"/>
      <c r="AH20" s="123"/>
      <c r="AI20" s="123"/>
      <c r="AJ20" s="151"/>
      <c r="AK20" s="113" t="str">
        <f t="shared" si="8"/>
        <v/>
      </c>
      <c r="AL20" s="122"/>
      <c r="AM20" s="123"/>
      <c r="AN20" s="123"/>
      <c r="AO20" s="123"/>
      <c r="AP20" s="123"/>
      <c r="AQ20" s="130"/>
      <c r="AR20" s="130"/>
      <c r="AS20" s="145"/>
      <c r="AT20" s="113" t="str">
        <f t="shared" si="9"/>
        <v/>
      </c>
      <c r="AU20" s="119" t="s">
        <v>1053</v>
      </c>
      <c r="AV20" s="120" t="s">
        <v>66</v>
      </c>
      <c r="AW20" s="120" t="s">
        <v>956</v>
      </c>
      <c r="AX20" s="120" t="s">
        <v>1055</v>
      </c>
      <c r="AY20" s="133">
        <v>5.545</v>
      </c>
      <c r="AZ20" s="133">
        <v>5.546</v>
      </c>
      <c r="BA20" s="144">
        <f t="shared" si="26"/>
        <v>-0.00100000000000033</v>
      </c>
      <c r="BB20" s="113" t="str">
        <f t="shared" si="10"/>
        <v>165/70R13-G-118</v>
      </c>
    </row>
    <row r="21" spans="2:54">
      <c r="B21" s="119" t="s">
        <v>807</v>
      </c>
      <c r="C21" s="120" t="s">
        <v>958</v>
      </c>
      <c r="D21" s="120" t="s">
        <v>1060</v>
      </c>
      <c r="E21" s="125" t="s">
        <v>1061</v>
      </c>
      <c r="F21" s="133">
        <f t="shared" si="16"/>
        <v>30.984</v>
      </c>
      <c r="G21" s="133">
        <v>30.597</v>
      </c>
      <c r="H21" s="128">
        <v>30.5474</v>
      </c>
      <c r="I21" s="144">
        <f t="shared" si="17"/>
        <v>0.0496000000000016</v>
      </c>
      <c r="J21" s="115" t="str">
        <f t="shared" si="24"/>
        <v>7.50R16-14PR-EZ369</v>
      </c>
      <c r="K21" s="119" t="s">
        <v>1011</v>
      </c>
      <c r="L21" s="120" t="s">
        <v>958</v>
      </c>
      <c r="M21" s="120" t="s">
        <v>1062</v>
      </c>
      <c r="N21" s="125" t="s">
        <v>1058</v>
      </c>
      <c r="O21" s="120" t="s">
        <v>1014</v>
      </c>
      <c r="P21" s="133">
        <v>24.45</v>
      </c>
      <c r="Q21" s="133">
        <v>24.45</v>
      </c>
      <c r="R21" s="144">
        <f t="shared" si="15"/>
        <v>0</v>
      </c>
      <c r="S21" s="113" t="str">
        <f t="shared" si="7"/>
        <v>7.50-16-14PR-AB111</v>
      </c>
      <c r="T21" s="119" t="s">
        <v>1049</v>
      </c>
      <c r="U21" s="120" t="s">
        <v>988</v>
      </c>
      <c r="V21" s="120" t="s">
        <v>943</v>
      </c>
      <c r="W21" s="120" t="s">
        <v>1063</v>
      </c>
      <c r="X21" s="120"/>
      <c r="Y21" s="133">
        <v>5.065</v>
      </c>
      <c r="Z21" s="133">
        <v>5.465</v>
      </c>
      <c r="AA21" s="144">
        <f t="shared" si="22"/>
        <v>-0.399999999999999</v>
      </c>
      <c r="AB21" s="113" t="str">
        <f t="shared" si="19"/>
        <v>20 X 8.00-8-2PR-TF11</v>
      </c>
      <c r="AC21" s="119" t="s">
        <v>1064</v>
      </c>
      <c r="AD21" s="120" t="s">
        <v>946</v>
      </c>
      <c r="AE21" s="120" t="s">
        <v>1065</v>
      </c>
      <c r="AF21" s="120" t="s">
        <v>1066</v>
      </c>
      <c r="AG21" s="120" t="s">
        <v>66</v>
      </c>
      <c r="AH21" s="120">
        <v>32.75</v>
      </c>
      <c r="AI21" s="120">
        <v>32.47</v>
      </c>
      <c r="AJ21" s="143">
        <f t="shared" si="23"/>
        <v>0.280000000000001</v>
      </c>
      <c r="AK21" s="113" t="str">
        <f t="shared" si="8"/>
        <v>10-16.5-10PR-STRONG GUARD S-MX</v>
      </c>
      <c r="AL21" s="171" t="s">
        <v>1067</v>
      </c>
      <c r="AM21" s="172" t="s">
        <v>66</v>
      </c>
      <c r="AN21" s="172" t="s">
        <v>950</v>
      </c>
      <c r="AO21" s="172" t="s">
        <v>1068</v>
      </c>
      <c r="AP21" s="172"/>
      <c r="AQ21" s="173">
        <v>7.039</v>
      </c>
      <c r="AR21" s="133">
        <v>7.043</v>
      </c>
      <c r="AS21" s="174">
        <f t="shared" si="25"/>
        <v>-0.00400000000000045</v>
      </c>
      <c r="AT21" s="113" t="str">
        <f t="shared" si="9"/>
        <v>175/70R13-/-TRAILER ST290</v>
      </c>
      <c r="AU21" s="119" t="s">
        <v>1053</v>
      </c>
      <c r="AV21" s="120" t="s">
        <v>66</v>
      </c>
      <c r="AW21" s="175" t="s">
        <v>970</v>
      </c>
      <c r="AX21" s="120" t="s">
        <v>1055</v>
      </c>
      <c r="AY21" s="133">
        <v>5.545</v>
      </c>
      <c r="AZ21" s="133">
        <v>5.546</v>
      </c>
      <c r="BA21" s="144">
        <f t="shared" si="26"/>
        <v>-0.00100000000000033</v>
      </c>
      <c r="BB21" s="113" t="str">
        <f t="shared" si="10"/>
        <v>165/70R13-T-118</v>
      </c>
    </row>
    <row r="22" spans="2:54">
      <c r="B22" s="119" t="s">
        <v>807</v>
      </c>
      <c r="C22" s="120" t="s">
        <v>958</v>
      </c>
      <c r="D22" s="120" t="s">
        <v>1069</v>
      </c>
      <c r="E22" s="125" t="s">
        <v>1061</v>
      </c>
      <c r="F22" s="133">
        <f t="shared" si="16"/>
        <v>30.984</v>
      </c>
      <c r="G22" s="133">
        <v>30.597</v>
      </c>
      <c r="H22" s="128">
        <v>30.5474</v>
      </c>
      <c r="I22" s="144">
        <f t="shared" si="17"/>
        <v>0.0496000000000016</v>
      </c>
      <c r="J22" s="115" t="str">
        <f t="shared" si="24"/>
        <v>7.50R16-14PR-TZ303</v>
      </c>
      <c r="K22" s="149"/>
      <c r="L22" s="150"/>
      <c r="M22" s="150"/>
      <c r="N22" s="150"/>
      <c r="O22" s="150"/>
      <c r="P22" s="150"/>
      <c r="Q22" s="150"/>
      <c r="R22" s="166"/>
      <c r="S22" s="113" t="str">
        <f t="shared" si="7"/>
        <v/>
      </c>
      <c r="T22" s="119" t="s">
        <v>1049</v>
      </c>
      <c r="U22" s="120" t="s">
        <v>942</v>
      </c>
      <c r="V22" s="120" t="s">
        <v>943</v>
      </c>
      <c r="W22" s="120" t="s">
        <v>1070</v>
      </c>
      <c r="X22" s="120"/>
      <c r="Y22" s="133">
        <v>5.32</v>
      </c>
      <c r="Z22" s="133">
        <v>5.465</v>
      </c>
      <c r="AA22" s="144">
        <f t="shared" si="22"/>
        <v>-0.145</v>
      </c>
      <c r="AB22" s="113" t="str">
        <f t="shared" si="19"/>
        <v>20 X 8.00-8-4PR-TF11</v>
      </c>
      <c r="AC22" s="119" t="s">
        <v>1064</v>
      </c>
      <c r="AD22" s="120" t="s">
        <v>946</v>
      </c>
      <c r="AE22" s="120" t="s">
        <v>966</v>
      </c>
      <c r="AF22" s="120" t="s">
        <v>1071</v>
      </c>
      <c r="AG22" s="120" t="s">
        <v>66</v>
      </c>
      <c r="AH22" s="120">
        <v>24.97</v>
      </c>
      <c r="AI22" s="120">
        <v>24.74</v>
      </c>
      <c r="AJ22" s="143">
        <f t="shared" si="23"/>
        <v>0.23</v>
      </c>
      <c r="AK22" s="113" t="str">
        <f t="shared" si="8"/>
        <v>10-16.5-10PR-STRONG GUARD SS</v>
      </c>
      <c r="AL22" s="122"/>
      <c r="AM22" s="123"/>
      <c r="AN22" s="123"/>
      <c r="AO22" s="123"/>
      <c r="AP22" s="123"/>
      <c r="AQ22" s="130"/>
      <c r="AR22" s="130"/>
      <c r="AS22" s="145"/>
      <c r="AT22" s="113" t="str">
        <f t="shared" si="9"/>
        <v/>
      </c>
      <c r="AU22" s="119" t="s">
        <v>1053</v>
      </c>
      <c r="AV22" s="120" t="s">
        <v>66</v>
      </c>
      <c r="AW22" s="175" t="s">
        <v>979</v>
      </c>
      <c r="AX22" s="120" t="s">
        <v>1055</v>
      </c>
      <c r="AY22" s="133">
        <v>5.545</v>
      </c>
      <c r="AZ22" s="133">
        <v>5.546</v>
      </c>
      <c r="BA22" s="144">
        <f t="shared" si="26"/>
        <v>-0.00100000000000033</v>
      </c>
      <c r="BB22" s="113" t="str">
        <f t="shared" si="10"/>
        <v>165/70R13-Z-108</v>
      </c>
    </row>
    <row r="23" ht="17" spans="2:54">
      <c r="B23" s="119" t="s">
        <v>807</v>
      </c>
      <c r="C23" s="120" t="s">
        <v>958</v>
      </c>
      <c r="D23" s="120" t="s">
        <v>935</v>
      </c>
      <c r="E23" s="120" t="s">
        <v>1072</v>
      </c>
      <c r="F23" s="133">
        <f t="shared" si="16"/>
        <v>30.555</v>
      </c>
      <c r="G23" s="133">
        <v>30.168</v>
      </c>
      <c r="H23" s="128">
        <v>30.17</v>
      </c>
      <c r="I23" s="144">
        <f t="shared" si="17"/>
        <v>-0.00200000000000244</v>
      </c>
      <c r="J23" s="115" t="str">
        <f t="shared" si="24"/>
        <v>7.50R16-14PR-AZ686</v>
      </c>
      <c r="K23" s="119" t="s">
        <v>1073</v>
      </c>
      <c r="L23" s="120" t="s">
        <v>1074</v>
      </c>
      <c r="M23" s="152" t="s">
        <v>1075</v>
      </c>
      <c r="N23" s="153" t="s">
        <v>1076</v>
      </c>
      <c r="O23" s="153" t="s">
        <v>66</v>
      </c>
      <c r="P23" s="133">
        <v>53.39</v>
      </c>
      <c r="Q23" s="120">
        <v>54.05</v>
      </c>
      <c r="R23" s="144">
        <f t="shared" ref="R23:R44" si="27">P23-Q23</f>
        <v>-0.659999999999997</v>
      </c>
      <c r="S23" s="113" t="str">
        <f t="shared" si="7"/>
        <v>10.00-20-16PR-CL956</v>
      </c>
      <c r="T23" s="119" t="s">
        <v>1077</v>
      </c>
      <c r="U23" s="120" t="s">
        <v>988</v>
      </c>
      <c r="V23" s="120" t="s">
        <v>943</v>
      </c>
      <c r="W23" s="120" t="s">
        <v>1078</v>
      </c>
      <c r="X23" s="120"/>
      <c r="Y23" s="133">
        <v>6.315</v>
      </c>
      <c r="Z23" s="133">
        <v>6.83</v>
      </c>
      <c r="AA23" s="144">
        <f t="shared" si="22"/>
        <v>-0.515</v>
      </c>
      <c r="AB23" s="113" t="str">
        <f t="shared" si="19"/>
        <v>20 X 10.00-8-2PR-TF11</v>
      </c>
      <c r="AC23" s="122"/>
      <c r="AD23" s="123"/>
      <c r="AE23" s="123"/>
      <c r="AF23" s="123"/>
      <c r="AG23" s="123"/>
      <c r="AH23" s="123"/>
      <c r="AI23" s="123"/>
      <c r="AJ23" s="151"/>
      <c r="AK23" s="113" t="str">
        <f t="shared" si="8"/>
        <v/>
      </c>
      <c r="AL23" s="119" t="s">
        <v>1079</v>
      </c>
      <c r="AM23" s="120" t="s">
        <v>965</v>
      </c>
      <c r="AN23" s="120" t="s">
        <v>1080</v>
      </c>
      <c r="AO23" s="120" t="s">
        <v>1081</v>
      </c>
      <c r="AP23" s="120"/>
      <c r="AQ23" s="133">
        <v>7.771</v>
      </c>
      <c r="AR23" s="133">
        <v>7.653</v>
      </c>
      <c r="AS23" s="144">
        <f t="shared" si="25"/>
        <v>0.118</v>
      </c>
      <c r="AT23" s="113" t="str">
        <f t="shared" si="9"/>
        <v>ST175/80R13-6PR-ST100</v>
      </c>
      <c r="AU23" s="122"/>
      <c r="AV23" s="123"/>
      <c r="AW23" s="123"/>
      <c r="AX23" s="123"/>
      <c r="AY23" s="130"/>
      <c r="AZ23" s="130"/>
      <c r="BA23" s="145"/>
      <c r="BB23" s="113" t="str">
        <f t="shared" si="10"/>
        <v/>
      </c>
    </row>
    <row r="24" ht="17" spans="2:54">
      <c r="B24" s="119" t="s">
        <v>807</v>
      </c>
      <c r="C24" s="120" t="s">
        <v>958</v>
      </c>
      <c r="D24" s="120" t="s">
        <v>1082</v>
      </c>
      <c r="E24" s="120" t="s">
        <v>1072</v>
      </c>
      <c r="F24" s="133">
        <f t="shared" si="16"/>
        <v>30.555</v>
      </c>
      <c r="G24" s="133">
        <v>30.168</v>
      </c>
      <c r="H24" s="128">
        <v>30.17</v>
      </c>
      <c r="I24" s="144">
        <f t="shared" si="17"/>
        <v>-0.00200000000000244</v>
      </c>
      <c r="J24" s="115" t="str">
        <f t="shared" si="24"/>
        <v>7.50R16-14PR-AZ697</v>
      </c>
      <c r="K24" s="119" t="s">
        <v>1073</v>
      </c>
      <c r="L24" s="120" t="s">
        <v>1074</v>
      </c>
      <c r="M24" s="152" t="s">
        <v>1083</v>
      </c>
      <c r="N24" s="153" t="s">
        <v>1076</v>
      </c>
      <c r="O24" s="153" t="s">
        <v>66</v>
      </c>
      <c r="P24" s="133">
        <v>53.39</v>
      </c>
      <c r="Q24" s="120">
        <v>54.05</v>
      </c>
      <c r="R24" s="144">
        <f t="shared" si="27"/>
        <v>-0.659999999999997</v>
      </c>
      <c r="S24" s="113" t="str">
        <f t="shared" si="7"/>
        <v>10.00-20-16PR-CL957</v>
      </c>
      <c r="T24" s="119" t="s">
        <v>1077</v>
      </c>
      <c r="U24" s="120" t="s">
        <v>942</v>
      </c>
      <c r="V24" s="120" t="s">
        <v>943</v>
      </c>
      <c r="W24" s="120" t="s">
        <v>1078</v>
      </c>
      <c r="X24" s="120"/>
      <c r="Y24" s="133">
        <v>6.315</v>
      </c>
      <c r="Z24" s="133">
        <v>6.83</v>
      </c>
      <c r="AA24" s="144">
        <f t="shared" si="22"/>
        <v>-0.515</v>
      </c>
      <c r="AB24" s="113" t="str">
        <f t="shared" si="19"/>
        <v>20 X 10.00-8-4PR-TF11</v>
      </c>
      <c r="AC24" s="119" t="s">
        <v>1084</v>
      </c>
      <c r="AD24" s="120" t="s">
        <v>946</v>
      </c>
      <c r="AE24" s="120" t="s">
        <v>1085</v>
      </c>
      <c r="AF24" s="154" t="s">
        <v>1086</v>
      </c>
      <c r="AG24" s="154" t="s">
        <v>66</v>
      </c>
      <c r="AH24" s="133">
        <v>31.66</v>
      </c>
      <c r="AI24" s="120">
        <v>31.04</v>
      </c>
      <c r="AJ24" s="144">
        <f t="shared" ref="AJ24:AJ28" si="28">AH24-AI24</f>
        <v>0.620000000000001</v>
      </c>
      <c r="AK24" s="113" t="str">
        <f t="shared" si="8"/>
        <v>10.5/80-18-10PR-STRONG GUARD LG2</v>
      </c>
      <c r="AL24" s="119" t="s">
        <v>1079</v>
      </c>
      <c r="AM24" s="120" t="s">
        <v>965</v>
      </c>
      <c r="AN24" s="120" t="s">
        <v>1087</v>
      </c>
      <c r="AO24" s="120" t="s">
        <v>1081</v>
      </c>
      <c r="AP24" s="120"/>
      <c r="AQ24" s="133">
        <v>7.771</v>
      </c>
      <c r="AR24" s="133">
        <v>7.653</v>
      </c>
      <c r="AS24" s="144">
        <f t="shared" si="25"/>
        <v>0.118</v>
      </c>
      <c r="AT24" s="113" t="str">
        <f t="shared" si="9"/>
        <v>ST175/80R13-6PR-STZC</v>
      </c>
      <c r="AU24" s="119" t="s">
        <v>1088</v>
      </c>
      <c r="AV24" s="120" t="s">
        <v>66</v>
      </c>
      <c r="AW24" s="120" t="s">
        <v>953</v>
      </c>
      <c r="AX24" s="120" t="s">
        <v>1089</v>
      </c>
      <c r="AY24" s="133">
        <v>5.886</v>
      </c>
      <c r="AZ24" s="133">
        <v>5.868</v>
      </c>
      <c r="BA24" s="144">
        <f t="shared" ref="BA24:BA27" si="29">AY24-AZ24</f>
        <v>0.0179999999999998</v>
      </c>
      <c r="BB24" s="113" t="str">
        <f t="shared" si="10"/>
        <v>165/70R14-C-108</v>
      </c>
    </row>
    <row r="25" ht="17" spans="2:54">
      <c r="B25" s="119" t="s">
        <v>807</v>
      </c>
      <c r="C25" s="120" t="s">
        <v>958</v>
      </c>
      <c r="D25" s="120" t="s">
        <v>1090</v>
      </c>
      <c r="E25" s="120" t="s">
        <v>1091</v>
      </c>
      <c r="F25" s="133">
        <f t="shared" si="16"/>
        <v>30.381</v>
      </c>
      <c r="G25" s="133">
        <v>29.994</v>
      </c>
      <c r="H25" s="128">
        <v>29.6386</v>
      </c>
      <c r="I25" s="144">
        <f t="shared" si="17"/>
        <v>0.355399999999999</v>
      </c>
      <c r="J25" s="115" t="str">
        <f t="shared" si="24"/>
        <v>7.50R16-14PR-AZ850S</v>
      </c>
      <c r="K25" s="119" t="s">
        <v>1073</v>
      </c>
      <c r="L25" s="120" t="s">
        <v>1092</v>
      </c>
      <c r="M25" s="152" t="s">
        <v>1075</v>
      </c>
      <c r="N25" s="154" t="s">
        <v>1093</v>
      </c>
      <c r="O25" s="154" t="s">
        <v>1094</v>
      </c>
      <c r="P25" s="133">
        <v>56.45</v>
      </c>
      <c r="Q25" s="120">
        <v>56.03</v>
      </c>
      <c r="R25" s="144">
        <f t="shared" si="27"/>
        <v>0.420000000000002</v>
      </c>
      <c r="S25" s="113" t="str">
        <f t="shared" si="7"/>
        <v>10.00-20-18PR-CL956</v>
      </c>
      <c r="T25" s="122"/>
      <c r="U25" s="123"/>
      <c r="V25" s="123"/>
      <c r="W25" s="123"/>
      <c r="X25" s="123"/>
      <c r="Y25" s="123"/>
      <c r="Z25" s="123"/>
      <c r="AA25" s="151"/>
      <c r="AB25" s="113" t="str">
        <f t="shared" si="19"/>
        <v/>
      </c>
      <c r="AC25" s="122"/>
      <c r="AD25" s="123"/>
      <c r="AE25" s="123"/>
      <c r="AF25" s="123"/>
      <c r="AG25" s="123"/>
      <c r="AH25" s="123"/>
      <c r="AI25" s="123"/>
      <c r="AJ25" s="151"/>
      <c r="AK25" s="113" t="str">
        <f t="shared" si="8"/>
        <v/>
      </c>
      <c r="AL25" s="119" t="s">
        <v>1079</v>
      </c>
      <c r="AM25" s="120" t="s">
        <v>962</v>
      </c>
      <c r="AN25" s="120" t="s">
        <v>1080</v>
      </c>
      <c r="AO25" s="120" t="s">
        <v>1095</v>
      </c>
      <c r="AP25" s="120"/>
      <c r="AQ25" s="133">
        <v>8.683</v>
      </c>
      <c r="AR25" s="133">
        <v>8.565</v>
      </c>
      <c r="AS25" s="144">
        <f t="shared" si="25"/>
        <v>0.118</v>
      </c>
      <c r="AT25" s="113" t="str">
        <f t="shared" si="9"/>
        <v>ST175/80R13-8PR-ST100</v>
      </c>
      <c r="AU25" s="119" t="s">
        <v>1088</v>
      </c>
      <c r="AV25" s="120" t="s">
        <v>66</v>
      </c>
      <c r="AW25" s="120" t="s">
        <v>956</v>
      </c>
      <c r="AX25" s="120" t="s">
        <v>1089</v>
      </c>
      <c r="AY25" s="133">
        <v>5.886</v>
      </c>
      <c r="AZ25" s="133">
        <v>5.868</v>
      </c>
      <c r="BA25" s="144">
        <f t="shared" si="29"/>
        <v>0.0179999999999998</v>
      </c>
      <c r="BB25" s="113" t="str">
        <f t="shared" si="10"/>
        <v>165/70R14-G-118</v>
      </c>
    </row>
    <row r="26" ht="13.8" customHeight="1" spans="2:54">
      <c r="B26" s="119" t="s">
        <v>807</v>
      </c>
      <c r="C26" s="120" t="s">
        <v>958</v>
      </c>
      <c r="D26" s="120" t="s">
        <v>1096</v>
      </c>
      <c r="E26" s="120" t="s">
        <v>1097</v>
      </c>
      <c r="F26" s="133">
        <f t="shared" si="16"/>
        <v>29.238</v>
      </c>
      <c r="G26" s="133">
        <v>28.851</v>
      </c>
      <c r="H26" s="128">
        <v>28.7953</v>
      </c>
      <c r="I26" s="144">
        <f t="shared" si="17"/>
        <v>0.0556999999999981</v>
      </c>
      <c r="J26" s="115" t="str">
        <f t="shared" si="24"/>
        <v>7.50R16-14PR-CB972</v>
      </c>
      <c r="K26" s="119" t="s">
        <v>1073</v>
      </c>
      <c r="L26" s="120" t="s">
        <v>1092</v>
      </c>
      <c r="M26" s="152" t="s">
        <v>1083</v>
      </c>
      <c r="N26" s="154" t="s">
        <v>1093</v>
      </c>
      <c r="O26" s="154" t="s">
        <v>1094</v>
      </c>
      <c r="P26" s="133">
        <v>56.45</v>
      </c>
      <c r="Q26" s="120">
        <v>56.03</v>
      </c>
      <c r="R26" s="144">
        <f t="shared" si="27"/>
        <v>0.420000000000002</v>
      </c>
      <c r="S26" s="113" t="str">
        <f t="shared" si="7"/>
        <v>10.00-20-18PR-CL957</v>
      </c>
      <c r="T26" s="119" t="s">
        <v>1098</v>
      </c>
      <c r="U26" s="120" t="s">
        <v>965</v>
      </c>
      <c r="V26" s="120" t="s">
        <v>1099</v>
      </c>
      <c r="W26" s="120" t="s">
        <v>1100</v>
      </c>
      <c r="X26" s="120"/>
      <c r="Y26" s="133">
        <v>5.175</v>
      </c>
      <c r="Z26" s="133">
        <v>5.175</v>
      </c>
      <c r="AA26" s="144">
        <f t="shared" ref="AA26:AA30" si="30">Y26-Z26</f>
        <v>0</v>
      </c>
      <c r="AB26" s="113" t="str">
        <f t="shared" si="19"/>
        <v>21X7-10-6PR-AR05</v>
      </c>
      <c r="AC26" s="119" t="s">
        <v>1073</v>
      </c>
      <c r="AD26" s="120" t="s">
        <v>1101</v>
      </c>
      <c r="AE26" s="120" t="s">
        <v>1102</v>
      </c>
      <c r="AF26" s="154" t="s">
        <v>1103</v>
      </c>
      <c r="AG26" s="154" t="s">
        <v>66</v>
      </c>
      <c r="AH26" s="133">
        <v>65.44</v>
      </c>
      <c r="AI26" s="120">
        <v>65.27</v>
      </c>
      <c r="AJ26" s="144">
        <f t="shared" si="28"/>
        <v>0.170000000000002</v>
      </c>
      <c r="AK26" s="113" t="str">
        <f t="shared" si="8"/>
        <v>10.00-20-20PR-STRONG GUARD LIFT+</v>
      </c>
      <c r="AL26" s="119" t="s">
        <v>1079</v>
      </c>
      <c r="AM26" s="120" t="s">
        <v>965</v>
      </c>
      <c r="AN26" s="120" t="s">
        <v>1104</v>
      </c>
      <c r="AO26" s="120" t="s">
        <v>1105</v>
      </c>
      <c r="AP26" s="120"/>
      <c r="AQ26" s="133">
        <v>7.041</v>
      </c>
      <c r="AR26" s="133">
        <v>6.922</v>
      </c>
      <c r="AS26" s="144">
        <f t="shared" si="25"/>
        <v>0.119000000000001</v>
      </c>
      <c r="AT26" s="113" t="str">
        <f t="shared" si="9"/>
        <v>ST175/80R13-6PR-ST100A</v>
      </c>
      <c r="AU26" s="119" t="s">
        <v>1088</v>
      </c>
      <c r="AV26" s="120" t="s">
        <v>66</v>
      </c>
      <c r="AW26" s="175" t="s">
        <v>970</v>
      </c>
      <c r="AX26" s="120" t="s">
        <v>1089</v>
      </c>
      <c r="AY26" s="133">
        <v>5.886</v>
      </c>
      <c r="AZ26" s="133">
        <v>5.868</v>
      </c>
      <c r="BA26" s="144">
        <f t="shared" si="29"/>
        <v>0.0179999999999998</v>
      </c>
      <c r="BB26" s="113" t="str">
        <f t="shared" si="10"/>
        <v>165/70R14-T-118</v>
      </c>
    </row>
    <row r="27" ht="13.8" customHeight="1" spans="2:54">
      <c r="B27" s="119" t="s">
        <v>807</v>
      </c>
      <c r="C27" s="120" t="s">
        <v>958</v>
      </c>
      <c r="D27" s="120" t="s">
        <v>1106</v>
      </c>
      <c r="E27" s="120" t="s">
        <v>1107</v>
      </c>
      <c r="F27" s="133">
        <f t="shared" si="16"/>
        <v>30.292</v>
      </c>
      <c r="G27" s="133">
        <v>29.905</v>
      </c>
      <c r="H27" s="128">
        <v>29.4407</v>
      </c>
      <c r="I27" s="144">
        <f t="shared" si="17"/>
        <v>0.464300000000001</v>
      </c>
      <c r="J27" s="115" t="str">
        <f t="shared" si="24"/>
        <v>7.50R16-14PR-CM913</v>
      </c>
      <c r="K27" s="119" t="s">
        <v>1073</v>
      </c>
      <c r="L27" s="120" t="s">
        <v>1074</v>
      </c>
      <c r="M27" s="152" t="s">
        <v>1108</v>
      </c>
      <c r="N27" s="154" t="s">
        <v>1109</v>
      </c>
      <c r="O27" s="154" t="s">
        <v>1094</v>
      </c>
      <c r="P27" s="133">
        <v>52.02</v>
      </c>
      <c r="Q27" s="120">
        <v>52.27</v>
      </c>
      <c r="R27" s="144">
        <f t="shared" si="27"/>
        <v>-0.25</v>
      </c>
      <c r="S27" s="113" t="str">
        <f t="shared" si="7"/>
        <v>10.00-20-16PR-CL991</v>
      </c>
      <c r="T27" s="122"/>
      <c r="U27" s="123"/>
      <c r="V27" s="123"/>
      <c r="W27" s="123"/>
      <c r="X27" s="123"/>
      <c r="Y27" s="123"/>
      <c r="Z27" s="123"/>
      <c r="AA27" s="151"/>
      <c r="AB27" s="113" t="str">
        <f t="shared" si="19"/>
        <v/>
      </c>
      <c r="AC27" s="122"/>
      <c r="AD27" s="123"/>
      <c r="AE27" s="123"/>
      <c r="AF27" s="123"/>
      <c r="AG27" s="123"/>
      <c r="AH27" s="123"/>
      <c r="AI27" s="123"/>
      <c r="AJ27" s="151"/>
      <c r="AK27" s="113" t="str">
        <f t="shared" si="8"/>
        <v/>
      </c>
      <c r="AL27" s="119" t="s">
        <v>1079</v>
      </c>
      <c r="AM27" s="120" t="s">
        <v>965</v>
      </c>
      <c r="AN27" s="120" t="s">
        <v>1110</v>
      </c>
      <c r="AO27" s="120" t="s">
        <v>1105</v>
      </c>
      <c r="AP27" s="120"/>
      <c r="AQ27" s="133">
        <v>7.041</v>
      </c>
      <c r="AR27" s="133">
        <v>6.922</v>
      </c>
      <c r="AS27" s="144">
        <f t="shared" si="25"/>
        <v>0.119000000000001</v>
      </c>
      <c r="AT27" s="113" t="str">
        <f t="shared" si="9"/>
        <v>ST175/80R13-6PR-DURAHAULER ST</v>
      </c>
      <c r="AU27" s="119" t="s">
        <v>1088</v>
      </c>
      <c r="AV27" s="120" t="s">
        <v>66</v>
      </c>
      <c r="AW27" s="175" t="s">
        <v>979</v>
      </c>
      <c r="AX27" s="120" t="s">
        <v>1089</v>
      </c>
      <c r="AY27" s="133">
        <v>5.886</v>
      </c>
      <c r="AZ27" s="133">
        <v>5.868</v>
      </c>
      <c r="BA27" s="144">
        <f t="shared" si="29"/>
        <v>0.0179999999999998</v>
      </c>
      <c r="BB27" s="113" t="str">
        <f t="shared" si="10"/>
        <v>165/70R14-Z-108</v>
      </c>
    </row>
    <row r="28" ht="13.8" customHeight="1" spans="2:54">
      <c r="B28" s="119" t="s">
        <v>807</v>
      </c>
      <c r="C28" s="120" t="s">
        <v>958</v>
      </c>
      <c r="D28" s="120" t="s">
        <v>1111</v>
      </c>
      <c r="E28" s="120" t="s">
        <v>1112</v>
      </c>
      <c r="F28" s="133">
        <f t="shared" si="16"/>
        <v>30.429</v>
      </c>
      <c r="G28" s="133">
        <v>30.042</v>
      </c>
      <c r="H28" s="128">
        <v>26.7897</v>
      </c>
      <c r="I28" s="144">
        <f t="shared" si="17"/>
        <v>3.2523</v>
      </c>
      <c r="J28" s="115" t="str">
        <f t="shared" si="24"/>
        <v>7.50R16-14PR-EZ377</v>
      </c>
      <c r="K28" s="119" t="s">
        <v>1073</v>
      </c>
      <c r="L28" s="120" t="s">
        <v>1092</v>
      </c>
      <c r="M28" s="152" t="s">
        <v>1108</v>
      </c>
      <c r="N28" s="154" t="s">
        <v>1113</v>
      </c>
      <c r="O28" s="154" t="s">
        <v>66</v>
      </c>
      <c r="P28" s="133">
        <v>56.8</v>
      </c>
      <c r="Q28" s="120">
        <v>57.15</v>
      </c>
      <c r="R28" s="144">
        <f t="shared" si="27"/>
        <v>-0.350000000000001</v>
      </c>
      <c r="S28" s="113" t="str">
        <f t="shared" si="7"/>
        <v>10.00-20-18PR-CL991</v>
      </c>
      <c r="T28" s="119" t="s">
        <v>1114</v>
      </c>
      <c r="U28" s="120" t="s">
        <v>965</v>
      </c>
      <c r="V28" s="120" t="s">
        <v>1115</v>
      </c>
      <c r="W28" s="120" t="s">
        <v>1116</v>
      </c>
      <c r="X28" s="120"/>
      <c r="Y28" s="133">
        <v>6.825</v>
      </c>
      <c r="Z28" s="133">
        <v>6.824</v>
      </c>
      <c r="AA28" s="144">
        <f t="shared" si="30"/>
        <v>0.00100000000000033</v>
      </c>
      <c r="AB28" s="113" t="str">
        <f t="shared" si="19"/>
        <v>22X10-10-6PR-AR06</v>
      </c>
      <c r="AC28" s="119" t="s">
        <v>1117</v>
      </c>
      <c r="AD28" s="120" t="s">
        <v>934</v>
      </c>
      <c r="AE28" s="120" t="s">
        <v>1118</v>
      </c>
      <c r="AF28" s="154" t="s">
        <v>1119</v>
      </c>
      <c r="AG28" s="154" t="s">
        <v>66</v>
      </c>
      <c r="AH28" s="133">
        <v>26.82</v>
      </c>
      <c r="AI28" s="120">
        <v>26.37</v>
      </c>
      <c r="AJ28" s="144">
        <f t="shared" si="28"/>
        <v>0.449999999999999</v>
      </c>
      <c r="AK28" s="113" t="str">
        <f t="shared" si="8"/>
        <v>11L-15-12PR-STRONG GUARD F-3</v>
      </c>
      <c r="AL28" s="119" t="s">
        <v>1079</v>
      </c>
      <c r="AM28" s="120" t="s">
        <v>965</v>
      </c>
      <c r="AN28" s="120" t="s">
        <v>1120</v>
      </c>
      <c r="AO28" s="120" t="s">
        <v>1105</v>
      </c>
      <c r="AP28" s="120"/>
      <c r="AQ28" s="133">
        <v>7.041</v>
      </c>
      <c r="AR28" s="133">
        <v>6.922</v>
      </c>
      <c r="AS28" s="144">
        <f t="shared" si="25"/>
        <v>0.119000000000001</v>
      </c>
      <c r="AT28" s="113" t="str">
        <f t="shared" si="9"/>
        <v>ST175/80R13-6PR-ASSURE ST</v>
      </c>
      <c r="AU28" s="122"/>
      <c r="AV28" s="123"/>
      <c r="AW28" s="123"/>
      <c r="AX28" s="123"/>
      <c r="AY28" s="130"/>
      <c r="AZ28" s="130"/>
      <c r="BA28" s="145"/>
      <c r="BB28" s="113" t="str">
        <f t="shared" si="10"/>
        <v/>
      </c>
    </row>
    <row r="29" ht="13.8" customHeight="1" spans="2:54">
      <c r="B29" s="119" t="s">
        <v>807</v>
      </c>
      <c r="C29" s="120" t="s">
        <v>958</v>
      </c>
      <c r="D29" s="120" t="s">
        <v>1121</v>
      </c>
      <c r="E29" s="120" t="s">
        <v>1122</v>
      </c>
      <c r="F29" s="133">
        <f t="shared" si="16"/>
        <v>31.247</v>
      </c>
      <c r="G29" s="133">
        <v>30.86</v>
      </c>
      <c r="H29" s="128">
        <v>30.5443</v>
      </c>
      <c r="I29" s="144">
        <f t="shared" si="17"/>
        <v>0.3157</v>
      </c>
      <c r="J29" s="115" t="str">
        <f t="shared" si="24"/>
        <v>7.50R16-14PR-ETOD</v>
      </c>
      <c r="K29" s="119" t="s">
        <v>1073</v>
      </c>
      <c r="L29" s="120" t="s">
        <v>958</v>
      </c>
      <c r="M29" s="120" t="s">
        <v>1123</v>
      </c>
      <c r="N29" s="154" t="s">
        <v>1124</v>
      </c>
      <c r="O29" s="154" t="s">
        <v>66</v>
      </c>
      <c r="P29" s="133">
        <v>34.9</v>
      </c>
      <c r="Q29" s="120">
        <v>35.11</v>
      </c>
      <c r="R29" s="144">
        <f t="shared" si="27"/>
        <v>-0.210000000000001</v>
      </c>
      <c r="S29" s="113" t="str">
        <f t="shared" si="7"/>
        <v>10.00-20-14PR-CR918</v>
      </c>
      <c r="T29" s="122"/>
      <c r="U29" s="123"/>
      <c r="V29" s="123"/>
      <c r="W29" s="123"/>
      <c r="X29" s="123"/>
      <c r="Y29" s="123"/>
      <c r="Z29" s="123"/>
      <c r="AA29" s="151"/>
      <c r="AB29" s="113" t="str">
        <f t="shared" si="19"/>
        <v/>
      </c>
      <c r="AC29" s="122"/>
      <c r="AD29" s="123"/>
      <c r="AE29" s="123"/>
      <c r="AF29" s="123"/>
      <c r="AG29" s="123"/>
      <c r="AH29" s="123"/>
      <c r="AI29" s="123"/>
      <c r="AJ29" s="151"/>
      <c r="AK29" s="113" t="str">
        <f t="shared" si="8"/>
        <v/>
      </c>
      <c r="AL29" s="119" t="s">
        <v>1079</v>
      </c>
      <c r="AM29" s="120" t="s">
        <v>965</v>
      </c>
      <c r="AN29" s="120" t="s">
        <v>1125</v>
      </c>
      <c r="AO29" s="120" t="s">
        <v>1105</v>
      </c>
      <c r="AP29" s="120"/>
      <c r="AQ29" s="133">
        <v>7.041</v>
      </c>
      <c r="AR29" s="133">
        <v>6.922</v>
      </c>
      <c r="AS29" s="144">
        <f t="shared" si="25"/>
        <v>0.119000000000001</v>
      </c>
      <c r="AT29" s="113" t="str">
        <f t="shared" si="9"/>
        <v>ST175/80R13-6PR-Tow Pro ST</v>
      </c>
      <c r="AU29" s="119" t="s">
        <v>1126</v>
      </c>
      <c r="AV29" s="120" t="s">
        <v>66</v>
      </c>
      <c r="AW29" s="120" t="s">
        <v>953</v>
      </c>
      <c r="AX29" s="120" t="s">
        <v>1127</v>
      </c>
      <c r="AY29" s="133">
        <v>6.127</v>
      </c>
      <c r="AZ29" s="133">
        <v>6.128</v>
      </c>
      <c r="BA29" s="144">
        <f t="shared" ref="BA29:BA32" si="31">AY29-AZ29</f>
        <v>-0.00100000000000033</v>
      </c>
      <c r="BB29" s="113" t="str">
        <f t="shared" si="10"/>
        <v>165/80R13-C-108</v>
      </c>
    </row>
    <row r="30" ht="17" spans="2:54">
      <c r="B30" s="119" t="s">
        <v>807</v>
      </c>
      <c r="C30" s="120" t="s">
        <v>958</v>
      </c>
      <c r="D30" s="120" t="s">
        <v>1128</v>
      </c>
      <c r="E30" s="120" t="s">
        <v>1122</v>
      </c>
      <c r="F30" s="133">
        <f t="shared" si="16"/>
        <v>31.247</v>
      </c>
      <c r="G30" s="133">
        <v>30.86</v>
      </c>
      <c r="H30" s="128">
        <v>30.5443</v>
      </c>
      <c r="I30" s="144">
        <f t="shared" si="17"/>
        <v>0.3157</v>
      </c>
      <c r="J30" s="115" t="str">
        <f t="shared" si="24"/>
        <v>7.50R16-14PR-AM4S.Q669</v>
      </c>
      <c r="K30" s="119" t="s">
        <v>1073</v>
      </c>
      <c r="L30" s="120" t="s">
        <v>1074</v>
      </c>
      <c r="M30" s="120" t="s">
        <v>1129</v>
      </c>
      <c r="N30" s="154" t="s">
        <v>1130</v>
      </c>
      <c r="O30" s="154" t="s">
        <v>1014</v>
      </c>
      <c r="P30" s="133">
        <v>52.77</v>
      </c>
      <c r="Q30" s="120">
        <v>53.03</v>
      </c>
      <c r="R30" s="144">
        <f t="shared" si="27"/>
        <v>-0.259999999999998</v>
      </c>
      <c r="S30" s="113" t="str">
        <f t="shared" si="7"/>
        <v>10.00-20-16PR-CR952</v>
      </c>
      <c r="T30" s="119" t="s">
        <v>1131</v>
      </c>
      <c r="U30" s="120" t="s">
        <v>965</v>
      </c>
      <c r="V30" s="120" t="s">
        <v>1115</v>
      </c>
      <c r="W30" s="120" t="s">
        <v>1132</v>
      </c>
      <c r="X30" s="120"/>
      <c r="Y30" s="133">
        <v>8.19</v>
      </c>
      <c r="Z30" s="133">
        <v>8.191</v>
      </c>
      <c r="AA30" s="144">
        <f t="shared" si="30"/>
        <v>-0.00100000000000122</v>
      </c>
      <c r="AB30" s="113" t="str">
        <f t="shared" si="19"/>
        <v>22X11-10-6PR-AR06</v>
      </c>
      <c r="AC30" s="119" t="s">
        <v>1133</v>
      </c>
      <c r="AD30" s="120" t="s">
        <v>934</v>
      </c>
      <c r="AE30" s="120" t="s">
        <v>1118</v>
      </c>
      <c r="AF30" s="154" t="s">
        <v>1119</v>
      </c>
      <c r="AG30" s="154" t="s">
        <v>66</v>
      </c>
      <c r="AH30" s="133">
        <v>26.75</v>
      </c>
      <c r="AI30" s="120">
        <v>26.41</v>
      </c>
      <c r="AJ30" s="144">
        <f t="shared" ref="AJ30:AJ34" si="32">AH30-AI30</f>
        <v>0.34</v>
      </c>
      <c r="AK30" s="113" t="str">
        <f t="shared" si="8"/>
        <v>11L-16-12PR-STRONG GUARD F-3</v>
      </c>
      <c r="AL30" s="119" t="s">
        <v>1079</v>
      </c>
      <c r="AM30" s="120" t="s">
        <v>962</v>
      </c>
      <c r="AN30" s="120" t="s">
        <v>1104</v>
      </c>
      <c r="AO30" s="120" t="s">
        <v>1134</v>
      </c>
      <c r="AP30" s="120"/>
      <c r="AQ30" s="133">
        <v>7.858</v>
      </c>
      <c r="AR30" s="133">
        <v>7.738</v>
      </c>
      <c r="AS30" s="144">
        <f t="shared" si="25"/>
        <v>0.119999999999999</v>
      </c>
      <c r="AT30" s="113" t="str">
        <f t="shared" si="9"/>
        <v>ST175/80R13-8PR-ST100A</v>
      </c>
      <c r="AU30" s="119" t="s">
        <v>1126</v>
      </c>
      <c r="AV30" s="120" t="s">
        <v>66</v>
      </c>
      <c r="AW30" s="120" t="s">
        <v>956</v>
      </c>
      <c r="AX30" s="120" t="s">
        <v>1127</v>
      </c>
      <c r="AY30" s="133">
        <v>6.127</v>
      </c>
      <c r="AZ30" s="133">
        <v>6.128</v>
      </c>
      <c r="BA30" s="144">
        <f t="shared" si="31"/>
        <v>-0.00100000000000033</v>
      </c>
      <c r="BB30" s="113" t="str">
        <f t="shared" si="10"/>
        <v>165/80R13-G-118</v>
      </c>
    </row>
    <row r="31" spans="2:54">
      <c r="B31" s="119" t="s">
        <v>807</v>
      </c>
      <c r="C31" s="120" t="s">
        <v>958</v>
      </c>
      <c r="D31" s="121" t="s">
        <v>1135</v>
      </c>
      <c r="E31" s="120" t="s">
        <v>1136</v>
      </c>
      <c r="F31" s="127">
        <f t="shared" si="16"/>
        <v>30.005</v>
      </c>
      <c r="G31" s="133">
        <v>29.618</v>
      </c>
      <c r="H31" s="128">
        <v>28.2831</v>
      </c>
      <c r="I31" s="144">
        <f t="shared" si="17"/>
        <v>1.3349</v>
      </c>
      <c r="J31" s="115" t="str">
        <f t="shared" si="24"/>
        <v>7.50R16-14PR-SUPER AM S</v>
      </c>
      <c r="K31" s="119" t="s">
        <v>1073</v>
      </c>
      <c r="L31" s="120" t="s">
        <v>1092</v>
      </c>
      <c r="M31" s="120" t="s">
        <v>1129</v>
      </c>
      <c r="N31" s="154" t="s">
        <v>1137</v>
      </c>
      <c r="O31" s="154" t="s">
        <v>66</v>
      </c>
      <c r="P31" s="133">
        <v>55.43</v>
      </c>
      <c r="Q31" s="120">
        <v>55.74</v>
      </c>
      <c r="R31" s="144">
        <f t="shared" si="27"/>
        <v>-0.310000000000002</v>
      </c>
      <c r="S31" s="113" t="str">
        <f t="shared" si="7"/>
        <v>10.00-20-18PR-CR952</v>
      </c>
      <c r="T31" s="122"/>
      <c r="U31" s="123"/>
      <c r="V31" s="123"/>
      <c r="W31" s="123"/>
      <c r="X31" s="123"/>
      <c r="Y31" s="123"/>
      <c r="Z31" s="123"/>
      <c r="AA31" s="151"/>
      <c r="AB31" s="113" t="str">
        <f t="shared" si="19"/>
        <v/>
      </c>
      <c r="AC31" s="122"/>
      <c r="AD31" s="123"/>
      <c r="AE31" s="123"/>
      <c r="AF31" s="123"/>
      <c r="AG31" s="123"/>
      <c r="AH31" s="123"/>
      <c r="AI31" s="123"/>
      <c r="AJ31" s="151"/>
      <c r="AK31" s="113" t="str">
        <f t="shared" si="8"/>
        <v/>
      </c>
      <c r="AL31" s="119" t="s">
        <v>1079</v>
      </c>
      <c r="AM31" s="120" t="s">
        <v>962</v>
      </c>
      <c r="AN31" s="120" t="s">
        <v>1110</v>
      </c>
      <c r="AO31" s="120" t="s">
        <v>1134</v>
      </c>
      <c r="AP31" s="120"/>
      <c r="AQ31" s="133">
        <v>7.858</v>
      </c>
      <c r="AR31" s="133">
        <v>7.738</v>
      </c>
      <c r="AS31" s="144">
        <f t="shared" si="25"/>
        <v>0.119999999999999</v>
      </c>
      <c r="AT31" s="113" t="str">
        <f t="shared" si="9"/>
        <v>ST175/80R13-8PR-DURAHAULER ST</v>
      </c>
      <c r="AU31" s="119" t="s">
        <v>1126</v>
      </c>
      <c r="AV31" s="120" t="s">
        <v>66</v>
      </c>
      <c r="AW31" s="175" t="s">
        <v>970</v>
      </c>
      <c r="AX31" s="120" t="s">
        <v>1127</v>
      </c>
      <c r="AY31" s="133">
        <v>6.127</v>
      </c>
      <c r="AZ31" s="133">
        <v>6.128</v>
      </c>
      <c r="BA31" s="144">
        <f t="shared" si="31"/>
        <v>-0.00100000000000033</v>
      </c>
      <c r="BB31" s="113" t="str">
        <f t="shared" si="10"/>
        <v>165/80R13-T-118</v>
      </c>
    </row>
    <row r="32" ht="13.8" customHeight="1" spans="2:54">
      <c r="B32" s="119" t="s">
        <v>807</v>
      </c>
      <c r="C32" s="120" t="s">
        <v>958</v>
      </c>
      <c r="D32" s="121" t="s">
        <v>1138</v>
      </c>
      <c r="E32" s="120" t="s">
        <v>1136</v>
      </c>
      <c r="F32" s="127">
        <f t="shared" si="16"/>
        <v>30.005</v>
      </c>
      <c r="G32" s="133">
        <v>29.618</v>
      </c>
      <c r="H32" s="134">
        <v>28.2831</v>
      </c>
      <c r="I32" s="144">
        <f t="shared" si="17"/>
        <v>1.3349</v>
      </c>
      <c r="J32" s="115" t="str">
        <f t="shared" si="24"/>
        <v>7.50R16-14PR-MOBY.R856X</v>
      </c>
      <c r="K32" s="119" t="s">
        <v>1073</v>
      </c>
      <c r="L32" s="120" t="s">
        <v>1074</v>
      </c>
      <c r="M32" s="120" t="s">
        <v>1139</v>
      </c>
      <c r="N32" s="155" t="s">
        <v>1140</v>
      </c>
      <c r="O32" s="154" t="s">
        <v>1094</v>
      </c>
      <c r="P32" s="133">
        <v>54.45</v>
      </c>
      <c r="Q32" s="120">
        <v>54.71</v>
      </c>
      <c r="R32" s="144">
        <f t="shared" si="27"/>
        <v>-0.259999999999998</v>
      </c>
      <c r="S32" s="113" t="str">
        <f t="shared" si="7"/>
        <v>10.00-20-16PR-L9057</v>
      </c>
      <c r="T32" s="119" t="s">
        <v>1141</v>
      </c>
      <c r="U32" s="120" t="s">
        <v>965</v>
      </c>
      <c r="V32" s="120" t="s">
        <v>1142</v>
      </c>
      <c r="W32" s="120" t="s">
        <v>1143</v>
      </c>
      <c r="X32" s="120"/>
      <c r="Y32" s="133">
        <v>8.315</v>
      </c>
      <c r="Z32" s="133">
        <v>8.313</v>
      </c>
      <c r="AA32" s="144">
        <f t="shared" ref="AA32:AA36" si="33">Y32-Z32</f>
        <v>0.00199999999999889</v>
      </c>
      <c r="AB32" s="113" t="str">
        <f t="shared" si="19"/>
        <v>23X8.00-10-6PR-P193</v>
      </c>
      <c r="AC32" s="119" t="s">
        <v>1144</v>
      </c>
      <c r="AD32" s="120" t="s">
        <v>934</v>
      </c>
      <c r="AE32" s="120" t="s">
        <v>966</v>
      </c>
      <c r="AF32" s="120" t="s">
        <v>1145</v>
      </c>
      <c r="AG32" s="154" t="s">
        <v>66</v>
      </c>
      <c r="AH32" s="133">
        <v>32.92</v>
      </c>
      <c r="AI32" s="120">
        <v>35.94</v>
      </c>
      <c r="AJ32" s="144">
        <f t="shared" si="32"/>
        <v>-3.02</v>
      </c>
      <c r="AK32" s="113" t="str">
        <f t="shared" si="8"/>
        <v>12-16.5-12PR-STRONG GUARD SS</v>
      </c>
      <c r="AL32" s="119" t="s">
        <v>1079</v>
      </c>
      <c r="AM32" s="120" t="s">
        <v>962</v>
      </c>
      <c r="AN32" s="120" t="s">
        <v>1120</v>
      </c>
      <c r="AO32" s="120" t="s">
        <v>1134</v>
      </c>
      <c r="AP32" s="120"/>
      <c r="AQ32" s="133">
        <v>7.858</v>
      </c>
      <c r="AR32" s="133">
        <v>7.738</v>
      </c>
      <c r="AS32" s="144">
        <f t="shared" si="25"/>
        <v>0.119999999999999</v>
      </c>
      <c r="AT32" s="113" t="str">
        <f t="shared" si="9"/>
        <v>ST175/80R13-8PR-ASSURE ST</v>
      </c>
      <c r="AU32" s="119" t="s">
        <v>1126</v>
      </c>
      <c r="AV32" s="120" t="s">
        <v>66</v>
      </c>
      <c r="AW32" s="175" t="s">
        <v>979</v>
      </c>
      <c r="AX32" s="120" t="s">
        <v>1127</v>
      </c>
      <c r="AY32" s="133">
        <v>6.127</v>
      </c>
      <c r="AZ32" s="133">
        <v>6.128</v>
      </c>
      <c r="BA32" s="144">
        <f t="shared" si="31"/>
        <v>-0.00100000000000033</v>
      </c>
      <c r="BB32" s="113" t="str">
        <f t="shared" si="10"/>
        <v>165/80R13-Z-108</v>
      </c>
    </row>
    <row r="33" ht="13.8" customHeight="1" spans="2:54">
      <c r="B33" s="119" t="s">
        <v>807</v>
      </c>
      <c r="C33" s="120" t="s">
        <v>958</v>
      </c>
      <c r="D33" s="120" t="s">
        <v>1146</v>
      </c>
      <c r="E33" s="135" t="s">
        <v>1147</v>
      </c>
      <c r="F33" s="133">
        <f t="shared" si="16"/>
        <v>30.334</v>
      </c>
      <c r="G33" s="133">
        <v>29.947</v>
      </c>
      <c r="H33" s="127">
        <v>30.0501</v>
      </c>
      <c r="I33" s="144">
        <f t="shared" si="17"/>
        <v>-0.103100000000001</v>
      </c>
      <c r="J33" s="115" t="str">
        <f t="shared" si="24"/>
        <v>7.50R16-14PR-TKAL III</v>
      </c>
      <c r="K33" s="119" t="s">
        <v>1073</v>
      </c>
      <c r="L33" s="120" t="s">
        <v>1092</v>
      </c>
      <c r="M33" s="121" t="s">
        <v>1139</v>
      </c>
      <c r="N33" s="156" t="s">
        <v>1148</v>
      </c>
      <c r="O33" s="157" t="s">
        <v>66</v>
      </c>
      <c r="P33" s="133">
        <v>56.74</v>
      </c>
      <c r="Q33" s="167">
        <v>57.02</v>
      </c>
      <c r="R33" s="144">
        <f t="shared" si="27"/>
        <v>-0.280000000000001</v>
      </c>
      <c r="S33" s="113" t="str">
        <f t="shared" si="7"/>
        <v>10.00-20-18PR-L9057</v>
      </c>
      <c r="T33" s="122"/>
      <c r="U33" s="123"/>
      <c r="V33" s="123"/>
      <c r="W33" s="123"/>
      <c r="X33" s="123"/>
      <c r="Y33" s="123"/>
      <c r="Z33" s="123"/>
      <c r="AA33" s="151"/>
      <c r="AB33" s="113" t="str">
        <f t="shared" si="19"/>
        <v/>
      </c>
      <c r="AC33" s="119" t="s">
        <v>1144</v>
      </c>
      <c r="AD33" s="120" t="s">
        <v>934</v>
      </c>
      <c r="AE33" s="120" t="s">
        <v>1065</v>
      </c>
      <c r="AF33" s="120" t="s">
        <v>1149</v>
      </c>
      <c r="AG33" s="154" t="s">
        <v>66</v>
      </c>
      <c r="AH33" s="133">
        <v>47.51</v>
      </c>
      <c r="AI33" s="120">
        <v>47.16</v>
      </c>
      <c r="AJ33" s="144">
        <f t="shared" si="32"/>
        <v>0.350000000000001</v>
      </c>
      <c r="AK33" s="113" t="str">
        <f t="shared" si="8"/>
        <v>12-16.5-12PR-STRONG GUARD S-MX</v>
      </c>
      <c r="AL33" s="119" t="s">
        <v>1079</v>
      </c>
      <c r="AM33" s="120" t="s">
        <v>962</v>
      </c>
      <c r="AN33" s="120" t="s">
        <v>1125</v>
      </c>
      <c r="AO33" s="120" t="s">
        <v>1134</v>
      </c>
      <c r="AP33" s="120"/>
      <c r="AQ33" s="133">
        <v>7.858</v>
      </c>
      <c r="AR33" s="133">
        <v>7.738</v>
      </c>
      <c r="AS33" s="144">
        <f t="shared" si="25"/>
        <v>0.119999999999999</v>
      </c>
      <c r="AT33" s="113" t="str">
        <f t="shared" si="9"/>
        <v>ST175/80R13-8PR-Tow Pro ST</v>
      </c>
      <c r="AU33" s="122"/>
      <c r="AV33" s="123"/>
      <c r="AW33" s="123"/>
      <c r="AX33" s="123"/>
      <c r="AY33" s="130"/>
      <c r="AZ33" s="130"/>
      <c r="BA33" s="145"/>
      <c r="BB33" s="113" t="str">
        <f t="shared" si="10"/>
        <v/>
      </c>
    </row>
    <row r="34" ht="17" spans="2:54">
      <c r="B34" s="119" t="s">
        <v>807</v>
      </c>
      <c r="C34" s="120" t="s">
        <v>958</v>
      </c>
      <c r="D34" s="120" t="s">
        <v>1150</v>
      </c>
      <c r="E34" s="120" t="s">
        <v>1151</v>
      </c>
      <c r="F34" s="133">
        <f t="shared" ref="F34:F43" si="34">G34-1.94+2.33</f>
        <v>30.45</v>
      </c>
      <c r="G34" s="133">
        <v>30.06</v>
      </c>
      <c r="H34" s="127">
        <v>30.4</v>
      </c>
      <c r="I34" s="144">
        <f t="shared" si="17"/>
        <v>-0.34</v>
      </c>
      <c r="J34" s="115" t="str">
        <f t="shared" si="24"/>
        <v>7.50R16-14PR-CB972pro</v>
      </c>
      <c r="K34" s="119" t="s">
        <v>1073</v>
      </c>
      <c r="L34" s="120" t="s">
        <v>1092</v>
      </c>
      <c r="M34" s="121" t="s">
        <v>1152</v>
      </c>
      <c r="N34" s="153" t="s">
        <v>1148</v>
      </c>
      <c r="O34" s="157" t="s">
        <v>66</v>
      </c>
      <c r="P34" s="133">
        <v>56.74</v>
      </c>
      <c r="Q34" s="167">
        <v>57.02</v>
      </c>
      <c r="R34" s="144">
        <f t="shared" si="27"/>
        <v>-0.280000000000001</v>
      </c>
      <c r="S34" s="113" t="str">
        <f t="shared" si="7"/>
        <v>10.00-20-18PR-AB316</v>
      </c>
      <c r="T34" s="119" t="s">
        <v>1153</v>
      </c>
      <c r="U34" s="120" t="s">
        <v>965</v>
      </c>
      <c r="V34" s="120" t="s">
        <v>1154</v>
      </c>
      <c r="W34" s="120" t="s">
        <v>1155</v>
      </c>
      <c r="X34" s="120"/>
      <c r="Y34" s="133">
        <v>7.21</v>
      </c>
      <c r="Z34" s="133">
        <v>7.13</v>
      </c>
      <c r="AA34" s="144">
        <f t="shared" si="33"/>
        <v>0.0800000000000001</v>
      </c>
      <c r="AB34" s="113" t="str">
        <f t="shared" si="19"/>
        <v>24 X 8-12-6PR-AR10</v>
      </c>
      <c r="AC34" s="119" t="s">
        <v>1144</v>
      </c>
      <c r="AD34" s="120" t="s">
        <v>958</v>
      </c>
      <c r="AE34" s="120" t="s">
        <v>1156</v>
      </c>
      <c r="AF34" s="120" t="s">
        <v>1157</v>
      </c>
      <c r="AG34" s="154" t="s">
        <v>66</v>
      </c>
      <c r="AH34" s="133">
        <v>54.32</v>
      </c>
      <c r="AI34" s="120">
        <v>53.96</v>
      </c>
      <c r="AJ34" s="144">
        <f t="shared" si="32"/>
        <v>0.359999999999999</v>
      </c>
      <c r="AK34" s="113" t="str">
        <f t="shared" si="8"/>
        <v>12-16.5-14PR-STRONG GUARD S-XD</v>
      </c>
      <c r="AL34" s="119" t="s">
        <v>1079</v>
      </c>
      <c r="AM34" s="120" t="s">
        <v>965</v>
      </c>
      <c r="AN34" s="120" t="s">
        <v>984</v>
      </c>
      <c r="AO34" s="120" t="s">
        <v>1158</v>
      </c>
      <c r="AP34" s="120"/>
      <c r="AQ34" s="133">
        <v>7.268</v>
      </c>
      <c r="AR34" s="133">
        <v>7.115</v>
      </c>
      <c r="AS34" s="144">
        <f t="shared" si="25"/>
        <v>0.153</v>
      </c>
      <c r="AT34" s="113" t="str">
        <f t="shared" si="9"/>
        <v>ST175/80R13-6PR-ST Radial</v>
      </c>
      <c r="AU34" s="119" t="s">
        <v>1159</v>
      </c>
      <c r="AV34" s="120" t="s">
        <v>66</v>
      </c>
      <c r="AW34" s="120" t="s">
        <v>953</v>
      </c>
      <c r="AX34" s="120" t="s">
        <v>1160</v>
      </c>
      <c r="AY34" s="133">
        <v>6.423</v>
      </c>
      <c r="AZ34" s="133">
        <v>6.423</v>
      </c>
      <c r="BA34" s="144">
        <f t="shared" ref="BA34:BA37" si="35">AY34-AZ34</f>
        <v>0</v>
      </c>
      <c r="BB34" s="113" t="str">
        <f t="shared" si="10"/>
        <v>175/65R14-C-108</v>
      </c>
    </row>
    <row r="35" ht="13.8" customHeight="1" spans="2:54">
      <c r="B35" s="119" t="s">
        <v>807</v>
      </c>
      <c r="C35" s="120" t="s">
        <v>958</v>
      </c>
      <c r="D35" s="120" t="s">
        <v>1161</v>
      </c>
      <c r="E35" s="120" t="s">
        <v>1162</v>
      </c>
      <c r="F35" s="133">
        <f t="shared" si="34"/>
        <v>30.377</v>
      </c>
      <c r="G35" s="133">
        <v>29.987</v>
      </c>
      <c r="H35" s="127">
        <v>29.94</v>
      </c>
      <c r="I35" s="144">
        <f t="shared" si="17"/>
        <v>0.046999999999997</v>
      </c>
      <c r="J35" s="115" t="str">
        <f t="shared" si="24"/>
        <v>7.50R16-14PR-AZ691S</v>
      </c>
      <c r="K35" s="119" t="s">
        <v>1073</v>
      </c>
      <c r="L35" s="120" t="s">
        <v>1074</v>
      </c>
      <c r="M35" s="120" t="s">
        <v>1163</v>
      </c>
      <c r="N35" s="154" t="s">
        <v>1164</v>
      </c>
      <c r="O35" s="154" t="s">
        <v>66</v>
      </c>
      <c r="P35" s="133">
        <v>63.06</v>
      </c>
      <c r="Q35" s="167">
        <v>63.21</v>
      </c>
      <c r="R35" s="144">
        <f t="shared" si="27"/>
        <v>-0.149999999999999</v>
      </c>
      <c r="S35" s="113" t="str">
        <f t="shared" si="7"/>
        <v>10.00-20-16PR-M9096</v>
      </c>
      <c r="T35" s="119" t="s">
        <v>1153</v>
      </c>
      <c r="U35" s="120" t="s">
        <v>965</v>
      </c>
      <c r="V35" s="120" t="s">
        <v>1165</v>
      </c>
      <c r="W35" s="120" t="s">
        <v>1166</v>
      </c>
      <c r="X35" s="120"/>
      <c r="Y35" s="133">
        <v>7.595</v>
      </c>
      <c r="Z35" s="133">
        <v>7.597</v>
      </c>
      <c r="AA35" s="144">
        <f t="shared" si="33"/>
        <v>-0.00200000000000067</v>
      </c>
      <c r="AB35" s="113" t="str">
        <f t="shared" si="19"/>
        <v>24 X 8-12-6PR-AR12</v>
      </c>
      <c r="AC35" s="122"/>
      <c r="AD35" s="123"/>
      <c r="AE35" s="123"/>
      <c r="AF35" s="123"/>
      <c r="AG35" s="123"/>
      <c r="AH35" s="123"/>
      <c r="AI35" s="123"/>
      <c r="AJ35" s="151"/>
      <c r="AK35" s="113" t="str">
        <f t="shared" si="8"/>
        <v/>
      </c>
      <c r="AL35" s="119" t="s">
        <v>1079</v>
      </c>
      <c r="AM35" s="120" t="s">
        <v>965</v>
      </c>
      <c r="AN35" s="120" t="s">
        <v>1167</v>
      </c>
      <c r="AO35" s="120" t="s">
        <v>1158</v>
      </c>
      <c r="AP35" s="120"/>
      <c r="AQ35" s="133">
        <v>7.268</v>
      </c>
      <c r="AR35" s="133">
        <v>7.15</v>
      </c>
      <c r="AS35" s="144">
        <f t="shared" si="25"/>
        <v>0.117999999999999</v>
      </c>
      <c r="AT35" s="113" t="str">
        <f t="shared" si="9"/>
        <v>ST175/80R13-6PR-ST200</v>
      </c>
      <c r="AU35" s="119" t="s">
        <v>1159</v>
      </c>
      <c r="AV35" s="120" t="s">
        <v>66</v>
      </c>
      <c r="AW35" s="120" t="s">
        <v>956</v>
      </c>
      <c r="AX35" s="120" t="s">
        <v>1160</v>
      </c>
      <c r="AY35" s="133">
        <v>6.423</v>
      </c>
      <c r="AZ35" s="133">
        <v>6.423</v>
      </c>
      <c r="BA35" s="144">
        <f t="shared" si="35"/>
        <v>0</v>
      </c>
      <c r="BB35" s="113" t="str">
        <f t="shared" si="10"/>
        <v>175/65R14-G-118</v>
      </c>
    </row>
    <row r="36" spans="2:54">
      <c r="B36" s="119" t="s">
        <v>807</v>
      </c>
      <c r="C36" s="120" t="s">
        <v>958</v>
      </c>
      <c r="D36" s="120" t="s">
        <v>1168</v>
      </c>
      <c r="E36" s="120" t="s">
        <v>1169</v>
      </c>
      <c r="F36" s="133">
        <f t="shared" si="34"/>
        <v>30.658</v>
      </c>
      <c r="G36" s="133">
        <v>30.268</v>
      </c>
      <c r="H36" s="127">
        <v>30.61</v>
      </c>
      <c r="I36" s="144">
        <f t="shared" si="17"/>
        <v>-0.341999999999999</v>
      </c>
      <c r="J36" s="115" t="str">
        <f t="shared" si="24"/>
        <v>7.50R16-14PR-AZ601+</v>
      </c>
      <c r="K36" s="119" t="s">
        <v>1073</v>
      </c>
      <c r="L36" s="120" t="s">
        <v>1074</v>
      </c>
      <c r="M36" s="120" t="s">
        <v>1170</v>
      </c>
      <c r="N36" s="154" t="s">
        <v>1164</v>
      </c>
      <c r="O36" s="154" t="s">
        <v>66</v>
      </c>
      <c r="P36" s="133">
        <v>63.06</v>
      </c>
      <c r="Q36" s="167">
        <v>63.21</v>
      </c>
      <c r="R36" s="144">
        <f t="shared" si="27"/>
        <v>-0.149999999999999</v>
      </c>
      <c r="S36" s="113" t="str">
        <f t="shared" si="7"/>
        <v>10.00-20-16PR-M9097</v>
      </c>
      <c r="T36" s="119" t="s">
        <v>1171</v>
      </c>
      <c r="U36" s="120" t="s">
        <v>965</v>
      </c>
      <c r="V36" s="120" t="s">
        <v>1154</v>
      </c>
      <c r="W36" s="120" t="s">
        <v>1172</v>
      </c>
      <c r="X36" s="120"/>
      <c r="Y36" s="133">
        <v>8.79</v>
      </c>
      <c r="Z36" s="133">
        <v>8.79</v>
      </c>
      <c r="AA36" s="144">
        <f t="shared" si="33"/>
        <v>0</v>
      </c>
      <c r="AB36" s="113" t="str">
        <f t="shared" si="19"/>
        <v>24 X 10-12-6PR-AR10</v>
      </c>
      <c r="AC36" s="119" t="s">
        <v>1173</v>
      </c>
      <c r="AD36" s="120" t="s">
        <v>934</v>
      </c>
      <c r="AE36" s="120" t="s">
        <v>1174</v>
      </c>
      <c r="AF36" s="154" t="s">
        <v>1175</v>
      </c>
      <c r="AG36" s="154" t="s">
        <v>66</v>
      </c>
      <c r="AH36" s="133">
        <v>43.4</v>
      </c>
      <c r="AI36" s="120">
        <v>42.97</v>
      </c>
      <c r="AJ36" s="144">
        <f t="shared" ref="AJ36:AJ40" si="36">AH36-AI36</f>
        <v>0.43</v>
      </c>
      <c r="AK36" s="113" t="str">
        <f t="shared" si="8"/>
        <v>12.5/80-18-12PR-BHL-100</v>
      </c>
      <c r="AL36" s="119" t="s">
        <v>1079</v>
      </c>
      <c r="AM36" s="120" t="s">
        <v>965</v>
      </c>
      <c r="AN36" s="120" t="s">
        <v>993</v>
      </c>
      <c r="AO36" s="120" t="s">
        <v>1158</v>
      </c>
      <c r="AP36" s="120"/>
      <c r="AQ36" s="133">
        <v>7.268</v>
      </c>
      <c r="AR36" s="133">
        <v>7.15</v>
      </c>
      <c r="AS36" s="144">
        <f t="shared" si="25"/>
        <v>0.117999999999999</v>
      </c>
      <c r="AT36" s="113" t="str">
        <f t="shared" si="9"/>
        <v>ST175/80R13-6PR-RAINIER ST</v>
      </c>
      <c r="AU36" s="119" t="s">
        <v>1159</v>
      </c>
      <c r="AV36" s="120" t="s">
        <v>66</v>
      </c>
      <c r="AW36" s="175" t="s">
        <v>970</v>
      </c>
      <c r="AX36" s="120" t="s">
        <v>1160</v>
      </c>
      <c r="AY36" s="133">
        <v>6.423</v>
      </c>
      <c r="AZ36" s="133">
        <v>6.423</v>
      </c>
      <c r="BA36" s="144">
        <f t="shared" si="35"/>
        <v>0</v>
      </c>
      <c r="BB36" s="113" t="str">
        <f t="shared" si="10"/>
        <v>175/65R14-T-118</v>
      </c>
    </row>
    <row r="37" ht="13.8" customHeight="1" spans="2:54">
      <c r="B37" s="119" t="s">
        <v>807</v>
      </c>
      <c r="C37" s="120" t="s">
        <v>958</v>
      </c>
      <c r="D37" s="120" t="s">
        <v>1176</v>
      </c>
      <c r="E37" s="120" t="s">
        <v>1177</v>
      </c>
      <c r="F37" s="133">
        <f t="shared" si="34"/>
        <v>31.297</v>
      </c>
      <c r="G37" s="133">
        <v>30.907</v>
      </c>
      <c r="H37" s="127">
        <v>31.25</v>
      </c>
      <c r="I37" s="144">
        <f t="shared" si="17"/>
        <v>-0.343</v>
      </c>
      <c r="J37" s="115" t="str">
        <f t="shared" si="24"/>
        <v>7.50R16-14PR-EZ865</v>
      </c>
      <c r="K37" s="119" t="s">
        <v>1073</v>
      </c>
      <c r="L37" s="120" t="s">
        <v>1092</v>
      </c>
      <c r="M37" s="120" t="s">
        <v>1163</v>
      </c>
      <c r="N37" s="154" t="s">
        <v>1178</v>
      </c>
      <c r="O37" s="154" t="s">
        <v>1094</v>
      </c>
      <c r="P37" s="133">
        <v>63.79</v>
      </c>
      <c r="Q37" s="120">
        <v>64.26</v>
      </c>
      <c r="R37" s="144">
        <f t="shared" si="27"/>
        <v>-0.470000000000006</v>
      </c>
      <c r="S37" s="113" t="str">
        <f t="shared" si="7"/>
        <v>10.00-20-18PR-M9096</v>
      </c>
      <c r="T37" s="122"/>
      <c r="U37" s="123"/>
      <c r="V37" s="123"/>
      <c r="W37" s="123"/>
      <c r="X37" s="123"/>
      <c r="Y37" s="123"/>
      <c r="Z37" s="123"/>
      <c r="AA37" s="151"/>
      <c r="AB37" s="113" t="str">
        <f t="shared" si="19"/>
        <v/>
      </c>
      <c r="AC37" s="119" t="s">
        <v>1173</v>
      </c>
      <c r="AD37" s="120" t="s">
        <v>934</v>
      </c>
      <c r="AE37" s="120" t="s">
        <v>1085</v>
      </c>
      <c r="AF37" s="154" t="s">
        <v>1179</v>
      </c>
      <c r="AG37" s="154" t="s">
        <v>66</v>
      </c>
      <c r="AH37" s="133">
        <v>43.4</v>
      </c>
      <c r="AI37" s="120">
        <v>42.97</v>
      </c>
      <c r="AJ37" s="144">
        <f t="shared" si="36"/>
        <v>0.43</v>
      </c>
      <c r="AK37" s="113" t="str">
        <f t="shared" si="8"/>
        <v>12.5/80-18-12PR-STRONG GUARD LG2</v>
      </c>
      <c r="AL37" s="119" t="s">
        <v>1079</v>
      </c>
      <c r="AM37" s="120" t="s">
        <v>962</v>
      </c>
      <c r="AN37" s="120" t="s">
        <v>1167</v>
      </c>
      <c r="AO37" s="120" t="s">
        <v>1180</v>
      </c>
      <c r="AP37" s="120"/>
      <c r="AQ37" s="133">
        <v>8.137</v>
      </c>
      <c r="AR37" s="133">
        <v>8.128</v>
      </c>
      <c r="AS37" s="144">
        <f t="shared" si="25"/>
        <v>0.00900000000000034</v>
      </c>
      <c r="AT37" s="113" t="str">
        <f t="shared" ref="AT37:AT68" si="37">_xlfn.TEXTJOIN("-",TRUE,AL37,AM37,AN37)</f>
        <v>ST175/80R13-8PR-ST200</v>
      </c>
      <c r="AU37" s="119" t="s">
        <v>1159</v>
      </c>
      <c r="AV37" s="120" t="s">
        <v>66</v>
      </c>
      <c r="AW37" s="175" t="s">
        <v>979</v>
      </c>
      <c r="AX37" s="120" t="s">
        <v>1160</v>
      </c>
      <c r="AY37" s="133">
        <v>6.423</v>
      </c>
      <c r="AZ37" s="133">
        <v>6.423</v>
      </c>
      <c r="BA37" s="144">
        <f t="shared" si="35"/>
        <v>0</v>
      </c>
      <c r="BB37" s="113" t="str">
        <f t="shared" si="10"/>
        <v>175/65R14-Z-108</v>
      </c>
    </row>
    <row r="38" ht="17" spans="2:54">
      <c r="B38" s="119" t="s">
        <v>807</v>
      </c>
      <c r="C38" s="120" t="s">
        <v>958</v>
      </c>
      <c r="D38" s="120" t="s">
        <v>1181</v>
      </c>
      <c r="E38" s="120" t="s">
        <v>1177</v>
      </c>
      <c r="F38" s="133">
        <f t="shared" si="34"/>
        <v>31.297</v>
      </c>
      <c r="G38" s="133">
        <v>30.907</v>
      </c>
      <c r="H38" s="127">
        <v>31.25</v>
      </c>
      <c r="I38" s="144">
        <f t="shared" si="17"/>
        <v>-0.343</v>
      </c>
      <c r="J38" s="115" t="str">
        <f t="shared" si="24"/>
        <v>7.50R16-14PR-EZ861</v>
      </c>
      <c r="K38" s="119" t="s">
        <v>1073</v>
      </c>
      <c r="L38" s="120" t="s">
        <v>1092</v>
      </c>
      <c r="M38" s="120" t="s">
        <v>1170</v>
      </c>
      <c r="N38" s="153" t="s">
        <v>1178</v>
      </c>
      <c r="O38" s="154" t="s">
        <v>1094</v>
      </c>
      <c r="P38" s="133">
        <v>63.79</v>
      </c>
      <c r="Q38" s="120">
        <v>64.26</v>
      </c>
      <c r="R38" s="144">
        <f t="shared" si="27"/>
        <v>-0.470000000000006</v>
      </c>
      <c r="S38" s="113" t="str">
        <f t="shared" si="7"/>
        <v>10.00-20-18PR-M9097</v>
      </c>
      <c r="T38" s="119" t="s">
        <v>1182</v>
      </c>
      <c r="U38" s="120" t="s">
        <v>942</v>
      </c>
      <c r="V38" s="120" t="s">
        <v>1183</v>
      </c>
      <c r="W38" s="120" t="s">
        <v>1184</v>
      </c>
      <c r="X38" s="120"/>
      <c r="Y38" s="133">
        <v>11.128</v>
      </c>
      <c r="Z38" s="133">
        <v>11.01</v>
      </c>
      <c r="AA38" s="144">
        <f t="shared" ref="AA38:AA46" si="38">Y38-Z38</f>
        <v>0.118</v>
      </c>
      <c r="AB38" s="113" t="str">
        <f t="shared" si="19"/>
        <v>24 X 9.00-12-4PR-OTR07</v>
      </c>
      <c r="AC38" s="122"/>
      <c r="AD38" s="123"/>
      <c r="AE38" s="123"/>
      <c r="AF38" s="123"/>
      <c r="AG38" s="123"/>
      <c r="AH38" s="123"/>
      <c r="AI38" s="123"/>
      <c r="AJ38" s="151"/>
      <c r="AK38" s="113" t="str">
        <f t="shared" si="8"/>
        <v/>
      </c>
      <c r="AL38" s="119" t="s">
        <v>1079</v>
      </c>
      <c r="AM38" s="120" t="s">
        <v>962</v>
      </c>
      <c r="AN38" s="120" t="s">
        <v>993</v>
      </c>
      <c r="AO38" s="120" t="s">
        <v>1180</v>
      </c>
      <c r="AP38" s="120"/>
      <c r="AQ38" s="133">
        <v>8.137</v>
      </c>
      <c r="AR38" s="133">
        <v>8.128</v>
      </c>
      <c r="AS38" s="144">
        <f t="shared" si="25"/>
        <v>0.00900000000000034</v>
      </c>
      <c r="AT38" s="113" t="str">
        <f t="shared" si="37"/>
        <v>ST175/80R13-8PR-RAINIER ST</v>
      </c>
      <c r="AU38" s="122"/>
      <c r="AV38" s="123"/>
      <c r="AW38" s="123"/>
      <c r="AX38" s="123"/>
      <c r="AY38" s="130"/>
      <c r="AZ38" s="130"/>
      <c r="BA38" s="145"/>
      <c r="BB38" s="113" t="str">
        <f t="shared" si="10"/>
        <v/>
      </c>
    </row>
    <row r="39" ht="13.8" customHeight="1" spans="2:54">
      <c r="B39" s="119" t="s">
        <v>807</v>
      </c>
      <c r="C39" s="120" t="s">
        <v>958</v>
      </c>
      <c r="D39" s="120" t="s">
        <v>1185</v>
      </c>
      <c r="E39" s="120" t="s">
        <v>1186</v>
      </c>
      <c r="F39" s="133">
        <f t="shared" si="34"/>
        <v>29.828</v>
      </c>
      <c r="G39" s="133">
        <v>29.438</v>
      </c>
      <c r="H39" s="127">
        <v>29.79</v>
      </c>
      <c r="I39" s="144">
        <f t="shared" si="17"/>
        <v>-0.352</v>
      </c>
      <c r="J39" s="115" t="str">
        <f t="shared" si="24"/>
        <v>7.50R16-14PR-X-Explorer ZA70LT Pro</v>
      </c>
      <c r="K39" s="119" t="s">
        <v>1073</v>
      </c>
      <c r="L39" s="120" t="s">
        <v>1092</v>
      </c>
      <c r="M39" s="120" t="s">
        <v>1037</v>
      </c>
      <c r="N39" s="153" t="s">
        <v>1178</v>
      </c>
      <c r="O39" s="154" t="s">
        <v>1094</v>
      </c>
      <c r="P39" s="133">
        <v>63.79</v>
      </c>
      <c r="Q39" s="120">
        <v>64.26</v>
      </c>
      <c r="R39" s="144">
        <f t="shared" si="27"/>
        <v>-0.470000000000006</v>
      </c>
      <c r="S39" s="113" t="str">
        <f t="shared" si="7"/>
        <v>10.00-20-18PR-AB313</v>
      </c>
      <c r="T39" s="122"/>
      <c r="U39" s="123"/>
      <c r="V39" s="123"/>
      <c r="W39" s="123"/>
      <c r="X39" s="123"/>
      <c r="Y39" s="123"/>
      <c r="Z39" s="123"/>
      <c r="AA39" s="151"/>
      <c r="AB39" s="113" t="str">
        <f t="shared" si="19"/>
        <v/>
      </c>
      <c r="AC39" s="119" t="s">
        <v>1187</v>
      </c>
      <c r="AD39" s="120" t="s">
        <v>1101</v>
      </c>
      <c r="AE39" s="120" t="s">
        <v>1102</v>
      </c>
      <c r="AF39" s="154" t="s">
        <v>66</v>
      </c>
      <c r="AG39" s="154" t="s">
        <v>66</v>
      </c>
      <c r="AH39" s="133">
        <v>82.2</v>
      </c>
      <c r="AI39" s="120">
        <v>82.4</v>
      </c>
      <c r="AJ39" s="144">
        <f t="shared" si="36"/>
        <v>-0.200000000000003</v>
      </c>
      <c r="AK39" s="113" t="str">
        <f t="shared" si="8"/>
        <v>12.00-20-20PR-STRONG GUARD LIFT+</v>
      </c>
      <c r="AL39" s="119" t="s">
        <v>1079</v>
      </c>
      <c r="AM39" s="120" t="s">
        <v>965</v>
      </c>
      <c r="AN39" s="120" t="s">
        <v>1188</v>
      </c>
      <c r="AO39" s="120" t="s">
        <v>1189</v>
      </c>
      <c r="AP39" s="120"/>
      <c r="AQ39" s="133">
        <v>7.756</v>
      </c>
      <c r="AR39" s="133">
        <v>7.739</v>
      </c>
      <c r="AS39" s="144">
        <f t="shared" si="25"/>
        <v>0.0170000000000003</v>
      </c>
      <c r="AT39" s="113" t="str">
        <f t="shared" si="37"/>
        <v>ST175/80R13-6PR-ST226</v>
      </c>
      <c r="AU39" s="119" t="s">
        <v>1190</v>
      </c>
      <c r="AV39" s="120" t="s">
        <v>66</v>
      </c>
      <c r="AW39" s="120" t="s">
        <v>953</v>
      </c>
      <c r="AX39" s="120" t="s">
        <v>1191</v>
      </c>
      <c r="AY39" s="133">
        <v>6.454</v>
      </c>
      <c r="AZ39" s="133">
        <v>6.467</v>
      </c>
      <c r="BA39" s="144">
        <f t="shared" ref="BA39:BA43" si="39">AY39-AZ39</f>
        <v>-0.0129999999999999</v>
      </c>
      <c r="BB39" s="113" t="str">
        <f t="shared" si="10"/>
        <v>175/65R15-C-108</v>
      </c>
    </row>
    <row r="40" ht="17" spans="2:54">
      <c r="B40" s="119" t="s">
        <v>807</v>
      </c>
      <c r="C40" s="120" t="s">
        <v>958</v>
      </c>
      <c r="D40" s="120" t="s">
        <v>1192</v>
      </c>
      <c r="E40" s="120" t="s">
        <v>1186</v>
      </c>
      <c r="F40" s="133">
        <f t="shared" si="34"/>
        <v>29.828</v>
      </c>
      <c r="G40" s="133">
        <v>29.438</v>
      </c>
      <c r="H40" s="127">
        <v>29.79</v>
      </c>
      <c r="I40" s="144">
        <f t="shared" si="17"/>
        <v>-0.352</v>
      </c>
      <c r="J40" s="115" t="str">
        <f t="shared" si="24"/>
        <v>7.50R16-14PR-X-Traveler SL90LT Pro</v>
      </c>
      <c r="K40" s="119" t="s">
        <v>1073</v>
      </c>
      <c r="L40" s="120" t="s">
        <v>1074</v>
      </c>
      <c r="M40" s="152" t="s">
        <v>1193</v>
      </c>
      <c r="N40" s="154" t="s">
        <v>1194</v>
      </c>
      <c r="O40" s="154" t="s">
        <v>1014</v>
      </c>
      <c r="P40" s="133">
        <v>57.71</v>
      </c>
      <c r="Q40" s="120">
        <v>57.43</v>
      </c>
      <c r="R40" s="144">
        <f t="shared" si="27"/>
        <v>0.280000000000001</v>
      </c>
      <c r="S40" s="113" t="str">
        <f t="shared" si="7"/>
        <v>10.00-20-16PR-R9037</v>
      </c>
      <c r="T40" s="119" t="s">
        <v>1195</v>
      </c>
      <c r="U40" s="120" t="s">
        <v>965</v>
      </c>
      <c r="V40" s="120" t="s">
        <v>1196</v>
      </c>
      <c r="W40" s="120" t="s">
        <v>1197</v>
      </c>
      <c r="X40" s="120"/>
      <c r="Y40" s="133">
        <v>9.38</v>
      </c>
      <c r="Z40" s="133">
        <v>9.375</v>
      </c>
      <c r="AA40" s="144">
        <f t="shared" si="38"/>
        <v>0.00500000000000078</v>
      </c>
      <c r="AB40" s="113" t="str">
        <f t="shared" si="19"/>
        <v>25 X 8-12-6PR-A033</v>
      </c>
      <c r="AC40" s="119" t="s">
        <v>1187</v>
      </c>
      <c r="AD40" s="120" t="s">
        <v>1198</v>
      </c>
      <c r="AE40" s="120" t="s">
        <v>1102</v>
      </c>
      <c r="AF40" s="154" t="s">
        <v>66</v>
      </c>
      <c r="AG40" s="154" t="s">
        <v>66</v>
      </c>
      <c r="AH40" s="133">
        <v>96.1</v>
      </c>
      <c r="AI40" s="120">
        <v>96.4</v>
      </c>
      <c r="AJ40" s="144">
        <f t="shared" si="36"/>
        <v>-0.300000000000011</v>
      </c>
      <c r="AK40" s="113" t="str">
        <f t="shared" si="8"/>
        <v>12.00-20-28PR-STRONG GUARD LIFT+</v>
      </c>
      <c r="AL40" s="122"/>
      <c r="AM40" s="123"/>
      <c r="AN40" s="123"/>
      <c r="AO40" s="123"/>
      <c r="AP40" s="123"/>
      <c r="AQ40" s="123"/>
      <c r="AR40" s="123"/>
      <c r="AS40" s="145"/>
      <c r="AT40" s="113" t="str">
        <f t="shared" si="37"/>
        <v/>
      </c>
      <c r="AU40" s="119" t="s">
        <v>1190</v>
      </c>
      <c r="AV40" s="120" t="s">
        <v>66</v>
      </c>
      <c r="AW40" s="120" t="s">
        <v>956</v>
      </c>
      <c r="AX40" s="120" t="s">
        <v>1191</v>
      </c>
      <c r="AY40" s="133">
        <v>6.454</v>
      </c>
      <c r="AZ40" s="133">
        <v>6.467</v>
      </c>
      <c r="BA40" s="144">
        <f t="shared" si="39"/>
        <v>-0.0129999999999999</v>
      </c>
      <c r="BB40" s="113" t="str">
        <f t="shared" si="10"/>
        <v>175/65R15-G-118</v>
      </c>
    </row>
    <row r="41" ht="13.8" customHeight="1" spans="2:54">
      <c r="B41" s="119" t="s">
        <v>807</v>
      </c>
      <c r="C41" s="120" t="s">
        <v>1074</v>
      </c>
      <c r="D41" s="120" t="s">
        <v>1192</v>
      </c>
      <c r="E41" s="120" t="s">
        <v>1186</v>
      </c>
      <c r="F41" s="133">
        <f t="shared" si="34"/>
        <v>29.828</v>
      </c>
      <c r="G41" s="133">
        <v>29.438</v>
      </c>
      <c r="H41" s="127">
        <v>29.79</v>
      </c>
      <c r="I41" s="144">
        <f t="shared" si="17"/>
        <v>-0.352</v>
      </c>
      <c r="J41" s="115" t="str">
        <f t="shared" si="24"/>
        <v>7.50R16-16PR-X-Traveler SL90LT Pro</v>
      </c>
      <c r="K41" s="119" t="s">
        <v>1073</v>
      </c>
      <c r="L41" s="120" t="s">
        <v>1092</v>
      </c>
      <c r="M41" s="152" t="s">
        <v>1193</v>
      </c>
      <c r="N41" s="154" t="s">
        <v>1199</v>
      </c>
      <c r="O41" s="154" t="s">
        <v>66</v>
      </c>
      <c r="P41" s="133">
        <v>61.58</v>
      </c>
      <c r="Q41" s="120">
        <v>61.85</v>
      </c>
      <c r="R41" s="144">
        <f t="shared" si="27"/>
        <v>-0.270000000000003</v>
      </c>
      <c r="S41" s="113" t="str">
        <f t="shared" si="7"/>
        <v>10.00-20-18PR-R9037</v>
      </c>
      <c r="T41" s="119" t="s">
        <v>1195</v>
      </c>
      <c r="U41" s="120" t="s">
        <v>965</v>
      </c>
      <c r="V41" s="120" t="s">
        <v>1154</v>
      </c>
      <c r="W41" s="120" t="s">
        <v>1200</v>
      </c>
      <c r="X41" s="120"/>
      <c r="Y41" s="133">
        <v>8.785</v>
      </c>
      <c r="Z41" s="133">
        <v>8.8</v>
      </c>
      <c r="AA41" s="144">
        <f t="shared" si="38"/>
        <v>-0.0150000000000006</v>
      </c>
      <c r="AB41" s="113" t="str">
        <f t="shared" si="19"/>
        <v>25 X 8-12-6PR-AR10</v>
      </c>
      <c r="AC41" s="122"/>
      <c r="AD41" s="123"/>
      <c r="AE41" s="123"/>
      <c r="AF41" s="123"/>
      <c r="AG41" s="123"/>
      <c r="AH41" s="123"/>
      <c r="AI41" s="123"/>
      <c r="AJ41" s="151"/>
      <c r="AK41" s="113" t="str">
        <f t="shared" si="8"/>
        <v/>
      </c>
      <c r="AL41" s="171" t="s">
        <v>1201</v>
      </c>
      <c r="AM41" s="172" t="s">
        <v>66</v>
      </c>
      <c r="AN41" s="172" t="s">
        <v>950</v>
      </c>
      <c r="AO41" s="172" t="s">
        <v>1202</v>
      </c>
      <c r="AP41" s="172"/>
      <c r="AQ41" s="173">
        <v>7.254</v>
      </c>
      <c r="AR41" s="133">
        <v>7.254</v>
      </c>
      <c r="AS41" s="174">
        <f t="shared" ref="AS41:AS50" si="40">AQ41-AR41</f>
        <v>0</v>
      </c>
      <c r="AT41" s="113" t="str">
        <f t="shared" si="37"/>
        <v>185/70R13-/-TRAILER ST290</v>
      </c>
      <c r="AU41" s="119" t="s">
        <v>1190</v>
      </c>
      <c r="AV41" s="120" t="s">
        <v>66</v>
      </c>
      <c r="AW41" s="175" t="s">
        <v>970</v>
      </c>
      <c r="AX41" s="120" t="s">
        <v>1191</v>
      </c>
      <c r="AY41" s="133">
        <v>6.454</v>
      </c>
      <c r="AZ41" s="133">
        <v>6.467</v>
      </c>
      <c r="BA41" s="144">
        <f t="shared" si="39"/>
        <v>-0.0129999999999999</v>
      </c>
      <c r="BB41" s="113" t="str">
        <f t="shared" si="10"/>
        <v>175/65R15-T-118</v>
      </c>
    </row>
    <row r="42" ht="13.8" customHeight="1" spans="2:54">
      <c r="B42" s="119" t="s">
        <v>807</v>
      </c>
      <c r="C42" s="120" t="s">
        <v>958</v>
      </c>
      <c r="D42" s="120" t="s">
        <v>1203</v>
      </c>
      <c r="E42" s="120" t="s">
        <v>1204</v>
      </c>
      <c r="F42" s="133">
        <f t="shared" si="34"/>
        <v>30.32</v>
      </c>
      <c r="G42" s="133">
        <v>29.93</v>
      </c>
      <c r="H42" s="127">
        <v>29.94</v>
      </c>
      <c r="I42" s="144">
        <f t="shared" si="17"/>
        <v>-0.0100000000000016</v>
      </c>
      <c r="J42" s="115" t="str">
        <f t="shared" si="24"/>
        <v>7.50R16-14PR-AZ802S</v>
      </c>
      <c r="K42" s="119" t="s">
        <v>1073</v>
      </c>
      <c r="L42" s="120" t="s">
        <v>1074</v>
      </c>
      <c r="M42" s="158" t="s">
        <v>1205</v>
      </c>
      <c r="N42" s="156" t="s">
        <v>1206</v>
      </c>
      <c r="O42" s="159" t="s">
        <v>66</v>
      </c>
      <c r="P42" s="133">
        <v>59.44</v>
      </c>
      <c r="Q42" s="133">
        <v>59.9</v>
      </c>
      <c r="R42" s="144">
        <f t="shared" si="27"/>
        <v>-0.460000000000001</v>
      </c>
      <c r="S42" s="113" t="str">
        <f t="shared" si="7"/>
        <v>10.00-20-16PR-R9038</v>
      </c>
      <c r="T42" s="119" t="s">
        <v>1207</v>
      </c>
      <c r="U42" s="120" t="s">
        <v>962</v>
      </c>
      <c r="V42" s="120" t="s">
        <v>1208</v>
      </c>
      <c r="W42" s="120" t="s">
        <v>1209</v>
      </c>
      <c r="X42" s="120"/>
      <c r="Y42" s="133">
        <v>9.965</v>
      </c>
      <c r="Z42" s="133">
        <v>10.135</v>
      </c>
      <c r="AA42" s="144">
        <f t="shared" si="38"/>
        <v>-0.17</v>
      </c>
      <c r="AB42" s="113" t="str">
        <f t="shared" si="19"/>
        <v>25 X 8R12-8PR-AR11</v>
      </c>
      <c r="AC42" s="119" t="s">
        <v>1210</v>
      </c>
      <c r="AD42" s="120" t="s">
        <v>934</v>
      </c>
      <c r="AE42" s="120" t="s">
        <v>1211</v>
      </c>
      <c r="AF42" s="154" t="s">
        <v>66</v>
      </c>
      <c r="AG42" s="154" t="s">
        <v>66</v>
      </c>
      <c r="AH42" s="133">
        <v>65.4</v>
      </c>
      <c r="AI42" s="133">
        <v>65.3</v>
      </c>
      <c r="AJ42" s="144">
        <f t="shared" ref="AJ42:AJ44" si="41">AH42-AI42</f>
        <v>0.100000000000009</v>
      </c>
      <c r="AK42" s="113" t="str">
        <f t="shared" si="8"/>
        <v>13.00-24-12PR-GK-243</v>
      </c>
      <c r="AL42" s="122"/>
      <c r="AM42" s="123"/>
      <c r="AN42" s="123"/>
      <c r="AO42" s="123"/>
      <c r="AP42" s="123"/>
      <c r="AQ42" s="130"/>
      <c r="AR42" s="130"/>
      <c r="AS42" s="145"/>
      <c r="AT42" s="113" t="str">
        <f t="shared" si="37"/>
        <v/>
      </c>
      <c r="AU42" s="119" t="s">
        <v>1190</v>
      </c>
      <c r="AV42" s="120" t="s">
        <v>66</v>
      </c>
      <c r="AW42" s="175" t="s">
        <v>979</v>
      </c>
      <c r="AX42" s="120" t="s">
        <v>1191</v>
      </c>
      <c r="AY42" s="133">
        <v>6.454</v>
      </c>
      <c r="AZ42" s="133">
        <v>6.467</v>
      </c>
      <c r="BA42" s="144">
        <f t="shared" si="39"/>
        <v>-0.0129999999999999</v>
      </c>
      <c r="BB42" s="113" t="str">
        <f t="shared" si="10"/>
        <v>175/65R15-Z-108</v>
      </c>
    </row>
    <row r="43" ht="13.8" customHeight="1" spans="2:54">
      <c r="B43" s="119" t="s">
        <v>807</v>
      </c>
      <c r="C43" s="120" t="s">
        <v>958</v>
      </c>
      <c r="D43" s="120" t="s">
        <v>1212</v>
      </c>
      <c r="E43" s="120" t="s">
        <v>1213</v>
      </c>
      <c r="F43" s="133">
        <f t="shared" si="34"/>
        <v>30.498</v>
      </c>
      <c r="G43" s="133">
        <v>30.108</v>
      </c>
      <c r="H43" s="127">
        <v>30.06</v>
      </c>
      <c r="I43" s="144">
        <f t="shared" si="17"/>
        <v>0.0480000000000018</v>
      </c>
      <c r="J43" s="115" t="str">
        <f t="shared" si="24"/>
        <v>7.50R16-14PR-CR926+</v>
      </c>
      <c r="K43" s="148" t="s">
        <v>1073</v>
      </c>
      <c r="L43" s="125" t="s">
        <v>1092</v>
      </c>
      <c r="M43" s="158" t="s">
        <v>1205</v>
      </c>
      <c r="N43" s="156" t="s">
        <v>1206</v>
      </c>
      <c r="O43" s="159" t="s">
        <v>66</v>
      </c>
      <c r="P43" s="160">
        <v>59.44</v>
      </c>
      <c r="Q43" s="160">
        <v>59.9</v>
      </c>
      <c r="R43" s="168">
        <f t="shared" si="27"/>
        <v>-0.460000000000001</v>
      </c>
      <c r="S43" s="113" t="str">
        <f t="shared" si="7"/>
        <v>10.00-20-18PR-R9038</v>
      </c>
      <c r="T43" s="119" t="s">
        <v>1195</v>
      </c>
      <c r="U43" s="120" t="s">
        <v>965</v>
      </c>
      <c r="V43" s="120" t="s">
        <v>1165</v>
      </c>
      <c r="W43" s="120" t="s">
        <v>1214</v>
      </c>
      <c r="X43" s="120"/>
      <c r="Y43" s="133">
        <v>8.025</v>
      </c>
      <c r="Z43" s="133">
        <v>8.045</v>
      </c>
      <c r="AA43" s="144">
        <f t="shared" si="38"/>
        <v>-0.0199999999999996</v>
      </c>
      <c r="AB43" s="113" t="str">
        <f t="shared" si="19"/>
        <v>25 X 8-12-6PR-AR12</v>
      </c>
      <c r="AC43" s="119" t="s">
        <v>1210</v>
      </c>
      <c r="AD43" s="120" t="s">
        <v>934</v>
      </c>
      <c r="AE43" s="120" t="s">
        <v>1215</v>
      </c>
      <c r="AF43" s="154" t="s">
        <v>66</v>
      </c>
      <c r="AG43" s="154" t="s">
        <v>66</v>
      </c>
      <c r="AH43" s="133">
        <v>77.4</v>
      </c>
      <c r="AI43" s="133">
        <v>77</v>
      </c>
      <c r="AJ43" s="144">
        <f t="shared" si="41"/>
        <v>0.400000000000006</v>
      </c>
      <c r="AK43" s="113" t="str">
        <f t="shared" si="8"/>
        <v>13.00-24-12PR-TL-100</v>
      </c>
      <c r="AL43" s="171" t="s">
        <v>1216</v>
      </c>
      <c r="AM43" s="172" t="s">
        <v>66</v>
      </c>
      <c r="AN43" s="172" t="s">
        <v>950</v>
      </c>
      <c r="AO43" s="172" t="s">
        <v>1217</v>
      </c>
      <c r="AP43" s="172"/>
      <c r="AQ43" s="173">
        <v>9.563</v>
      </c>
      <c r="AR43" s="133">
        <v>9.568</v>
      </c>
      <c r="AS43" s="174">
        <f t="shared" si="40"/>
        <v>-0.00499999999999901</v>
      </c>
      <c r="AT43" s="113" t="str">
        <f t="shared" si="37"/>
        <v>185R14C-/-TRAILER ST290</v>
      </c>
      <c r="AU43" s="119" t="s">
        <v>1190</v>
      </c>
      <c r="AV43" s="120" t="s">
        <v>66</v>
      </c>
      <c r="AW43" s="175" t="s">
        <v>1218</v>
      </c>
      <c r="AX43" s="120" t="s">
        <v>1219</v>
      </c>
      <c r="AY43" s="133">
        <v>7.262</v>
      </c>
      <c r="AZ43" s="133">
        <v>7.264</v>
      </c>
      <c r="BA43" s="144">
        <f t="shared" si="39"/>
        <v>-0.00200000000000067</v>
      </c>
      <c r="BB43" s="113" t="str">
        <f t="shared" si="10"/>
        <v>175/65R15-RP218</v>
      </c>
    </row>
    <row r="44" ht="17" spans="2:54">
      <c r="B44" s="122"/>
      <c r="C44" s="123"/>
      <c r="D44" s="123"/>
      <c r="E44" s="123"/>
      <c r="F44" s="136"/>
      <c r="G44" s="136"/>
      <c r="H44" s="137"/>
      <c r="I44" s="151"/>
      <c r="J44" s="115" t="str">
        <f t="shared" si="24"/>
        <v/>
      </c>
      <c r="K44" s="148" t="s">
        <v>1073</v>
      </c>
      <c r="L44" s="125" t="s">
        <v>1092</v>
      </c>
      <c r="M44" s="158" t="s">
        <v>1062</v>
      </c>
      <c r="N44" s="156" t="s">
        <v>1206</v>
      </c>
      <c r="O44" s="159" t="s">
        <v>66</v>
      </c>
      <c r="P44" s="160">
        <v>59.44</v>
      </c>
      <c r="Q44" s="160">
        <v>59.9</v>
      </c>
      <c r="R44" s="168">
        <f t="shared" si="27"/>
        <v>-0.460000000000001</v>
      </c>
      <c r="S44" s="113" t="str">
        <f t="shared" si="7"/>
        <v>10.00-20-18PR-AB111</v>
      </c>
      <c r="T44" s="119" t="s">
        <v>1195</v>
      </c>
      <c r="U44" s="120" t="s">
        <v>965</v>
      </c>
      <c r="V44" s="120" t="s">
        <v>1220</v>
      </c>
      <c r="W44" s="120" t="s">
        <v>1221</v>
      </c>
      <c r="X44" s="120"/>
      <c r="Y44" s="133">
        <v>8.522</v>
      </c>
      <c r="Z44" s="133">
        <v>8.522</v>
      </c>
      <c r="AA44" s="144">
        <f t="shared" si="38"/>
        <v>0</v>
      </c>
      <c r="AB44" s="113" t="str">
        <f t="shared" si="19"/>
        <v>25 X 8-12-6PR-AR67</v>
      </c>
      <c r="AC44" s="119" t="s">
        <v>1210</v>
      </c>
      <c r="AD44" s="120" t="s">
        <v>1074</v>
      </c>
      <c r="AE44" s="120" t="s">
        <v>1085</v>
      </c>
      <c r="AF44" s="154" t="s">
        <v>66</v>
      </c>
      <c r="AG44" s="154" t="s">
        <v>66</v>
      </c>
      <c r="AH44" s="133">
        <v>86.2</v>
      </c>
      <c r="AI44" s="133">
        <v>85.7</v>
      </c>
      <c r="AJ44" s="144">
        <f t="shared" si="41"/>
        <v>0.5</v>
      </c>
      <c r="AK44" s="113" t="str">
        <f t="shared" si="8"/>
        <v>13.00-24-16PR-STRONG GUARD LG2</v>
      </c>
      <c r="AL44" s="122"/>
      <c r="AM44" s="123"/>
      <c r="AN44" s="123"/>
      <c r="AO44" s="123"/>
      <c r="AP44" s="123"/>
      <c r="AQ44" s="130"/>
      <c r="AR44" s="130"/>
      <c r="AS44" s="145"/>
      <c r="AT44" s="113" t="str">
        <f t="shared" si="37"/>
        <v/>
      </c>
      <c r="AU44" s="122"/>
      <c r="AV44" s="123"/>
      <c r="AW44" s="123"/>
      <c r="AX44" s="123"/>
      <c r="AY44" s="130"/>
      <c r="AZ44" s="130"/>
      <c r="BA44" s="145"/>
      <c r="BB44" s="113" t="str">
        <f t="shared" si="10"/>
        <v/>
      </c>
    </row>
    <row r="45" ht="17" spans="2:54">
      <c r="B45" s="119" t="s">
        <v>808</v>
      </c>
      <c r="C45" s="124" t="s">
        <v>958</v>
      </c>
      <c r="D45" s="120" t="s">
        <v>1035</v>
      </c>
      <c r="E45" s="120" t="s">
        <v>1222</v>
      </c>
      <c r="F45" s="133">
        <f>G45-2.059+2.739</f>
        <v>32.854</v>
      </c>
      <c r="G45" s="133">
        <v>32.174</v>
      </c>
      <c r="H45" s="128">
        <v>32.4954</v>
      </c>
      <c r="I45" s="144">
        <f t="shared" ref="I45:I54" si="42">G45-H45</f>
        <v>-0.321399999999997</v>
      </c>
      <c r="J45" s="115" t="str">
        <f t="shared" si="24"/>
        <v>8.25R16-14PR-CR926</v>
      </c>
      <c r="K45" s="149"/>
      <c r="L45" s="150"/>
      <c r="M45" s="150"/>
      <c r="N45" s="161"/>
      <c r="O45" s="150"/>
      <c r="P45" s="150"/>
      <c r="Q45" s="150"/>
      <c r="R45" s="166"/>
      <c r="S45" s="113" t="str">
        <f t="shared" si="7"/>
        <v/>
      </c>
      <c r="T45" s="119" t="s">
        <v>1195</v>
      </c>
      <c r="U45" s="120" t="s">
        <v>965</v>
      </c>
      <c r="V45" s="120" t="s">
        <v>1223</v>
      </c>
      <c r="W45" s="120" t="s">
        <v>66</v>
      </c>
      <c r="X45" s="120"/>
      <c r="Y45" s="133">
        <v>9.15</v>
      </c>
      <c r="Z45" s="133">
        <v>8.63</v>
      </c>
      <c r="AA45" s="144">
        <f t="shared" si="38"/>
        <v>0.52</v>
      </c>
      <c r="AB45" s="113" t="str">
        <f t="shared" si="19"/>
        <v>25 X 8-12-6PR-AT12</v>
      </c>
      <c r="AC45" s="122"/>
      <c r="AD45" s="123"/>
      <c r="AE45" s="123"/>
      <c r="AF45" s="123"/>
      <c r="AG45" s="123"/>
      <c r="AH45" s="123"/>
      <c r="AI45" s="123"/>
      <c r="AJ45" s="151"/>
      <c r="AK45" s="113" t="str">
        <f t="shared" si="8"/>
        <v/>
      </c>
      <c r="AL45" s="119" t="s">
        <v>1224</v>
      </c>
      <c r="AM45" s="120" t="s">
        <v>965</v>
      </c>
      <c r="AN45" s="120" t="s">
        <v>993</v>
      </c>
      <c r="AO45" s="120" t="s">
        <v>1225</v>
      </c>
      <c r="AP45" s="120"/>
      <c r="AQ45" s="133">
        <v>8.19</v>
      </c>
      <c r="AR45" s="133">
        <v>8.195</v>
      </c>
      <c r="AS45" s="144">
        <f t="shared" si="40"/>
        <v>-0.00500000000000078</v>
      </c>
      <c r="AT45" s="113" t="str">
        <f t="shared" si="37"/>
        <v>ST185/80R13-6PR-RAINIER ST</v>
      </c>
      <c r="AU45" s="119" t="s">
        <v>1067</v>
      </c>
      <c r="AV45" s="120" t="s">
        <v>66</v>
      </c>
      <c r="AW45" s="120" t="s">
        <v>953</v>
      </c>
      <c r="AX45" s="120" t="s">
        <v>1226</v>
      </c>
      <c r="AY45" s="133">
        <v>5.996</v>
      </c>
      <c r="AZ45" s="133">
        <v>5.995</v>
      </c>
      <c r="BA45" s="144">
        <f t="shared" ref="BA45:BA48" si="43">AY45-AZ45</f>
        <v>0.00100000000000033</v>
      </c>
      <c r="BB45" s="113" t="str">
        <f t="shared" si="10"/>
        <v>175/70R13-C-108</v>
      </c>
    </row>
    <row r="46" ht="17" spans="2:54">
      <c r="B46" s="119" t="s">
        <v>808</v>
      </c>
      <c r="C46" s="124" t="s">
        <v>1074</v>
      </c>
      <c r="D46" s="120" t="s">
        <v>1035</v>
      </c>
      <c r="E46" s="120" t="s">
        <v>1222</v>
      </c>
      <c r="F46" s="133">
        <f>G46-2.059+2.739</f>
        <v>32.854</v>
      </c>
      <c r="G46" s="133">
        <v>32.174</v>
      </c>
      <c r="H46" s="128">
        <v>32.4954</v>
      </c>
      <c r="I46" s="144">
        <f t="shared" si="42"/>
        <v>-0.321399999999997</v>
      </c>
      <c r="J46" s="115" t="str">
        <f t="shared" si="24"/>
        <v>8.25R16-16PR-CR926</v>
      </c>
      <c r="K46" s="119" t="s">
        <v>1227</v>
      </c>
      <c r="L46" s="120" t="s">
        <v>1092</v>
      </c>
      <c r="M46" s="152" t="s">
        <v>1228</v>
      </c>
      <c r="N46" s="125" t="s">
        <v>1229</v>
      </c>
      <c r="O46" s="120" t="s">
        <v>1230</v>
      </c>
      <c r="P46" s="133">
        <v>58.96</v>
      </c>
      <c r="Q46" s="120">
        <v>59.07</v>
      </c>
      <c r="R46" s="144">
        <f t="shared" ref="R46:R52" si="44">P46-Q46</f>
        <v>-0.109999999999999</v>
      </c>
      <c r="S46" s="113" t="str">
        <f t="shared" si="7"/>
        <v>11.00-20-18PR-CL969</v>
      </c>
      <c r="T46" s="119" t="s">
        <v>1195</v>
      </c>
      <c r="U46" s="120" t="s">
        <v>965</v>
      </c>
      <c r="V46" s="120" t="s">
        <v>1231</v>
      </c>
      <c r="W46" s="120" t="s">
        <v>1232</v>
      </c>
      <c r="X46" s="120"/>
      <c r="Y46" s="133">
        <v>9.986</v>
      </c>
      <c r="Z46" s="133">
        <v>9.99</v>
      </c>
      <c r="AA46" s="144">
        <f t="shared" si="38"/>
        <v>-0.00399999999999956</v>
      </c>
      <c r="AB46" s="113" t="str">
        <f t="shared" si="19"/>
        <v>25 X 8-12-6PR-WL6A</v>
      </c>
      <c r="AC46" s="119" t="s">
        <v>1233</v>
      </c>
      <c r="AD46" s="120" t="s">
        <v>958</v>
      </c>
      <c r="AE46" s="120" t="s">
        <v>966</v>
      </c>
      <c r="AF46" s="120" t="s">
        <v>1234</v>
      </c>
      <c r="AG46" s="154" t="s">
        <v>66</v>
      </c>
      <c r="AH46" s="133">
        <v>46.18</v>
      </c>
      <c r="AI46" s="120">
        <v>45.68</v>
      </c>
      <c r="AJ46" s="144">
        <f t="shared" ref="AJ46:AJ50" si="45">AH46-AI46</f>
        <v>0.5</v>
      </c>
      <c r="AK46" s="113" t="str">
        <f t="shared" si="8"/>
        <v>14-17.5-14PR-STRONG GUARD SS</v>
      </c>
      <c r="AL46" s="119" t="s">
        <v>1224</v>
      </c>
      <c r="AM46" s="120" t="s">
        <v>962</v>
      </c>
      <c r="AN46" s="120" t="s">
        <v>1087</v>
      </c>
      <c r="AO46" s="120" t="s">
        <v>1235</v>
      </c>
      <c r="AP46" s="120"/>
      <c r="AQ46" s="133">
        <v>9.099</v>
      </c>
      <c r="AR46" s="133">
        <v>8.896</v>
      </c>
      <c r="AS46" s="144">
        <f t="shared" si="40"/>
        <v>0.202999999999999</v>
      </c>
      <c r="AT46" s="113" t="str">
        <f t="shared" si="37"/>
        <v>ST185/80R13-8PR-STZC</v>
      </c>
      <c r="AU46" s="119" t="s">
        <v>1067</v>
      </c>
      <c r="AV46" s="120" t="s">
        <v>66</v>
      </c>
      <c r="AW46" s="120" t="s">
        <v>956</v>
      </c>
      <c r="AX46" s="120" t="s">
        <v>1226</v>
      </c>
      <c r="AY46" s="133">
        <v>5.996</v>
      </c>
      <c r="AZ46" s="133">
        <v>5.995</v>
      </c>
      <c r="BA46" s="144">
        <f t="shared" si="43"/>
        <v>0.00100000000000033</v>
      </c>
      <c r="BB46" s="113" t="str">
        <f t="shared" si="10"/>
        <v>175/70R13-G-118</v>
      </c>
    </row>
    <row r="47" ht="13.8" customHeight="1" spans="2:54">
      <c r="B47" s="119" t="s">
        <v>808</v>
      </c>
      <c r="C47" s="124" t="s">
        <v>1092</v>
      </c>
      <c r="D47" s="120" t="s">
        <v>972</v>
      </c>
      <c r="E47" s="125" t="s">
        <v>1236</v>
      </c>
      <c r="F47" s="133">
        <f t="shared" ref="F47:F52" si="46">G47-2.063+2.753</f>
        <v>38.363</v>
      </c>
      <c r="G47" s="133">
        <v>37.673</v>
      </c>
      <c r="H47" s="128">
        <v>37.5828</v>
      </c>
      <c r="I47" s="144">
        <f t="shared" si="42"/>
        <v>0.0902000000000029</v>
      </c>
      <c r="J47" s="115" t="str">
        <f t="shared" si="24"/>
        <v>8.25R16-18PR-AZ850</v>
      </c>
      <c r="K47" s="119" t="s">
        <v>1227</v>
      </c>
      <c r="L47" s="120" t="s">
        <v>1092</v>
      </c>
      <c r="M47" s="152" t="s">
        <v>1237</v>
      </c>
      <c r="N47" s="125" t="s">
        <v>1229</v>
      </c>
      <c r="O47" s="120" t="s">
        <v>1230</v>
      </c>
      <c r="P47" s="133">
        <v>58.96</v>
      </c>
      <c r="Q47" s="120">
        <v>59.07</v>
      </c>
      <c r="R47" s="144">
        <f t="shared" si="44"/>
        <v>-0.109999999999999</v>
      </c>
      <c r="S47" s="113" t="str">
        <f t="shared" si="7"/>
        <v>11.00-20-18PR-AB535</v>
      </c>
      <c r="T47" s="122"/>
      <c r="U47" s="123"/>
      <c r="V47" s="123"/>
      <c r="W47" s="123"/>
      <c r="X47" s="123"/>
      <c r="Y47" s="123"/>
      <c r="Z47" s="123"/>
      <c r="AA47" s="151"/>
      <c r="AB47" s="113" t="str">
        <f t="shared" si="19"/>
        <v/>
      </c>
      <c r="AC47" s="122"/>
      <c r="AD47" s="123"/>
      <c r="AE47" s="123"/>
      <c r="AF47" s="123"/>
      <c r="AG47" s="123"/>
      <c r="AH47" s="123"/>
      <c r="AI47" s="123"/>
      <c r="AJ47" s="151"/>
      <c r="AK47" s="113" t="str">
        <f t="shared" si="8"/>
        <v/>
      </c>
      <c r="AL47" s="119" t="s">
        <v>1224</v>
      </c>
      <c r="AM47" s="120" t="s">
        <v>962</v>
      </c>
      <c r="AN47" s="120" t="s">
        <v>984</v>
      </c>
      <c r="AO47" s="120" t="s">
        <v>1238</v>
      </c>
      <c r="AP47" s="120"/>
      <c r="AQ47" s="133">
        <v>8.779</v>
      </c>
      <c r="AR47" s="133">
        <v>8.609</v>
      </c>
      <c r="AS47" s="144">
        <f t="shared" si="40"/>
        <v>0.17</v>
      </c>
      <c r="AT47" s="113" t="str">
        <f t="shared" si="37"/>
        <v>ST185/80R13-8PR-ST Radial</v>
      </c>
      <c r="AU47" s="119" t="s">
        <v>1067</v>
      </c>
      <c r="AV47" s="120" t="s">
        <v>66</v>
      </c>
      <c r="AW47" s="175" t="s">
        <v>970</v>
      </c>
      <c r="AX47" s="120" t="s">
        <v>1226</v>
      </c>
      <c r="AY47" s="133">
        <v>5.996</v>
      </c>
      <c r="AZ47" s="133">
        <v>5.995</v>
      </c>
      <c r="BA47" s="144">
        <f t="shared" si="43"/>
        <v>0.00100000000000033</v>
      </c>
      <c r="BB47" s="113" t="str">
        <f t="shared" si="10"/>
        <v>175/70R13-T-118</v>
      </c>
    </row>
    <row r="48" spans="2:54">
      <c r="B48" s="119" t="s">
        <v>808</v>
      </c>
      <c r="C48" s="124" t="s">
        <v>1092</v>
      </c>
      <c r="D48" s="120" t="s">
        <v>980</v>
      </c>
      <c r="E48" s="125" t="s">
        <v>1236</v>
      </c>
      <c r="F48" s="133">
        <f t="shared" si="46"/>
        <v>38.363</v>
      </c>
      <c r="G48" s="133">
        <v>37.673</v>
      </c>
      <c r="H48" s="128">
        <v>37.5828</v>
      </c>
      <c r="I48" s="144">
        <f t="shared" si="42"/>
        <v>0.0902000000000029</v>
      </c>
      <c r="J48" s="115" t="str">
        <f t="shared" si="24"/>
        <v>8.25R16-18PR-VAZ80</v>
      </c>
      <c r="K48" s="119" t="s">
        <v>1227</v>
      </c>
      <c r="L48" s="120" t="s">
        <v>1101</v>
      </c>
      <c r="M48" s="152" t="s">
        <v>1228</v>
      </c>
      <c r="N48" s="120" t="s">
        <v>1239</v>
      </c>
      <c r="O48" s="120" t="s">
        <v>66</v>
      </c>
      <c r="P48" s="120">
        <v>63.32</v>
      </c>
      <c r="Q48" s="120">
        <v>62.96</v>
      </c>
      <c r="R48" s="144">
        <f t="shared" si="44"/>
        <v>0.359999999999999</v>
      </c>
      <c r="S48" s="113" t="str">
        <f t="shared" si="7"/>
        <v>11.00-20-20PR-CL969</v>
      </c>
      <c r="T48" s="119" t="s">
        <v>1240</v>
      </c>
      <c r="U48" s="120" t="s">
        <v>965</v>
      </c>
      <c r="V48" s="120" t="s">
        <v>1196</v>
      </c>
      <c r="W48" s="120" t="s">
        <v>1241</v>
      </c>
      <c r="X48" s="120"/>
      <c r="Y48" s="133">
        <v>10.705</v>
      </c>
      <c r="Z48" s="133">
        <v>10.865</v>
      </c>
      <c r="AA48" s="144">
        <f t="shared" ref="AA48:AA57" si="47">Y48-Z48</f>
        <v>-0.16</v>
      </c>
      <c r="AB48" s="113" t="str">
        <f t="shared" si="19"/>
        <v>25 X 10-12-6PR-A033</v>
      </c>
      <c r="AC48" s="119" t="s">
        <v>1242</v>
      </c>
      <c r="AD48" s="120" t="s">
        <v>946</v>
      </c>
      <c r="AE48" s="120" t="s">
        <v>1118</v>
      </c>
      <c r="AF48" s="154" t="s">
        <v>1243</v>
      </c>
      <c r="AG48" s="154" t="s">
        <v>66</v>
      </c>
      <c r="AH48" s="133">
        <v>54.27</v>
      </c>
      <c r="AI48" s="120">
        <v>53.89</v>
      </c>
      <c r="AJ48" s="144">
        <f t="shared" si="45"/>
        <v>0.380000000000003</v>
      </c>
      <c r="AK48" s="113" t="str">
        <f t="shared" si="8"/>
        <v>14.5/75-16.1SL-10PR-STRONG GUARD F-3</v>
      </c>
      <c r="AL48" s="119" t="s">
        <v>1224</v>
      </c>
      <c r="AM48" s="120" t="s">
        <v>962</v>
      </c>
      <c r="AN48" s="120" t="s">
        <v>1167</v>
      </c>
      <c r="AO48" s="120" t="s">
        <v>1238</v>
      </c>
      <c r="AP48" s="120"/>
      <c r="AQ48" s="133">
        <v>8.779</v>
      </c>
      <c r="AR48" s="133">
        <v>8.72</v>
      </c>
      <c r="AS48" s="144">
        <f t="shared" si="40"/>
        <v>0.0589999999999993</v>
      </c>
      <c r="AT48" s="113" t="str">
        <f t="shared" si="37"/>
        <v>ST185/80R13-8PR-ST200</v>
      </c>
      <c r="AU48" s="119" t="s">
        <v>1067</v>
      </c>
      <c r="AV48" s="120" t="s">
        <v>66</v>
      </c>
      <c r="AW48" s="175" t="s">
        <v>979</v>
      </c>
      <c r="AX48" s="120" t="s">
        <v>1226</v>
      </c>
      <c r="AY48" s="133">
        <v>5.996</v>
      </c>
      <c r="AZ48" s="133">
        <v>5.995</v>
      </c>
      <c r="BA48" s="144">
        <f t="shared" si="43"/>
        <v>0.00100000000000033</v>
      </c>
      <c r="BB48" s="113" t="str">
        <f t="shared" si="10"/>
        <v>175/70R13-Z-108</v>
      </c>
    </row>
    <row r="49" ht="13.8" customHeight="1" spans="2:54">
      <c r="B49" s="119" t="s">
        <v>808</v>
      </c>
      <c r="C49" s="124" t="s">
        <v>1074</v>
      </c>
      <c r="D49" s="120" t="s">
        <v>1244</v>
      </c>
      <c r="E49" s="125" t="s">
        <v>1245</v>
      </c>
      <c r="F49" s="133">
        <f t="shared" ref="F49:F53" si="48">G49-2.033+2.705</f>
        <v>36.601</v>
      </c>
      <c r="G49" s="133">
        <v>35.929</v>
      </c>
      <c r="H49" s="128">
        <v>35.8399</v>
      </c>
      <c r="I49" s="144">
        <f t="shared" si="42"/>
        <v>0.089100000000002</v>
      </c>
      <c r="J49" s="115" t="str">
        <f t="shared" si="24"/>
        <v>8.25R16-16PR-EZ867</v>
      </c>
      <c r="K49" s="146" t="s">
        <v>1227</v>
      </c>
      <c r="L49" s="147" t="s">
        <v>1074</v>
      </c>
      <c r="M49" s="147" t="s">
        <v>1129</v>
      </c>
      <c r="N49" s="138" t="s">
        <v>1246</v>
      </c>
      <c r="O49" s="120" t="s">
        <v>1247</v>
      </c>
      <c r="P49" s="162">
        <v>56.26</v>
      </c>
      <c r="Q49" s="147">
        <v>55.66</v>
      </c>
      <c r="R49" s="169">
        <f t="shared" si="44"/>
        <v>0.600000000000001</v>
      </c>
      <c r="S49" s="113" t="str">
        <f t="shared" si="7"/>
        <v>11.00-20-16PR-CR952</v>
      </c>
      <c r="T49" s="119" t="s">
        <v>1240</v>
      </c>
      <c r="U49" s="120" t="s">
        <v>965</v>
      </c>
      <c r="V49" s="120" t="s">
        <v>1154</v>
      </c>
      <c r="W49" s="120" t="s">
        <v>1248</v>
      </c>
      <c r="X49" s="120"/>
      <c r="Y49" s="133">
        <v>10.37</v>
      </c>
      <c r="Z49" s="133">
        <v>10.645</v>
      </c>
      <c r="AA49" s="144">
        <f t="shared" si="47"/>
        <v>-0.275</v>
      </c>
      <c r="AB49" s="113" t="str">
        <f t="shared" si="19"/>
        <v>25 X 10-12-6PR-AR10</v>
      </c>
      <c r="AC49" s="122"/>
      <c r="AD49" s="123"/>
      <c r="AE49" s="123"/>
      <c r="AF49" s="123"/>
      <c r="AG49" s="123"/>
      <c r="AH49" s="123"/>
      <c r="AI49" s="123"/>
      <c r="AJ49" s="151"/>
      <c r="AK49" s="113" t="str">
        <f t="shared" si="8"/>
        <v/>
      </c>
      <c r="AL49" s="119" t="s">
        <v>1224</v>
      </c>
      <c r="AM49" s="120" t="s">
        <v>962</v>
      </c>
      <c r="AN49" s="120" t="s">
        <v>993</v>
      </c>
      <c r="AO49" s="120" t="s">
        <v>1238</v>
      </c>
      <c r="AP49" s="120"/>
      <c r="AQ49" s="133">
        <v>8.779</v>
      </c>
      <c r="AR49" s="133">
        <v>8.72</v>
      </c>
      <c r="AS49" s="144">
        <f t="shared" si="40"/>
        <v>0.0589999999999993</v>
      </c>
      <c r="AT49" s="113" t="str">
        <f t="shared" si="37"/>
        <v>ST185/80R13-8PR-RAINIER ST</v>
      </c>
      <c r="AU49" s="122"/>
      <c r="AV49" s="123"/>
      <c r="AW49" s="123"/>
      <c r="AX49" s="123"/>
      <c r="AY49" s="130"/>
      <c r="AZ49" s="130"/>
      <c r="BA49" s="145"/>
      <c r="BB49" s="113" t="str">
        <f t="shared" si="10"/>
        <v/>
      </c>
    </row>
    <row r="50" ht="17" spans="2:54">
      <c r="B50" s="119" t="s">
        <v>808</v>
      </c>
      <c r="C50" s="124" t="s">
        <v>1074</v>
      </c>
      <c r="D50" s="120" t="s">
        <v>1249</v>
      </c>
      <c r="E50" s="125" t="s">
        <v>1245</v>
      </c>
      <c r="F50" s="133">
        <f t="shared" si="48"/>
        <v>36.601</v>
      </c>
      <c r="G50" s="133">
        <v>35.929</v>
      </c>
      <c r="H50" s="128">
        <v>35.8399</v>
      </c>
      <c r="I50" s="144">
        <f t="shared" si="42"/>
        <v>0.089100000000002</v>
      </c>
      <c r="J50" s="115" t="str">
        <f t="shared" si="24"/>
        <v>8.25R16-16PR-VEZ87</v>
      </c>
      <c r="K50" s="119" t="s">
        <v>1227</v>
      </c>
      <c r="L50" s="120" t="s">
        <v>1092</v>
      </c>
      <c r="M50" s="121" t="s">
        <v>1129</v>
      </c>
      <c r="N50" s="120" t="s">
        <v>1250</v>
      </c>
      <c r="O50" s="124" t="s">
        <v>940</v>
      </c>
      <c r="P50" s="120">
        <v>57.22</v>
      </c>
      <c r="Q50" s="120">
        <v>56.67</v>
      </c>
      <c r="R50" s="144">
        <f t="shared" si="44"/>
        <v>0.549999999999997</v>
      </c>
      <c r="S50" s="113" t="str">
        <f t="shared" si="7"/>
        <v>11.00-20-18PR-CR952</v>
      </c>
      <c r="T50" s="119" t="s">
        <v>1251</v>
      </c>
      <c r="U50" s="120" t="s">
        <v>962</v>
      </c>
      <c r="V50" s="120" t="s">
        <v>1208</v>
      </c>
      <c r="W50" s="120" t="s">
        <v>1252</v>
      </c>
      <c r="X50" s="120"/>
      <c r="Y50" s="133">
        <v>11.705</v>
      </c>
      <c r="Z50" s="133">
        <v>11.648</v>
      </c>
      <c r="AA50" s="144">
        <f t="shared" si="47"/>
        <v>0.0570000000000004</v>
      </c>
      <c r="AB50" s="113" t="str">
        <f t="shared" si="19"/>
        <v>25 X 10R12-8PR-AR11</v>
      </c>
      <c r="AC50" s="119" t="s">
        <v>1253</v>
      </c>
      <c r="AD50" s="120" t="s">
        <v>934</v>
      </c>
      <c r="AE50" s="120" t="s">
        <v>1254</v>
      </c>
      <c r="AF50" s="154" t="s">
        <v>1255</v>
      </c>
      <c r="AG50" s="154" t="s">
        <v>66</v>
      </c>
      <c r="AH50" s="133">
        <v>68.68</v>
      </c>
      <c r="AI50" s="120">
        <v>69.29</v>
      </c>
      <c r="AJ50" s="144">
        <f t="shared" si="45"/>
        <v>-0.609999999999999</v>
      </c>
      <c r="AK50" s="113" t="str">
        <f t="shared" si="8"/>
        <v>14.9-24-12PR-STRONG GUARD XR4</v>
      </c>
      <c r="AL50" s="119" t="s">
        <v>1224</v>
      </c>
      <c r="AM50" s="120" t="s">
        <v>962</v>
      </c>
      <c r="AN50" s="120" t="s">
        <v>1188</v>
      </c>
      <c r="AO50" s="120" t="s">
        <v>1256</v>
      </c>
      <c r="AP50" s="120"/>
      <c r="AQ50" s="133">
        <v>9.092</v>
      </c>
      <c r="AR50" s="133">
        <v>8.967</v>
      </c>
      <c r="AS50" s="144">
        <f t="shared" si="40"/>
        <v>0.125</v>
      </c>
      <c r="AT50" s="113" t="str">
        <f t="shared" si="37"/>
        <v>ST185/80R13-8PR-ST226</v>
      </c>
      <c r="AU50" s="119" t="s">
        <v>1257</v>
      </c>
      <c r="AV50" s="120" t="s">
        <v>66</v>
      </c>
      <c r="AW50" s="120" t="s">
        <v>953</v>
      </c>
      <c r="AX50" s="120" t="s">
        <v>1258</v>
      </c>
      <c r="AY50" s="133">
        <v>6.461</v>
      </c>
      <c r="AZ50" s="133">
        <v>6.461</v>
      </c>
      <c r="BA50" s="144">
        <f t="shared" ref="BA50:BA53" si="49">AY50-AZ50</f>
        <v>0</v>
      </c>
      <c r="BB50" s="113" t="str">
        <f t="shared" si="10"/>
        <v>175/70R14-C-108</v>
      </c>
    </row>
    <row r="51" ht="13.8" customHeight="1" spans="2:54">
      <c r="B51" s="119" t="s">
        <v>808</v>
      </c>
      <c r="C51" s="124" t="s">
        <v>1092</v>
      </c>
      <c r="D51" s="120" t="s">
        <v>935</v>
      </c>
      <c r="E51" s="125" t="s">
        <v>1259</v>
      </c>
      <c r="F51" s="133">
        <f t="shared" si="46"/>
        <v>38.058</v>
      </c>
      <c r="G51" s="133">
        <v>37.368</v>
      </c>
      <c r="H51" s="128">
        <v>37.2773</v>
      </c>
      <c r="I51" s="144">
        <f t="shared" si="42"/>
        <v>0.0907000000000053</v>
      </c>
      <c r="J51" s="115" t="str">
        <f t="shared" si="24"/>
        <v>8.25R16-18PR-AZ686</v>
      </c>
      <c r="K51" s="119" t="s">
        <v>1227</v>
      </c>
      <c r="L51" s="120" t="s">
        <v>1092</v>
      </c>
      <c r="M51" s="121" t="s">
        <v>1260</v>
      </c>
      <c r="N51" s="120" t="s">
        <v>1250</v>
      </c>
      <c r="O51" s="124" t="s">
        <v>940</v>
      </c>
      <c r="P51" s="120">
        <v>57.22</v>
      </c>
      <c r="Q51" s="120">
        <v>56.67</v>
      </c>
      <c r="R51" s="144">
        <f t="shared" si="44"/>
        <v>0.549999999999997</v>
      </c>
      <c r="S51" s="113" t="str">
        <f t="shared" si="7"/>
        <v>11.00-20-18PR-AB112</v>
      </c>
      <c r="T51" s="119" t="s">
        <v>1240</v>
      </c>
      <c r="U51" s="120" t="s">
        <v>965</v>
      </c>
      <c r="V51" s="120" t="s">
        <v>1165</v>
      </c>
      <c r="W51" s="120" t="s">
        <v>1261</v>
      </c>
      <c r="X51" s="120"/>
      <c r="Y51" s="133">
        <v>9.795</v>
      </c>
      <c r="Z51" s="133">
        <v>9.79</v>
      </c>
      <c r="AA51" s="144">
        <f t="shared" si="47"/>
        <v>0.00500000000000078</v>
      </c>
      <c r="AB51" s="113" t="str">
        <f t="shared" si="19"/>
        <v>25 X 10-12-6PR-AR12</v>
      </c>
      <c r="AC51" s="122"/>
      <c r="AD51" s="123"/>
      <c r="AE51" s="123"/>
      <c r="AF51" s="123"/>
      <c r="AG51" s="123"/>
      <c r="AH51" s="123"/>
      <c r="AI51" s="123"/>
      <c r="AJ51" s="151"/>
      <c r="AK51" s="113" t="str">
        <f t="shared" si="8"/>
        <v/>
      </c>
      <c r="AL51" s="122"/>
      <c r="AM51" s="123"/>
      <c r="AN51" s="123"/>
      <c r="AO51" s="123"/>
      <c r="AP51" s="123"/>
      <c r="AQ51" s="123"/>
      <c r="AR51" s="123"/>
      <c r="AS51" s="151"/>
      <c r="AT51" s="113" t="str">
        <f t="shared" si="37"/>
        <v/>
      </c>
      <c r="AU51" s="119" t="s">
        <v>1257</v>
      </c>
      <c r="AV51" s="120" t="s">
        <v>66</v>
      </c>
      <c r="AW51" s="120" t="s">
        <v>956</v>
      </c>
      <c r="AX51" s="120" t="s">
        <v>1258</v>
      </c>
      <c r="AY51" s="133">
        <v>6.461</v>
      </c>
      <c r="AZ51" s="133">
        <v>6.461</v>
      </c>
      <c r="BA51" s="144">
        <f t="shared" si="49"/>
        <v>0</v>
      </c>
      <c r="BB51" s="113" t="str">
        <f t="shared" si="10"/>
        <v>175/70R14-G-118</v>
      </c>
    </row>
    <row r="52" ht="34" spans="2:54">
      <c r="B52" s="119" t="s">
        <v>808</v>
      </c>
      <c r="C52" s="124" t="s">
        <v>1092</v>
      </c>
      <c r="D52" s="120" t="s">
        <v>955</v>
      </c>
      <c r="E52" s="125" t="s">
        <v>1259</v>
      </c>
      <c r="F52" s="133">
        <f t="shared" si="46"/>
        <v>38.058</v>
      </c>
      <c r="G52" s="133">
        <v>37.368</v>
      </c>
      <c r="H52" s="128">
        <v>37.2773</v>
      </c>
      <c r="I52" s="144">
        <f t="shared" si="42"/>
        <v>0.0907000000000053</v>
      </c>
      <c r="J52" s="115" t="str">
        <f t="shared" si="24"/>
        <v>8.25R16-18PR-VAZ66</v>
      </c>
      <c r="K52" s="119" t="s">
        <v>1227</v>
      </c>
      <c r="L52" s="120" t="s">
        <v>1092</v>
      </c>
      <c r="M52" s="121" t="s">
        <v>1262</v>
      </c>
      <c r="N52" s="120" t="s">
        <v>1263</v>
      </c>
      <c r="O52" s="154" t="s">
        <v>1014</v>
      </c>
      <c r="P52" s="120">
        <v>61.86</v>
      </c>
      <c r="Q52" s="120">
        <v>61.79</v>
      </c>
      <c r="R52" s="144">
        <f t="shared" si="44"/>
        <v>0.0700000000000003</v>
      </c>
      <c r="S52" s="113" t="str">
        <f t="shared" si="7"/>
        <v>11.00-20-18PR-CR952 PRO</v>
      </c>
      <c r="T52" s="119" t="s">
        <v>1240</v>
      </c>
      <c r="U52" s="120" t="s">
        <v>965</v>
      </c>
      <c r="V52" s="120" t="s">
        <v>1220</v>
      </c>
      <c r="W52" s="120" t="s">
        <v>1264</v>
      </c>
      <c r="X52" s="120"/>
      <c r="Y52" s="133">
        <v>10.47</v>
      </c>
      <c r="Z52" s="133">
        <v>10.47</v>
      </c>
      <c r="AA52" s="144">
        <f t="shared" si="47"/>
        <v>0</v>
      </c>
      <c r="AB52" s="113" t="str">
        <f t="shared" si="19"/>
        <v>25 X 10-12-6PR-AR67</v>
      </c>
      <c r="AC52" s="119" t="s">
        <v>1265</v>
      </c>
      <c r="AD52" s="120" t="s">
        <v>1074</v>
      </c>
      <c r="AE52" s="120" t="s">
        <v>1211</v>
      </c>
      <c r="AF52" s="154" t="s">
        <v>66</v>
      </c>
      <c r="AG52" s="154" t="s">
        <v>66</v>
      </c>
      <c r="AH52" s="133">
        <v>85.9</v>
      </c>
      <c r="AI52" s="133">
        <v>85.9</v>
      </c>
      <c r="AJ52" s="144">
        <f t="shared" ref="AJ52:AJ55" si="50">AH52-AI52</f>
        <v>0</v>
      </c>
      <c r="AK52" s="113" t="str">
        <f t="shared" si="8"/>
        <v>14.00-24-16PR-GK-243</v>
      </c>
      <c r="AL52" s="171" t="s">
        <v>1266</v>
      </c>
      <c r="AM52" s="172" t="s">
        <v>66</v>
      </c>
      <c r="AN52" s="172" t="s">
        <v>950</v>
      </c>
      <c r="AO52" s="172" t="s">
        <v>1267</v>
      </c>
      <c r="AP52" s="172"/>
      <c r="AQ52" s="173">
        <v>8.347</v>
      </c>
      <c r="AR52" s="133">
        <v>8.353</v>
      </c>
      <c r="AS52" s="174">
        <f t="shared" ref="AS52:AS56" si="51">AQ52-AR52</f>
        <v>-0.00600000000000023</v>
      </c>
      <c r="AT52" s="113" t="str">
        <f t="shared" si="37"/>
        <v>195/50R13C-/-TRAILER ST290</v>
      </c>
      <c r="AU52" s="119" t="s">
        <v>1257</v>
      </c>
      <c r="AV52" s="120" t="s">
        <v>66</v>
      </c>
      <c r="AW52" s="175" t="s">
        <v>970</v>
      </c>
      <c r="AX52" s="120" t="s">
        <v>1258</v>
      </c>
      <c r="AY52" s="133">
        <v>6.461</v>
      </c>
      <c r="AZ52" s="133">
        <v>6.461</v>
      </c>
      <c r="BA52" s="144">
        <f t="shared" si="49"/>
        <v>0</v>
      </c>
      <c r="BB52" s="113" t="str">
        <f t="shared" si="10"/>
        <v>175/70R14-T-118</v>
      </c>
    </row>
    <row r="53" ht="13.8" customHeight="1" spans="2:54">
      <c r="B53" s="119" t="s">
        <v>808</v>
      </c>
      <c r="C53" s="124" t="s">
        <v>1074</v>
      </c>
      <c r="D53" s="120" t="s">
        <v>1028</v>
      </c>
      <c r="E53" s="120" t="s">
        <v>1268</v>
      </c>
      <c r="F53" s="133">
        <f t="shared" si="48"/>
        <v>36.106</v>
      </c>
      <c r="G53" s="133">
        <v>35.434</v>
      </c>
      <c r="H53" s="128">
        <v>35.345</v>
      </c>
      <c r="I53" s="144">
        <f t="shared" si="42"/>
        <v>0.0889999999999986</v>
      </c>
      <c r="J53" s="115" t="str">
        <f t="shared" si="24"/>
        <v>8.25R16-16PR-CM988</v>
      </c>
      <c r="K53" s="122"/>
      <c r="L53" s="123"/>
      <c r="M53" s="123"/>
      <c r="N53" s="123"/>
      <c r="O53" s="123"/>
      <c r="P53" s="123"/>
      <c r="Q53" s="123"/>
      <c r="R53" s="151"/>
      <c r="S53" s="113" t="str">
        <f t="shared" si="7"/>
        <v/>
      </c>
      <c r="T53" s="119" t="s">
        <v>1240</v>
      </c>
      <c r="U53" s="120" t="s">
        <v>965</v>
      </c>
      <c r="V53" s="120" t="s">
        <v>1223</v>
      </c>
      <c r="W53" s="120" t="s">
        <v>1269</v>
      </c>
      <c r="X53" s="120"/>
      <c r="Y53" s="133">
        <v>10.849</v>
      </c>
      <c r="Z53" s="133">
        <v>10.835</v>
      </c>
      <c r="AA53" s="144">
        <f t="shared" si="47"/>
        <v>0.0139999999999993</v>
      </c>
      <c r="AB53" s="113" t="str">
        <f t="shared" si="19"/>
        <v>25 X 10-12-6PR-AT12</v>
      </c>
      <c r="AC53" s="119" t="s">
        <v>1265</v>
      </c>
      <c r="AD53" s="120" t="s">
        <v>1074</v>
      </c>
      <c r="AE53" s="120" t="s">
        <v>1085</v>
      </c>
      <c r="AF53" s="154" t="s">
        <v>66</v>
      </c>
      <c r="AG53" s="154" t="s">
        <v>66</v>
      </c>
      <c r="AH53" s="133">
        <v>106</v>
      </c>
      <c r="AI53" s="133">
        <v>105.6</v>
      </c>
      <c r="AJ53" s="144">
        <f t="shared" si="50"/>
        <v>0.400000000000006</v>
      </c>
      <c r="AK53" s="113" t="str">
        <f t="shared" si="8"/>
        <v>14.00-24-16PR-STRONG GUARD LG2</v>
      </c>
      <c r="AL53" s="122"/>
      <c r="AM53" s="123"/>
      <c r="AN53" s="123"/>
      <c r="AO53" s="123"/>
      <c r="AP53" s="123"/>
      <c r="AQ53" s="130"/>
      <c r="AR53" s="130"/>
      <c r="AS53" s="145"/>
      <c r="AT53" s="113" t="str">
        <f t="shared" si="37"/>
        <v/>
      </c>
      <c r="AU53" s="119" t="s">
        <v>1257</v>
      </c>
      <c r="AV53" s="120" t="s">
        <v>66</v>
      </c>
      <c r="AW53" s="175" t="s">
        <v>979</v>
      </c>
      <c r="AX53" s="120" t="s">
        <v>1258</v>
      </c>
      <c r="AY53" s="133">
        <v>6.461</v>
      </c>
      <c r="AZ53" s="133">
        <v>6.461</v>
      </c>
      <c r="BA53" s="144">
        <f t="shared" si="49"/>
        <v>0</v>
      </c>
      <c r="BB53" s="113" t="str">
        <f t="shared" si="10"/>
        <v>175/70R14-Z-108</v>
      </c>
    </row>
    <row r="54" ht="13.8" customHeight="1" spans="2:54">
      <c r="B54" s="119" t="s">
        <v>808</v>
      </c>
      <c r="C54" s="124" t="s">
        <v>1092</v>
      </c>
      <c r="D54" s="120" t="s">
        <v>1270</v>
      </c>
      <c r="E54" s="125" t="s">
        <v>1271</v>
      </c>
      <c r="F54" s="133">
        <f>G54-2.06+2.75</f>
        <v>37.84</v>
      </c>
      <c r="G54" s="133">
        <v>37.15</v>
      </c>
      <c r="H54" s="128">
        <v>37.03</v>
      </c>
      <c r="I54" s="144">
        <f t="shared" si="42"/>
        <v>0.119999999999997</v>
      </c>
      <c r="J54" s="115" t="str">
        <f t="shared" si="24"/>
        <v>8.25R16-18PR-X-Traveler SL90LT</v>
      </c>
      <c r="K54" s="119" t="s">
        <v>1272</v>
      </c>
      <c r="L54" s="120" t="s">
        <v>942</v>
      </c>
      <c r="M54" s="120" t="s">
        <v>976</v>
      </c>
      <c r="N54" s="125" t="s">
        <v>1273</v>
      </c>
      <c r="O54" s="120" t="s">
        <v>66</v>
      </c>
      <c r="P54" s="120">
        <v>3.21</v>
      </c>
      <c r="Q54" s="120">
        <v>2.66</v>
      </c>
      <c r="R54" s="144">
        <f t="shared" ref="R54:R57" si="52">P54-Q54</f>
        <v>0.55</v>
      </c>
      <c r="S54" s="113" t="str">
        <f t="shared" si="7"/>
        <v>4.80-8-4PR-SU201</v>
      </c>
      <c r="T54" s="119" t="s">
        <v>1274</v>
      </c>
      <c r="U54" s="120" t="s">
        <v>965</v>
      </c>
      <c r="V54" s="120" t="s">
        <v>1183</v>
      </c>
      <c r="W54" s="120" t="s">
        <v>1275</v>
      </c>
      <c r="X54" s="120"/>
      <c r="Y54" s="133">
        <v>11.81</v>
      </c>
      <c r="Z54" s="133">
        <v>11.965</v>
      </c>
      <c r="AA54" s="144">
        <f t="shared" si="47"/>
        <v>-0.154999999999999</v>
      </c>
      <c r="AB54" s="113" t="str">
        <f t="shared" si="19"/>
        <v>25 X 10.00-12-6PR-OTR07</v>
      </c>
      <c r="AC54" s="119" t="s">
        <v>1265</v>
      </c>
      <c r="AD54" s="120" t="s">
        <v>1074</v>
      </c>
      <c r="AE54" s="120" t="s">
        <v>1215</v>
      </c>
      <c r="AF54" s="154" t="s">
        <v>66</v>
      </c>
      <c r="AG54" s="154" t="s">
        <v>66</v>
      </c>
      <c r="AH54" s="133">
        <v>85.9</v>
      </c>
      <c r="AI54" s="120">
        <v>85.8</v>
      </c>
      <c r="AJ54" s="144">
        <f t="shared" si="50"/>
        <v>0.100000000000009</v>
      </c>
      <c r="AK54" s="113" t="str">
        <f t="shared" si="8"/>
        <v>14.00-24-16PR-TL-100</v>
      </c>
      <c r="AL54" s="171" t="s">
        <v>1276</v>
      </c>
      <c r="AM54" s="172" t="s">
        <v>66</v>
      </c>
      <c r="AN54" s="172" t="s">
        <v>950</v>
      </c>
      <c r="AO54" s="172" t="s">
        <v>1277</v>
      </c>
      <c r="AP54" s="172"/>
      <c r="AQ54" s="173">
        <v>8.363</v>
      </c>
      <c r="AR54" s="133">
        <v>8.366</v>
      </c>
      <c r="AS54" s="174">
        <f t="shared" si="51"/>
        <v>-0.00300000000000011</v>
      </c>
      <c r="AT54" s="113" t="str">
        <f t="shared" si="37"/>
        <v>195/70R14-/-TRAILER ST290</v>
      </c>
      <c r="AU54" s="122"/>
      <c r="AV54" s="123"/>
      <c r="AW54" s="123"/>
      <c r="AX54" s="123"/>
      <c r="AY54" s="130"/>
      <c r="AZ54" s="130"/>
      <c r="BA54" s="145"/>
      <c r="BB54" s="113" t="str">
        <f t="shared" si="10"/>
        <v/>
      </c>
    </row>
    <row r="55" ht="17" spans="2:54">
      <c r="B55" s="122"/>
      <c r="C55" s="123"/>
      <c r="D55" s="123"/>
      <c r="E55" s="123"/>
      <c r="F55" s="136"/>
      <c r="G55" s="136"/>
      <c r="H55" s="137"/>
      <c r="I55" s="151"/>
      <c r="J55" s="115" t="str">
        <f t="shared" si="24"/>
        <v/>
      </c>
      <c r="K55" s="119" t="s">
        <v>1272</v>
      </c>
      <c r="L55" s="120" t="s">
        <v>942</v>
      </c>
      <c r="M55" s="120" t="s">
        <v>1278</v>
      </c>
      <c r="N55" s="125" t="s">
        <v>1273</v>
      </c>
      <c r="O55" s="120" t="s">
        <v>66</v>
      </c>
      <c r="P55" s="120">
        <v>3.21</v>
      </c>
      <c r="Q55" s="120">
        <v>2.66</v>
      </c>
      <c r="R55" s="144">
        <f t="shared" si="52"/>
        <v>0.55</v>
      </c>
      <c r="S55" s="113" t="str">
        <f t="shared" si="7"/>
        <v>4.80-8-4PR-ZT201</v>
      </c>
      <c r="T55" s="119" t="s">
        <v>1274</v>
      </c>
      <c r="U55" s="120" t="s">
        <v>965</v>
      </c>
      <c r="V55" s="120" t="s">
        <v>1279</v>
      </c>
      <c r="W55" s="120" t="s">
        <v>1280</v>
      </c>
      <c r="X55" s="120"/>
      <c r="Y55" s="133">
        <v>9.678</v>
      </c>
      <c r="Z55" s="133">
        <v>9.68</v>
      </c>
      <c r="AA55" s="144">
        <f t="shared" si="47"/>
        <v>-0.00199999999999889</v>
      </c>
      <c r="AB55" s="113" t="str">
        <f t="shared" si="19"/>
        <v>25 X 10.00-12-6PR-OTR09</v>
      </c>
      <c r="AC55" s="119" t="s">
        <v>1265</v>
      </c>
      <c r="AD55" s="120" t="s">
        <v>1101</v>
      </c>
      <c r="AE55" s="120" t="s">
        <v>1281</v>
      </c>
      <c r="AF55" s="154" t="s">
        <v>66</v>
      </c>
      <c r="AG55" s="154" t="s">
        <v>66</v>
      </c>
      <c r="AH55" s="133">
        <v>126.3</v>
      </c>
      <c r="AI55" s="120">
        <v>125.8</v>
      </c>
      <c r="AJ55" s="144">
        <f t="shared" si="50"/>
        <v>0.5</v>
      </c>
      <c r="AK55" s="113" t="str">
        <f t="shared" si="8"/>
        <v>14.00-24-20PR-STRONG GUARD G3/L3</v>
      </c>
      <c r="AL55" s="122"/>
      <c r="AM55" s="123"/>
      <c r="AN55" s="123"/>
      <c r="AO55" s="123"/>
      <c r="AP55" s="123"/>
      <c r="AQ55" s="130"/>
      <c r="AR55" s="130"/>
      <c r="AS55" s="145"/>
      <c r="AT55" s="113" t="str">
        <f t="shared" si="37"/>
        <v/>
      </c>
      <c r="AU55" s="119" t="s">
        <v>1282</v>
      </c>
      <c r="AV55" s="120" t="s">
        <v>66</v>
      </c>
      <c r="AW55" s="120" t="s">
        <v>953</v>
      </c>
      <c r="AX55" s="120" t="s">
        <v>1283</v>
      </c>
      <c r="AY55" s="133">
        <v>6.964</v>
      </c>
      <c r="AZ55" s="133">
        <v>6.963</v>
      </c>
      <c r="BA55" s="144">
        <f t="shared" ref="BA55:BA58" si="53">AY55-AZ55</f>
        <v>0.00100000000000033</v>
      </c>
      <c r="BB55" s="113" t="str">
        <f t="shared" si="10"/>
        <v>185/55R15-C-108</v>
      </c>
    </row>
    <row r="56" ht="17" spans="2:54">
      <c r="B56" s="119" t="s">
        <v>1284</v>
      </c>
      <c r="C56" s="124" t="s">
        <v>1074</v>
      </c>
      <c r="D56" s="120" t="s">
        <v>972</v>
      </c>
      <c r="E56" s="125" t="s">
        <v>1285</v>
      </c>
      <c r="F56" s="133">
        <f t="shared" ref="F56:F59" si="54">G56-2.441+2.951</f>
        <v>42.54</v>
      </c>
      <c r="G56" s="133">
        <v>42.03</v>
      </c>
      <c r="H56" s="128">
        <v>42.03</v>
      </c>
      <c r="I56" s="144">
        <f t="shared" ref="I56:I59" si="55">G56-H56</f>
        <v>0</v>
      </c>
      <c r="J56" s="115" t="str">
        <f t="shared" si="24"/>
        <v>8.25R20-16PR-AZ850</v>
      </c>
      <c r="K56" s="119" t="s">
        <v>1272</v>
      </c>
      <c r="L56" s="120" t="s">
        <v>965</v>
      </c>
      <c r="M56" s="121" t="s">
        <v>976</v>
      </c>
      <c r="N56" s="120" t="s">
        <v>1286</v>
      </c>
      <c r="O56" s="124" t="s">
        <v>66</v>
      </c>
      <c r="P56" s="120">
        <v>3.23</v>
      </c>
      <c r="Q56" s="120">
        <v>2.75</v>
      </c>
      <c r="R56" s="144">
        <f t="shared" si="52"/>
        <v>0.48</v>
      </c>
      <c r="S56" s="113" t="str">
        <f t="shared" si="7"/>
        <v>4.80-8-6PR-SU201</v>
      </c>
      <c r="T56" s="119" t="s">
        <v>1274</v>
      </c>
      <c r="U56" s="120" t="s">
        <v>965</v>
      </c>
      <c r="V56" s="120" t="s">
        <v>1287</v>
      </c>
      <c r="W56" s="120" t="s">
        <v>66</v>
      </c>
      <c r="X56" s="120"/>
      <c r="Y56" s="133">
        <v>11.435</v>
      </c>
      <c r="Z56" s="133">
        <v>11.57</v>
      </c>
      <c r="AA56" s="144">
        <f t="shared" si="47"/>
        <v>-0.135</v>
      </c>
      <c r="AB56" s="113" t="str">
        <f t="shared" si="19"/>
        <v>25 X 10.00-12-6PR-OTR30</v>
      </c>
      <c r="AC56" s="122"/>
      <c r="AD56" s="123"/>
      <c r="AE56" s="123"/>
      <c r="AF56" s="123"/>
      <c r="AG56" s="123"/>
      <c r="AH56" s="123"/>
      <c r="AI56" s="123"/>
      <c r="AJ56" s="151"/>
      <c r="AK56" s="113" t="str">
        <f t="shared" si="8"/>
        <v/>
      </c>
      <c r="AL56" s="171" t="s">
        <v>1288</v>
      </c>
      <c r="AM56" s="172" t="s">
        <v>66</v>
      </c>
      <c r="AN56" s="172" t="s">
        <v>950</v>
      </c>
      <c r="AO56" s="172" t="s">
        <v>1289</v>
      </c>
      <c r="AP56" s="172"/>
      <c r="AQ56" s="173">
        <v>9.622</v>
      </c>
      <c r="AR56" s="133">
        <v>9.631</v>
      </c>
      <c r="AS56" s="174">
        <f t="shared" si="51"/>
        <v>-0.00900000000000034</v>
      </c>
      <c r="AT56" s="113" t="str">
        <f t="shared" si="37"/>
        <v>195R14C-/-TRAILER ST290</v>
      </c>
      <c r="AU56" s="119" t="s">
        <v>1282</v>
      </c>
      <c r="AV56" s="120" t="s">
        <v>66</v>
      </c>
      <c r="AW56" s="120" t="s">
        <v>956</v>
      </c>
      <c r="AX56" s="120" t="s">
        <v>1283</v>
      </c>
      <c r="AY56" s="133">
        <v>6.964</v>
      </c>
      <c r="AZ56" s="133">
        <v>6.963</v>
      </c>
      <c r="BA56" s="144">
        <f t="shared" si="53"/>
        <v>0.00100000000000033</v>
      </c>
      <c r="BB56" s="113" t="str">
        <f t="shared" si="10"/>
        <v>185/55R15-G-118</v>
      </c>
    </row>
    <row r="57" spans="2:54">
      <c r="B57" s="119" t="s">
        <v>1284</v>
      </c>
      <c r="C57" s="124" t="s">
        <v>1074</v>
      </c>
      <c r="D57" s="121" t="s">
        <v>980</v>
      </c>
      <c r="E57" s="120" t="s">
        <v>1285</v>
      </c>
      <c r="F57" s="133">
        <f t="shared" si="54"/>
        <v>42.54</v>
      </c>
      <c r="G57" s="127">
        <v>42.03</v>
      </c>
      <c r="H57" s="128">
        <v>42.03</v>
      </c>
      <c r="I57" s="144">
        <f t="shared" si="55"/>
        <v>0</v>
      </c>
      <c r="J57" s="115" t="str">
        <f t="shared" si="24"/>
        <v>8.25R20-16PR-VAZ80</v>
      </c>
      <c r="K57" s="119" t="s">
        <v>1272</v>
      </c>
      <c r="L57" s="120" t="s">
        <v>965</v>
      </c>
      <c r="M57" s="121" t="s">
        <v>1278</v>
      </c>
      <c r="N57" s="120" t="s">
        <v>1286</v>
      </c>
      <c r="O57" s="124" t="s">
        <v>66</v>
      </c>
      <c r="P57" s="120">
        <v>3.23</v>
      </c>
      <c r="Q57" s="120">
        <v>2.75</v>
      </c>
      <c r="R57" s="144">
        <f t="shared" si="52"/>
        <v>0.48</v>
      </c>
      <c r="S57" s="113" t="str">
        <f t="shared" si="7"/>
        <v>4.80-8-6PR-ZT201</v>
      </c>
      <c r="T57" s="119" t="s">
        <v>1240</v>
      </c>
      <c r="U57" s="120" t="s">
        <v>965</v>
      </c>
      <c r="V57" s="120" t="s">
        <v>1231</v>
      </c>
      <c r="W57" s="120" t="s">
        <v>1290</v>
      </c>
      <c r="X57" s="120"/>
      <c r="Y57" s="133">
        <v>11.078</v>
      </c>
      <c r="Z57" s="133">
        <v>11.041</v>
      </c>
      <c r="AA57" s="144">
        <f t="shared" si="47"/>
        <v>0.036999999999999</v>
      </c>
      <c r="AB57" s="113" t="str">
        <f t="shared" si="19"/>
        <v>25 X 10-12-6PR-WL6A</v>
      </c>
      <c r="AC57" s="119" t="s">
        <v>1291</v>
      </c>
      <c r="AD57" s="120" t="s">
        <v>958</v>
      </c>
      <c r="AE57" s="120" t="s">
        <v>966</v>
      </c>
      <c r="AF57" s="120" t="s">
        <v>1292</v>
      </c>
      <c r="AG57" s="154" t="s">
        <v>66</v>
      </c>
      <c r="AH57" s="133">
        <v>58.71</v>
      </c>
      <c r="AI57" s="120">
        <v>58.13</v>
      </c>
      <c r="AJ57" s="144">
        <f t="shared" ref="AJ57:AJ62" si="56">AH57-AI57</f>
        <v>0.579999999999998</v>
      </c>
      <c r="AK57" s="113" t="str">
        <f t="shared" si="8"/>
        <v>15-19.5-14PR-STRONG GUARD SS</v>
      </c>
      <c r="AL57" s="122"/>
      <c r="AM57" s="123"/>
      <c r="AN57" s="123"/>
      <c r="AO57" s="123"/>
      <c r="AP57" s="123"/>
      <c r="AQ57" s="130"/>
      <c r="AR57" s="130"/>
      <c r="AS57" s="145"/>
      <c r="AT57" s="113" t="str">
        <f t="shared" si="37"/>
        <v/>
      </c>
      <c r="AU57" s="119" t="s">
        <v>1282</v>
      </c>
      <c r="AV57" s="120" t="s">
        <v>66</v>
      </c>
      <c r="AW57" s="175" t="s">
        <v>970</v>
      </c>
      <c r="AX57" s="120" t="s">
        <v>1283</v>
      </c>
      <c r="AY57" s="133">
        <v>6.964</v>
      </c>
      <c r="AZ57" s="133">
        <v>6.963</v>
      </c>
      <c r="BA57" s="144">
        <f t="shared" si="53"/>
        <v>0.00100000000000033</v>
      </c>
      <c r="BB57" s="113" t="str">
        <f t="shared" si="10"/>
        <v>185/55R15-T-118</v>
      </c>
    </row>
    <row r="58" spans="2:54">
      <c r="B58" s="119" t="s">
        <v>1284</v>
      </c>
      <c r="C58" s="124" t="s">
        <v>1074</v>
      </c>
      <c r="D58" s="120" t="s">
        <v>1244</v>
      </c>
      <c r="E58" s="138" t="s">
        <v>1293</v>
      </c>
      <c r="F58" s="133">
        <f t="shared" si="54"/>
        <v>44.451</v>
      </c>
      <c r="G58" s="133">
        <v>43.941</v>
      </c>
      <c r="H58" s="128">
        <v>43.95</v>
      </c>
      <c r="I58" s="144">
        <f t="shared" si="55"/>
        <v>-0.00900000000000034</v>
      </c>
      <c r="J58" s="115" t="str">
        <f t="shared" si="24"/>
        <v>8.25R20-16PR-EZ867</v>
      </c>
      <c r="K58" s="122"/>
      <c r="L58" s="123"/>
      <c r="M58" s="123"/>
      <c r="N58" s="123"/>
      <c r="O58" s="123"/>
      <c r="P58" s="123"/>
      <c r="Q58" s="123"/>
      <c r="R58" s="151"/>
      <c r="S58" s="113" t="str">
        <f t="shared" si="7"/>
        <v/>
      </c>
      <c r="T58" s="122"/>
      <c r="U58" s="123"/>
      <c r="V58" s="123"/>
      <c r="W58" s="123"/>
      <c r="X58" s="123"/>
      <c r="Y58" s="123"/>
      <c r="Z58" s="123"/>
      <c r="AA58" s="151"/>
      <c r="AB58" s="113" t="str">
        <f t="shared" si="19"/>
        <v/>
      </c>
      <c r="AC58" s="122"/>
      <c r="AD58" s="123"/>
      <c r="AE58" s="123"/>
      <c r="AF58" s="123"/>
      <c r="AG58" s="123"/>
      <c r="AH58" s="123"/>
      <c r="AI58" s="123"/>
      <c r="AJ58" s="151"/>
      <c r="AK58" s="113" t="str">
        <f t="shared" si="8"/>
        <v/>
      </c>
      <c r="AL58" s="119" t="s">
        <v>1294</v>
      </c>
      <c r="AM58" s="120" t="s">
        <v>965</v>
      </c>
      <c r="AN58" s="120" t="s">
        <v>1080</v>
      </c>
      <c r="AO58" s="120" t="s">
        <v>1295</v>
      </c>
      <c r="AP58" s="120"/>
      <c r="AQ58" s="133">
        <v>9.534</v>
      </c>
      <c r="AR58" s="133">
        <v>9.41</v>
      </c>
      <c r="AS58" s="144">
        <f t="shared" ref="AS58:AS76" si="57">AQ58-AR58</f>
        <v>0.124000000000001</v>
      </c>
      <c r="AT58" s="113" t="str">
        <f t="shared" si="37"/>
        <v>ST205/75R14-6PR-ST100</v>
      </c>
      <c r="AU58" s="119" t="s">
        <v>1282</v>
      </c>
      <c r="AV58" s="120" t="s">
        <v>66</v>
      </c>
      <c r="AW58" s="175" t="s">
        <v>979</v>
      </c>
      <c r="AX58" s="120" t="s">
        <v>1283</v>
      </c>
      <c r="AY58" s="133">
        <v>6.964</v>
      </c>
      <c r="AZ58" s="133">
        <v>6.963</v>
      </c>
      <c r="BA58" s="144">
        <f t="shared" si="53"/>
        <v>0.00100000000000033</v>
      </c>
      <c r="BB58" s="113" t="str">
        <f t="shared" si="10"/>
        <v>185/55R15-Z-108</v>
      </c>
    </row>
    <row r="59" ht="13.8" customHeight="1" spans="2:54">
      <c r="B59" s="119" t="s">
        <v>1284</v>
      </c>
      <c r="C59" s="124" t="s">
        <v>1074</v>
      </c>
      <c r="D59" s="120" t="s">
        <v>1249</v>
      </c>
      <c r="E59" s="125" t="s">
        <v>1293</v>
      </c>
      <c r="F59" s="133">
        <f t="shared" si="54"/>
        <v>44.451</v>
      </c>
      <c r="G59" s="133">
        <v>43.941</v>
      </c>
      <c r="H59" s="128">
        <v>43.95</v>
      </c>
      <c r="I59" s="144">
        <f t="shared" si="55"/>
        <v>-0.00900000000000034</v>
      </c>
      <c r="J59" s="115" t="str">
        <f t="shared" si="24"/>
        <v>8.25R20-16PR-VEZ87</v>
      </c>
      <c r="K59" s="119" t="s">
        <v>1296</v>
      </c>
      <c r="L59" s="120" t="s">
        <v>942</v>
      </c>
      <c r="M59" s="120" t="s">
        <v>976</v>
      </c>
      <c r="N59" s="125" t="s">
        <v>1297</v>
      </c>
      <c r="O59" s="120" t="s">
        <v>66</v>
      </c>
      <c r="P59" s="120">
        <v>4.09</v>
      </c>
      <c r="Q59" s="120">
        <v>4.05</v>
      </c>
      <c r="R59" s="143">
        <f t="shared" ref="R59:R65" si="58">P59-Q59</f>
        <v>0.04</v>
      </c>
      <c r="S59" s="113" t="str">
        <f t="shared" si="7"/>
        <v>4.80-12-4PR-SU201</v>
      </c>
      <c r="T59" s="119" t="s">
        <v>1298</v>
      </c>
      <c r="U59" s="120" t="s">
        <v>965</v>
      </c>
      <c r="V59" s="120" t="s">
        <v>1279</v>
      </c>
      <c r="W59" s="120" t="s">
        <v>66</v>
      </c>
      <c r="X59" s="120"/>
      <c r="Y59" s="133">
        <v>10.387</v>
      </c>
      <c r="Z59" s="133">
        <v>11.04</v>
      </c>
      <c r="AA59" s="144">
        <f t="shared" ref="AA59:AA63" si="59">Y59-Z59</f>
        <v>-0.652999999999999</v>
      </c>
      <c r="AB59" s="113" t="str">
        <f t="shared" si="19"/>
        <v>25 X 11.00-12-6PR-OTR09</v>
      </c>
      <c r="AC59" s="119" t="s">
        <v>1299</v>
      </c>
      <c r="AD59" s="120" t="s">
        <v>934</v>
      </c>
      <c r="AE59" s="120" t="s">
        <v>1085</v>
      </c>
      <c r="AF59" s="154" t="s">
        <v>66</v>
      </c>
      <c r="AG59" s="154" t="s">
        <v>66</v>
      </c>
      <c r="AH59" s="133">
        <v>76.6</v>
      </c>
      <c r="AI59" s="120">
        <v>76.2</v>
      </c>
      <c r="AJ59" s="144">
        <f t="shared" si="56"/>
        <v>0.399999999999991</v>
      </c>
      <c r="AK59" s="113" t="str">
        <f t="shared" si="8"/>
        <v>15.5-25-12PR-STRONG GUARD LG2</v>
      </c>
      <c r="AL59" s="119" t="s">
        <v>1294</v>
      </c>
      <c r="AM59" s="120" t="s">
        <v>965</v>
      </c>
      <c r="AN59" s="120" t="s">
        <v>1087</v>
      </c>
      <c r="AO59" s="120" t="s">
        <v>1295</v>
      </c>
      <c r="AP59" s="120"/>
      <c r="AQ59" s="133">
        <v>9.534</v>
      </c>
      <c r="AR59" s="133">
        <v>9.41</v>
      </c>
      <c r="AS59" s="144">
        <f t="shared" si="57"/>
        <v>0.124000000000001</v>
      </c>
      <c r="AT59" s="113" t="str">
        <f t="shared" si="37"/>
        <v>ST205/75R14-6PR-STZC</v>
      </c>
      <c r="AU59" s="122"/>
      <c r="AV59" s="123"/>
      <c r="AW59" s="123"/>
      <c r="AX59" s="123"/>
      <c r="AY59" s="130"/>
      <c r="AZ59" s="130"/>
      <c r="BA59" s="145"/>
      <c r="BB59" s="113" t="str">
        <f t="shared" si="10"/>
        <v/>
      </c>
    </row>
    <row r="60" ht="17" spans="2:54">
      <c r="B60" s="122"/>
      <c r="C60" s="123"/>
      <c r="D60" s="123"/>
      <c r="E60" s="123"/>
      <c r="F60" s="130"/>
      <c r="G60" s="130"/>
      <c r="H60" s="139"/>
      <c r="I60" s="151"/>
      <c r="J60" s="115" t="str">
        <f t="shared" si="24"/>
        <v/>
      </c>
      <c r="K60" s="119" t="s">
        <v>1296</v>
      </c>
      <c r="L60" s="120" t="s">
        <v>942</v>
      </c>
      <c r="M60" s="120" t="s">
        <v>1278</v>
      </c>
      <c r="N60" s="125" t="s">
        <v>1297</v>
      </c>
      <c r="O60" s="120" t="s">
        <v>66</v>
      </c>
      <c r="P60" s="120">
        <v>4.09</v>
      </c>
      <c r="Q60" s="120">
        <v>4.05</v>
      </c>
      <c r="R60" s="143">
        <f t="shared" si="58"/>
        <v>0.04</v>
      </c>
      <c r="S60" s="113" t="str">
        <f t="shared" si="7"/>
        <v>4.80-12-4PR-ZT201</v>
      </c>
      <c r="T60" s="122"/>
      <c r="U60" s="123"/>
      <c r="V60" s="123"/>
      <c r="W60" s="123"/>
      <c r="X60" s="123"/>
      <c r="Y60" s="123"/>
      <c r="Z60" s="123"/>
      <c r="AA60" s="151"/>
      <c r="AB60" s="113" t="str">
        <f t="shared" si="19"/>
        <v/>
      </c>
      <c r="AC60" s="122"/>
      <c r="AD60" s="123"/>
      <c r="AE60" s="123"/>
      <c r="AF60" s="123"/>
      <c r="AG60" s="123"/>
      <c r="AH60" s="123"/>
      <c r="AI60" s="123"/>
      <c r="AJ60" s="151"/>
      <c r="AK60" s="113" t="str">
        <f t="shared" si="8"/>
        <v/>
      </c>
      <c r="AL60" s="119" t="s">
        <v>1294</v>
      </c>
      <c r="AM60" s="120" t="s">
        <v>962</v>
      </c>
      <c r="AN60" s="120" t="s">
        <v>1080</v>
      </c>
      <c r="AO60" s="120" t="s">
        <v>1300</v>
      </c>
      <c r="AP60" s="120"/>
      <c r="AQ60" s="133">
        <v>10.767</v>
      </c>
      <c r="AR60" s="133">
        <v>10.622</v>
      </c>
      <c r="AS60" s="144">
        <f t="shared" si="57"/>
        <v>0.145</v>
      </c>
      <c r="AT60" s="113" t="str">
        <f t="shared" si="37"/>
        <v>ST205/75R14-8PR-ST100</v>
      </c>
      <c r="AU60" s="119" t="s">
        <v>1301</v>
      </c>
      <c r="AV60" s="120" t="s">
        <v>66</v>
      </c>
      <c r="AW60" s="120" t="s">
        <v>953</v>
      </c>
      <c r="AX60" s="120" t="s">
        <v>1302</v>
      </c>
      <c r="AY60" s="133">
        <v>6.375</v>
      </c>
      <c r="AZ60" s="133">
        <v>6.387</v>
      </c>
      <c r="BA60" s="144">
        <f t="shared" ref="BA60:BA63" si="60">AY60-AZ60</f>
        <v>-0.0119999999999996</v>
      </c>
      <c r="BB60" s="113" t="str">
        <f t="shared" si="10"/>
        <v>185/60R14-C-108</v>
      </c>
    </row>
    <row r="61" ht="13.8" customHeight="1" spans="2:54">
      <c r="B61" s="119" t="s">
        <v>805</v>
      </c>
      <c r="C61" s="120" t="s">
        <v>1092</v>
      </c>
      <c r="D61" s="125" t="s">
        <v>1038</v>
      </c>
      <c r="E61" s="125" t="s">
        <v>1303</v>
      </c>
      <c r="F61" s="133">
        <f t="shared" ref="F61:F68" si="61">G61-3.476+4.189</f>
        <v>61.453</v>
      </c>
      <c r="G61" s="133">
        <v>60.74</v>
      </c>
      <c r="H61" s="128">
        <v>60.98</v>
      </c>
      <c r="I61" s="144">
        <f t="shared" ref="I61:I104" si="62">G61-H61</f>
        <v>-0.239999999999995</v>
      </c>
      <c r="J61" s="115" t="str">
        <f t="shared" si="24"/>
        <v>10.00R20-18PR-AZ676</v>
      </c>
      <c r="K61" s="119" t="s">
        <v>1296</v>
      </c>
      <c r="L61" s="120" t="s">
        <v>965</v>
      </c>
      <c r="M61" s="121" t="s">
        <v>976</v>
      </c>
      <c r="N61" s="120" t="s">
        <v>1304</v>
      </c>
      <c r="O61" s="124" t="s">
        <v>66</v>
      </c>
      <c r="P61" s="133">
        <v>4.13</v>
      </c>
      <c r="Q61" s="120">
        <v>4.09</v>
      </c>
      <c r="R61" s="143">
        <f t="shared" si="58"/>
        <v>0.04</v>
      </c>
      <c r="S61" s="113" t="str">
        <f t="shared" si="7"/>
        <v>4.80-12-6PR-SU201</v>
      </c>
      <c r="T61" s="119" t="s">
        <v>1305</v>
      </c>
      <c r="U61" s="120" t="s">
        <v>965</v>
      </c>
      <c r="V61" s="120" t="s">
        <v>1196</v>
      </c>
      <c r="W61" s="120" t="s">
        <v>1306</v>
      </c>
      <c r="X61" s="120"/>
      <c r="Y61" s="133">
        <v>9.67</v>
      </c>
      <c r="Z61" s="133">
        <v>9.669</v>
      </c>
      <c r="AA61" s="144">
        <f t="shared" si="59"/>
        <v>0.000999999999999446</v>
      </c>
      <c r="AB61" s="113" t="str">
        <f t="shared" si="19"/>
        <v>26 X9.00-12-6PR-A033</v>
      </c>
      <c r="AC61" s="119" t="s">
        <v>1307</v>
      </c>
      <c r="AD61" s="120" t="s">
        <v>934</v>
      </c>
      <c r="AE61" s="120" t="s">
        <v>1308</v>
      </c>
      <c r="AF61" s="154" t="s">
        <v>1309</v>
      </c>
      <c r="AG61" s="154" t="s">
        <v>66</v>
      </c>
      <c r="AH61" s="133">
        <v>54.8</v>
      </c>
      <c r="AI61" s="120">
        <v>55.17</v>
      </c>
      <c r="AJ61" s="144">
        <f t="shared" si="56"/>
        <v>-0.370000000000005</v>
      </c>
      <c r="AK61" s="113" t="str">
        <f t="shared" si="8"/>
        <v>16.0/70-20-12PR-STRONG GUARD MPT</v>
      </c>
      <c r="AL61" s="119" t="s">
        <v>1294</v>
      </c>
      <c r="AM61" s="120" t="s">
        <v>962</v>
      </c>
      <c r="AN61" s="120" t="s">
        <v>1087</v>
      </c>
      <c r="AO61" s="120" t="s">
        <v>1300</v>
      </c>
      <c r="AP61" s="120"/>
      <c r="AQ61" s="133">
        <v>10.767</v>
      </c>
      <c r="AR61" s="133">
        <v>10.622</v>
      </c>
      <c r="AS61" s="144">
        <f t="shared" si="57"/>
        <v>0.145</v>
      </c>
      <c r="AT61" s="113" t="str">
        <f t="shared" si="37"/>
        <v>ST205/75R14-8PR-STZC</v>
      </c>
      <c r="AU61" s="119" t="s">
        <v>1301</v>
      </c>
      <c r="AV61" s="120" t="s">
        <v>66</v>
      </c>
      <c r="AW61" s="120" t="s">
        <v>956</v>
      </c>
      <c r="AX61" s="120" t="s">
        <v>1302</v>
      </c>
      <c r="AY61" s="133">
        <v>6.375</v>
      </c>
      <c r="AZ61" s="133">
        <v>6.387</v>
      </c>
      <c r="BA61" s="144">
        <f t="shared" si="60"/>
        <v>-0.0119999999999996</v>
      </c>
      <c r="BB61" s="113" t="str">
        <f t="shared" si="10"/>
        <v>185/60R14-G-118</v>
      </c>
    </row>
    <row r="62" spans="2:54">
      <c r="B62" s="119" t="s">
        <v>805</v>
      </c>
      <c r="C62" s="120" t="s">
        <v>1092</v>
      </c>
      <c r="D62" s="125" t="s">
        <v>1310</v>
      </c>
      <c r="E62" s="125" t="s">
        <v>1303</v>
      </c>
      <c r="F62" s="133">
        <f t="shared" si="61"/>
        <v>61.453</v>
      </c>
      <c r="G62" s="133">
        <v>60.74</v>
      </c>
      <c r="H62" s="128">
        <v>60.98</v>
      </c>
      <c r="I62" s="144">
        <f t="shared" si="62"/>
        <v>-0.239999999999995</v>
      </c>
      <c r="J62" s="115" t="str">
        <f t="shared" si="24"/>
        <v>10.00R20-18PR-BMA08</v>
      </c>
      <c r="K62" s="119" t="s">
        <v>1296</v>
      </c>
      <c r="L62" s="120" t="s">
        <v>965</v>
      </c>
      <c r="M62" s="121" t="s">
        <v>1278</v>
      </c>
      <c r="N62" s="120" t="s">
        <v>1304</v>
      </c>
      <c r="O62" s="124" t="s">
        <v>66</v>
      </c>
      <c r="P62" s="133">
        <v>4.13</v>
      </c>
      <c r="Q62" s="120">
        <v>4.09</v>
      </c>
      <c r="R62" s="143">
        <f t="shared" si="58"/>
        <v>0.04</v>
      </c>
      <c r="S62" s="113" t="str">
        <f t="shared" si="7"/>
        <v>4.80-12-6PR-ZT201</v>
      </c>
      <c r="T62" s="119" t="s">
        <v>1311</v>
      </c>
      <c r="U62" s="120" t="s">
        <v>962</v>
      </c>
      <c r="V62" s="120" t="s">
        <v>1208</v>
      </c>
      <c r="W62" s="120" t="s">
        <v>1312</v>
      </c>
      <c r="X62" s="120"/>
      <c r="Y62" s="133">
        <v>12.725</v>
      </c>
      <c r="Z62" s="133">
        <v>12.63</v>
      </c>
      <c r="AA62" s="144">
        <f t="shared" si="59"/>
        <v>0.0949999999999989</v>
      </c>
      <c r="AB62" s="113" t="str">
        <f t="shared" si="19"/>
        <v>26 X 9R12-8PR-AR11</v>
      </c>
      <c r="AC62" s="119" t="s">
        <v>1307</v>
      </c>
      <c r="AD62" s="120" t="s">
        <v>958</v>
      </c>
      <c r="AE62" s="120" t="s">
        <v>1308</v>
      </c>
      <c r="AF62" s="154" t="s">
        <v>1313</v>
      </c>
      <c r="AG62" s="154" t="s">
        <v>66</v>
      </c>
      <c r="AH62" s="133">
        <v>57.03</v>
      </c>
      <c r="AI62" s="120">
        <v>56.51</v>
      </c>
      <c r="AJ62" s="144">
        <f t="shared" si="56"/>
        <v>0.520000000000003</v>
      </c>
      <c r="AK62" s="113" t="str">
        <f t="shared" si="8"/>
        <v>16.0/70-20-14PR-STRONG GUARD MPT</v>
      </c>
      <c r="AL62" s="119" t="s">
        <v>1294</v>
      </c>
      <c r="AM62" s="120" t="s">
        <v>965</v>
      </c>
      <c r="AN62" s="120" t="s">
        <v>1104</v>
      </c>
      <c r="AO62" s="120" t="s">
        <v>1314</v>
      </c>
      <c r="AP62" s="120"/>
      <c r="AQ62" s="133">
        <v>8.821</v>
      </c>
      <c r="AR62" s="133">
        <v>8.695</v>
      </c>
      <c r="AS62" s="144">
        <f t="shared" si="57"/>
        <v>0.125999999999999</v>
      </c>
      <c r="AT62" s="113" t="str">
        <f t="shared" si="37"/>
        <v>ST205/75R14-6PR-ST100A</v>
      </c>
      <c r="AU62" s="119" t="s">
        <v>1301</v>
      </c>
      <c r="AV62" s="120" t="s">
        <v>66</v>
      </c>
      <c r="AW62" s="175" t="s">
        <v>970</v>
      </c>
      <c r="AX62" s="120" t="s">
        <v>1302</v>
      </c>
      <c r="AY62" s="133">
        <v>6.375</v>
      </c>
      <c r="AZ62" s="133">
        <v>6.387</v>
      </c>
      <c r="BA62" s="144">
        <f t="shared" si="60"/>
        <v>-0.0119999999999996</v>
      </c>
      <c r="BB62" s="113" t="str">
        <f t="shared" si="10"/>
        <v>185/60R14-T-118</v>
      </c>
    </row>
    <row r="63" spans="2:54">
      <c r="B63" s="119" t="s">
        <v>805</v>
      </c>
      <c r="C63" s="121" t="s">
        <v>1092</v>
      </c>
      <c r="D63" s="126" t="s">
        <v>972</v>
      </c>
      <c r="E63" s="120" t="s">
        <v>1315</v>
      </c>
      <c r="F63" s="127">
        <f t="shared" si="61"/>
        <v>63.185</v>
      </c>
      <c r="G63" s="133">
        <v>62.472</v>
      </c>
      <c r="H63" s="128">
        <v>62.16</v>
      </c>
      <c r="I63" s="144">
        <f t="shared" si="62"/>
        <v>0.312000000000005</v>
      </c>
      <c r="J63" s="115" t="str">
        <f t="shared" si="24"/>
        <v>10.00R20-18PR-AZ850</v>
      </c>
      <c r="K63" s="119" t="s">
        <v>1296</v>
      </c>
      <c r="L63" s="120" t="s">
        <v>965</v>
      </c>
      <c r="M63" s="121" t="s">
        <v>1316</v>
      </c>
      <c r="N63" s="125" t="s">
        <v>1317</v>
      </c>
      <c r="O63" s="124" t="s">
        <v>66</v>
      </c>
      <c r="P63" s="120">
        <v>4.73</v>
      </c>
      <c r="Q63" s="133">
        <v>4.38</v>
      </c>
      <c r="R63" s="143">
        <f t="shared" si="58"/>
        <v>0.350000000000001</v>
      </c>
      <c r="S63" s="113" t="str">
        <f t="shared" si="7"/>
        <v>4.80-12-6PR-ST600</v>
      </c>
      <c r="T63" s="119" t="s">
        <v>1318</v>
      </c>
      <c r="U63" s="120" t="s">
        <v>965</v>
      </c>
      <c r="V63" s="120" t="s">
        <v>1165</v>
      </c>
      <c r="W63" s="120" t="s">
        <v>1319</v>
      </c>
      <c r="X63" s="120"/>
      <c r="Y63" s="133">
        <v>9.3379</v>
      </c>
      <c r="Z63" s="133">
        <v>9.282</v>
      </c>
      <c r="AA63" s="144">
        <f t="shared" si="59"/>
        <v>0.0558999999999994</v>
      </c>
      <c r="AB63" s="113" t="str">
        <f t="shared" si="19"/>
        <v>26 X 9-12-6PR-AR12</v>
      </c>
      <c r="AC63" s="122"/>
      <c r="AD63" s="123"/>
      <c r="AE63" s="123"/>
      <c r="AF63" s="123"/>
      <c r="AG63" s="123"/>
      <c r="AH63" s="123"/>
      <c r="AI63" s="123"/>
      <c r="AJ63" s="151"/>
      <c r="AK63" s="113" t="str">
        <f t="shared" si="8"/>
        <v/>
      </c>
      <c r="AL63" s="119" t="s">
        <v>1294</v>
      </c>
      <c r="AM63" s="120" t="s">
        <v>965</v>
      </c>
      <c r="AN63" s="120" t="s">
        <v>1110</v>
      </c>
      <c r="AO63" s="120" t="s">
        <v>1314</v>
      </c>
      <c r="AP63" s="120"/>
      <c r="AQ63" s="133">
        <v>8.821</v>
      </c>
      <c r="AR63" s="133">
        <v>8.695</v>
      </c>
      <c r="AS63" s="144">
        <f t="shared" si="57"/>
        <v>0.125999999999999</v>
      </c>
      <c r="AT63" s="113" t="str">
        <f t="shared" si="37"/>
        <v>ST205/75R14-6PR-DURAHAULER ST</v>
      </c>
      <c r="AU63" s="119" t="s">
        <v>1301</v>
      </c>
      <c r="AV63" s="120" t="s">
        <v>66</v>
      </c>
      <c r="AW63" s="175" t="s">
        <v>979</v>
      </c>
      <c r="AX63" s="120" t="s">
        <v>1302</v>
      </c>
      <c r="AY63" s="133">
        <v>6.375</v>
      </c>
      <c r="AZ63" s="133">
        <v>6.387</v>
      </c>
      <c r="BA63" s="144">
        <f t="shared" si="60"/>
        <v>-0.0119999999999996</v>
      </c>
      <c r="BB63" s="113" t="str">
        <f t="shared" si="10"/>
        <v>185/60R14-Z-108</v>
      </c>
    </row>
    <row r="64" ht="13.8" customHeight="1" spans="2:54">
      <c r="B64" s="119" t="s">
        <v>805</v>
      </c>
      <c r="C64" s="121" t="s">
        <v>1092</v>
      </c>
      <c r="D64" s="120" t="s">
        <v>1161</v>
      </c>
      <c r="E64" s="120" t="s">
        <v>1315</v>
      </c>
      <c r="F64" s="127">
        <f t="shared" si="61"/>
        <v>63.185</v>
      </c>
      <c r="G64" s="133">
        <v>62.472</v>
      </c>
      <c r="H64" s="128">
        <v>62.16</v>
      </c>
      <c r="I64" s="144">
        <f t="shared" si="62"/>
        <v>0.312000000000005</v>
      </c>
      <c r="J64" s="115" t="str">
        <f t="shared" si="24"/>
        <v>10.00R20-18PR-AZ691S</v>
      </c>
      <c r="K64" s="119" t="s">
        <v>1296</v>
      </c>
      <c r="L64" s="120" t="s">
        <v>965</v>
      </c>
      <c r="M64" s="121" t="s">
        <v>1320</v>
      </c>
      <c r="N64" s="125" t="s">
        <v>1317</v>
      </c>
      <c r="O64" s="124" t="s">
        <v>66</v>
      </c>
      <c r="P64" s="120">
        <v>4.73</v>
      </c>
      <c r="Q64" s="133">
        <v>4.38</v>
      </c>
      <c r="R64" s="143">
        <f t="shared" si="58"/>
        <v>0.350000000000001</v>
      </c>
      <c r="S64" s="113" t="str">
        <f t="shared" si="7"/>
        <v>4.80-12-6PR-TE898</v>
      </c>
      <c r="T64" s="122"/>
      <c r="U64" s="123"/>
      <c r="V64" s="123"/>
      <c r="W64" s="123"/>
      <c r="X64" s="123"/>
      <c r="Y64" s="123"/>
      <c r="Z64" s="123"/>
      <c r="AA64" s="151"/>
      <c r="AB64" s="113" t="str">
        <f t="shared" si="19"/>
        <v/>
      </c>
      <c r="AC64" s="119" t="s">
        <v>1321</v>
      </c>
      <c r="AD64" s="120" t="s">
        <v>934</v>
      </c>
      <c r="AE64" s="120" t="s">
        <v>1254</v>
      </c>
      <c r="AF64" s="154" t="s">
        <v>66</v>
      </c>
      <c r="AG64" s="154" t="s">
        <v>66</v>
      </c>
      <c r="AH64" s="133">
        <v>81.7</v>
      </c>
      <c r="AI64" s="120">
        <v>81.3</v>
      </c>
      <c r="AJ64" s="144">
        <f t="shared" ref="AJ64:AJ69" si="63">AH64-AI64</f>
        <v>0.400000000000006</v>
      </c>
      <c r="AK64" s="113" t="str">
        <f t="shared" si="8"/>
        <v>16.9-24-12PR-STRONG GUARD XR4</v>
      </c>
      <c r="AL64" s="119" t="s">
        <v>1294</v>
      </c>
      <c r="AM64" s="120" t="s">
        <v>965</v>
      </c>
      <c r="AN64" s="120" t="s">
        <v>1120</v>
      </c>
      <c r="AO64" s="120" t="s">
        <v>1314</v>
      </c>
      <c r="AP64" s="120"/>
      <c r="AQ64" s="133">
        <v>8.821</v>
      </c>
      <c r="AR64" s="133">
        <v>8.695</v>
      </c>
      <c r="AS64" s="144">
        <f t="shared" si="57"/>
        <v>0.125999999999999</v>
      </c>
      <c r="AT64" s="113" t="str">
        <f t="shared" si="37"/>
        <v>ST205/75R14-6PR-ASSURE ST</v>
      </c>
      <c r="AU64" s="122"/>
      <c r="AV64" s="123"/>
      <c r="AW64" s="123"/>
      <c r="AX64" s="123"/>
      <c r="AY64" s="130"/>
      <c r="AZ64" s="130"/>
      <c r="BA64" s="145"/>
      <c r="BB64" s="113" t="str">
        <f t="shared" si="10"/>
        <v/>
      </c>
    </row>
    <row r="65" ht="17" spans="2:54">
      <c r="B65" s="119" t="s">
        <v>805</v>
      </c>
      <c r="C65" s="120" t="s">
        <v>1092</v>
      </c>
      <c r="D65" s="176" t="s">
        <v>1203</v>
      </c>
      <c r="E65" s="120" t="s">
        <v>1315</v>
      </c>
      <c r="F65" s="133">
        <f t="shared" si="61"/>
        <v>63.185</v>
      </c>
      <c r="G65" s="133">
        <v>62.472</v>
      </c>
      <c r="H65" s="128">
        <v>62.16</v>
      </c>
      <c r="I65" s="144">
        <f t="shared" si="62"/>
        <v>0.312000000000005</v>
      </c>
      <c r="J65" s="115" t="str">
        <f t="shared" si="24"/>
        <v>10.00R20-18PR-AZ802S</v>
      </c>
      <c r="K65" s="119" t="s">
        <v>1296</v>
      </c>
      <c r="L65" s="120" t="s">
        <v>965</v>
      </c>
      <c r="M65" s="121" t="s">
        <v>1322</v>
      </c>
      <c r="N65" s="125" t="s">
        <v>1317</v>
      </c>
      <c r="O65" s="124" t="s">
        <v>66</v>
      </c>
      <c r="P65" s="120">
        <v>4.73</v>
      </c>
      <c r="Q65" s="133">
        <v>4.38</v>
      </c>
      <c r="R65" s="143">
        <f t="shared" si="58"/>
        <v>0.350000000000001</v>
      </c>
      <c r="S65" s="113" t="str">
        <f t="shared" si="7"/>
        <v>4.80-12-6PR-RC-101</v>
      </c>
      <c r="T65" s="119" t="s">
        <v>1323</v>
      </c>
      <c r="U65" s="120" t="s">
        <v>962</v>
      </c>
      <c r="V65" s="120" t="s">
        <v>1208</v>
      </c>
      <c r="W65" s="120" t="s">
        <v>1324</v>
      </c>
      <c r="X65" s="120"/>
      <c r="Y65" s="133">
        <v>13.67</v>
      </c>
      <c r="Z65" s="133">
        <v>13.61</v>
      </c>
      <c r="AA65" s="144">
        <f t="shared" ref="AA65:AA68" si="64">Y65-Z65</f>
        <v>0.0600000000000005</v>
      </c>
      <c r="AB65" s="113" t="str">
        <f t="shared" si="19"/>
        <v>26 X 10R12-8PR-AR11</v>
      </c>
      <c r="AC65" s="122"/>
      <c r="AD65" s="123"/>
      <c r="AE65" s="123"/>
      <c r="AF65" s="123"/>
      <c r="AG65" s="123"/>
      <c r="AH65" s="123"/>
      <c r="AI65" s="123"/>
      <c r="AJ65" s="151"/>
      <c r="AK65" s="113" t="str">
        <f t="shared" si="8"/>
        <v/>
      </c>
      <c r="AL65" s="119" t="s">
        <v>1294</v>
      </c>
      <c r="AM65" s="120" t="s">
        <v>965</v>
      </c>
      <c r="AN65" s="120" t="s">
        <v>1125</v>
      </c>
      <c r="AO65" s="120" t="s">
        <v>1314</v>
      </c>
      <c r="AP65" s="120"/>
      <c r="AQ65" s="133">
        <v>8.821</v>
      </c>
      <c r="AR65" s="133">
        <v>8.695</v>
      </c>
      <c r="AS65" s="144">
        <f t="shared" si="57"/>
        <v>0.125999999999999</v>
      </c>
      <c r="AT65" s="113" t="str">
        <f t="shared" si="37"/>
        <v>ST205/75R14-6PR-Tow Pro ST</v>
      </c>
      <c r="AU65" s="119" t="s">
        <v>1325</v>
      </c>
      <c r="AV65" s="120" t="s">
        <v>66</v>
      </c>
      <c r="AW65" s="120" t="s">
        <v>953</v>
      </c>
      <c r="AX65" s="120" t="s">
        <v>1326</v>
      </c>
      <c r="AY65" s="133">
        <v>6.661</v>
      </c>
      <c r="AZ65" s="133">
        <v>6.674</v>
      </c>
      <c r="BA65" s="144">
        <f t="shared" ref="BA65:BA69" si="65">AY65-AZ65</f>
        <v>-0.0130000000000008</v>
      </c>
      <c r="BB65" s="113" t="str">
        <f t="shared" si="10"/>
        <v>185/60R15-C-108</v>
      </c>
    </row>
    <row r="66" ht="17" spans="2:54">
      <c r="B66" s="119" t="s">
        <v>805</v>
      </c>
      <c r="C66" s="120" t="s">
        <v>1092</v>
      </c>
      <c r="D66" s="120" t="s">
        <v>1327</v>
      </c>
      <c r="E66" s="120" t="s">
        <v>1328</v>
      </c>
      <c r="F66" s="133">
        <f t="shared" si="61"/>
        <v>62.439</v>
      </c>
      <c r="G66" s="133">
        <v>61.726</v>
      </c>
      <c r="H66" s="128">
        <v>61.1627</v>
      </c>
      <c r="I66" s="144">
        <f t="shared" si="62"/>
        <v>0.563299999999998</v>
      </c>
      <c r="J66" s="115" t="str">
        <f t="shared" si="24"/>
        <v>10.00R20-18PR-CM958</v>
      </c>
      <c r="K66" s="122"/>
      <c r="L66" s="123"/>
      <c r="M66" s="123"/>
      <c r="N66" s="123"/>
      <c r="O66" s="123"/>
      <c r="P66" s="123"/>
      <c r="Q66" s="123"/>
      <c r="R66" s="151"/>
      <c r="S66" s="113" t="str">
        <f t="shared" si="7"/>
        <v/>
      </c>
      <c r="T66" s="119" t="s">
        <v>1329</v>
      </c>
      <c r="U66" s="120" t="s">
        <v>965</v>
      </c>
      <c r="V66" s="120" t="s">
        <v>1165</v>
      </c>
      <c r="W66" s="120" t="s">
        <v>1330</v>
      </c>
      <c r="X66" s="120"/>
      <c r="Y66" s="133">
        <v>10.64</v>
      </c>
      <c r="Z66" s="133">
        <v>10.27</v>
      </c>
      <c r="AA66" s="144">
        <f t="shared" si="64"/>
        <v>0.370000000000001</v>
      </c>
      <c r="AB66" s="113" t="str">
        <f t="shared" si="19"/>
        <v>26 X 10-12-6PR-AR12</v>
      </c>
      <c r="AC66" s="119" t="s">
        <v>1331</v>
      </c>
      <c r="AD66" s="120" t="s">
        <v>934</v>
      </c>
      <c r="AE66" s="120" t="s">
        <v>1254</v>
      </c>
      <c r="AF66" s="154" t="s">
        <v>66</v>
      </c>
      <c r="AG66" s="154" t="s">
        <v>66</v>
      </c>
      <c r="AH66" s="133">
        <v>89.4</v>
      </c>
      <c r="AI66" s="120">
        <v>91.6</v>
      </c>
      <c r="AJ66" s="144">
        <f t="shared" si="63"/>
        <v>-2.19999999999999</v>
      </c>
      <c r="AK66" s="113" t="str">
        <f t="shared" si="8"/>
        <v>16.9-28-12PR-STRONG GUARD XR4</v>
      </c>
      <c r="AL66" s="119" t="s">
        <v>1294</v>
      </c>
      <c r="AM66" s="120" t="s">
        <v>962</v>
      </c>
      <c r="AN66" s="120" t="s">
        <v>1104</v>
      </c>
      <c r="AO66" s="120" t="s">
        <v>1332</v>
      </c>
      <c r="AP66" s="120"/>
      <c r="AQ66" s="133">
        <v>9.785</v>
      </c>
      <c r="AR66" s="133">
        <v>9.64</v>
      </c>
      <c r="AS66" s="144">
        <f t="shared" si="57"/>
        <v>0.145</v>
      </c>
      <c r="AT66" s="113" t="str">
        <f t="shared" si="37"/>
        <v>ST205/75R14-8PR-ST100A</v>
      </c>
      <c r="AU66" s="119" t="s">
        <v>1325</v>
      </c>
      <c r="AV66" s="120" t="s">
        <v>66</v>
      </c>
      <c r="AW66" s="120" t="s">
        <v>956</v>
      </c>
      <c r="AX66" s="120" t="s">
        <v>1326</v>
      </c>
      <c r="AY66" s="133">
        <v>6.661</v>
      </c>
      <c r="AZ66" s="133">
        <v>6.674</v>
      </c>
      <c r="BA66" s="144">
        <f t="shared" si="65"/>
        <v>-0.0130000000000008</v>
      </c>
      <c r="BB66" s="113" t="str">
        <f t="shared" si="10"/>
        <v>185/60R15-G-118</v>
      </c>
    </row>
    <row r="67" ht="13.8" customHeight="1" spans="2:54">
      <c r="B67" s="119" t="s">
        <v>805</v>
      </c>
      <c r="C67" s="120" t="s">
        <v>1092</v>
      </c>
      <c r="D67" s="120" t="s">
        <v>1035</v>
      </c>
      <c r="E67" s="125" t="s">
        <v>1333</v>
      </c>
      <c r="F67" s="133">
        <f t="shared" si="61"/>
        <v>61.288</v>
      </c>
      <c r="G67" s="133">
        <v>60.575</v>
      </c>
      <c r="H67" s="128">
        <v>60.0123</v>
      </c>
      <c r="I67" s="144">
        <f t="shared" si="62"/>
        <v>0.5627</v>
      </c>
      <c r="J67" s="115" t="str">
        <f t="shared" si="24"/>
        <v>10.00R20-18PR-CR926</v>
      </c>
      <c r="K67" s="119" t="s">
        <v>1334</v>
      </c>
      <c r="L67" s="120" t="s">
        <v>965</v>
      </c>
      <c r="M67" s="120" t="s">
        <v>1335</v>
      </c>
      <c r="N67" s="120" t="s">
        <v>1336</v>
      </c>
      <c r="O67" s="120" t="s">
        <v>66</v>
      </c>
      <c r="P67" s="120">
        <v>5.44</v>
      </c>
      <c r="Q67" s="133">
        <v>5.41</v>
      </c>
      <c r="R67" s="143">
        <f t="shared" ref="R67:R71" si="66">P67-Q67</f>
        <v>0.0300000000000002</v>
      </c>
      <c r="S67" s="113" t="str">
        <f t="shared" si="7"/>
        <v>5.30-12-6PR-ST5000</v>
      </c>
      <c r="T67" s="122"/>
      <c r="U67" s="123"/>
      <c r="V67" s="123"/>
      <c r="W67" s="123"/>
      <c r="X67" s="123"/>
      <c r="Y67" s="123"/>
      <c r="Z67" s="123"/>
      <c r="AA67" s="151"/>
      <c r="AB67" s="113" t="str">
        <f t="shared" si="19"/>
        <v/>
      </c>
      <c r="AC67" s="122"/>
      <c r="AD67" s="123"/>
      <c r="AE67" s="123"/>
      <c r="AF67" s="123"/>
      <c r="AG67" s="123"/>
      <c r="AH67" s="123"/>
      <c r="AI67" s="123"/>
      <c r="AJ67" s="151"/>
      <c r="AK67" s="113" t="str">
        <f t="shared" si="8"/>
        <v/>
      </c>
      <c r="AL67" s="119" t="s">
        <v>1294</v>
      </c>
      <c r="AM67" s="120" t="s">
        <v>962</v>
      </c>
      <c r="AN67" s="120" t="s">
        <v>1110</v>
      </c>
      <c r="AO67" s="120" t="s">
        <v>1332</v>
      </c>
      <c r="AP67" s="120"/>
      <c r="AQ67" s="133">
        <v>9.785</v>
      </c>
      <c r="AR67" s="133">
        <v>9.64</v>
      </c>
      <c r="AS67" s="144">
        <f t="shared" si="57"/>
        <v>0.145</v>
      </c>
      <c r="AT67" s="113" t="str">
        <f t="shared" si="37"/>
        <v>ST205/75R14-8PR-DURAHAULER ST</v>
      </c>
      <c r="AU67" s="119" t="s">
        <v>1325</v>
      </c>
      <c r="AV67" s="120" t="s">
        <v>66</v>
      </c>
      <c r="AW67" s="175" t="s">
        <v>970</v>
      </c>
      <c r="AX67" s="120" t="s">
        <v>1326</v>
      </c>
      <c r="AY67" s="133">
        <v>6.661</v>
      </c>
      <c r="AZ67" s="133">
        <v>6.674</v>
      </c>
      <c r="BA67" s="144">
        <f t="shared" si="65"/>
        <v>-0.0130000000000008</v>
      </c>
      <c r="BB67" s="113" t="str">
        <f t="shared" si="10"/>
        <v>185/60R15-T-118</v>
      </c>
    </row>
    <row r="68" spans="2:54">
      <c r="B68" s="119" t="s">
        <v>805</v>
      </c>
      <c r="C68" s="120" t="s">
        <v>1092</v>
      </c>
      <c r="D68" s="120" t="s">
        <v>1045</v>
      </c>
      <c r="E68" s="125" t="s">
        <v>1333</v>
      </c>
      <c r="F68" s="133">
        <f t="shared" si="61"/>
        <v>61.288</v>
      </c>
      <c r="G68" s="133">
        <v>60.575</v>
      </c>
      <c r="H68" s="128">
        <v>60.0123</v>
      </c>
      <c r="I68" s="144">
        <f t="shared" si="62"/>
        <v>0.5627</v>
      </c>
      <c r="J68" s="115" t="str">
        <f t="shared" si="24"/>
        <v>10.00R20-18PR-TZ202</v>
      </c>
      <c r="K68" s="119" t="s">
        <v>1334</v>
      </c>
      <c r="L68" s="120" t="s">
        <v>942</v>
      </c>
      <c r="M68" s="120" t="s">
        <v>976</v>
      </c>
      <c r="N68" s="125" t="s">
        <v>1337</v>
      </c>
      <c r="O68" s="120" t="s">
        <v>66</v>
      </c>
      <c r="P68" s="133">
        <v>5</v>
      </c>
      <c r="Q68" s="133">
        <v>4.97</v>
      </c>
      <c r="R68" s="143">
        <f t="shared" si="66"/>
        <v>0.0300000000000002</v>
      </c>
      <c r="S68" s="113" t="str">
        <f t="shared" si="7"/>
        <v>5.30-12-4PR-SU201</v>
      </c>
      <c r="T68" s="119" t="s">
        <v>1338</v>
      </c>
      <c r="U68" s="120" t="s">
        <v>965</v>
      </c>
      <c r="V68" s="120" t="s">
        <v>1196</v>
      </c>
      <c r="W68" s="120" t="s">
        <v>1339</v>
      </c>
      <c r="X68" s="120"/>
      <c r="Y68" s="133">
        <v>11.255</v>
      </c>
      <c r="Z68" s="133">
        <v>11.256</v>
      </c>
      <c r="AA68" s="144">
        <f t="shared" si="64"/>
        <v>-0.000999999999999446</v>
      </c>
      <c r="AB68" s="113" t="str">
        <f t="shared" si="19"/>
        <v>26 X11.00-12-6PR-A033</v>
      </c>
      <c r="AC68" s="119" t="s">
        <v>1340</v>
      </c>
      <c r="AD68" s="120" t="s">
        <v>934</v>
      </c>
      <c r="AE68" s="120" t="s">
        <v>1085</v>
      </c>
      <c r="AF68" s="154" t="s">
        <v>66</v>
      </c>
      <c r="AG68" s="154" t="s">
        <v>66</v>
      </c>
      <c r="AH68" s="133">
        <v>97.3</v>
      </c>
      <c r="AI68" s="120">
        <v>96.8</v>
      </c>
      <c r="AJ68" s="144">
        <f t="shared" si="63"/>
        <v>0.5</v>
      </c>
      <c r="AK68" s="113" t="str">
        <f t="shared" si="8"/>
        <v>17.5-25-12PR-STRONG GUARD LG2</v>
      </c>
      <c r="AL68" s="119" t="s">
        <v>1294</v>
      </c>
      <c r="AM68" s="120" t="s">
        <v>962</v>
      </c>
      <c r="AN68" s="120" t="s">
        <v>1120</v>
      </c>
      <c r="AO68" s="120" t="s">
        <v>1332</v>
      </c>
      <c r="AP68" s="120"/>
      <c r="AQ68" s="133">
        <v>9.785</v>
      </c>
      <c r="AR68" s="133">
        <v>9.64</v>
      </c>
      <c r="AS68" s="144">
        <f t="shared" si="57"/>
        <v>0.145</v>
      </c>
      <c r="AT68" s="113" t="str">
        <f t="shared" si="37"/>
        <v>ST205/75R14-8PR-ASSURE ST</v>
      </c>
      <c r="AU68" s="119" t="s">
        <v>1325</v>
      </c>
      <c r="AV68" s="120" t="s">
        <v>66</v>
      </c>
      <c r="AW68" s="175" t="s">
        <v>979</v>
      </c>
      <c r="AX68" s="120" t="s">
        <v>1326</v>
      </c>
      <c r="AY68" s="133">
        <v>6.661</v>
      </c>
      <c r="AZ68" s="133">
        <v>6.674</v>
      </c>
      <c r="BA68" s="144">
        <f t="shared" si="65"/>
        <v>-0.0130000000000008</v>
      </c>
      <c r="BB68" s="113" t="str">
        <f t="shared" si="10"/>
        <v>185/60R15-Z-108</v>
      </c>
    </row>
    <row r="69" ht="13.8" customHeight="1" spans="2:54">
      <c r="B69" s="119" t="s">
        <v>805</v>
      </c>
      <c r="C69" s="120" t="s">
        <v>1092</v>
      </c>
      <c r="D69" s="120" t="s">
        <v>935</v>
      </c>
      <c r="E69" s="125" t="s">
        <v>1341</v>
      </c>
      <c r="F69" s="133">
        <f t="shared" ref="F69:F71" si="67">G69-3.544+4.189</f>
        <v>59.17</v>
      </c>
      <c r="G69" s="133">
        <v>58.525</v>
      </c>
      <c r="H69" s="134">
        <v>58.5004</v>
      </c>
      <c r="I69" s="144">
        <f t="shared" si="62"/>
        <v>0.0245999999999995</v>
      </c>
      <c r="J69" s="115" t="str">
        <f t="shared" si="24"/>
        <v>10.00R20-18PR-AZ686</v>
      </c>
      <c r="K69" s="119" t="s">
        <v>1334</v>
      </c>
      <c r="L69" s="120" t="s">
        <v>942</v>
      </c>
      <c r="M69" s="120" t="s">
        <v>1278</v>
      </c>
      <c r="N69" s="125" t="s">
        <v>1337</v>
      </c>
      <c r="O69" s="120" t="s">
        <v>66</v>
      </c>
      <c r="P69" s="133">
        <v>5</v>
      </c>
      <c r="Q69" s="133">
        <v>4.97</v>
      </c>
      <c r="R69" s="143">
        <f t="shared" si="66"/>
        <v>0.0300000000000002</v>
      </c>
      <c r="S69" s="113" t="str">
        <f t="shared" ref="S69:S132" si="68">_xlfn.TEXTJOIN("-",TRUE,K69,L69,M69)</f>
        <v>5.30-12-4PR-ZT201</v>
      </c>
      <c r="T69" s="122"/>
      <c r="U69" s="123"/>
      <c r="V69" s="123"/>
      <c r="W69" s="123"/>
      <c r="X69" s="123"/>
      <c r="Y69" s="123"/>
      <c r="Z69" s="123"/>
      <c r="AA69" s="151"/>
      <c r="AB69" s="113" t="str">
        <f t="shared" si="19"/>
        <v/>
      </c>
      <c r="AC69" s="119" t="s">
        <v>1340</v>
      </c>
      <c r="AD69" s="120" t="s">
        <v>934</v>
      </c>
      <c r="AE69" s="120" t="s">
        <v>1342</v>
      </c>
      <c r="AF69" s="154" t="s">
        <v>66</v>
      </c>
      <c r="AG69" s="154" t="s">
        <v>66</v>
      </c>
      <c r="AH69" s="133">
        <v>114</v>
      </c>
      <c r="AI69" s="120">
        <v>113.9</v>
      </c>
      <c r="AJ69" s="144">
        <f t="shared" si="63"/>
        <v>0.0999999999999943</v>
      </c>
      <c r="AK69" s="113" t="str">
        <f t="shared" ref="AK69:AK132" si="69">_xlfn.TEXTJOIN("-",TRUE,AC69,AD69,AE69)</f>
        <v>17.5-25-12PR-STRONG GUARD L-3</v>
      </c>
      <c r="AL69" s="119" t="s">
        <v>1294</v>
      </c>
      <c r="AM69" s="120" t="s">
        <v>962</v>
      </c>
      <c r="AN69" s="120" t="s">
        <v>1125</v>
      </c>
      <c r="AO69" s="120" t="s">
        <v>1332</v>
      </c>
      <c r="AP69" s="120"/>
      <c r="AQ69" s="133">
        <v>9.785</v>
      </c>
      <c r="AR69" s="133">
        <v>9.64</v>
      </c>
      <c r="AS69" s="144">
        <f t="shared" si="57"/>
        <v>0.145</v>
      </c>
      <c r="AT69" s="113" t="str">
        <f t="shared" ref="AT69:AT112" si="70">_xlfn.TEXTJOIN("-",TRUE,AL69,AM69,AN69)</f>
        <v>ST205/75R14-8PR-Tow Pro ST</v>
      </c>
      <c r="AU69" s="119" t="s">
        <v>1325</v>
      </c>
      <c r="AV69" s="120" t="s">
        <v>66</v>
      </c>
      <c r="AW69" s="175" t="s">
        <v>1218</v>
      </c>
      <c r="AX69" s="120" t="s">
        <v>1343</v>
      </c>
      <c r="AY69" s="133">
        <v>7.211</v>
      </c>
      <c r="AZ69" s="133">
        <v>7.211</v>
      </c>
      <c r="BA69" s="144">
        <f t="shared" si="65"/>
        <v>0</v>
      </c>
      <c r="BB69" s="113" t="str">
        <f t="shared" ref="BB69:BB132" si="71">_xlfn.TEXTJOIN("-",TRUE,AU69,AW69)</f>
        <v>185/60R15-RP218</v>
      </c>
    </row>
    <row r="70" ht="17" spans="2:54">
      <c r="B70" s="119" t="s">
        <v>805</v>
      </c>
      <c r="C70" s="120" t="s">
        <v>1092</v>
      </c>
      <c r="D70" s="120" t="s">
        <v>1002</v>
      </c>
      <c r="E70" s="125" t="s">
        <v>1341</v>
      </c>
      <c r="F70" s="133">
        <f t="shared" si="67"/>
        <v>59.17</v>
      </c>
      <c r="G70" s="133">
        <v>58.525</v>
      </c>
      <c r="H70" s="134">
        <v>58.5004</v>
      </c>
      <c r="I70" s="144">
        <f t="shared" si="62"/>
        <v>0.0245999999999995</v>
      </c>
      <c r="J70" s="115" t="str">
        <f t="shared" ref="J70:J95" si="72">_xlfn.TEXTJOIN("-",TRUE,B70,C70,D70)</f>
        <v>10.00R20-18PR-AZ601</v>
      </c>
      <c r="K70" s="119" t="s">
        <v>1334</v>
      </c>
      <c r="L70" s="120" t="s">
        <v>965</v>
      </c>
      <c r="M70" s="120" t="s">
        <v>976</v>
      </c>
      <c r="N70" s="125" t="s">
        <v>1344</v>
      </c>
      <c r="O70" s="120" t="s">
        <v>66</v>
      </c>
      <c r="P70" s="120">
        <v>5.04</v>
      </c>
      <c r="Q70" s="120">
        <v>5.02</v>
      </c>
      <c r="R70" s="143">
        <f t="shared" si="66"/>
        <v>0.0200000000000005</v>
      </c>
      <c r="S70" s="113" t="str">
        <f t="shared" si="68"/>
        <v>5.30-12-6PR-SU201</v>
      </c>
      <c r="T70" s="119" t="s">
        <v>1345</v>
      </c>
      <c r="U70" s="120" t="s">
        <v>962</v>
      </c>
      <c r="V70" s="120" t="s">
        <v>1208</v>
      </c>
      <c r="W70" s="120" t="s">
        <v>1346</v>
      </c>
      <c r="X70" s="120"/>
      <c r="Y70" s="133">
        <v>15.238</v>
      </c>
      <c r="Z70" s="133">
        <v>15.183</v>
      </c>
      <c r="AA70" s="144">
        <f t="shared" ref="AA70:AA74" si="73">Y70-Z70</f>
        <v>0.0549999999999997</v>
      </c>
      <c r="AB70" s="113" t="str">
        <f t="shared" si="19"/>
        <v>26 X 12R12-8PR-AR11</v>
      </c>
      <c r="AC70" s="122"/>
      <c r="AD70" s="123"/>
      <c r="AE70" s="123"/>
      <c r="AF70" s="123"/>
      <c r="AG70" s="123"/>
      <c r="AH70" s="123"/>
      <c r="AI70" s="123"/>
      <c r="AJ70" s="151"/>
      <c r="AK70" s="113" t="str">
        <f t="shared" si="69"/>
        <v/>
      </c>
      <c r="AL70" s="119" t="s">
        <v>1294</v>
      </c>
      <c r="AM70" s="120" t="s">
        <v>965</v>
      </c>
      <c r="AN70" s="120" t="s">
        <v>984</v>
      </c>
      <c r="AO70" s="120" t="s">
        <v>1347</v>
      </c>
      <c r="AP70" s="120"/>
      <c r="AQ70" s="133">
        <v>8.743</v>
      </c>
      <c r="AR70" s="133">
        <v>8.678</v>
      </c>
      <c r="AS70" s="144">
        <f t="shared" si="57"/>
        <v>0.0649999999999995</v>
      </c>
      <c r="AT70" s="113" t="str">
        <f t="shared" si="70"/>
        <v>ST205/75R14-6PR-ST Radial</v>
      </c>
      <c r="AU70" s="122"/>
      <c r="AV70" s="123"/>
      <c r="AW70" s="123"/>
      <c r="AX70" s="123"/>
      <c r="AY70" s="130"/>
      <c r="AZ70" s="130"/>
      <c r="BA70" s="145"/>
      <c r="BB70" s="113" t="str">
        <f t="shared" si="71"/>
        <v/>
      </c>
    </row>
    <row r="71" ht="17" spans="2:54">
      <c r="B71" s="119" t="s">
        <v>805</v>
      </c>
      <c r="C71" s="120" t="s">
        <v>1092</v>
      </c>
      <c r="D71" s="120" t="s">
        <v>1082</v>
      </c>
      <c r="E71" s="125" t="s">
        <v>1341</v>
      </c>
      <c r="F71" s="133">
        <f t="shared" si="67"/>
        <v>59.17</v>
      </c>
      <c r="G71" s="133">
        <v>58.525</v>
      </c>
      <c r="H71" s="134">
        <v>58.5004</v>
      </c>
      <c r="I71" s="144">
        <f t="shared" si="62"/>
        <v>0.0245999999999995</v>
      </c>
      <c r="J71" s="115" t="str">
        <f t="shared" si="72"/>
        <v>10.00R20-18PR-AZ697</v>
      </c>
      <c r="K71" s="119" t="s">
        <v>1334</v>
      </c>
      <c r="L71" s="120" t="s">
        <v>965</v>
      </c>
      <c r="M71" s="120" t="s">
        <v>1278</v>
      </c>
      <c r="N71" s="125" t="s">
        <v>1344</v>
      </c>
      <c r="O71" s="120" t="s">
        <v>66</v>
      </c>
      <c r="P71" s="120">
        <v>5.04</v>
      </c>
      <c r="Q71" s="120">
        <v>5.02</v>
      </c>
      <c r="R71" s="143">
        <f t="shared" si="66"/>
        <v>0.0200000000000005</v>
      </c>
      <c r="S71" s="113" t="str">
        <f t="shared" si="68"/>
        <v>5.30-12-6PR-ZT201</v>
      </c>
      <c r="T71" s="119" t="s">
        <v>1348</v>
      </c>
      <c r="U71" s="120" t="s">
        <v>965</v>
      </c>
      <c r="V71" s="120" t="s">
        <v>1165</v>
      </c>
      <c r="W71" s="120" t="s">
        <v>1349</v>
      </c>
      <c r="X71" s="120"/>
      <c r="Y71" s="133">
        <v>12.204</v>
      </c>
      <c r="Z71" s="133">
        <v>12.204</v>
      </c>
      <c r="AA71" s="144">
        <f t="shared" si="73"/>
        <v>0</v>
      </c>
      <c r="AB71" s="113" t="str">
        <f t="shared" si="19"/>
        <v>26 X 12-12-6PR-AR12</v>
      </c>
      <c r="AC71" s="119" t="s">
        <v>1350</v>
      </c>
      <c r="AD71" s="120" t="s">
        <v>946</v>
      </c>
      <c r="AE71" s="120" t="s">
        <v>1174</v>
      </c>
      <c r="AF71" s="154" t="s">
        <v>66</v>
      </c>
      <c r="AG71" s="154" t="s">
        <v>66</v>
      </c>
      <c r="AH71" s="133">
        <v>78</v>
      </c>
      <c r="AI71" s="120">
        <v>77.7</v>
      </c>
      <c r="AJ71" s="144">
        <f t="shared" ref="AJ71:AJ75" si="74">AH71-AI71</f>
        <v>0.299999999999997</v>
      </c>
      <c r="AK71" s="113" t="str">
        <f t="shared" si="69"/>
        <v>17.5L-24-10PR-BHL-100</v>
      </c>
      <c r="AL71" s="119" t="s">
        <v>1294</v>
      </c>
      <c r="AM71" s="120" t="s">
        <v>965</v>
      </c>
      <c r="AN71" s="120" t="s">
        <v>1167</v>
      </c>
      <c r="AO71" s="120" t="s">
        <v>1347</v>
      </c>
      <c r="AP71" s="120"/>
      <c r="AQ71" s="133">
        <v>8.743</v>
      </c>
      <c r="AR71" s="133">
        <v>8.678</v>
      </c>
      <c r="AS71" s="144">
        <f t="shared" si="57"/>
        <v>0.0649999999999995</v>
      </c>
      <c r="AT71" s="113" t="str">
        <f t="shared" si="70"/>
        <v>ST205/75R14-6PR-ST200</v>
      </c>
      <c r="AU71" s="119" t="s">
        <v>1351</v>
      </c>
      <c r="AV71" s="120" t="s">
        <v>66</v>
      </c>
      <c r="AW71" s="120" t="s">
        <v>953</v>
      </c>
      <c r="AX71" s="120" t="s">
        <v>1352</v>
      </c>
      <c r="AY71" s="133">
        <v>6.757</v>
      </c>
      <c r="AZ71" s="133">
        <v>6.757</v>
      </c>
      <c r="BA71" s="144">
        <f t="shared" ref="BA71:BA75" si="75">AY71-AZ71</f>
        <v>0</v>
      </c>
      <c r="BB71" s="113" t="str">
        <f t="shared" si="71"/>
        <v>185/65R14-C-108</v>
      </c>
    </row>
    <row r="72" ht="17" spans="2:54">
      <c r="B72" s="119" t="s">
        <v>805</v>
      </c>
      <c r="C72" s="120" t="s">
        <v>1092</v>
      </c>
      <c r="D72" s="120" t="s">
        <v>1353</v>
      </c>
      <c r="E72" s="120" t="s">
        <v>1354</v>
      </c>
      <c r="F72" s="133">
        <f t="shared" ref="F72:F95" si="76">G72-3.476+4.189</f>
        <v>63.525</v>
      </c>
      <c r="G72" s="133">
        <v>62.812</v>
      </c>
      <c r="H72" s="134">
        <v>62.6602</v>
      </c>
      <c r="I72" s="144">
        <f t="shared" si="62"/>
        <v>0.151799999999994</v>
      </c>
      <c r="J72" s="115" t="str">
        <f t="shared" si="72"/>
        <v>10.00R20-18PR-MD758</v>
      </c>
      <c r="K72" s="122"/>
      <c r="L72" s="123"/>
      <c r="M72" s="123"/>
      <c r="N72" s="123"/>
      <c r="O72" s="123"/>
      <c r="P72" s="123"/>
      <c r="Q72" s="123"/>
      <c r="R72" s="151"/>
      <c r="S72" s="113" t="str">
        <f t="shared" si="68"/>
        <v/>
      </c>
      <c r="T72" s="122"/>
      <c r="U72" s="123"/>
      <c r="V72" s="123"/>
      <c r="W72" s="123"/>
      <c r="X72" s="123"/>
      <c r="Y72" s="123"/>
      <c r="Z72" s="123"/>
      <c r="AA72" s="151"/>
      <c r="AB72" s="113" t="str">
        <f t="shared" si="19"/>
        <v/>
      </c>
      <c r="AC72" s="119" t="s">
        <v>1350</v>
      </c>
      <c r="AD72" s="120" t="s">
        <v>946</v>
      </c>
      <c r="AE72" s="120" t="s">
        <v>1254</v>
      </c>
      <c r="AF72" s="154" t="s">
        <v>66</v>
      </c>
      <c r="AG72" s="154" t="s">
        <v>66</v>
      </c>
      <c r="AH72" s="133">
        <v>83</v>
      </c>
      <c r="AI72" s="120">
        <v>82.7</v>
      </c>
      <c r="AJ72" s="144">
        <f t="shared" si="74"/>
        <v>0.299999999999997</v>
      </c>
      <c r="AK72" s="113" t="str">
        <f t="shared" si="69"/>
        <v>17.5L-24-10PR-STRONG GUARD XR4</v>
      </c>
      <c r="AL72" s="119" t="s">
        <v>1294</v>
      </c>
      <c r="AM72" s="120" t="s">
        <v>962</v>
      </c>
      <c r="AN72" s="120" t="s">
        <v>984</v>
      </c>
      <c r="AO72" s="120" t="s">
        <v>1355</v>
      </c>
      <c r="AP72" s="120"/>
      <c r="AQ72" s="133">
        <v>9.791</v>
      </c>
      <c r="AR72" s="133">
        <v>9.574</v>
      </c>
      <c r="AS72" s="144">
        <f t="shared" si="57"/>
        <v>0.217000000000001</v>
      </c>
      <c r="AT72" s="113" t="str">
        <f t="shared" si="70"/>
        <v>ST205/75R14-8PR-ST Radial</v>
      </c>
      <c r="AU72" s="119" t="s">
        <v>1351</v>
      </c>
      <c r="AV72" s="120" t="s">
        <v>66</v>
      </c>
      <c r="AW72" s="120" t="s">
        <v>956</v>
      </c>
      <c r="AX72" s="120" t="s">
        <v>1352</v>
      </c>
      <c r="AY72" s="133">
        <v>6.757</v>
      </c>
      <c r="AZ72" s="133">
        <v>6.757</v>
      </c>
      <c r="BA72" s="144">
        <f t="shared" si="75"/>
        <v>0</v>
      </c>
      <c r="BB72" s="113" t="str">
        <f t="shared" si="71"/>
        <v>185/65R14-G-118</v>
      </c>
    </row>
    <row r="73" spans="2:54">
      <c r="B73" s="119" t="s">
        <v>805</v>
      </c>
      <c r="C73" s="120" t="s">
        <v>1092</v>
      </c>
      <c r="D73" s="120" t="s">
        <v>1060</v>
      </c>
      <c r="E73" s="120" t="s">
        <v>1354</v>
      </c>
      <c r="F73" s="133">
        <f t="shared" si="76"/>
        <v>63.525</v>
      </c>
      <c r="G73" s="133">
        <v>62.812</v>
      </c>
      <c r="H73" s="134">
        <v>62.6602</v>
      </c>
      <c r="I73" s="144">
        <f t="shared" si="62"/>
        <v>0.151799999999994</v>
      </c>
      <c r="J73" s="115" t="str">
        <f t="shared" si="72"/>
        <v>10.00R20-18PR-EZ369</v>
      </c>
      <c r="K73" s="119" t="s">
        <v>961</v>
      </c>
      <c r="L73" s="120" t="s">
        <v>942</v>
      </c>
      <c r="M73" s="120" t="s">
        <v>976</v>
      </c>
      <c r="N73" s="125" t="s">
        <v>1356</v>
      </c>
      <c r="O73" s="120" t="s">
        <v>66</v>
      </c>
      <c r="P73" s="120">
        <v>4.12</v>
      </c>
      <c r="Q73" s="188">
        <v>4.1</v>
      </c>
      <c r="R73" s="143">
        <f t="shared" ref="R73:R78" si="77">P73-Q73</f>
        <v>0.0200000000000005</v>
      </c>
      <c r="S73" s="113" t="str">
        <f t="shared" si="68"/>
        <v>5.70-8-4PR-SU201</v>
      </c>
      <c r="T73" s="119" t="s">
        <v>1357</v>
      </c>
      <c r="U73" s="120" t="s">
        <v>965</v>
      </c>
      <c r="V73" s="120" t="s">
        <v>1196</v>
      </c>
      <c r="W73" s="120" t="s">
        <v>1358</v>
      </c>
      <c r="X73" s="120"/>
      <c r="Y73" s="133">
        <v>10.64</v>
      </c>
      <c r="Z73" s="133">
        <v>10.641</v>
      </c>
      <c r="AA73" s="144">
        <f t="shared" si="73"/>
        <v>-0.000999999999999446</v>
      </c>
      <c r="AB73" s="113" t="str">
        <f t="shared" si="19"/>
        <v>27 X 9.00-12-6PR-A033</v>
      </c>
      <c r="AC73" s="122"/>
      <c r="AD73" s="123"/>
      <c r="AE73" s="123"/>
      <c r="AF73" s="123"/>
      <c r="AG73" s="123"/>
      <c r="AH73" s="123"/>
      <c r="AI73" s="123"/>
      <c r="AJ73" s="151"/>
      <c r="AK73" s="113" t="str">
        <f t="shared" si="69"/>
        <v/>
      </c>
      <c r="AL73" s="119" t="s">
        <v>1294</v>
      </c>
      <c r="AM73" s="120" t="s">
        <v>962</v>
      </c>
      <c r="AN73" s="120" t="s">
        <v>1167</v>
      </c>
      <c r="AO73" s="120" t="s">
        <v>1355</v>
      </c>
      <c r="AP73" s="120"/>
      <c r="AQ73" s="133">
        <v>9.791</v>
      </c>
      <c r="AR73" s="133">
        <v>9.574</v>
      </c>
      <c r="AS73" s="144">
        <f t="shared" si="57"/>
        <v>0.217000000000001</v>
      </c>
      <c r="AT73" s="113" t="str">
        <f t="shared" si="70"/>
        <v>ST205/75R14-8PR-ST200</v>
      </c>
      <c r="AU73" s="119" t="s">
        <v>1351</v>
      </c>
      <c r="AV73" s="120" t="s">
        <v>66</v>
      </c>
      <c r="AW73" s="175" t="s">
        <v>970</v>
      </c>
      <c r="AX73" s="120" t="s">
        <v>1352</v>
      </c>
      <c r="AY73" s="133">
        <v>6.757</v>
      </c>
      <c r="AZ73" s="133">
        <v>6.757</v>
      </c>
      <c r="BA73" s="144">
        <f t="shared" si="75"/>
        <v>0</v>
      </c>
      <c r="BB73" s="113" t="str">
        <f t="shared" si="71"/>
        <v>185/65R14-T-118</v>
      </c>
    </row>
    <row r="74" spans="2:54">
      <c r="B74" s="119" t="s">
        <v>805</v>
      </c>
      <c r="C74" s="120" t="s">
        <v>1092</v>
      </c>
      <c r="D74" s="120" t="s">
        <v>1069</v>
      </c>
      <c r="E74" s="120" t="s">
        <v>1354</v>
      </c>
      <c r="F74" s="133">
        <f t="shared" si="76"/>
        <v>63.525</v>
      </c>
      <c r="G74" s="133">
        <v>62.812</v>
      </c>
      <c r="H74" s="134">
        <v>62.6602</v>
      </c>
      <c r="I74" s="144">
        <f t="shared" si="62"/>
        <v>0.151799999999994</v>
      </c>
      <c r="J74" s="115" t="str">
        <f t="shared" si="72"/>
        <v>10.00R20-18PR-TZ303</v>
      </c>
      <c r="K74" s="119" t="s">
        <v>961</v>
      </c>
      <c r="L74" s="120" t="s">
        <v>942</v>
      </c>
      <c r="M74" s="120" t="s">
        <v>1278</v>
      </c>
      <c r="N74" s="125" t="s">
        <v>1356</v>
      </c>
      <c r="O74" s="120" t="s">
        <v>66</v>
      </c>
      <c r="P74" s="120">
        <v>4.12</v>
      </c>
      <c r="Q74" s="188">
        <v>4.1</v>
      </c>
      <c r="R74" s="143">
        <f t="shared" si="77"/>
        <v>0.0200000000000005</v>
      </c>
      <c r="S74" s="113" t="str">
        <f t="shared" si="68"/>
        <v>5.70-8-4PR-ZT201</v>
      </c>
      <c r="T74" s="119" t="s">
        <v>1359</v>
      </c>
      <c r="U74" s="120" t="s">
        <v>965</v>
      </c>
      <c r="V74" s="120" t="s">
        <v>1231</v>
      </c>
      <c r="W74" s="120" t="s">
        <v>1360</v>
      </c>
      <c r="X74" s="120"/>
      <c r="Y74" s="133">
        <v>12.293</v>
      </c>
      <c r="Z74" s="133">
        <v>12.445</v>
      </c>
      <c r="AA74" s="144">
        <f t="shared" si="73"/>
        <v>-0.152000000000001</v>
      </c>
      <c r="AB74" s="113" t="str">
        <f t="shared" si="19"/>
        <v>27 X 9-12-6PR-WL6A</v>
      </c>
      <c r="AC74" s="119" t="s">
        <v>1361</v>
      </c>
      <c r="AD74" s="120" t="s">
        <v>934</v>
      </c>
      <c r="AE74" s="120" t="s">
        <v>1174</v>
      </c>
      <c r="AF74" s="154" t="s">
        <v>66</v>
      </c>
      <c r="AG74" s="154" t="s">
        <v>66</v>
      </c>
      <c r="AH74" s="133">
        <v>93.8</v>
      </c>
      <c r="AI74" s="120">
        <v>92.9</v>
      </c>
      <c r="AJ74" s="144">
        <f t="shared" si="74"/>
        <v>0.899999999999991</v>
      </c>
      <c r="AK74" s="113" t="str">
        <f t="shared" si="69"/>
        <v>19.5L-24-12PR-BHL-100</v>
      </c>
      <c r="AL74" s="119" t="s">
        <v>1294</v>
      </c>
      <c r="AM74" s="120" t="s">
        <v>962</v>
      </c>
      <c r="AN74" s="120" t="s">
        <v>993</v>
      </c>
      <c r="AO74" s="120" t="s">
        <v>1355</v>
      </c>
      <c r="AP74" s="120"/>
      <c r="AQ74" s="133">
        <v>9.791</v>
      </c>
      <c r="AR74" s="133">
        <v>9.574</v>
      </c>
      <c r="AS74" s="144">
        <f t="shared" si="57"/>
        <v>0.217000000000001</v>
      </c>
      <c r="AT74" s="113" t="str">
        <f t="shared" si="70"/>
        <v>ST205/75R14-8PR-RAINIER ST</v>
      </c>
      <c r="AU74" s="119" t="s">
        <v>1351</v>
      </c>
      <c r="AV74" s="120" t="s">
        <v>66</v>
      </c>
      <c r="AW74" s="175" t="s">
        <v>979</v>
      </c>
      <c r="AX74" s="120" t="s">
        <v>1352</v>
      </c>
      <c r="AY74" s="133">
        <v>6.757</v>
      </c>
      <c r="AZ74" s="133">
        <v>6.757</v>
      </c>
      <c r="BA74" s="144">
        <f t="shared" si="75"/>
        <v>0</v>
      </c>
      <c r="BB74" s="113" t="str">
        <f t="shared" si="71"/>
        <v>185/65R14-Z-108</v>
      </c>
    </row>
    <row r="75" spans="2:54">
      <c r="B75" s="119" t="s">
        <v>805</v>
      </c>
      <c r="C75" s="120" t="s">
        <v>1092</v>
      </c>
      <c r="D75" s="120" t="s">
        <v>1028</v>
      </c>
      <c r="E75" s="120" t="s">
        <v>1362</v>
      </c>
      <c r="F75" s="133">
        <f t="shared" si="76"/>
        <v>63.99</v>
      </c>
      <c r="G75" s="133">
        <v>63.277</v>
      </c>
      <c r="H75" s="128">
        <v>62.7827</v>
      </c>
      <c r="I75" s="144">
        <f t="shared" si="62"/>
        <v>0.494300000000003</v>
      </c>
      <c r="J75" s="115" t="str">
        <f t="shared" si="72"/>
        <v>10.00R20-18PR-CM988</v>
      </c>
      <c r="K75" s="119" t="s">
        <v>961</v>
      </c>
      <c r="L75" s="120" t="s">
        <v>965</v>
      </c>
      <c r="M75" s="120" t="s">
        <v>976</v>
      </c>
      <c r="N75" s="125" t="s">
        <v>1363</v>
      </c>
      <c r="O75" s="120" t="s">
        <v>66</v>
      </c>
      <c r="P75" s="120">
        <v>4.2</v>
      </c>
      <c r="Q75" s="120">
        <v>4.2</v>
      </c>
      <c r="R75" s="143">
        <f t="shared" si="77"/>
        <v>0</v>
      </c>
      <c r="S75" s="113" t="str">
        <f t="shared" si="68"/>
        <v>5.70-8-6PR-SU201</v>
      </c>
      <c r="T75" s="122"/>
      <c r="U75" s="123"/>
      <c r="V75" s="123"/>
      <c r="W75" s="123"/>
      <c r="X75" s="123"/>
      <c r="Y75" s="123"/>
      <c r="Z75" s="123"/>
      <c r="AA75" s="151"/>
      <c r="AB75" s="113" t="str">
        <f t="shared" si="19"/>
        <v/>
      </c>
      <c r="AC75" s="119" t="s">
        <v>1361</v>
      </c>
      <c r="AD75" s="120" t="s">
        <v>934</v>
      </c>
      <c r="AE75" s="120" t="s">
        <v>1254</v>
      </c>
      <c r="AF75" s="154" t="s">
        <v>66</v>
      </c>
      <c r="AG75" s="154" t="s">
        <v>66</v>
      </c>
      <c r="AH75" s="133">
        <v>97</v>
      </c>
      <c r="AI75" s="120">
        <v>96.5</v>
      </c>
      <c r="AJ75" s="144">
        <f t="shared" si="74"/>
        <v>0.5</v>
      </c>
      <c r="AK75" s="113" t="str">
        <f t="shared" si="69"/>
        <v>19.5L-24-12PR-STRONG GUARD XR4</v>
      </c>
      <c r="AL75" s="119" t="s">
        <v>1294</v>
      </c>
      <c r="AM75" s="120" t="s">
        <v>965</v>
      </c>
      <c r="AN75" s="120" t="s">
        <v>1188</v>
      </c>
      <c r="AO75" s="120" t="s">
        <v>1364</v>
      </c>
      <c r="AP75" s="120"/>
      <c r="AQ75" s="133">
        <v>9.447</v>
      </c>
      <c r="AR75" s="133">
        <v>9.305</v>
      </c>
      <c r="AS75" s="144">
        <f t="shared" si="57"/>
        <v>0.141999999999999</v>
      </c>
      <c r="AT75" s="113" t="str">
        <f t="shared" si="70"/>
        <v>ST205/75R14-6PR-ST226</v>
      </c>
      <c r="AU75" s="119" t="s">
        <v>1351</v>
      </c>
      <c r="AV75" s="120" t="s">
        <v>66</v>
      </c>
      <c r="AW75" s="175" t="s">
        <v>1218</v>
      </c>
      <c r="AX75" s="120" t="s">
        <v>1365</v>
      </c>
      <c r="AY75" s="133">
        <v>7.268</v>
      </c>
      <c r="AZ75" s="133">
        <v>7.268</v>
      </c>
      <c r="BA75" s="144">
        <f t="shared" si="75"/>
        <v>0</v>
      </c>
      <c r="BB75" s="113" t="str">
        <f t="shared" si="71"/>
        <v>185/65R14-RP218</v>
      </c>
    </row>
    <row r="76" ht="13.8" customHeight="1" spans="2:54">
      <c r="B76" s="119" t="s">
        <v>805</v>
      </c>
      <c r="C76" s="120" t="s">
        <v>1092</v>
      </c>
      <c r="D76" s="120" t="s">
        <v>1096</v>
      </c>
      <c r="E76" s="120" t="s">
        <v>1366</v>
      </c>
      <c r="F76" s="133">
        <f t="shared" si="76"/>
        <v>67.122</v>
      </c>
      <c r="G76" s="133">
        <v>66.409</v>
      </c>
      <c r="H76" s="128">
        <v>66.09</v>
      </c>
      <c r="I76" s="144">
        <f t="shared" si="62"/>
        <v>0.319000000000003</v>
      </c>
      <c r="J76" s="115" t="str">
        <f t="shared" si="72"/>
        <v>10.00R20-18PR-CB972</v>
      </c>
      <c r="K76" s="119" t="s">
        <v>961</v>
      </c>
      <c r="L76" s="120" t="s">
        <v>965</v>
      </c>
      <c r="M76" s="120" t="s">
        <v>1278</v>
      </c>
      <c r="N76" s="125" t="s">
        <v>1363</v>
      </c>
      <c r="O76" s="120" t="s">
        <v>66</v>
      </c>
      <c r="P76" s="120">
        <v>4.2</v>
      </c>
      <c r="Q76" s="120">
        <v>4.2</v>
      </c>
      <c r="R76" s="143">
        <f t="shared" si="77"/>
        <v>0</v>
      </c>
      <c r="S76" s="113" t="str">
        <f t="shared" si="68"/>
        <v>5.70-8-6PR-ZT201</v>
      </c>
      <c r="T76" s="119" t="s">
        <v>1367</v>
      </c>
      <c r="U76" s="120" t="s">
        <v>965</v>
      </c>
      <c r="V76" s="120" t="s">
        <v>1196</v>
      </c>
      <c r="W76" s="120" t="s">
        <v>1368</v>
      </c>
      <c r="X76" s="120"/>
      <c r="Y76" s="173">
        <v>11.46</v>
      </c>
      <c r="Z76" s="173">
        <v>11.46</v>
      </c>
      <c r="AA76" s="144">
        <f>Y76-Z76</f>
        <v>0</v>
      </c>
      <c r="AB76" s="113" t="str">
        <f t="shared" si="19"/>
        <v>27 X 9-14-6PR-A033</v>
      </c>
      <c r="AC76" s="122"/>
      <c r="AD76" s="123"/>
      <c r="AE76" s="123"/>
      <c r="AF76" s="123"/>
      <c r="AG76" s="123"/>
      <c r="AH76" s="123"/>
      <c r="AI76" s="123"/>
      <c r="AJ76" s="151"/>
      <c r="AK76" s="113" t="str">
        <f t="shared" si="69"/>
        <v/>
      </c>
      <c r="AL76" s="119" t="s">
        <v>1294</v>
      </c>
      <c r="AM76" s="120" t="s">
        <v>962</v>
      </c>
      <c r="AN76" s="120" t="s">
        <v>1188</v>
      </c>
      <c r="AO76" s="120" t="s">
        <v>1369</v>
      </c>
      <c r="AP76" s="120"/>
      <c r="AQ76" s="133">
        <v>9.992</v>
      </c>
      <c r="AR76" s="133">
        <v>9.82</v>
      </c>
      <c r="AS76" s="144">
        <f t="shared" si="57"/>
        <v>0.172000000000001</v>
      </c>
      <c r="AT76" s="113" t="str">
        <f t="shared" si="70"/>
        <v>ST205/75R14-8PR-ST226</v>
      </c>
      <c r="AU76" s="122"/>
      <c r="AV76" s="123"/>
      <c r="AW76" s="123"/>
      <c r="AX76" s="123"/>
      <c r="AY76" s="130"/>
      <c r="AZ76" s="130"/>
      <c r="BA76" s="145"/>
      <c r="BB76" s="113" t="str">
        <f t="shared" si="71"/>
        <v/>
      </c>
    </row>
    <row r="77" ht="17" spans="2:54">
      <c r="B77" s="119" t="s">
        <v>805</v>
      </c>
      <c r="C77" s="120" t="s">
        <v>1092</v>
      </c>
      <c r="D77" s="120" t="s">
        <v>1370</v>
      </c>
      <c r="E77" s="120" t="s">
        <v>1366</v>
      </c>
      <c r="F77" s="133">
        <f t="shared" si="76"/>
        <v>67.122</v>
      </c>
      <c r="G77" s="133">
        <v>66.409</v>
      </c>
      <c r="H77" s="128">
        <v>66.09</v>
      </c>
      <c r="I77" s="144">
        <f t="shared" si="62"/>
        <v>0.319000000000003</v>
      </c>
      <c r="J77" s="115" t="str">
        <f t="shared" si="72"/>
        <v>10.00R20-18PR-TZ101</v>
      </c>
      <c r="K77" s="119" t="s">
        <v>961</v>
      </c>
      <c r="L77" s="120" t="s">
        <v>962</v>
      </c>
      <c r="M77" s="120" t="s">
        <v>976</v>
      </c>
      <c r="N77" s="125" t="s">
        <v>1371</v>
      </c>
      <c r="O77" s="120" t="s">
        <v>66</v>
      </c>
      <c r="P77" s="120">
        <v>4.21</v>
      </c>
      <c r="Q77" s="120">
        <v>4.22</v>
      </c>
      <c r="R77" s="143">
        <f t="shared" si="77"/>
        <v>-0.00999999999999979</v>
      </c>
      <c r="S77" s="113" t="str">
        <f t="shared" si="68"/>
        <v>5.70-8-8PR-SU201</v>
      </c>
      <c r="T77" s="189"/>
      <c r="U77" s="189"/>
      <c r="V77" s="189"/>
      <c r="W77" s="189"/>
      <c r="X77" s="189"/>
      <c r="Y77" s="189"/>
      <c r="Z77" s="189"/>
      <c r="AA77" s="189"/>
      <c r="AB77" s="113" t="str">
        <f t="shared" ref="AB77:AB86" si="78">_xlfn.TEXTJOIN("-",TRUE,T77,U77,V77)</f>
        <v/>
      </c>
      <c r="AC77" s="119" t="s">
        <v>1372</v>
      </c>
      <c r="AD77" s="120" t="s">
        <v>1074</v>
      </c>
      <c r="AE77" s="120" t="s">
        <v>1085</v>
      </c>
      <c r="AF77" s="154" t="s">
        <v>66</v>
      </c>
      <c r="AG77" s="154" t="s">
        <v>66</v>
      </c>
      <c r="AH77" s="133">
        <v>144</v>
      </c>
      <c r="AI77" s="120">
        <v>143.5</v>
      </c>
      <c r="AJ77" s="144">
        <f t="shared" ref="AJ77:AJ81" si="79">AH77-AI77</f>
        <v>0.5</v>
      </c>
      <c r="AK77" s="113" t="str">
        <f t="shared" si="69"/>
        <v>20.5-25-16PR-STRONG GUARD LG2</v>
      </c>
      <c r="AL77" s="122"/>
      <c r="AM77" s="123"/>
      <c r="AN77" s="123"/>
      <c r="AO77" s="123"/>
      <c r="AP77" s="123"/>
      <c r="AQ77" s="123"/>
      <c r="AR77" s="123"/>
      <c r="AS77" s="151"/>
      <c r="AT77" s="113" t="str">
        <f t="shared" si="70"/>
        <v/>
      </c>
      <c r="AU77" s="119" t="s">
        <v>1373</v>
      </c>
      <c r="AV77" s="120" t="s">
        <v>66</v>
      </c>
      <c r="AW77" s="120" t="s">
        <v>953</v>
      </c>
      <c r="AX77" s="120" t="s">
        <v>1374</v>
      </c>
      <c r="AY77" s="133">
        <v>7.22</v>
      </c>
      <c r="AZ77" s="133">
        <v>7.231</v>
      </c>
      <c r="BA77" s="144">
        <f t="shared" ref="BA77:BA81" si="80">AY77-AZ77</f>
        <v>-0.0110000000000001</v>
      </c>
      <c r="BB77" s="113" t="str">
        <f t="shared" si="71"/>
        <v>185/65R15-C-108</v>
      </c>
    </row>
    <row r="78" ht="13.8" customHeight="1" spans="2:54">
      <c r="B78" s="119" t="s">
        <v>805</v>
      </c>
      <c r="C78" s="120" t="s">
        <v>1092</v>
      </c>
      <c r="D78" s="120" t="s">
        <v>1375</v>
      </c>
      <c r="E78" s="120" t="s">
        <v>1366</v>
      </c>
      <c r="F78" s="133">
        <f t="shared" si="76"/>
        <v>67.122</v>
      </c>
      <c r="G78" s="133">
        <v>66.409</v>
      </c>
      <c r="H78" s="128">
        <v>66.09</v>
      </c>
      <c r="I78" s="144">
        <f t="shared" si="62"/>
        <v>0.319000000000003</v>
      </c>
      <c r="J78" s="115" t="str">
        <f t="shared" si="72"/>
        <v>10.00R20-18PR-CB919</v>
      </c>
      <c r="K78" s="119" t="s">
        <v>961</v>
      </c>
      <c r="L78" s="120" t="s">
        <v>962</v>
      </c>
      <c r="M78" s="120" t="s">
        <v>1278</v>
      </c>
      <c r="N78" s="125" t="s">
        <v>1371</v>
      </c>
      <c r="O78" s="120" t="s">
        <v>66</v>
      </c>
      <c r="P78" s="120">
        <v>4.21</v>
      </c>
      <c r="Q78" s="120">
        <v>4.22</v>
      </c>
      <c r="R78" s="143">
        <f t="shared" si="77"/>
        <v>-0.00999999999999979</v>
      </c>
      <c r="S78" s="113" t="str">
        <f t="shared" si="68"/>
        <v>5.70-8-8PR-ZT201</v>
      </c>
      <c r="T78" s="190" t="s">
        <v>1376</v>
      </c>
      <c r="U78" s="190" t="s">
        <v>965</v>
      </c>
      <c r="V78" s="190" t="s">
        <v>1142</v>
      </c>
      <c r="W78" s="190" t="s">
        <v>1377</v>
      </c>
      <c r="X78" s="190"/>
      <c r="Y78" s="190">
        <v>13.015</v>
      </c>
      <c r="Z78" s="190"/>
      <c r="AA78" s="190"/>
      <c r="AB78" s="113" t="str">
        <f t="shared" si="78"/>
        <v>27X10.00-14-6PR-P193</v>
      </c>
      <c r="AC78" s="119" t="s">
        <v>1372</v>
      </c>
      <c r="AD78" s="120" t="s">
        <v>1074</v>
      </c>
      <c r="AE78" s="120" t="s">
        <v>1342</v>
      </c>
      <c r="AF78" s="154" t="s">
        <v>66</v>
      </c>
      <c r="AG78" s="154" t="s">
        <v>66</v>
      </c>
      <c r="AH78" s="133">
        <v>171.15</v>
      </c>
      <c r="AI78" s="120">
        <v>170.5</v>
      </c>
      <c r="AJ78" s="144">
        <f t="shared" si="79"/>
        <v>0.650000000000006</v>
      </c>
      <c r="AK78" s="113" t="str">
        <f t="shared" si="69"/>
        <v>20.5-25-16PR-STRONG GUARD L-3</v>
      </c>
      <c r="AL78" s="119" t="s">
        <v>1378</v>
      </c>
      <c r="AM78" s="120" t="s">
        <v>965</v>
      </c>
      <c r="AN78" s="120" t="s">
        <v>1080</v>
      </c>
      <c r="AO78" s="120" t="s">
        <v>1379</v>
      </c>
      <c r="AP78" s="120"/>
      <c r="AQ78" s="133">
        <v>9.91</v>
      </c>
      <c r="AR78" s="133">
        <v>9.774</v>
      </c>
      <c r="AS78" s="144">
        <f t="shared" ref="AS78:AS100" si="81">AQ78-AR78</f>
        <v>0.136000000000001</v>
      </c>
      <c r="AT78" s="113" t="str">
        <f t="shared" si="70"/>
        <v>ST205/75R15-6PR-ST100</v>
      </c>
      <c r="AU78" s="119" t="s">
        <v>1373</v>
      </c>
      <c r="AV78" s="120" t="s">
        <v>66</v>
      </c>
      <c r="AW78" s="120" t="s">
        <v>956</v>
      </c>
      <c r="AX78" s="120" t="s">
        <v>1374</v>
      </c>
      <c r="AY78" s="133">
        <v>7.22</v>
      </c>
      <c r="AZ78" s="133">
        <v>7.231</v>
      </c>
      <c r="BA78" s="144">
        <f t="shared" si="80"/>
        <v>-0.0110000000000001</v>
      </c>
      <c r="BB78" s="113" t="str">
        <f t="shared" si="71"/>
        <v>185/65R15-G-118</v>
      </c>
    </row>
    <row r="79" spans="2:54">
      <c r="B79" s="119" t="s">
        <v>805</v>
      </c>
      <c r="C79" s="120" t="s">
        <v>1092</v>
      </c>
      <c r="D79" s="120" t="s">
        <v>1380</v>
      </c>
      <c r="E79" s="120" t="s">
        <v>1366</v>
      </c>
      <c r="F79" s="133">
        <f t="shared" si="76"/>
        <v>67.122</v>
      </c>
      <c r="G79" s="133">
        <v>66.409</v>
      </c>
      <c r="H79" s="128">
        <v>66.09</v>
      </c>
      <c r="I79" s="144">
        <f t="shared" si="62"/>
        <v>0.319000000000003</v>
      </c>
      <c r="J79" s="115" t="str">
        <f t="shared" si="72"/>
        <v>10.00R20-18PR-MT100</v>
      </c>
      <c r="K79" s="149"/>
      <c r="L79" s="123"/>
      <c r="M79" s="123"/>
      <c r="N79" s="123"/>
      <c r="O79" s="123"/>
      <c r="P79" s="123"/>
      <c r="Q79" s="123"/>
      <c r="R79" s="151"/>
      <c r="S79" s="113" t="str">
        <f t="shared" si="68"/>
        <v/>
      </c>
      <c r="T79" s="122"/>
      <c r="U79" s="123"/>
      <c r="V79" s="123"/>
      <c r="W79" s="123"/>
      <c r="X79" s="123"/>
      <c r="Y79" s="123"/>
      <c r="Z79" s="123"/>
      <c r="AA79" s="151"/>
      <c r="AB79" s="113" t="str">
        <f t="shared" si="78"/>
        <v/>
      </c>
      <c r="AC79" s="122"/>
      <c r="AD79" s="123"/>
      <c r="AE79" s="123"/>
      <c r="AF79" s="123"/>
      <c r="AG79" s="123"/>
      <c r="AH79" s="123"/>
      <c r="AI79" s="123"/>
      <c r="AJ79" s="151"/>
      <c r="AK79" s="113" t="str">
        <f t="shared" si="69"/>
        <v/>
      </c>
      <c r="AL79" s="119" t="s">
        <v>1378</v>
      </c>
      <c r="AM79" s="120" t="s">
        <v>965</v>
      </c>
      <c r="AN79" s="120" t="s">
        <v>1087</v>
      </c>
      <c r="AO79" s="120" t="s">
        <v>1379</v>
      </c>
      <c r="AP79" s="120"/>
      <c r="AQ79" s="133">
        <v>9.91</v>
      </c>
      <c r="AR79" s="133">
        <v>9.774</v>
      </c>
      <c r="AS79" s="144">
        <f t="shared" si="81"/>
        <v>0.136000000000001</v>
      </c>
      <c r="AT79" s="113" t="str">
        <f t="shared" si="70"/>
        <v>ST205/75R15-6PR-STZC</v>
      </c>
      <c r="AU79" s="119" t="s">
        <v>1373</v>
      </c>
      <c r="AV79" s="120" t="s">
        <v>66</v>
      </c>
      <c r="AW79" s="175" t="s">
        <v>970</v>
      </c>
      <c r="AX79" s="120" t="s">
        <v>1374</v>
      </c>
      <c r="AY79" s="133">
        <v>7.22</v>
      </c>
      <c r="AZ79" s="133">
        <v>7.231</v>
      </c>
      <c r="BA79" s="144">
        <f t="shared" si="80"/>
        <v>-0.0110000000000001</v>
      </c>
      <c r="BB79" s="113" t="str">
        <f t="shared" si="71"/>
        <v>185/65R15-T-118</v>
      </c>
    </row>
    <row r="80" ht="13.8" customHeight="1" spans="2:54">
      <c r="B80" s="119" t="s">
        <v>805</v>
      </c>
      <c r="C80" s="120" t="s">
        <v>1092</v>
      </c>
      <c r="D80" s="120" t="s">
        <v>1106</v>
      </c>
      <c r="E80" s="120" t="s">
        <v>1381</v>
      </c>
      <c r="F80" s="133">
        <f t="shared" si="76"/>
        <v>64.888</v>
      </c>
      <c r="G80" s="133">
        <v>64.175</v>
      </c>
      <c r="H80" s="128">
        <v>63.6016</v>
      </c>
      <c r="I80" s="144">
        <f t="shared" si="62"/>
        <v>0.573399999999999</v>
      </c>
      <c r="J80" s="115" t="str">
        <f t="shared" si="72"/>
        <v>10.00R20-18PR-CM913</v>
      </c>
      <c r="K80" s="119" t="s">
        <v>1382</v>
      </c>
      <c r="L80" s="120" t="s">
        <v>965</v>
      </c>
      <c r="M80" s="120" t="s">
        <v>1008</v>
      </c>
      <c r="N80" s="125" t="s">
        <v>1383</v>
      </c>
      <c r="O80" s="120" t="s">
        <v>66</v>
      </c>
      <c r="P80" s="120">
        <v>4.42</v>
      </c>
      <c r="Q80" s="120">
        <v>4.16</v>
      </c>
      <c r="R80" s="143">
        <f t="shared" ref="R80:R86" si="82">P80-Q80</f>
        <v>0.26</v>
      </c>
      <c r="S80" s="113" t="str">
        <f t="shared" si="68"/>
        <v>16.5X6.5-8-6PR-SU202</v>
      </c>
      <c r="T80" s="119" t="s">
        <v>1384</v>
      </c>
      <c r="U80" s="120" t="s">
        <v>965</v>
      </c>
      <c r="V80" s="120" t="s">
        <v>1231</v>
      </c>
      <c r="W80" s="120" t="s">
        <v>1385</v>
      </c>
      <c r="X80" s="120"/>
      <c r="Y80" s="133">
        <v>13.798</v>
      </c>
      <c r="Z80" s="133">
        <v>13.65</v>
      </c>
      <c r="AA80" s="144">
        <f t="shared" ref="AA80:AA84" si="83">Y80-Z80</f>
        <v>0.148</v>
      </c>
      <c r="AB80" s="113" t="str">
        <f t="shared" si="78"/>
        <v>27 X 11-12-6PR-WL6A</v>
      </c>
      <c r="AC80" s="119" t="s">
        <v>1386</v>
      </c>
      <c r="AD80" s="120" t="s">
        <v>934</v>
      </c>
      <c r="AE80" s="120" t="s">
        <v>1174</v>
      </c>
      <c r="AF80" s="154" t="s">
        <v>66</v>
      </c>
      <c r="AG80" s="154" t="s">
        <v>66</v>
      </c>
      <c r="AH80" s="133">
        <v>106.1</v>
      </c>
      <c r="AI80" s="120">
        <v>105.5</v>
      </c>
      <c r="AJ80" s="144">
        <f t="shared" si="79"/>
        <v>0.599999999999994</v>
      </c>
      <c r="AK80" s="113" t="str">
        <f t="shared" si="69"/>
        <v>21L-24-12PR-BHL-100</v>
      </c>
      <c r="AL80" s="119" t="s">
        <v>1378</v>
      </c>
      <c r="AM80" s="120" t="s">
        <v>962</v>
      </c>
      <c r="AN80" s="120" t="s">
        <v>1080</v>
      </c>
      <c r="AO80" s="120" t="s">
        <v>1387</v>
      </c>
      <c r="AP80" s="120"/>
      <c r="AQ80" s="133">
        <v>11.06</v>
      </c>
      <c r="AR80" s="133">
        <v>10.908</v>
      </c>
      <c r="AS80" s="144">
        <f t="shared" si="81"/>
        <v>0.152000000000001</v>
      </c>
      <c r="AT80" s="113" t="str">
        <f t="shared" si="70"/>
        <v>ST205/75R15-8PR-ST100</v>
      </c>
      <c r="AU80" s="119" t="s">
        <v>1373</v>
      </c>
      <c r="AV80" s="120" t="s">
        <v>66</v>
      </c>
      <c r="AW80" s="175" t="s">
        <v>979</v>
      </c>
      <c r="AX80" s="120" t="s">
        <v>1374</v>
      </c>
      <c r="AY80" s="133">
        <v>7.22</v>
      </c>
      <c r="AZ80" s="133">
        <v>7.231</v>
      </c>
      <c r="BA80" s="144">
        <f t="shared" si="80"/>
        <v>-0.0110000000000001</v>
      </c>
      <c r="BB80" s="113" t="str">
        <f t="shared" si="71"/>
        <v>185/65R15-Z-108</v>
      </c>
    </row>
    <row r="81" spans="2:54">
      <c r="B81" s="119" t="s">
        <v>805</v>
      </c>
      <c r="C81" s="120" t="s">
        <v>1092</v>
      </c>
      <c r="D81" s="120" t="s">
        <v>1019</v>
      </c>
      <c r="E81" s="120" t="s">
        <v>1388</v>
      </c>
      <c r="F81" s="133">
        <f t="shared" si="76"/>
        <v>63.908</v>
      </c>
      <c r="G81" s="133">
        <v>63.195</v>
      </c>
      <c r="H81" s="128">
        <v>62.7263</v>
      </c>
      <c r="I81" s="144">
        <f t="shared" si="62"/>
        <v>0.468699999999998</v>
      </c>
      <c r="J81" s="115" t="str">
        <f t="shared" si="72"/>
        <v>10.00R20-18PR-CB981</v>
      </c>
      <c r="K81" s="119" t="s">
        <v>1382</v>
      </c>
      <c r="L81" s="120" t="s">
        <v>965</v>
      </c>
      <c r="M81" s="120" t="s">
        <v>1015</v>
      </c>
      <c r="N81" s="125" t="s">
        <v>1383</v>
      </c>
      <c r="O81" s="120" t="s">
        <v>66</v>
      </c>
      <c r="P81" s="120">
        <v>4.42</v>
      </c>
      <c r="Q81" s="120">
        <v>4.16</v>
      </c>
      <c r="R81" s="143">
        <f t="shared" si="82"/>
        <v>0.26</v>
      </c>
      <c r="S81" s="113" t="str">
        <f t="shared" si="68"/>
        <v>16.5X6.5-8-6PR-ZT202</v>
      </c>
      <c r="T81" s="122"/>
      <c r="U81" s="123"/>
      <c r="V81" s="123"/>
      <c r="W81" s="123"/>
      <c r="X81" s="123"/>
      <c r="Y81" s="123"/>
      <c r="Z81" s="123"/>
      <c r="AA81" s="151"/>
      <c r="AB81" s="113" t="str">
        <f t="shared" si="78"/>
        <v/>
      </c>
      <c r="AC81" s="119" t="s">
        <v>1386</v>
      </c>
      <c r="AD81" s="120" t="s">
        <v>934</v>
      </c>
      <c r="AE81" s="120" t="s">
        <v>1254</v>
      </c>
      <c r="AF81" s="154" t="s">
        <v>1389</v>
      </c>
      <c r="AG81" s="154" t="s">
        <v>66</v>
      </c>
      <c r="AH81" s="133">
        <v>107.85</v>
      </c>
      <c r="AI81" s="120">
        <v>107.2</v>
      </c>
      <c r="AJ81" s="144">
        <f t="shared" si="79"/>
        <v>0.649999999999991</v>
      </c>
      <c r="AK81" s="113" t="str">
        <f t="shared" si="69"/>
        <v>21L-24-12PR-STRONG GUARD XR4</v>
      </c>
      <c r="AL81" s="119" t="s">
        <v>1378</v>
      </c>
      <c r="AM81" s="120" t="s">
        <v>962</v>
      </c>
      <c r="AN81" s="120" t="s">
        <v>1087</v>
      </c>
      <c r="AO81" s="120" t="s">
        <v>1387</v>
      </c>
      <c r="AP81" s="120"/>
      <c r="AQ81" s="133">
        <v>11.06</v>
      </c>
      <c r="AR81" s="133">
        <v>10.908</v>
      </c>
      <c r="AS81" s="144">
        <f t="shared" si="81"/>
        <v>0.152000000000001</v>
      </c>
      <c r="AT81" s="113" t="str">
        <f t="shared" si="70"/>
        <v>ST205/75R15-8PR-STZC</v>
      </c>
      <c r="AU81" s="119" t="s">
        <v>1373</v>
      </c>
      <c r="AV81" s="120" t="s">
        <v>66</v>
      </c>
      <c r="AW81" s="175" t="s">
        <v>1218</v>
      </c>
      <c r="AX81" s="120" t="s">
        <v>1390</v>
      </c>
      <c r="AY81" s="133">
        <v>7.959</v>
      </c>
      <c r="AZ81" s="133">
        <v>7.959</v>
      </c>
      <c r="BA81" s="144">
        <f t="shared" si="80"/>
        <v>0</v>
      </c>
      <c r="BB81" s="113" t="str">
        <f t="shared" si="71"/>
        <v>185/65R15-RP218</v>
      </c>
    </row>
    <row r="82" ht="13.8" customHeight="1" spans="2:54">
      <c r="B82" s="119" t="s">
        <v>805</v>
      </c>
      <c r="C82" s="120" t="s">
        <v>1092</v>
      </c>
      <c r="D82" s="120" t="s">
        <v>1391</v>
      </c>
      <c r="E82" s="120" t="s">
        <v>1392</v>
      </c>
      <c r="F82" s="133">
        <f t="shared" si="76"/>
        <v>68.395</v>
      </c>
      <c r="G82" s="133">
        <v>67.682</v>
      </c>
      <c r="H82" s="128">
        <v>67.1125</v>
      </c>
      <c r="I82" s="144">
        <f t="shared" si="62"/>
        <v>0.569500000000005</v>
      </c>
      <c r="J82" s="115" t="str">
        <f t="shared" si="72"/>
        <v>10.00R20-18PR-CB905</v>
      </c>
      <c r="K82" s="122"/>
      <c r="L82" s="123"/>
      <c r="M82" s="123"/>
      <c r="N82" s="123"/>
      <c r="O82" s="123"/>
      <c r="P82" s="123"/>
      <c r="Q82" s="123"/>
      <c r="R82" s="151"/>
      <c r="S82" s="113" t="str">
        <f t="shared" si="68"/>
        <v/>
      </c>
      <c r="T82" s="119" t="s">
        <v>1393</v>
      </c>
      <c r="U82" s="120" t="s">
        <v>965</v>
      </c>
      <c r="V82" s="120" t="s">
        <v>1196</v>
      </c>
      <c r="W82" s="120" t="s">
        <v>1394</v>
      </c>
      <c r="X82" s="120"/>
      <c r="Y82" s="133">
        <v>12.225</v>
      </c>
      <c r="Z82" s="133">
        <v>12.225</v>
      </c>
      <c r="AA82" s="144">
        <f t="shared" si="83"/>
        <v>0</v>
      </c>
      <c r="AB82" s="113" t="str">
        <f t="shared" si="78"/>
        <v>27 X 11-14-6PR-A033</v>
      </c>
      <c r="AC82" s="122"/>
      <c r="AD82" s="123"/>
      <c r="AE82" s="123"/>
      <c r="AF82" s="123"/>
      <c r="AG82" s="123"/>
      <c r="AH82" s="123"/>
      <c r="AI82" s="123"/>
      <c r="AJ82" s="151"/>
      <c r="AK82" s="113" t="str">
        <f t="shared" si="69"/>
        <v/>
      </c>
      <c r="AL82" s="119" t="s">
        <v>1378</v>
      </c>
      <c r="AM82" s="120" t="s">
        <v>946</v>
      </c>
      <c r="AN82" s="120" t="s">
        <v>1080</v>
      </c>
      <c r="AO82" s="120" t="s">
        <v>1395</v>
      </c>
      <c r="AP82" s="120"/>
      <c r="AQ82" s="133">
        <v>11.723</v>
      </c>
      <c r="AR82" s="133">
        <v>11.677</v>
      </c>
      <c r="AS82" s="144">
        <f t="shared" si="81"/>
        <v>0.0460000000000012</v>
      </c>
      <c r="AT82" s="113" t="str">
        <f t="shared" si="70"/>
        <v>ST205/75R15-10PR-ST100</v>
      </c>
      <c r="AU82" s="122"/>
      <c r="AV82" s="123"/>
      <c r="AW82" s="123"/>
      <c r="AX82" s="123"/>
      <c r="AY82" s="130"/>
      <c r="AZ82" s="130"/>
      <c r="BA82" s="145"/>
      <c r="BB82" s="113" t="str">
        <f t="shared" si="71"/>
        <v/>
      </c>
    </row>
    <row r="83" ht="17" spans="2:54">
      <c r="B83" s="119" t="s">
        <v>805</v>
      </c>
      <c r="C83" s="120" t="s">
        <v>1092</v>
      </c>
      <c r="D83" s="120" t="s">
        <v>1396</v>
      </c>
      <c r="E83" s="125" t="s">
        <v>1397</v>
      </c>
      <c r="F83" s="133">
        <f t="shared" si="76"/>
        <v>68.608</v>
      </c>
      <c r="G83" s="133">
        <v>67.895</v>
      </c>
      <c r="H83" s="128">
        <v>67.6</v>
      </c>
      <c r="I83" s="144">
        <f t="shared" si="62"/>
        <v>0.295000000000002</v>
      </c>
      <c r="J83" s="115" t="str">
        <f t="shared" si="72"/>
        <v>10.00R20-18PR-EZ330</v>
      </c>
      <c r="K83" s="119" t="s">
        <v>1398</v>
      </c>
      <c r="L83" s="120" t="s">
        <v>965</v>
      </c>
      <c r="M83" s="120" t="s">
        <v>1008</v>
      </c>
      <c r="N83" s="125" t="s">
        <v>1399</v>
      </c>
      <c r="O83" s="120" t="s">
        <v>66</v>
      </c>
      <c r="P83" s="120">
        <v>5.59</v>
      </c>
      <c r="Q83" s="120">
        <v>5.47</v>
      </c>
      <c r="R83" s="143">
        <f t="shared" si="82"/>
        <v>0.12</v>
      </c>
      <c r="S83" s="113" t="str">
        <f t="shared" si="68"/>
        <v>18.5X8.5-8-6PR-SU202</v>
      </c>
      <c r="T83" s="122"/>
      <c r="U83" s="123"/>
      <c r="V83" s="123"/>
      <c r="W83" s="123"/>
      <c r="X83" s="123"/>
      <c r="Y83" s="123"/>
      <c r="Z83" s="123"/>
      <c r="AA83" s="151"/>
      <c r="AB83" s="113" t="str">
        <f t="shared" si="78"/>
        <v/>
      </c>
      <c r="AC83" s="119" t="s">
        <v>1400</v>
      </c>
      <c r="AD83" s="120" t="s">
        <v>965</v>
      </c>
      <c r="AE83" s="120" t="s">
        <v>966</v>
      </c>
      <c r="AF83" s="154" t="s">
        <v>1401</v>
      </c>
      <c r="AG83" s="154" t="s">
        <v>66</v>
      </c>
      <c r="AH83" s="133">
        <v>11.99</v>
      </c>
      <c r="AI83" s="120">
        <v>11.98</v>
      </c>
      <c r="AJ83" s="144">
        <f t="shared" ref="AJ83:AJ87" si="84">AH83-AI83</f>
        <v>0.00999999999999979</v>
      </c>
      <c r="AK83" s="113" t="str">
        <f t="shared" si="69"/>
        <v>23X8.50-12-6PR-STRONG GUARD SS</v>
      </c>
      <c r="AL83" s="119" t="s">
        <v>1378</v>
      </c>
      <c r="AM83" s="120" t="s">
        <v>965</v>
      </c>
      <c r="AN83" s="120" t="s">
        <v>1104</v>
      </c>
      <c r="AO83" s="120" t="s">
        <v>1402</v>
      </c>
      <c r="AP83" s="120"/>
      <c r="AQ83" s="133">
        <v>9.313</v>
      </c>
      <c r="AR83" s="133">
        <v>9.177</v>
      </c>
      <c r="AS83" s="144">
        <f t="shared" si="81"/>
        <v>0.136000000000001</v>
      </c>
      <c r="AT83" s="113" t="str">
        <f t="shared" si="70"/>
        <v>ST205/75R15-6PR-ST100A</v>
      </c>
      <c r="AU83" s="119" t="s">
        <v>1403</v>
      </c>
      <c r="AV83" s="120" t="s">
        <v>66</v>
      </c>
      <c r="AW83" s="120" t="s">
        <v>953</v>
      </c>
      <c r="AX83" s="120" t="s">
        <v>1404</v>
      </c>
      <c r="AY83" s="133">
        <v>6.916</v>
      </c>
      <c r="AZ83" s="133">
        <v>6.897</v>
      </c>
      <c r="BA83" s="144">
        <f t="shared" ref="BA83:BA86" si="85">AY83-AZ83</f>
        <v>0.0190000000000001</v>
      </c>
      <c r="BB83" s="113" t="str">
        <f t="shared" si="71"/>
        <v>185/70R14-C-108</v>
      </c>
    </row>
    <row r="84" ht="17" spans="2:54">
      <c r="B84" s="119" t="s">
        <v>805</v>
      </c>
      <c r="C84" s="120" t="s">
        <v>1092</v>
      </c>
      <c r="D84" s="120" t="s">
        <v>1405</v>
      </c>
      <c r="E84" s="125" t="s">
        <v>1397</v>
      </c>
      <c r="F84" s="133">
        <f t="shared" si="76"/>
        <v>68.608</v>
      </c>
      <c r="G84" s="133">
        <v>67.895</v>
      </c>
      <c r="H84" s="128">
        <v>67.6</v>
      </c>
      <c r="I84" s="144">
        <f t="shared" si="62"/>
        <v>0.295000000000002</v>
      </c>
      <c r="J84" s="115" t="str">
        <f t="shared" si="72"/>
        <v>10.00R20-18PR-CB332</v>
      </c>
      <c r="K84" s="119" t="s">
        <v>1398</v>
      </c>
      <c r="L84" s="120" t="s">
        <v>965</v>
      </c>
      <c r="M84" s="120" t="s">
        <v>1015</v>
      </c>
      <c r="N84" s="125" t="s">
        <v>1399</v>
      </c>
      <c r="O84" s="120" t="s">
        <v>66</v>
      </c>
      <c r="P84" s="120">
        <v>5.59</v>
      </c>
      <c r="Q84" s="120">
        <v>5.47</v>
      </c>
      <c r="R84" s="143">
        <f t="shared" si="82"/>
        <v>0.12</v>
      </c>
      <c r="S84" s="113" t="str">
        <f t="shared" si="68"/>
        <v>18.5X8.5-8-6PR-ZT202</v>
      </c>
      <c r="T84" s="119" t="s">
        <v>1406</v>
      </c>
      <c r="U84" s="120" t="s">
        <v>962</v>
      </c>
      <c r="V84" s="120" t="s">
        <v>1231</v>
      </c>
      <c r="W84" s="120" t="s">
        <v>1407</v>
      </c>
      <c r="X84" s="120"/>
      <c r="Y84" s="133">
        <v>14.98</v>
      </c>
      <c r="Z84" s="133">
        <v>14.98</v>
      </c>
      <c r="AA84" s="144">
        <f t="shared" si="83"/>
        <v>0</v>
      </c>
      <c r="AB84" s="113" t="str">
        <f t="shared" si="78"/>
        <v>28 X 10R14-8PR-WL6A</v>
      </c>
      <c r="AC84" s="122"/>
      <c r="AD84" s="123"/>
      <c r="AE84" s="123"/>
      <c r="AF84" s="123"/>
      <c r="AG84" s="123"/>
      <c r="AH84" s="123"/>
      <c r="AI84" s="123"/>
      <c r="AJ84" s="151"/>
      <c r="AK84" s="113" t="str">
        <f t="shared" si="69"/>
        <v/>
      </c>
      <c r="AL84" s="119" t="s">
        <v>1378</v>
      </c>
      <c r="AM84" s="120" t="s">
        <v>965</v>
      </c>
      <c r="AN84" s="120" t="s">
        <v>1110</v>
      </c>
      <c r="AO84" s="120" t="s">
        <v>1402</v>
      </c>
      <c r="AP84" s="120"/>
      <c r="AQ84" s="133">
        <v>9.313</v>
      </c>
      <c r="AR84" s="133">
        <v>9.177</v>
      </c>
      <c r="AS84" s="144">
        <f t="shared" si="81"/>
        <v>0.136000000000001</v>
      </c>
      <c r="AT84" s="113" t="str">
        <f t="shared" si="70"/>
        <v>ST205/75R15-6PR-DURAHAULER ST</v>
      </c>
      <c r="AU84" s="119" t="s">
        <v>1403</v>
      </c>
      <c r="AV84" s="120" t="s">
        <v>66</v>
      </c>
      <c r="AW84" s="120" t="s">
        <v>956</v>
      </c>
      <c r="AX84" s="120" t="s">
        <v>1404</v>
      </c>
      <c r="AY84" s="133">
        <v>6.916</v>
      </c>
      <c r="AZ84" s="133">
        <v>6.897</v>
      </c>
      <c r="BA84" s="144">
        <f t="shared" si="85"/>
        <v>0.0190000000000001</v>
      </c>
      <c r="BB84" s="113" t="str">
        <f t="shared" si="71"/>
        <v>185/70R14-G-118</v>
      </c>
    </row>
    <row r="85" spans="2:54">
      <c r="B85" s="119" t="s">
        <v>805</v>
      </c>
      <c r="C85" s="120" t="s">
        <v>1092</v>
      </c>
      <c r="D85" s="121" t="s">
        <v>1408</v>
      </c>
      <c r="E85" s="125" t="s">
        <v>1409</v>
      </c>
      <c r="F85" s="127">
        <f t="shared" si="76"/>
        <v>67.359</v>
      </c>
      <c r="G85" s="133">
        <v>66.646</v>
      </c>
      <c r="H85" s="128">
        <v>66.083</v>
      </c>
      <c r="I85" s="144">
        <f t="shared" si="62"/>
        <v>0.563000000000002</v>
      </c>
      <c r="J85" s="115" t="str">
        <f t="shared" si="72"/>
        <v>10.00R20-18PR-EZ835</v>
      </c>
      <c r="K85" s="119" t="s">
        <v>1398</v>
      </c>
      <c r="L85" s="120" t="s">
        <v>962</v>
      </c>
      <c r="M85" s="120" t="s">
        <v>1008</v>
      </c>
      <c r="N85" s="125" t="s">
        <v>1410</v>
      </c>
      <c r="O85" s="120" t="s">
        <v>66</v>
      </c>
      <c r="P85" s="120">
        <v>5.51</v>
      </c>
      <c r="Q85" s="120">
        <v>5.52</v>
      </c>
      <c r="R85" s="143">
        <f t="shared" si="82"/>
        <v>-0.00999999999999979</v>
      </c>
      <c r="S85" s="113" t="str">
        <f t="shared" si="68"/>
        <v>18.5X8.5-8-8PR-SU202</v>
      </c>
      <c r="T85" s="189"/>
      <c r="U85" s="189"/>
      <c r="V85" s="189"/>
      <c r="W85" s="189"/>
      <c r="X85" s="189"/>
      <c r="Y85" s="189"/>
      <c r="Z85" s="189"/>
      <c r="AA85" s="189"/>
      <c r="AB85" s="113" t="str">
        <f t="shared" si="78"/>
        <v/>
      </c>
      <c r="AC85" s="119" t="s">
        <v>1411</v>
      </c>
      <c r="AD85" s="120" t="s">
        <v>962</v>
      </c>
      <c r="AE85" s="120" t="s">
        <v>1412</v>
      </c>
      <c r="AF85" s="154" t="s">
        <v>1413</v>
      </c>
      <c r="AG85" s="154" t="s">
        <v>66</v>
      </c>
      <c r="AH85" s="133">
        <v>21.41</v>
      </c>
      <c r="AI85" s="120">
        <v>21.46</v>
      </c>
      <c r="AJ85" s="144">
        <f t="shared" si="84"/>
        <v>-0.0500000000000007</v>
      </c>
      <c r="AK85" s="113" t="str">
        <f t="shared" si="69"/>
        <v>26X12-12-8PR-STRONG GUARD R1</v>
      </c>
      <c r="AL85" s="119" t="s">
        <v>1378</v>
      </c>
      <c r="AM85" s="120" t="s">
        <v>965</v>
      </c>
      <c r="AN85" s="120" t="s">
        <v>1120</v>
      </c>
      <c r="AO85" s="120" t="s">
        <v>1402</v>
      </c>
      <c r="AP85" s="120"/>
      <c r="AQ85" s="133">
        <v>9.313</v>
      </c>
      <c r="AR85" s="133">
        <v>9.177</v>
      </c>
      <c r="AS85" s="144">
        <f t="shared" si="81"/>
        <v>0.136000000000001</v>
      </c>
      <c r="AT85" s="113" t="str">
        <f t="shared" si="70"/>
        <v>ST205/75R15-6PR-ASSURE ST</v>
      </c>
      <c r="AU85" s="119" t="s">
        <v>1403</v>
      </c>
      <c r="AV85" s="120" t="s">
        <v>66</v>
      </c>
      <c r="AW85" s="175" t="s">
        <v>970</v>
      </c>
      <c r="AX85" s="120" t="s">
        <v>1404</v>
      </c>
      <c r="AY85" s="133">
        <v>6.916</v>
      </c>
      <c r="AZ85" s="133">
        <v>6.897</v>
      </c>
      <c r="BA85" s="144">
        <f t="shared" si="85"/>
        <v>0.0190000000000001</v>
      </c>
      <c r="BB85" s="113" t="str">
        <f t="shared" si="71"/>
        <v>185/70R14-T-118</v>
      </c>
    </row>
    <row r="86" spans="2:54">
      <c r="B86" s="119" t="s">
        <v>805</v>
      </c>
      <c r="C86" s="120" t="s">
        <v>1074</v>
      </c>
      <c r="D86" s="121" t="s">
        <v>1146</v>
      </c>
      <c r="E86" s="125" t="s">
        <v>1414</v>
      </c>
      <c r="F86" s="127">
        <f t="shared" si="76"/>
        <v>62.402</v>
      </c>
      <c r="G86" s="127">
        <v>61.689</v>
      </c>
      <c r="H86" s="128">
        <v>61.9</v>
      </c>
      <c r="I86" s="144">
        <f t="shared" si="62"/>
        <v>-0.210999999999999</v>
      </c>
      <c r="J86" s="115" t="str">
        <f t="shared" si="72"/>
        <v>10.00R20-16PR-TKAL III</v>
      </c>
      <c r="K86" s="119" t="s">
        <v>1398</v>
      </c>
      <c r="L86" s="120" t="s">
        <v>962</v>
      </c>
      <c r="M86" s="120" t="s">
        <v>1015</v>
      </c>
      <c r="N86" s="125" t="s">
        <v>1410</v>
      </c>
      <c r="O86" s="120" t="s">
        <v>66</v>
      </c>
      <c r="P86" s="120">
        <v>5.51</v>
      </c>
      <c r="Q86" s="120">
        <v>5.52</v>
      </c>
      <c r="R86" s="143">
        <f t="shared" si="82"/>
        <v>-0.00999999999999979</v>
      </c>
      <c r="S86" s="113" t="str">
        <f t="shared" si="68"/>
        <v>18.5X8.5-8-8PR-ZT202</v>
      </c>
      <c r="T86" s="190" t="s">
        <v>1415</v>
      </c>
      <c r="U86" s="190" t="s">
        <v>962</v>
      </c>
      <c r="V86" s="190" t="s">
        <v>1142</v>
      </c>
      <c r="W86" s="190" t="s">
        <v>1416</v>
      </c>
      <c r="X86" s="190"/>
      <c r="Y86" s="190">
        <v>18.215</v>
      </c>
      <c r="Z86" s="190"/>
      <c r="AA86" s="190"/>
      <c r="AB86" s="113" t="str">
        <f t="shared" si="78"/>
        <v>32X10.00R15-8PR-P193</v>
      </c>
      <c r="AC86" s="122"/>
      <c r="AD86" s="123"/>
      <c r="AE86" s="123"/>
      <c r="AF86" s="123"/>
      <c r="AG86" s="123"/>
      <c r="AH86" s="123"/>
      <c r="AI86" s="123"/>
      <c r="AJ86" s="151"/>
      <c r="AK86" s="113" t="str">
        <f t="shared" si="69"/>
        <v/>
      </c>
      <c r="AL86" s="119" t="s">
        <v>1378</v>
      </c>
      <c r="AM86" s="120" t="s">
        <v>965</v>
      </c>
      <c r="AN86" s="120" t="s">
        <v>1125</v>
      </c>
      <c r="AO86" s="120" t="s">
        <v>1402</v>
      </c>
      <c r="AP86" s="120"/>
      <c r="AQ86" s="133">
        <v>9.313</v>
      </c>
      <c r="AR86" s="133">
        <v>9.177</v>
      </c>
      <c r="AS86" s="144">
        <f t="shared" si="81"/>
        <v>0.136000000000001</v>
      </c>
      <c r="AT86" s="113" t="str">
        <f t="shared" si="70"/>
        <v>ST205/75R15-6PR-Tow Pro ST</v>
      </c>
      <c r="AU86" s="119" t="s">
        <v>1403</v>
      </c>
      <c r="AV86" s="120" t="s">
        <v>66</v>
      </c>
      <c r="AW86" s="175" t="s">
        <v>979</v>
      </c>
      <c r="AX86" s="120" t="s">
        <v>1404</v>
      </c>
      <c r="AY86" s="133">
        <v>6.916</v>
      </c>
      <c r="AZ86" s="133">
        <v>6.897</v>
      </c>
      <c r="BA86" s="144">
        <f t="shared" si="85"/>
        <v>0.0190000000000001</v>
      </c>
      <c r="BB86" s="113" t="str">
        <f t="shared" si="71"/>
        <v>185/70R14-Z-108</v>
      </c>
    </row>
    <row r="87" ht="17" spans="2:54">
      <c r="B87" s="119" t="s">
        <v>805</v>
      </c>
      <c r="C87" s="120" t="s">
        <v>1074</v>
      </c>
      <c r="D87" s="121" t="s">
        <v>1417</v>
      </c>
      <c r="E87" s="120" t="s">
        <v>1414</v>
      </c>
      <c r="F87" s="127">
        <f t="shared" si="76"/>
        <v>62.402</v>
      </c>
      <c r="G87" s="127">
        <v>61.689</v>
      </c>
      <c r="H87" s="128">
        <v>61.9</v>
      </c>
      <c r="I87" s="144">
        <f t="shared" si="62"/>
        <v>-0.210999999999999</v>
      </c>
      <c r="J87" s="115" t="str">
        <f t="shared" si="72"/>
        <v>10.00R20-16PR-FOLO.R109</v>
      </c>
      <c r="K87" s="122"/>
      <c r="L87" s="123"/>
      <c r="M87" s="123"/>
      <c r="N87" s="123"/>
      <c r="O87" s="123"/>
      <c r="P87" s="123"/>
      <c r="Q87" s="123"/>
      <c r="R87" s="151"/>
      <c r="S87" s="113" t="str">
        <f t="shared" si="68"/>
        <v/>
      </c>
      <c r="T87" s="122"/>
      <c r="U87" s="123"/>
      <c r="V87" s="123"/>
      <c r="W87" s="123"/>
      <c r="X87" s="123"/>
      <c r="Y87" s="123"/>
      <c r="Z87" s="123"/>
      <c r="AA87" s="151"/>
      <c r="AB87" s="113" t="str">
        <f t="shared" ref="AB87:AB110" si="86">_xlfn.TEXTJOIN("-",TRUE,T87,U87,V87)</f>
        <v/>
      </c>
      <c r="AC87" s="119" t="s">
        <v>1418</v>
      </c>
      <c r="AD87" s="120" t="s">
        <v>962</v>
      </c>
      <c r="AE87" s="120" t="s">
        <v>966</v>
      </c>
      <c r="AF87" s="154" t="s">
        <v>1419</v>
      </c>
      <c r="AG87" s="154" t="s">
        <v>66</v>
      </c>
      <c r="AH87" s="133">
        <v>15.58</v>
      </c>
      <c r="AI87" s="120">
        <v>15.69</v>
      </c>
      <c r="AJ87" s="144">
        <f t="shared" si="84"/>
        <v>-0.109999999999999</v>
      </c>
      <c r="AK87" s="113" t="str">
        <f t="shared" si="69"/>
        <v>27X8.50-15-8PR-STRONG GUARD SS</v>
      </c>
      <c r="AL87" s="119" t="s">
        <v>1378</v>
      </c>
      <c r="AM87" s="120" t="s">
        <v>962</v>
      </c>
      <c r="AN87" s="120" t="s">
        <v>1104</v>
      </c>
      <c r="AO87" s="120" t="s">
        <v>1420</v>
      </c>
      <c r="AP87" s="120"/>
      <c r="AQ87" s="133">
        <v>10.466</v>
      </c>
      <c r="AR87" s="133">
        <v>10.314</v>
      </c>
      <c r="AS87" s="144">
        <f t="shared" si="81"/>
        <v>0.151999999999999</v>
      </c>
      <c r="AT87" s="113" t="str">
        <f t="shared" si="70"/>
        <v>ST205/75R15-8PR-ST100A</v>
      </c>
      <c r="AU87" s="122"/>
      <c r="AV87" s="123"/>
      <c r="AW87" s="123"/>
      <c r="AX87" s="123"/>
      <c r="AY87" s="130"/>
      <c r="AZ87" s="130"/>
      <c r="BA87" s="145"/>
      <c r="BB87" s="113" t="str">
        <f t="shared" si="71"/>
        <v/>
      </c>
    </row>
    <row r="88" ht="17" spans="2:54">
      <c r="B88" s="119" t="s">
        <v>805</v>
      </c>
      <c r="C88" s="120" t="s">
        <v>1092</v>
      </c>
      <c r="D88" s="121" t="s">
        <v>1146</v>
      </c>
      <c r="E88" s="147" t="s">
        <v>1414</v>
      </c>
      <c r="F88" s="127">
        <f t="shared" si="76"/>
        <v>62.402</v>
      </c>
      <c r="G88" s="127">
        <v>61.689</v>
      </c>
      <c r="H88" s="128">
        <v>61.9</v>
      </c>
      <c r="I88" s="144">
        <f t="shared" si="62"/>
        <v>-0.210999999999999</v>
      </c>
      <c r="J88" s="115" t="str">
        <f t="shared" si="72"/>
        <v>10.00R20-18PR-TKAL III</v>
      </c>
      <c r="K88" s="119" t="s">
        <v>1421</v>
      </c>
      <c r="L88" s="120" t="s">
        <v>965</v>
      </c>
      <c r="M88" s="120" t="s">
        <v>1008</v>
      </c>
      <c r="N88" s="125" t="s">
        <v>1422</v>
      </c>
      <c r="O88" s="120" t="s">
        <v>66</v>
      </c>
      <c r="P88" s="120">
        <v>7.18</v>
      </c>
      <c r="Q88" s="120">
        <v>7.41</v>
      </c>
      <c r="R88" s="143">
        <f t="shared" ref="R88:R93" si="87">P88-Q88</f>
        <v>-0.23</v>
      </c>
      <c r="S88" s="113" t="str">
        <f t="shared" si="68"/>
        <v>20.5X8.0-10-6PR-SU202</v>
      </c>
      <c r="T88" s="119" t="s">
        <v>1423</v>
      </c>
      <c r="U88" s="120" t="s">
        <v>66</v>
      </c>
      <c r="V88" s="120" t="s">
        <v>1424</v>
      </c>
      <c r="W88" s="120" t="s">
        <v>1425</v>
      </c>
      <c r="X88" s="120"/>
      <c r="Y88" s="133">
        <v>5.515</v>
      </c>
      <c r="Z88" s="133">
        <v>5.57</v>
      </c>
      <c r="AA88" s="144">
        <f t="shared" ref="AA88:AA92" si="88">Y88-Z88</f>
        <v>-0.0550000000000006</v>
      </c>
      <c r="AB88" s="113" t="str">
        <f t="shared" si="86"/>
        <v>135/90D17-/-DP07</v>
      </c>
      <c r="AC88" s="122"/>
      <c r="AD88" s="123"/>
      <c r="AE88" s="123"/>
      <c r="AF88" s="123"/>
      <c r="AG88" s="123"/>
      <c r="AH88" s="123"/>
      <c r="AI88" s="123"/>
      <c r="AJ88" s="151"/>
      <c r="AK88" s="113" t="str">
        <f t="shared" si="69"/>
        <v/>
      </c>
      <c r="AL88" s="119" t="s">
        <v>1378</v>
      </c>
      <c r="AM88" s="120" t="s">
        <v>962</v>
      </c>
      <c r="AN88" s="120" t="s">
        <v>1110</v>
      </c>
      <c r="AO88" s="120" t="s">
        <v>1420</v>
      </c>
      <c r="AP88" s="120"/>
      <c r="AQ88" s="133">
        <v>10.466</v>
      </c>
      <c r="AR88" s="133">
        <v>10.314</v>
      </c>
      <c r="AS88" s="144">
        <f t="shared" si="81"/>
        <v>0.151999999999999</v>
      </c>
      <c r="AT88" s="113" t="str">
        <f t="shared" si="70"/>
        <v>ST205/75R15-8PR-DURAHAULER ST</v>
      </c>
      <c r="AU88" s="119" t="s">
        <v>1426</v>
      </c>
      <c r="AV88" s="120" t="s">
        <v>66</v>
      </c>
      <c r="AW88" s="120" t="s">
        <v>953</v>
      </c>
      <c r="AX88" s="120" t="s">
        <v>1427</v>
      </c>
      <c r="AY88" s="133">
        <v>6.751</v>
      </c>
      <c r="AZ88" s="133">
        <v>6.752</v>
      </c>
      <c r="BA88" s="144">
        <f t="shared" ref="BA88:BA91" si="89">AY88-AZ88</f>
        <v>-0.000999999999999446</v>
      </c>
      <c r="BB88" s="113" t="str">
        <f t="shared" si="71"/>
        <v>195/50R15-C-108</v>
      </c>
    </row>
    <row r="89" ht="17" spans="2:54">
      <c r="B89" s="119" t="s">
        <v>805</v>
      </c>
      <c r="C89" s="120" t="s">
        <v>1092</v>
      </c>
      <c r="D89" s="121" t="s">
        <v>1417</v>
      </c>
      <c r="E89" s="147" t="s">
        <v>1414</v>
      </c>
      <c r="F89" s="127">
        <f t="shared" si="76"/>
        <v>62.402</v>
      </c>
      <c r="G89" s="127">
        <v>61.689</v>
      </c>
      <c r="H89" s="128">
        <v>61.9</v>
      </c>
      <c r="I89" s="144">
        <f t="shared" si="62"/>
        <v>-0.210999999999999</v>
      </c>
      <c r="J89" s="115" t="str">
        <f t="shared" si="72"/>
        <v>10.00R20-18PR-FOLO.R109</v>
      </c>
      <c r="K89" s="119" t="s">
        <v>1421</v>
      </c>
      <c r="L89" s="120" t="s">
        <v>965</v>
      </c>
      <c r="M89" s="120" t="s">
        <v>1015</v>
      </c>
      <c r="N89" s="125" t="s">
        <v>1422</v>
      </c>
      <c r="O89" s="120" t="s">
        <v>66</v>
      </c>
      <c r="P89" s="120">
        <v>7.18</v>
      </c>
      <c r="Q89" s="120">
        <v>7.41</v>
      </c>
      <c r="R89" s="143">
        <f t="shared" si="87"/>
        <v>-0.23</v>
      </c>
      <c r="S89" s="113" t="str">
        <f t="shared" si="68"/>
        <v>20.5X8.0-10-6PR-ZT202</v>
      </c>
      <c r="T89" s="122"/>
      <c r="U89" s="123"/>
      <c r="V89" s="123"/>
      <c r="W89" s="123"/>
      <c r="X89" s="123"/>
      <c r="Y89" s="123"/>
      <c r="Z89" s="123"/>
      <c r="AA89" s="151"/>
      <c r="AB89" s="113" t="str">
        <f t="shared" si="86"/>
        <v/>
      </c>
      <c r="AC89" s="119" t="s">
        <v>1428</v>
      </c>
      <c r="AD89" s="120" t="s">
        <v>958</v>
      </c>
      <c r="AE89" s="120" t="s">
        <v>947</v>
      </c>
      <c r="AF89" s="154" t="s">
        <v>1429</v>
      </c>
      <c r="AG89" s="154" t="s">
        <v>66</v>
      </c>
      <c r="AH89" s="133">
        <v>26.69</v>
      </c>
      <c r="AI89" s="120">
        <v>26.52</v>
      </c>
      <c r="AJ89" s="144">
        <f t="shared" ref="AJ89:AJ94" si="90">AH89-AI89</f>
        <v>0.170000000000002</v>
      </c>
      <c r="AK89" s="113" t="str">
        <f t="shared" si="69"/>
        <v>28X9-15-14PR-STRONG GUARD LIFT</v>
      </c>
      <c r="AL89" s="119" t="s">
        <v>1378</v>
      </c>
      <c r="AM89" s="120" t="s">
        <v>962</v>
      </c>
      <c r="AN89" s="120" t="s">
        <v>1120</v>
      </c>
      <c r="AO89" s="120" t="s">
        <v>1420</v>
      </c>
      <c r="AP89" s="120"/>
      <c r="AQ89" s="133">
        <v>10.466</v>
      </c>
      <c r="AR89" s="133">
        <v>10.314</v>
      </c>
      <c r="AS89" s="144">
        <f t="shared" si="81"/>
        <v>0.151999999999999</v>
      </c>
      <c r="AT89" s="113" t="str">
        <f t="shared" si="70"/>
        <v>ST205/75R15-8PR-ASSURE ST</v>
      </c>
      <c r="AU89" s="119" t="s">
        <v>1426</v>
      </c>
      <c r="AV89" s="120" t="s">
        <v>66</v>
      </c>
      <c r="AW89" s="120" t="s">
        <v>956</v>
      </c>
      <c r="AX89" s="120" t="s">
        <v>1427</v>
      </c>
      <c r="AY89" s="133">
        <v>6.751</v>
      </c>
      <c r="AZ89" s="133">
        <v>6.752</v>
      </c>
      <c r="BA89" s="144">
        <f t="shared" si="89"/>
        <v>-0.000999999999999446</v>
      </c>
      <c r="BB89" s="113" t="str">
        <f t="shared" si="71"/>
        <v>195/50R15-G-118</v>
      </c>
    </row>
    <row r="90" ht="13.8" customHeight="1" spans="2:54">
      <c r="B90" s="119" t="s">
        <v>805</v>
      </c>
      <c r="C90" s="120" t="s">
        <v>1092</v>
      </c>
      <c r="D90" s="120" t="s">
        <v>1430</v>
      </c>
      <c r="E90" s="138" t="s">
        <v>1431</v>
      </c>
      <c r="F90" s="133">
        <f t="shared" si="76"/>
        <v>65.852</v>
      </c>
      <c r="G90" s="133">
        <v>65.139</v>
      </c>
      <c r="H90" s="128">
        <v>64.5759</v>
      </c>
      <c r="I90" s="144">
        <f t="shared" si="62"/>
        <v>0.563099999999991</v>
      </c>
      <c r="J90" s="115" t="str">
        <f t="shared" si="72"/>
        <v>10.00R20-18PR-CM998</v>
      </c>
      <c r="K90" s="119" t="s">
        <v>1421</v>
      </c>
      <c r="L90" s="120" t="s">
        <v>946</v>
      </c>
      <c r="M90" s="121" t="s">
        <v>1008</v>
      </c>
      <c r="N90" s="125" t="s">
        <v>1432</v>
      </c>
      <c r="O90" s="124" t="s">
        <v>66</v>
      </c>
      <c r="P90" s="120">
        <v>8.36</v>
      </c>
      <c r="Q90" s="120">
        <v>8.52</v>
      </c>
      <c r="R90" s="143">
        <f t="shared" si="87"/>
        <v>-0.16</v>
      </c>
      <c r="S90" s="113" t="str">
        <f t="shared" si="68"/>
        <v>20.5X8.0-10-10PR-SU202</v>
      </c>
      <c r="T90" s="119" t="s">
        <v>1433</v>
      </c>
      <c r="U90" s="120" t="s">
        <v>66</v>
      </c>
      <c r="V90" s="120" t="s">
        <v>1424</v>
      </c>
      <c r="W90" s="120" t="s">
        <v>1434</v>
      </c>
      <c r="X90" s="120"/>
      <c r="Y90" s="133">
        <v>5.165</v>
      </c>
      <c r="Z90" s="133">
        <v>5.2</v>
      </c>
      <c r="AA90" s="144">
        <f t="shared" si="88"/>
        <v>-0.0350000000000001</v>
      </c>
      <c r="AB90" s="113" t="str">
        <f t="shared" si="86"/>
        <v>145/90D16-/-DP07</v>
      </c>
      <c r="AC90" s="122"/>
      <c r="AD90" s="123"/>
      <c r="AE90" s="123"/>
      <c r="AF90" s="123"/>
      <c r="AG90" s="123"/>
      <c r="AH90" s="123"/>
      <c r="AI90" s="123"/>
      <c r="AJ90" s="151"/>
      <c r="AK90" s="113" t="str">
        <f t="shared" si="69"/>
        <v/>
      </c>
      <c r="AL90" s="119" t="s">
        <v>1378</v>
      </c>
      <c r="AM90" s="120" t="s">
        <v>962</v>
      </c>
      <c r="AN90" s="120" t="s">
        <v>1125</v>
      </c>
      <c r="AO90" s="120" t="s">
        <v>1420</v>
      </c>
      <c r="AP90" s="120"/>
      <c r="AQ90" s="133">
        <v>10.466</v>
      </c>
      <c r="AR90" s="133">
        <v>10.314</v>
      </c>
      <c r="AS90" s="144">
        <f t="shared" si="81"/>
        <v>0.151999999999999</v>
      </c>
      <c r="AT90" s="113" t="str">
        <f t="shared" si="70"/>
        <v>ST205/75R15-8PR-Tow Pro ST</v>
      </c>
      <c r="AU90" s="119" t="s">
        <v>1426</v>
      </c>
      <c r="AV90" s="120" t="s">
        <v>66</v>
      </c>
      <c r="AW90" s="175" t="s">
        <v>970</v>
      </c>
      <c r="AX90" s="120" t="s">
        <v>1427</v>
      </c>
      <c r="AY90" s="133">
        <v>6.751</v>
      </c>
      <c r="AZ90" s="133">
        <v>6.752</v>
      </c>
      <c r="BA90" s="144">
        <f t="shared" si="89"/>
        <v>-0.000999999999999446</v>
      </c>
      <c r="BB90" s="113" t="str">
        <f t="shared" si="71"/>
        <v>195/50R15-T-118</v>
      </c>
    </row>
    <row r="91" spans="2:54">
      <c r="B91" s="119" t="s">
        <v>805</v>
      </c>
      <c r="C91" s="120" t="s">
        <v>1074</v>
      </c>
      <c r="D91" s="120" t="s">
        <v>1135</v>
      </c>
      <c r="E91" s="125" t="s">
        <v>1435</v>
      </c>
      <c r="F91" s="133">
        <f t="shared" si="76"/>
        <v>65.113</v>
      </c>
      <c r="G91" s="133">
        <v>64.4</v>
      </c>
      <c r="H91" s="128">
        <v>63.8474</v>
      </c>
      <c r="I91" s="144">
        <f t="shared" si="62"/>
        <v>0.552600000000005</v>
      </c>
      <c r="J91" s="115" t="str">
        <f t="shared" si="72"/>
        <v>10.00R20-16PR-SUPER AM S</v>
      </c>
      <c r="K91" s="119" t="s">
        <v>1421</v>
      </c>
      <c r="L91" s="120" t="s">
        <v>946</v>
      </c>
      <c r="M91" s="121" t="s">
        <v>1015</v>
      </c>
      <c r="N91" s="125" t="s">
        <v>1432</v>
      </c>
      <c r="O91" s="124" t="s">
        <v>66</v>
      </c>
      <c r="P91" s="120">
        <v>8.36</v>
      </c>
      <c r="Q91" s="120">
        <v>8.52</v>
      </c>
      <c r="R91" s="143">
        <f t="shared" si="87"/>
        <v>-0.16</v>
      </c>
      <c r="S91" s="113" t="str">
        <f t="shared" si="68"/>
        <v>20.5X8.0-10-10PR-ZT202</v>
      </c>
      <c r="T91" s="122"/>
      <c r="U91" s="123"/>
      <c r="V91" s="123"/>
      <c r="W91" s="123"/>
      <c r="X91" s="123"/>
      <c r="Y91" s="123"/>
      <c r="Z91" s="123"/>
      <c r="AA91" s="151"/>
      <c r="AB91" s="113" t="str">
        <f t="shared" si="86"/>
        <v/>
      </c>
      <c r="AC91" s="119" t="s">
        <v>1436</v>
      </c>
      <c r="AD91" s="120" t="s">
        <v>962</v>
      </c>
      <c r="AE91" s="120" t="s">
        <v>1412</v>
      </c>
      <c r="AF91" s="154" t="s">
        <v>1437</v>
      </c>
      <c r="AG91" s="154" t="s">
        <v>66</v>
      </c>
      <c r="AH91" s="133">
        <v>24.96</v>
      </c>
      <c r="AI91" s="120">
        <v>25.73</v>
      </c>
      <c r="AJ91" s="144">
        <f t="shared" si="90"/>
        <v>-0.77</v>
      </c>
      <c r="AK91" s="113" t="str">
        <f t="shared" si="69"/>
        <v>29X12-15-8PR-STRONG GUARD R1</v>
      </c>
      <c r="AL91" s="119" t="s">
        <v>1378</v>
      </c>
      <c r="AM91" s="120" t="s">
        <v>946</v>
      </c>
      <c r="AN91" s="120" t="s">
        <v>1104</v>
      </c>
      <c r="AO91" s="120" t="s">
        <v>1438</v>
      </c>
      <c r="AP91" s="120"/>
      <c r="AQ91" s="133">
        <v>11.028</v>
      </c>
      <c r="AR91" s="133">
        <v>10.982</v>
      </c>
      <c r="AS91" s="144">
        <f t="shared" si="81"/>
        <v>0.0460000000000012</v>
      </c>
      <c r="AT91" s="113" t="str">
        <f t="shared" si="70"/>
        <v>ST205/75R15-10PR-ST100A</v>
      </c>
      <c r="AU91" s="119" t="s">
        <v>1426</v>
      </c>
      <c r="AV91" s="120" t="s">
        <v>66</v>
      </c>
      <c r="AW91" s="175" t="s">
        <v>979</v>
      </c>
      <c r="AX91" s="120" t="s">
        <v>1427</v>
      </c>
      <c r="AY91" s="133">
        <v>6.751</v>
      </c>
      <c r="AZ91" s="133">
        <v>6.752</v>
      </c>
      <c r="BA91" s="144">
        <f t="shared" si="89"/>
        <v>-0.000999999999999446</v>
      </c>
      <c r="BB91" s="113" t="str">
        <f t="shared" si="71"/>
        <v>195/50R15-Z-108</v>
      </c>
    </row>
    <row r="92" ht="17" spans="2:54">
      <c r="B92" s="119" t="s">
        <v>805</v>
      </c>
      <c r="C92" s="120" t="s">
        <v>1074</v>
      </c>
      <c r="D92" s="120" t="s">
        <v>1138</v>
      </c>
      <c r="E92" s="125" t="s">
        <v>1435</v>
      </c>
      <c r="F92" s="133">
        <f t="shared" si="76"/>
        <v>65.113</v>
      </c>
      <c r="G92" s="133">
        <v>64.4</v>
      </c>
      <c r="H92" s="128">
        <v>63.8474</v>
      </c>
      <c r="I92" s="144">
        <f t="shared" si="62"/>
        <v>0.552600000000005</v>
      </c>
      <c r="J92" s="115" t="str">
        <f t="shared" si="72"/>
        <v>10.00R20-16PR-MOBY.R856X</v>
      </c>
      <c r="K92" s="119" t="s">
        <v>1421</v>
      </c>
      <c r="L92" s="120" t="s">
        <v>934</v>
      </c>
      <c r="M92" s="121" t="s">
        <v>1008</v>
      </c>
      <c r="N92" s="125" t="s">
        <v>1432</v>
      </c>
      <c r="O92" s="124" t="s">
        <v>66</v>
      </c>
      <c r="P92" s="120">
        <v>8.36</v>
      </c>
      <c r="Q92" s="120">
        <v>8.52</v>
      </c>
      <c r="R92" s="143">
        <f t="shared" si="87"/>
        <v>-0.16</v>
      </c>
      <c r="S92" s="113" t="str">
        <f t="shared" si="68"/>
        <v>20.5X8.0-10-12PR-SU202</v>
      </c>
      <c r="T92" s="119" t="s">
        <v>1439</v>
      </c>
      <c r="U92" s="120" t="s">
        <v>942</v>
      </c>
      <c r="V92" s="120" t="s">
        <v>1440</v>
      </c>
      <c r="W92" s="120" t="s">
        <v>66</v>
      </c>
      <c r="X92" s="120"/>
      <c r="Y92" s="133">
        <v>1.486</v>
      </c>
      <c r="Z92" s="133">
        <v>1.49</v>
      </c>
      <c r="AA92" s="144">
        <f t="shared" si="88"/>
        <v>-0.004</v>
      </c>
      <c r="AB92" s="113" t="str">
        <f t="shared" si="86"/>
        <v>2.75-10-4PR-H-972-2</v>
      </c>
      <c r="AC92" s="122"/>
      <c r="AD92" s="123"/>
      <c r="AE92" s="123"/>
      <c r="AF92" s="123"/>
      <c r="AG92" s="123"/>
      <c r="AH92" s="123"/>
      <c r="AI92" s="123"/>
      <c r="AJ92" s="151"/>
      <c r="AK92" s="113" t="str">
        <f t="shared" si="69"/>
        <v/>
      </c>
      <c r="AL92" s="119" t="s">
        <v>1378</v>
      </c>
      <c r="AM92" s="120" t="s">
        <v>946</v>
      </c>
      <c r="AN92" s="120" t="s">
        <v>1110</v>
      </c>
      <c r="AO92" s="120" t="s">
        <v>1438</v>
      </c>
      <c r="AP92" s="120"/>
      <c r="AQ92" s="133">
        <v>11.028</v>
      </c>
      <c r="AR92" s="133">
        <v>10.982</v>
      </c>
      <c r="AS92" s="144">
        <f t="shared" si="81"/>
        <v>0.0460000000000012</v>
      </c>
      <c r="AT92" s="113" t="str">
        <f t="shared" si="70"/>
        <v>ST205/75R15-10PR-DURAHAULER ST</v>
      </c>
      <c r="AU92" s="122"/>
      <c r="AV92" s="123"/>
      <c r="AW92" s="123"/>
      <c r="AX92" s="123"/>
      <c r="AY92" s="130"/>
      <c r="AZ92" s="130"/>
      <c r="BA92" s="145"/>
      <c r="BB92" s="113" t="str">
        <f t="shared" si="71"/>
        <v/>
      </c>
    </row>
    <row r="93" ht="17" spans="2:54">
      <c r="B93" s="119" t="s">
        <v>805</v>
      </c>
      <c r="C93" s="120" t="s">
        <v>1092</v>
      </c>
      <c r="D93" s="121" t="s">
        <v>1135</v>
      </c>
      <c r="E93" s="120" t="s">
        <v>1435</v>
      </c>
      <c r="F93" s="127">
        <f t="shared" si="76"/>
        <v>65.113</v>
      </c>
      <c r="G93" s="133">
        <v>64.4</v>
      </c>
      <c r="H93" s="128">
        <v>63.8474</v>
      </c>
      <c r="I93" s="144">
        <f t="shared" si="62"/>
        <v>0.552600000000005</v>
      </c>
      <c r="J93" s="115" t="str">
        <f t="shared" si="72"/>
        <v>10.00R20-18PR-SUPER AM S</v>
      </c>
      <c r="K93" s="119" t="s">
        <v>1421</v>
      </c>
      <c r="L93" s="120" t="s">
        <v>934</v>
      </c>
      <c r="M93" s="121" t="s">
        <v>1015</v>
      </c>
      <c r="N93" s="125" t="s">
        <v>1432</v>
      </c>
      <c r="O93" s="124" t="s">
        <v>66</v>
      </c>
      <c r="P93" s="120">
        <v>8.36</v>
      </c>
      <c r="Q93" s="120">
        <v>8.52</v>
      </c>
      <c r="R93" s="143">
        <f t="shared" si="87"/>
        <v>-0.16</v>
      </c>
      <c r="S93" s="113" t="str">
        <f t="shared" si="68"/>
        <v>20.5X8.0-10-12PR-ZT202</v>
      </c>
      <c r="T93" s="122"/>
      <c r="U93" s="123"/>
      <c r="V93" s="123"/>
      <c r="W93" s="123"/>
      <c r="X93" s="123"/>
      <c r="Y93" s="123"/>
      <c r="Z93" s="123"/>
      <c r="AA93" s="151"/>
      <c r="AB93" s="113" t="str">
        <f t="shared" si="86"/>
        <v/>
      </c>
      <c r="AC93" s="119" t="s">
        <v>1441</v>
      </c>
      <c r="AD93" s="120" t="s">
        <v>946</v>
      </c>
      <c r="AE93" s="120" t="s">
        <v>1412</v>
      </c>
      <c r="AF93" s="154" t="s">
        <v>1442</v>
      </c>
      <c r="AG93" s="154" t="s">
        <v>66</v>
      </c>
      <c r="AH93" s="133">
        <v>40.61</v>
      </c>
      <c r="AI93" s="120">
        <v>40.48</v>
      </c>
      <c r="AJ93" s="144">
        <f t="shared" si="90"/>
        <v>0.130000000000003</v>
      </c>
      <c r="AK93" s="113" t="str">
        <f t="shared" si="69"/>
        <v>31X15.5-15-10PR-STRONG GUARD R1</v>
      </c>
      <c r="AL93" s="119" t="s">
        <v>1378</v>
      </c>
      <c r="AM93" s="120" t="s">
        <v>946</v>
      </c>
      <c r="AN93" s="120" t="s">
        <v>1120</v>
      </c>
      <c r="AO93" s="120" t="s">
        <v>1438</v>
      </c>
      <c r="AP93" s="120"/>
      <c r="AQ93" s="133">
        <v>11.028</v>
      </c>
      <c r="AR93" s="133">
        <v>10.982</v>
      </c>
      <c r="AS93" s="144">
        <f t="shared" si="81"/>
        <v>0.0460000000000012</v>
      </c>
      <c r="AT93" s="113" t="str">
        <f t="shared" si="70"/>
        <v>ST205/75R15-10PR-ASSURE ST</v>
      </c>
      <c r="AU93" s="119" t="s">
        <v>1443</v>
      </c>
      <c r="AV93" s="120" t="s">
        <v>66</v>
      </c>
      <c r="AW93" s="120" t="s">
        <v>953</v>
      </c>
      <c r="AX93" s="120" t="s">
        <v>1444</v>
      </c>
      <c r="AY93" s="133">
        <v>7.1</v>
      </c>
      <c r="AZ93" s="133">
        <v>7.099</v>
      </c>
      <c r="BA93" s="144">
        <f t="shared" ref="BA93:BA96" si="91">AY93-AZ93</f>
        <v>0.000999999999999446</v>
      </c>
      <c r="BB93" s="113" t="str">
        <f t="shared" si="71"/>
        <v>195/55R15-C-108</v>
      </c>
    </row>
    <row r="94" ht="13.8" customHeight="1" spans="2:54">
      <c r="B94" s="119" t="s">
        <v>805</v>
      </c>
      <c r="C94" s="120" t="s">
        <v>1092</v>
      </c>
      <c r="D94" s="121" t="s">
        <v>1138</v>
      </c>
      <c r="E94" s="138" t="s">
        <v>1435</v>
      </c>
      <c r="F94" s="133">
        <f t="shared" si="76"/>
        <v>65.113</v>
      </c>
      <c r="G94" s="133">
        <v>64.4</v>
      </c>
      <c r="H94" s="128">
        <v>63.8474</v>
      </c>
      <c r="I94" s="144">
        <f t="shared" si="62"/>
        <v>0.552600000000005</v>
      </c>
      <c r="J94" s="115" t="str">
        <f t="shared" si="72"/>
        <v>10.00R20-18PR-MOBY.R856X</v>
      </c>
      <c r="K94" s="122"/>
      <c r="L94" s="123"/>
      <c r="M94" s="123"/>
      <c r="N94" s="123"/>
      <c r="O94" s="123"/>
      <c r="P94" s="123"/>
      <c r="Q94" s="123"/>
      <c r="R94" s="151"/>
      <c r="S94" s="113" t="str">
        <f t="shared" si="68"/>
        <v/>
      </c>
      <c r="T94" s="119" t="s">
        <v>1445</v>
      </c>
      <c r="U94" s="120" t="s">
        <v>942</v>
      </c>
      <c r="V94" s="120" t="s">
        <v>1446</v>
      </c>
      <c r="W94" s="120" t="s">
        <v>1447</v>
      </c>
      <c r="X94" s="120"/>
      <c r="Y94" s="133">
        <v>1.722</v>
      </c>
      <c r="Z94" s="133">
        <v>1.75</v>
      </c>
      <c r="AA94" s="144">
        <f t="shared" ref="AA94:AA96" si="92">Y94-Z94</f>
        <v>-0.028</v>
      </c>
      <c r="AB94" s="113" t="str">
        <f t="shared" si="86"/>
        <v>3.00-10-4PR-H788</v>
      </c>
      <c r="AC94" s="119" t="s">
        <v>1441</v>
      </c>
      <c r="AD94" s="120" t="s">
        <v>946</v>
      </c>
      <c r="AE94" s="120" t="s">
        <v>1448</v>
      </c>
      <c r="AF94" s="154" t="s">
        <v>1449</v>
      </c>
      <c r="AG94" s="154" t="s">
        <v>66</v>
      </c>
      <c r="AH94" s="133">
        <v>46.43</v>
      </c>
      <c r="AI94" s="120">
        <v>46.18</v>
      </c>
      <c r="AJ94" s="144">
        <f t="shared" si="90"/>
        <v>0.25</v>
      </c>
      <c r="AK94" s="113" t="str">
        <f t="shared" si="69"/>
        <v>31X15.5-15-10PR-STRONG GUARD SS4</v>
      </c>
      <c r="AL94" s="119" t="s">
        <v>1378</v>
      </c>
      <c r="AM94" s="120" t="s">
        <v>946</v>
      </c>
      <c r="AN94" s="120" t="s">
        <v>1125</v>
      </c>
      <c r="AO94" s="120" t="s">
        <v>1438</v>
      </c>
      <c r="AP94" s="120"/>
      <c r="AQ94" s="133">
        <v>11.028</v>
      </c>
      <c r="AR94" s="133">
        <v>10.982</v>
      </c>
      <c r="AS94" s="144">
        <f t="shared" si="81"/>
        <v>0.0460000000000012</v>
      </c>
      <c r="AT94" s="113" t="str">
        <f t="shared" si="70"/>
        <v>ST205/75R15-10PR-Tow Pro ST</v>
      </c>
      <c r="AU94" s="119" t="s">
        <v>1443</v>
      </c>
      <c r="AV94" s="120" t="s">
        <v>66</v>
      </c>
      <c r="AW94" s="120" t="s">
        <v>956</v>
      </c>
      <c r="AX94" s="120" t="s">
        <v>1444</v>
      </c>
      <c r="AY94" s="133">
        <v>7.1</v>
      </c>
      <c r="AZ94" s="133">
        <v>7.099</v>
      </c>
      <c r="BA94" s="144">
        <f t="shared" si="91"/>
        <v>0.000999999999999446</v>
      </c>
      <c r="BB94" s="113" t="str">
        <f t="shared" si="71"/>
        <v>195/55R15-G-118</v>
      </c>
    </row>
    <row r="95" spans="2:54">
      <c r="B95" s="119" t="s">
        <v>805</v>
      </c>
      <c r="C95" s="120" t="s">
        <v>1092</v>
      </c>
      <c r="D95" s="121" t="s">
        <v>1450</v>
      </c>
      <c r="E95" s="120" t="s">
        <v>1451</v>
      </c>
      <c r="F95" s="127">
        <f t="shared" si="76"/>
        <v>56.084</v>
      </c>
      <c r="G95" s="127">
        <v>55.371</v>
      </c>
      <c r="H95" s="182">
        <v>54.36</v>
      </c>
      <c r="I95" s="144">
        <f t="shared" si="62"/>
        <v>1.011</v>
      </c>
      <c r="J95" s="115" t="str">
        <f t="shared" si="72"/>
        <v>10.00R20-18PR-AT196</v>
      </c>
      <c r="K95" s="119" t="s">
        <v>1452</v>
      </c>
      <c r="L95" s="120" t="s">
        <v>965</v>
      </c>
      <c r="M95" s="120" t="s">
        <v>1453</v>
      </c>
      <c r="N95" s="120" t="s">
        <v>1454</v>
      </c>
      <c r="O95" s="120" t="s">
        <v>66</v>
      </c>
      <c r="P95" s="120">
        <v>7.51</v>
      </c>
      <c r="Q95" s="133">
        <v>7.09</v>
      </c>
      <c r="R95" s="143">
        <f t="shared" ref="R95:R98" si="93">P95-Q95</f>
        <v>0.42</v>
      </c>
      <c r="S95" s="113" t="str">
        <f t="shared" si="68"/>
        <v>ST175/80D13-6PR-H180</v>
      </c>
      <c r="T95" s="119" t="s">
        <v>1445</v>
      </c>
      <c r="U95" s="120" t="s">
        <v>942</v>
      </c>
      <c r="V95" s="120" t="s">
        <v>1455</v>
      </c>
      <c r="W95" s="120" t="s">
        <v>1447</v>
      </c>
      <c r="X95" s="120"/>
      <c r="Y95" s="133">
        <v>1.722</v>
      </c>
      <c r="Z95" s="133">
        <v>1.75</v>
      </c>
      <c r="AA95" s="144">
        <f t="shared" si="92"/>
        <v>-0.028</v>
      </c>
      <c r="AB95" s="113" t="str">
        <f t="shared" si="86"/>
        <v>3.00-10-4PR-H788-2</v>
      </c>
      <c r="AC95" s="191"/>
      <c r="AD95" s="123"/>
      <c r="AE95" s="123"/>
      <c r="AF95" s="123"/>
      <c r="AG95" s="130"/>
      <c r="AH95" s="130"/>
      <c r="AI95" s="123"/>
      <c r="AJ95" s="151"/>
      <c r="AK95" s="113" t="str">
        <f t="shared" si="69"/>
        <v/>
      </c>
      <c r="AL95" s="119" t="s">
        <v>1378</v>
      </c>
      <c r="AM95" s="120" t="s">
        <v>965</v>
      </c>
      <c r="AN95" s="120" t="s">
        <v>984</v>
      </c>
      <c r="AO95" s="120" t="s">
        <v>1456</v>
      </c>
      <c r="AP95" s="120"/>
      <c r="AQ95" s="133">
        <v>9.285</v>
      </c>
      <c r="AR95" s="133">
        <v>9.228</v>
      </c>
      <c r="AS95" s="144">
        <f t="shared" si="81"/>
        <v>0.0570000000000004</v>
      </c>
      <c r="AT95" s="113" t="str">
        <f t="shared" si="70"/>
        <v>ST205/75R15-6PR-ST Radial</v>
      </c>
      <c r="AU95" s="119" t="s">
        <v>1443</v>
      </c>
      <c r="AV95" s="120" t="s">
        <v>66</v>
      </c>
      <c r="AW95" s="175" t="s">
        <v>970</v>
      </c>
      <c r="AX95" s="120" t="s">
        <v>1444</v>
      </c>
      <c r="AY95" s="133">
        <v>7.1</v>
      </c>
      <c r="AZ95" s="133">
        <v>7.099</v>
      </c>
      <c r="BA95" s="144">
        <f t="shared" si="91"/>
        <v>0.000999999999999446</v>
      </c>
      <c r="BB95" s="113" t="str">
        <f t="shared" si="71"/>
        <v>195/55R15-T-118</v>
      </c>
    </row>
    <row r="96" spans="2:54">
      <c r="B96" s="119" t="s">
        <v>805</v>
      </c>
      <c r="C96" s="120" t="s">
        <v>1074</v>
      </c>
      <c r="D96" s="120" t="s">
        <v>1457</v>
      </c>
      <c r="E96" s="120" t="s">
        <v>1458</v>
      </c>
      <c r="F96" s="133">
        <f>G96-3.55+4.192</f>
        <v>55.425</v>
      </c>
      <c r="G96" s="133">
        <v>54.783</v>
      </c>
      <c r="H96" s="128">
        <v>54.49</v>
      </c>
      <c r="I96" s="144">
        <f t="shared" si="62"/>
        <v>0.292999999999999</v>
      </c>
      <c r="J96" s="115" t="str">
        <f t="shared" ref="J96:J111" si="94">_xlfn.TEXTJOIN("-",TRUE,B96,C96,D96)</f>
        <v>10.00R20-16PR-I-181</v>
      </c>
      <c r="K96" s="119" t="s">
        <v>1452</v>
      </c>
      <c r="L96" s="120" t="s">
        <v>965</v>
      </c>
      <c r="M96" s="120" t="s">
        <v>1316</v>
      </c>
      <c r="N96" s="125" t="s">
        <v>1459</v>
      </c>
      <c r="O96" s="120" t="s">
        <v>66</v>
      </c>
      <c r="P96" s="120">
        <v>6.87</v>
      </c>
      <c r="Q96" s="120">
        <v>6.84</v>
      </c>
      <c r="R96" s="143">
        <f t="shared" si="93"/>
        <v>0.0300000000000002</v>
      </c>
      <c r="S96" s="113" t="str">
        <f t="shared" si="68"/>
        <v>ST175/80D13-6PR-ST600</v>
      </c>
      <c r="T96" s="119" t="s">
        <v>1445</v>
      </c>
      <c r="U96" s="120" t="s">
        <v>965</v>
      </c>
      <c r="V96" s="120" t="s">
        <v>1455</v>
      </c>
      <c r="W96" s="120" t="s">
        <v>1460</v>
      </c>
      <c r="X96" s="120"/>
      <c r="Y96" s="133">
        <v>1.818</v>
      </c>
      <c r="Z96" s="133">
        <v>1.87</v>
      </c>
      <c r="AA96" s="144">
        <f t="shared" si="92"/>
        <v>-0.052</v>
      </c>
      <c r="AB96" s="113" t="str">
        <f t="shared" si="86"/>
        <v>3.00-10-6PR-H788-2</v>
      </c>
      <c r="AF96" s="192"/>
      <c r="AG96" s="192"/>
      <c r="AH96" s="194"/>
      <c r="AJ96" s="194"/>
      <c r="AK96" s="113" t="str">
        <f t="shared" si="69"/>
        <v/>
      </c>
      <c r="AL96" s="119" t="s">
        <v>1378</v>
      </c>
      <c r="AM96" s="120" t="s">
        <v>965</v>
      </c>
      <c r="AN96" s="120" t="s">
        <v>1167</v>
      </c>
      <c r="AO96" s="120" t="s">
        <v>1456</v>
      </c>
      <c r="AP96" s="120"/>
      <c r="AQ96" s="133">
        <v>9.285</v>
      </c>
      <c r="AR96" s="133">
        <v>9.228</v>
      </c>
      <c r="AS96" s="144">
        <f t="shared" si="81"/>
        <v>0.0570000000000004</v>
      </c>
      <c r="AT96" s="113" t="str">
        <f t="shared" si="70"/>
        <v>ST205/75R15-6PR-ST200</v>
      </c>
      <c r="AU96" s="119" t="s">
        <v>1443</v>
      </c>
      <c r="AV96" s="120" t="s">
        <v>66</v>
      </c>
      <c r="AW96" s="175" t="s">
        <v>979</v>
      </c>
      <c r="AX96" s="120" t="s">
        <v>1444</v>
      </c>
      <c r="AY96" s="133">
        <v>7.1</v>
      </c>
      <c r="AZ96" s="133">
        <v>7.099</v>
      </c>
      <c r="BA96" s="144">
        <f t="shared" si="91"/>
        <v>0.000999999999999446</v>
      </c>
      <c r="BB96" s="113" t="str">
        <f t="shared" si="71"/>
        <v>195/55R15-Z-108</v>
      </c>
    </row>
    <row r="97" ht="13.8" customHeight="1" spans="2:54">
      <c r="B97" s="119" t="s">
        <v>805</v>
      </c>
      <c r="C97" s="120" t="s">
        <v>1074</v>
      </c>
      <c r="D97" s="120" t="s">
        <v>1461</v>
      </c>
      <c r="E97" s="120" t="s">
        <v>1458</v>
      </c>
      <c r="F97" s="133">
        <f>G97-3.55+4.192</f>
        <v>55.425</v>
      </c>
      <c r="G97" s="133">
        <v>54.783</v>
      </c>
      <c r="H97" s="128">
        <v>54.49</v>
      </c>
      <c r="I97" s="144">
        <f t="shared" si="62"/>
        <v>0.292999999999999</v>
      </c>
      <c r="J97" s="115" t="str">
        <f t="shared" si="94"/>
        <v>10.00R20-16PR-CR976A</v>
      </c>
      <c r="K97" s="119" t="s">
        <v>1452</v>
      </c>
      <c r="L97" s="120" t="s">
        <v>965</v>
      </c>
      <c r="M97" s="120" t="s">
        <v>1320</v>
      </c>
      <c r="N97" s="125" t="s">
        <v>1459</v>
      </c>
      <c r="O97" s="120" t="s">
        <v>66</v>
      </c>
      <c r="P97" s="120">
        <v>6.87</v>
      </c>
      <c r="Q97" s="120">
        <v>6.84</v>
      </c>
      <c r="R97" s="143">
        <f t="shared" si="93"/>
        <v>0.0300000000000002</v>
      </c>
      <c r="S97" s="113" t="str">
        <f t="shared" si="68"/>
        <v>ST175/80D13-6PR-TE898</v>
      </c>
      <c r="T97" s="122"/>
      <c r="U97" s="123"/>
      <c r="V97" s="123"/>
      <c r="W97" s="123"/>
      <c r="X97" s="123"/>
      <c r="Y97" s="123"/>
      <c r="Z97" s="123"/>
      <c r="AA97" s="151"/>
      <c r="AB97" s="113" t="str">
        <f t="shared" si="86"/>
        <v/>
      </c>
      <c r="AF97" s="192"/>
      <c r="AG97" s="192"/>
      <c r="AH97" s="194"/>
      <c r="AJ97" s="194"/>
      <c r="AK97" s="113" t="str">
        <f t="shared" si="69"/>
        <v/>
      </c>
      <c r="AL97" s="119" t="s">
        <v>1378</v>
      </c>
      <c r="AM97" s="120" t="s">
        <v>965</v>
      </c>
      <c r="AN97" s="170" t="s">
        <v>993</v>
      </c>
      <c r="AO97" s="120" t="s">
        <v>1456</v>
      </c>
      <c r="AP97" s="120"/>
      <c r="AQ97" s="133">
        <v>9.285</v>
      </c>
      <c r="AR97" s="133">
        <v>9.228</v>
      </c>
      <c r="AS97" s="144">
        <f t="shared" si="81"/>
        <v>0.0570000000000004</v>
      </c>
      <c r="AT97" s="113" t="str">
        <f t="shared" si="70"/>
        <v>ST205/75R15-6PR-RAINIER ST</v>
      </c>
      <c r="AU97" s="122"/>
      <c r="AV97" s="123"/>
      <c r="AW97" s="123"/>
      <c r="AX97" s="123"/>
      <c r="AY97" s="130"/>
      <c r="AZ97" s="130"/>
      <c r="BA97" s="145"/>
      <c r="BB97" s="113" t="str">
        <f t="shared" si="71"/>
        <v/>
      </c>
    </row>
    <row r="98" ht="13.8" customHeight="1" spans="2:54">
      <c r="B98" s="119" t="s">
        <v>805</v>
      </c>
      <c r="C98" s="120" t="s">
        <v>1092</v>
      </c>
      <c r="D98" s="120" t="s">
        <v>1462</v>
      </c>
      <c r="E98" s="120" t="s">
        <v>1463</v>
      </c>
      <c r="F98" s="133">
        <f t="shared" ref="F98:F103" si="95">G98-3.6+4.26</f>
        <v>62.31</v>
      </c>
      <c r="G98" s="133">
        <v>61.65</v>
      </c>
      <c r="H98" s="128">
        <v>61.65</v>
      </c>
      <c r="I98" s="144">
        <f t="shared" si="62"/>
        <v>0</v>
      </c>
      <c r="J98" s="115" t="str">
        <f t="shared" si="94"/>
        <v>10.00R20-18PR-EZ175</v>
      </c>
      <c r="K98" s="119" t="s">
        <v>1452</v>
      </c>
      <c r="L98" s="120" t="s">
        <v>965</v>
      </c>
      <c r="M98" s="120" t="s">
        <v>1322</v>
      </c>
      <c r="N98" s="125" t="s">
        <v>1459</v>
      </c>
      <c r="O98" s="120" t="s">
        <v>66</v>
      </c>
      <c r="P98" s="120">
        <v>6.87</v>
      </c>
      <c r="Q98" s="120">
        <v>6.84</v>
      </c>
      <c r="R98" s="143">
        <f t="shared" si="93"/>
        <v>0.0300000000000002</v>
      </c>
      <c r="S98" s="113" t="str">
        <f t="shared" si="68"/>
        <v>ST175/80D13-6PR-RC-101</v>
      </c>
      <c r="T98" s="119" t="s">
        <v>1464</v>
      </c>
      <c r="U98" s="120" t="s">
        <v>942</v>
      </c>
      <c r="V98" s="120" t="s">
        <v>1465</v>
      </c>
      <c r="W98" s="120" t="s">
        <v>66</v>
      </c>
      <c r="X98" s="120"/>
      <c r="Y98" s="133">
        <v>1.169</v>
      </c>
      <c r="Z98" s="133">
        <v>1.17</v>
      </c>
      <c r="AA98" s="144">
        <f t="shared" ref="AA98:AA102" si="96">Y98-Z98</f>
        <v>-0.00099999999999989</v>
      </c>
      <c r="AB98" s="113" t="str">
        <f t="shared" si="86"/>
        <v>60/100-10-4PR-H-972</v>
      </c>
      <c r="AC98" s="193"/>
      <c r="AD98" s="193"/>
      <c r="AE98" s="193"/>
      <c r="AF98" s="193"/>
      <c r="AG98" s="193"/>
      <c r="AH98" s="193">
        <v>24.96</v>
      </c>
      <c r="AI98" s="193"/>
      <c r="AK98" s="113" t="s">
        <v>1466</v>
      </c>
      <c r="AL98" s="119" t="s">
        <v>1378</v>
      </c>
      <c r="AM98" s="120" t="s">
        <v>962</v>
      </c>
      <c r="AN98" s="120" t="s">
        <v>984</v>
      </c>
      <c r="AO98" s="120" t="s">
        <v>1467</v>
      </c>
      <c r="AP98" s="120"/>
      <c r="AQ98" s="133">
        <v>10.236</v>
      </c>
      <c r="AR98" s="133">
        <v>10.045</v>
      </c>
      <c r="AS98" s="144">
        <f t="shared" si="81"/>
        <v>0.191000000000001</v>
      </c>
      <c r="AT98" s="113" t="str">
        <f t="shared" si="70"/>
        <v>ST205/75R15-8PR-ST Radial</v>
      </c>
      <c r="AU98" s="119" t="s">
        <v>1468</v>
      </c>
      <c r="AV98" s="120" t="s">
        <v>66</v>
      </c>
      <c r="AW98" s="120" t="s">
        <v>953</v>
      </c>
      <c r="AX98" s="120" t="s">
        <v>1469</v>
      </c>
      <c r="AY98" s="133">
        <v>7.6</v>
      </c>
      <c r="AZ98" s="133">
        <v>7.6</v>
      </c>
      <c r="BA98" s="144">
        <f t="shared" ref="BA98:BA101" si="97">AY98-AZ98</f>
        <v>0</v>
      </c>
      <c r="BB98" s="113" t="str">
        <f t="shared" si="71"/>
        <v>195/55R16-C-108</v>
      </c>
    </row>
    <row r="99" spans="2:54">
      <c r="B99" s="119" t="s">
        <v>805</v>
      </c>
      <c r="C99" s="120" t="s">
        <v>1092</v>
      </c>
      <c r="D99" s="120" t="s">
        <v>1176</v>
      </c>
      <c r="E99" s="120" t="s">
        <v>1470</v>
      </c>
      <c r="F99" s="133">
        <f t="shared" ref="F99:F104" si="98">G99-3.48+4.19</f>
        <v>64.481</v>
      </c>
      <c r="G99" s="133">
        <v>63.771</v>
      </c>
      <c r="H99" s="128">
        <v>63.73</v>
      </c>
      <c r="I99" s="144">
        <f t="shared" si="62"/>
        <v>0.0410000000000039</v>
      </c>
      <c r="J99" s="115" t="str">
        <f t="shared" si="94"/>
        <v>10.00R20-18PR-EZ865</v>
      </c>
      <c r="K99" s="122"/>
      <c r="L99" s="123"/>
      <c r="M99" s="123"/>
      <c r="N99" s="123"/>
      <c r="O99" s="123"/>
      <c r="P99" s="123"/>
      <c r="Q99" s="123"/>
      <c r="R99" s="151"/>
      <c r="S99" s="113" t="str">
        <f t="shared" si="68"/>
        <v/>
      </c>
      <c r="T99" s="122"/>
      <c r="U99" s="123"/>
      <c r="V99" s="123"/>
      <c r="W99" s="123"/>
      <c r="X99" s="123"/>
      <c r="Y99" s="123"/>
      <c r="Z99" s="123"/>
      <c r="AA99" s="151"/>
      <c r="AB99" s="113" t="str">
        <f t="shared" si="86"/>
        <v/>
      </c>
      <c r="AC99" s="193"/>
      <c r="AD99" s="193"/>
      <c r="AE99" s="193"/>
      <c r="AF99" s="193"/>
      <c r="AG99" s="193"/>
      <c r="AH99" s="193">
        <v>11.99</v>
      </c>
      <c r="AI99" s="193"/>
      <c r="AK99" s="113" t="s">
        <v>1471</v>
      </c>
      <c r="AL99" s="119" t="s">
        <v>1378</v>
      </c>
      <c r="AM99" s="120" t="s">
        <v>962</v>
      </c>
      <c r="AN99" s="120" t="s">
        <v>1167</v>
      </c>
      <c r="AO99" s="120" t="s">
        <v>1467</v>
      </c>
      <c r="AP99" s="120"/>
      <c r="AQ99" s="133">
        <v>10.236</v>
      </c>
      <c r="AR99" s="133">
        <v>10.045</v>
      </c>
      <c r="AS99" s="144">
        <f t="shared" si="81"/>
        <v>0.191000000000001</v>
      </c>
      <c r="AT99" s="113" t="str">
        <f t="shared" si="70"/>
        <v>ST205/75R15-8PR-ST200</v>
      </c>
      <c r="AU99" s="119" t="s">
        <v>1468</v>
      </c>
      <c r="AV99" s="120" t="s">
        <v>66</v>
      </c>
      <c r="AW99" s="120" t="s">
        <v>956</v>
      </c>
      <c r="AX99" s="120" t="s">
        <v>1469</v>
      </c>
      <c r="AY99" s="133">
        <v>7.6</v>
      </c>
      <c r="AZ99" s="133">
        <v>7.6</v>
      </c>
      <c r="BA99" s="144">
        <f t="shared" si="97"/>
        <v>0</v>
      </c>
      <c r="BB99" s="113" t="str">
        <f t="shared" si="71"/>
        <v>195/55R16-G-118</v>
      </c>
    </row>
    <row r="100" spans="2:54">
      <c r="B100" s="119" t="s">
        <v>805</v>
      </c>
      <c r="C100" s="120" t="s">
        <v>1092</v>
      </c>
      <c r="D100" s="120" t="s">
        <v>1181</v>
      </c>
      <c r="E100" s="120" t="s">
        <v>1470</v>
      </c>
      <c r="F100" s="133">
        <f t="shared" si="98"/>
        <v>64.481</v>
      </c>
      <c r="G100" s="133">
        <v>63.771</v>
      </c>
      <c r="H100" s="128">
        <v>63.73</v>
      </c>
      <c r="I100" s="144">
        <f t="shared" si="62"/>
        <v>0.0410000000000039</v>
      </c>
      <c r="J100" s="115" t="str">
        <f t="shared" si="94"/>
        <v>10.00R20-18PR-EZ861</v>
      </c>
      <c r="K100" s="119" t="s">
        <v>1472</v>
      </c>
      <c r="L100" s="120" t="s">
        <v>965</v>
      </c>
      <c r="M100" s="120" t="s">
        <v>1453</v>
      </c>
      <c r="N100" s="120" t="s">
        <v>1473</v>
      </c>
      <c r="O100" s="120" t="s">
        <v>66</v>
      </c>
      <c r="P100" s="120">
        <v>9.29</v>
      </c>
      <c r="Q100" s="133">
        <v>8.78</v>
      </c>
      <c r="R100" s="143">
        <f t="shared" ref="R100:R103" si="99">P100-Q100</f>
        <v>0.51</v>
      </c>
      <c r="S100" s="113" t="str">
        <f t="shared" si="68"/>
        <v>ST205/75D14-6PR-H180</v>
      </c>
      <c r="T100" s="119" t="s">
        <v>1474</v>
      </c>
      <c r="U100" s="120" t="s">
        <v>942</v>
      </c>
      <c r="V100" s="120" t="s">
        <v>1475</v>
      </c>
      <c r="W100" s="120" t="s">
        <v>1476</v>
      </c>
      <c r="X100" s="120"/>
      <c r="Y100" s="133">
        <v>1.93</v>
      </c>
      <c r="Z100" s="133">
        <v>1.94</v>
      </c>
      <c r="AA100" s="144">
        <f t="shared" si="96"/>
        <v>-0.01</v>
      </c>
      <c r="AB100" s="113" t="str">
        <f t="shared" si="86"/>
        <v>70/90-14-4PR-H577</v>
      </c>
      <c r="AC100" s="193"/>
      <c r="AD100" s="193"/>
      <c r="AE100" s="193"/>
      <c r="AF100" s="193"/>
      <c r="AG100" s="193"/>
      <c r="AH100" s="193">
        <v>15.58</v>
      </c>
      <c r="AI100" s="193"/>
      <c r="AK100" s="113" t="s">
        <v>1477</v>
      </c>
      <c r="AL100" s="119" t="s">
        <v>1378</v>
      </c>
      <c r="AM100" s="120" t="s">
        <v>962</v>
      </c>
      <c r="AN100" s="170" t="s">
        <v>993</v>
      </c>
      <c r="AO100" s="120" t="s">
        <v>1467</v>
      </c>
      <c r="AP100" s="120"/>
      <c r="AQ100" s="133">
        <v>10.236</v>
      </c>
      <c r="AR100" s="133">
        <v>10.045</v>
      </c>
      <c r="AS100" s="144">
        <f t="shared" si="81"/>
        <v>0.191000000000001</v>
      </c>
      <c r="AT100" s="113" t="str">
        <f t="shared" si="70"/>
        <v>ST205/75R15-8PR-RAINIER ST</v>
      </c>
      <c r="AU100" s="119" t="s">
        <v>1468</v>
      </c>
      <c r="AV100" s="120" t="s">
        <v>66</v>
      </c>
      <c r="AW100" s="175" t="s">
        <v>970</v>
      </c>
      <c r="AX100" s="120" t="s">
        <v>1469</v>
      </c>
      <c r="AY100" s="133">
        <v>7.6</v>
      </c>
      <c r="AZ100" s="133">
        <v>7.6</v>
      </c>
      <c r="BA100" s="144">
        <f t="shared" si="97"/>
        <v>0</v>
      </c>
      <c r="BB100" s="113" t="str">
        <f t="shared" si="71"/>
        <v>195/55R16-T-118</v>
      </c>
    </row>
    <row r="101" ht="13.8" customHeight="1" spans="2:54">
      <c r="B101" s="119" t="s">
        <v>805</v>
      </c>
      <c r="C101" s="120" t="s">
        <v>1092</v>
      </c>
      <c r="D101" s="120" t="s">
        <v>1478</v>
      </c>
      <c r="E101" s="120" t="s">
        <v>1479</v>
      </c>
      <c r="F101" s="133">
        <f t="shared" si="95"/>
        <v>62.48</v>
      </c>
      <c r="G101" s="133">
        <v>61.82</v>
      </c>
      <c r="H101" s="128">
        <v>61.8</v>
      </c>
      <c r="I101" s="144">
        <f t="shared" si="62"/>
        <v>0.0200000000000031</v>
      </c>
      <c r="J101" s="115" t="str">
        <f t="shared" si="94"/>
        <v>10.00R20-18PR-EZ093</v>
      </c>
      <c r="K101" s="119" t="s">
        <v>1472</v>
      </c>
      <c r="L101" s="120" t="s">
        <v>965</v>
      </c>
      <c r="M101" s="120" t="s">
        <v>1316</v>
      </c>
      <c r="N101" s="125" t="s">
        <v>1480</v>
      </c>
      <c r="O101" s="120" t="s">
        <v>66</v>
      </c>
      <c r="P101" s="120">
        <v>8.93</v>
      </c>
      <c r="Q101" s="133">
        <v>8.9</v>
      </c>
      <c r="R101" s="143">
        <f t="shared" si="99"/>
        <v>0.0299999999999994</v>
      </c>
      <c r="S101" s="113" t="str">
        <f t="shared" si="68"/>
        <v>ST205/75D14-6PR-ST600</v>
      </c>
      <c r="T101" s="119" t="s">
        <v>1474</v>
      </c>
      <c r="U101" s="120" t="s">
        <v>942</v>
      </c>
      <c r="V101" s="120" t="s">
        <v>1481</v>
      </c>
      <c r="W101" s="120" t="s">
        <v>1482</v>
      </c>
      <c r="X101" s="120"/>
      <c r="Y101" s="133">
        <v>1.94</v>
      </c>
      <c r="Z101" s="133">
        <v>1.94</v>
      </c>
      <c r="AA101" s="144">
        <f t="shared" si="96"/>
        <v>0</v>
      </c>
      <c r="AB101" s="113" t="str">
        <f t="shared" si="86"/>
        <v>70/90-14-4PR-H597</v>
      </c>
      <c r="AC101" s="193"/>
      <c r="AD101" s="193"/>
      <c r="AE101" s="193"/>
      <c r="AF101" s="193"/>
      <c r="AG101" s="193"/>
      <c r="AH101" s="193">
        <v>21.41</v>
      </c>
      <c r="AI101" s="193"/>
      <c r="AK101" s="113" t="s">
        <v>1483</v>
      </c>
      <c r="AL101" s="119" t="s">
        <v>1378</v>
      </c>
      <c r="AM101" s="120" t="s">
        <v>965</v>
      </c>
      <c r="AN101" s="120" t="s">
        <v>1188</v>
      </c>
      <c r="AO101" s="120" t="s">
        <v>1484</v>
      </c>
      <c r="AP101" s="120"/>
      <c r="AQ101" s="133">
        <v>9.956</v>
      </c>
      <c r="AR101" s="133">
        <v>9.875</v>
      </c>
      <c r="AS101" s="144">
        <f>AQ102-AR101</f>
        <v>0.698</v>
      </c>
      <c r="AT101" s="113" t="str">
        <f t="shared" si="70"/>
        <v>ST205/75R15-6PR-ST226</v>
      </c>
      <c r="AU101" s="119" t="s">
        <v>1468</v>
      </c>
      <c r="AV101" s="120" t="s">
        <v>66</v>
      </c>
      <c r="AW101" s="175" t="s">
        <v>979</v>
      </c>
      <c r="AX101" s="120" t="s">
        <v>1469</v>
      </c>
      <c r="AY101" s="133">
        <v>7.6</v>
      </c>
      <c r="AZ101" s="133">
        <v>7.6</v>
      </c>
      <c r="BA101" s="144">
        <f t="shared" si="97"/>
        <v>0</v>
      </c>
      <c r="BB101" s="113" t="str">
        <f t="shared" si="71"/>
        <v>195/55R16-Z-108</v>
      </c>
    </row>
    <row r="102" spans="2:54">
      <c r="B102" s="119" t="s">
        <v>805</v>
      </c>
      <c r="C102" s="120" t="s">
        <v>1092</v>
      </c>
      <c r="D102" s="120" t="s">
        <v>1485</v>
      </c>
      <c r="E102" s="120" t="s">
        <v>1486</v>
      </c>
      <c r="F102" s="133">
        <f t="shared" si="95"/>
        <v>56.343</v>
      </c>
      <c r="G102" s="133">
        <v>55.683</v>
      </c>
      <c r="H102" s="128">
        <v>55.67</v>
      </c>
      <c r="I102" s="144">
        <f t="shared" si="62"/>
        <v>0.0129999999999981</v>
      </c>
      <c r="J102" s="115" t="str">
        <f t="shared" si="94"/>
        <v>10.00R20-18PR-EZ033</v>
      </c>
      <c r="K102" s="119" t="s">
        <v>1472</v>
      </c>
      <c r="L102" s="120" t="s">
        <v>965</v>
      </c>
      <c r="M102" s="120" t="s">
        <v>1320</v>
      </c>
      <c r="N102" s="125" t="s">
        <v>1480</v>
      </c>
      <c r="O102" s="120" t="s">
        <v>66</v>
      </c>
      <c r="P102" s="120">
        <v>8.93</v>
      </c>
      <c r="Q102" s="133">
        <v>8.9</v>
      </c>
      <c r="R102" s="143">
        <f t="shared" si="99"/>
        <v>0.0299999999999994</v>
      </c>
      <c r="S102" s="113" t="str">
        <f t="shared" si="68"/>
        <v>ST205/75D14-6PR-TE898</v>
      </c>
      <c r="T102" s="119" t="s">
        <v>1474</v>
      </c>
      <c r="U102" s="120" t="s">
        <v>942</v>
      </c>
      <c r="V102" s="120" t="s">
        <v>1487</v>
      </c>
      <c r="W102" s="120" t="s">
        <v>1488</v>
      </c>
      <c r="X102" s="120"/>
      <c r="Y102" s="133">
        <v>1.965</v>
      </c>
      <c r="Z102" s="133">
        <v>1.96</v>
      </c>
      <c r="AA102" s="144">
        <f t="shared" si="96"/>
        <v>0.00500000000000012</v>
      </c>
      <c r="AB102" s="113" t="str">
        <f t="shared" si="86"/>
        <v>70/90-14-4PR-H999A</v>
      </c>
      <c r="AC102" s="193"/>
      <c r="AD102" s="193"/>
      <c r="AE102" s="193"/>
      <c r="AF102" s="193"/>
      <c r="AG102" s="193"/>
      <c r="AH102" s="193"/>
      <c r="AI102" s="193"/>
      <c r="AK102" s="113" t="str">
        <f t="shared" si="69"/>
        <v/>
      </c>
      <c r="AL102" s="119" t="s">
        <v>1378</v>
      </c>
      <c r="AM102" s="120" t="s">
        <v>962</v>
      </c>
      <c r="AN102" s="120" t="s">
        <v>1188</v>
      </c>
      <c r="AO102" s="120" t="s">
        <v>1489</v>
      </c>
      <c r="AP102" s="120"/>
      <c r="AQ102" s="133">
        <v>10.573</v>
      </c>
      <c r="AR102" s="133">
        <v>10.416</v>
      </c>
      <c r="AS102" s="144">
        <f>AQ101-AQ102</f>
        <v>-0.617000000000001</v>
      </c>
      <c r="AT102" s="113" t="str">
        <f t="shared" si="70"/>
        <v>ST205/75R15-8PR-ST226</v>
      </c>
      <c r="AU102" s="122"/>
      <c r="AV102" s="123"/>
      <c r="AW102" s="123"/>
      <c r="AX102" s="123"/>
      <c r="AY102" s="130"/>
      <c r="AZ102" s="130"/>
      <c r="BA102" s="145"/>
      <c r="BB102" s="113" t="str">
        <f t="shared" si="71"/>
        <v/>
      </c>
    </row>
    <row r="103" spans="2:54">
      <c r="B103" s="119" t="s">
        <v>805</v>
      </c>
      <c r="C103" s="120" t="s">
        <v>1092</v>
      </c>
      <c r="D103" s="120" t="s">
        <v>1490</v>
      </c>
      <c r="E103" s="120" t="s">
        <v>1491</v>
      </c>
      <c r="F103" s="133">
        <f t="shared" si="95"/>
        <v>55.202</v>
      </c>
      <c r="G103" s="133">
        <v>54.542</v>
      </c>
      <c r="H103" s="128">
        <v>54.73</v>
      </c>
      <c r="I103" s="144">
        <f t="shared" si="62"/>
        <v>-0.187999999999995</v>
      </c>
      <c r="J103" s="115" t="str">
        <f t="shared" si="94"/>
        <v>10.00R20-18PR-AZ183</v>
      </c>
      <c r="K103" s="119" t="s">
        <v>1472</v>
      </c>
      <c r="L103" s="120" t="s">
        <v>965</v>
      </c>
      <c r="M103" s="120" t="s">
        <v>1322</v>
      </c>
      <c r="N103" s="125" t="s">
        <v>1480</v>
      </c>
      <c r="O103" s="120" t="s">
        <v>66</v>
      </c>
      <c r="P103" s="120">
        <v>8.93</v>
      </c>
      <c r="Q103" s="133">
        <v>8.9</v>
      </c>
      <c r="R103" s="143">
        <f t="shared" si="99"/>
        <v>0.0299999999999994</v>
      </c>
      <c r="S103" s="113" t="str">
        <f t="shared" si="68"/>
        <v>ST205/75D14-6PR-RC-101</v>
      </c>
      <c r="T103" s="122"/>
      <c r="U103" s="123"/>
      <c r="V103" s="123"/>
      <c r="W103" s="123"/>
      <c r="X103" s="123"/>
      <c r="Y103" s="123"/>
      <c r="Z103" s="123"/>
      <c r="AA103" s="151"/>
      <c r="AB103" s="113" t="str">
        <f t="shared" si="86"/>
        <v/>
      </c>
      <c r="AC103" s="193"/>
      <c r="AD103" s="193"/>
      <c r="AE103" s="193"/>
      <c r="AF103" s="193"/>
      <c r="AG103" s="193"/>
      <c r="AH103" s="193"/>
      <c r="AI103" s="193"/>
      <c r="AK103" s="113" t="str">
        <f t="shared" si="69"/>
        <v/>
      </c>
      <c r="AL103" s="122"/>
      <c r="AM103" s="123"/>
      <c r="AN103" s="123"/>
      <c r="AO103" s="123"/>
      <c r="AP103" s="123"/>
      <c r="AQ103" s="123"/>
      <c r="AR103" s="123"/>
      <c r="AS103" s="151"/>
      <c r="AT103" s="113" t="str">
        <f t="shared" si="70"/>
        <v/>
      </c>
      <c r="AU103" s="119" t="s">
        <v>1492</v>
      </c>
      <c r="AV103" s="120" t="s">
        <v>66</v>
      </c>
      <c r="AW103" s="120" t="s">
        <v>953</v>
      </c>
      <c r="AX103" s="120" t="s">
        <v>1493</v>
      </c>
      <c r="AY103" s="133">
        <v>8.077</v>
      </c>
      <c r="AZ103" s="133">
        <v>7.078</v>
      </c>
      <c r="BA103" s="144">
        <f t="shared" ref="BA103:BA107" si="100">AY103-AZ103</f>
        <v>0.999</v>
      </c>
      <c r="BB103" s="113" t="str">
        <f t="shared" si="71"/>
        <v>195/60R15-C-108</v>
      </c>
    </row>
    <row r="104" ht="17" spans="2:54">
      <c r="B104" s="119" t="s">
        <v>805</v>
      </c>
      <c r="C104" s="120" t="s">
        <v>1092</v>
      </c>
      <c r="D104" s="120" t="s">
        <v>1494</v>
      </c>
      <c r="E104" s="120" t="s">
        <v>1495</v>
      </c>
      <c r="F104" s="133">
        <f t="shared" si="98"/>
        <v>63.28</v>
      </c>
      <c r="G104" s="133">
        <v>62.57</v>
      </c>
      <c r="H104" s="128">
        <v>62.46</v>
      </c>
      <c r="I104" s="144">
        <f t="shared" si="62"/>
        <v>0.109999999999999</v>
      </c>
      <c r="J104" s="115" t="str">
        <f t="shared" si="94"/>
        <v>10.00R20-18PR-CR926Max</v>
      </c>
      <c r="K104" s="122"/>
      <c r="L104" s="123"/>
      <c r="M104" s="123"/>
      <c r="N104" s="186"/>
      <c r="O104" s="123"/>
      <c r="P104" s="123"/>
      <c r="Q104" s="123"/>
      <c r="R104" s="151"/>
      <c r="S104" s="113" t="str">
        <f t="shared" si="68"/>
        <v/>
      </c>
      <c r="T104" s="119" t="s">
        <v>1496</v>
      </c>
      <c r="U104" s="120" t="s">
        <v>942</v>
      </c>
      <c r="V104" s="120" t="s">
        <v>1475</v>
      </c>
      <c r="W104" s="120" t="s">
        <v>1497</v>
      </c>
      <c r="X104" s="120"/>
      <c r="Y104" s="133">
        <v>2.18</v>
      </c>
      <c r="Z104" s="133">
        <v>2.165</v>
      </c>
      <c r="AA104" s="144">
        <f t="shared" ref="AA104:AA106" si="101">Y104-Z104</f>
        <v>0.0150000000000001</v>
      </c>
      <c r="AB104" s="113" t="str">
        <f t="shared" si="86"/>
        <v>80/80-14-4PR-H577</v>
      </c>
      <c r="AF104" s="192"/>
      <c r="AG104" s="192"/>
      <c r="AH104" s="194"/>
      <c r="AJ104" s="194"/>
      <c r="AK104" s="113" t="str">
        <f t="shared" si="69"/>
        <v/>
      </c>
      <c r="AL104" s="119" t="s">
        <v>1498</v>
      </c>
      <c r="AM104" s="120" t="s">
        <v>962</v>
      </c>
      <c r="AN104" s="120" t="s">
        <v>984</v>
      </c>
      <c r="AO104" s="120" t="s">
        <v>1499</v>
      </c>
      <c r="AP104" s="120"/>
      <c r="AQ104" s="133">
        <v>10.277</v>
      </c>
      <c r="AR104" s="133">
        <v>10.236</v>
      </c>
      <c r="AS104" s="144">
        <f t="shared" ref="AS104:AS115" si="102">AQ104-AR104</f>
        <v>0.0409999999999986</v>
      </c>
      <c r="AT104" s="113" t="str">
        <f t="shared" si="70"/>
        <v>ST215/75R14-8PR-ST Radial</v>
      </c>
      <c r="AU104" s="119" t="s">
        <v>1492</v>
      </c>
      <c r="AV104" s="120" t="s">
        <v>66</v>
      </c>
      <c r="AW104" s="120" t="s">
        <v>956</v>
      </c>
      <c r="AX104" s="120" t="s">
        <v>1493</v>
      </c>
      <c r="AY104" s="133">
        <v>8.077</v>
      </c>
      <c r="AZ104" s="133">
        <v>7.078</v>
      </c>
      <c r="BA104" s="144">
        <f t="shared" si="100"/>
        <v>0.999</v>
      </c>
      <c r="BB104" s="113" t="str">
        <f t="shared" si="71"/>
        <v>195/60R15-G-118</v>
      </c>
    </row>
    <row r="105" ht="13.8" customHeight="1" spans="2:54">
      <c r="B105" s="122"/>
      <c r="C105" s="123"/>
      <c r="D105" s="123"/>
      <c r="E105" s="123"/>
      <c r="F105" s="130"/>
      <c r="G105" s="130"/>
      <c r="H105" s="139"/>
      <c r="I105" s="151"/>
      <c r="J105" s="115" t="str">
        <f t="shared" si="94"/>
        <v/>
      </c>
      <c r="K105" s="119" t="s">
        <v>1500</v>
      </c>
      <c r="L105" s="120" t="s">
        <v>965</v>
      </c>
      <c r="M105" s="120" t="s">
        <v>1453</v>
      </c>
      <c r="N105" s="120" t="s">
        <v>1501</v>
      </c>
      <c r="O105" s="120" t="s">
        <v>66</v>
      </c>
      <c r="P105" s="120">
        <v>9.81</v>
      </c>
      <c r="Q105" s="133">
        <v>9</v>
      </c>
      <c r="R105" s="143">
        <f t="shared" ref="R105:R108" si="103">P105-Q105</f>
        <v>0.81</v>
      </c>
      <c r="S105" s="113" t="str">
        <f t="shared" si="68"/>
        <v>ST205/75D15-6PR-H180</v>
      </c>
      <c r="T105" s="119" t="s">
        <v>1496</v>
      </c>
      <c r="U105" s="120" t="s">
        <v>66</v>
      </c>
      <c r="V105" s="120" t="s">
        <v>1481</v>
      </c>
      <c r="W105" s="120" t="s">
        <v>1502</v>
      </c>
      <c r="X105" s="120"/>
      <c r="Y105" s="133">
        <v>2.21</v>
      </c>
      <c r="Z105" s="133">
        <v>2.21</v>
      </c>
      <c r="AA105" s="144">
        <f t="shared" si="101"/>
        <v>0</v>
      </c>
      <c r="AB105" s="113" t="str">
        <f t="shared" si="86"/>
        <v>80/80-14-/-H597</v>
      </c>
      <c r="AC105" s="193"/>
      <c r="AD105" s="193"/>
      <c r="AE105" s="193"/>
      <c r="AF105" s="193"/>
      <c r="AG105" s="193"/>
      <c r="AH105" s="193"/>
      <c r="AI105" s="193"/>
      <c r="AK105" s="113" t="str">
        <f t="shared" si="69"/>
        <v/>
      </c>
      <c r="AL105" s="119" t="s">
        <v>1498</v>
      </c>
      <c r="AM105" s="120" t="s">
        <v>965</v>
      </c>
      <c r="AN105" s="120" t="s">
        <v>1080</v>
      </c>
      <c r="AO105" s="120" t="s">
        <v>1503</v>
      </c>
      <c r="AP105" s="120"/>
      <c r="AQ105" s="133">
        <v>10.144</v>
      </c>
      <c r="AR105" s="133">
        <v>9.927</v>
      </c>
      <c r="AS105" s="144">
        <f t="shared" si="102"/>
        <v>0.217000000000001</v>
      </c>
      <c r="AT105" s="113" t="str">
        <f t="shared" si="70"/>
        <v>ST215/75R14-6PR-ST100</v>
      </c>
      <c r="AU105" s="119" t="s">
        <v>1492</v>
      </c>
      <c r="AV105" s="120" t="s">
        <v>66</v>
      </c>
      <c r="AW105" s="175" t="s">
        <v>970</v>
      </c>
      <c r="AX105" s="120" t="s">
        <v>1493</v>
      </c>
      <c r="AY105" s="133">
        <v>8.077</v>
      </c>
      <c r="AZ105" s="133">
        <v>7.078</v>
      </c>
      <c r="BA105" s="144">
        <f t="shared" si="100"/>
        <v>0.999</v>
      </c>
      <c r="BB105" s="113" t="str">
        <f t="shared" si="71"/>
        <v>195/60R15-T-118</v>
      </c>
    </row>
    <row r="106" spans="2:54">
      <c r="B106" s="119" t="s">
        <v>803</v>
      </c>
      <c r="C106" s="120" t="s">
        <v>1092</v>
      </c>
      <c r="D106" s="120" t="s">
        <v>1096</v>
      </c>
      <c r="E106" s="125" t="s">
        <v>1504</v>
      </c>
      <c r="F106" s="133">
        <f t="shared" ref="F106:F115" si="104">G106-4.743+5.799</f>
        <v>77.225</v>
      </c>
      <c r="G106" s="133">
        <v>76.169</v>
      </c>
      <c r="H106" s="128">
        <v>75.28</v>
      </c>
      <c r="I106" s="144">
        <f t="shared" ref="I106:I141" si="105">G106-H106</f>
        <v>0.888999999999996</v>
      </c>
      <c r="J106" s="115" t="str">
        <f t="shared" si="94"/>
        <v>11.00R20-18PR-CB972</v>
      </c>
      <c r="K106" s="119" t="s">
        <v>1500</v>
      </c>
      <c r="L106" s="120" t="s">
        <v>965</v>
      </c>
      <c r="M106" s="120" t="s">
        <v>1316</v>
      </c>
      <c r="N106" s="125" t="s">
        <v>1505</v>
      </c>
      <c r="O106" s="120" t="s">
        <v>66</v>
      </c>
      <c r="P106" s="120">
        <v>9.22</v>
      </c>
      <c r="Q106" s="120">
        <v>9.19</v>
      </c>
      <c r="R106" s="143">
        <f t="shared" si="103"/>
        <v>0.0300000000000011</v>
      </c>
      <c r="S106" s="113" t="str">
        <f t="shared" si="68"/>
        <v>ST205/75D15-6PR-ST600</v>
      </c>
      <c r="T106" s="119" t="s">
        <v>1496</v>
      </c>
      <c r="U106" s="120" t="s">
        <v>66</v>
      </c>
      <c r="V106" s="120" t="s">
        <v>1487</v>
      </c>
      <c r="W106" s="120" t="s">
        <v>1506</v>
      </c>
      <c r="X106" s="120"/>
      <c r="Y106" s="133">
        <v>2.28</v>
      </c>
      <c r="Z106" s="133">
        <v>2.24</v>
      </c>
      <c r="AA106" s="144">
        <f t="shared" si="101"/>
        <v>0.0399999999999996</v>
      </c>
      <c r="AB106" s="113" t="str">
        <f t="shared" si="86"/>
        <v>80/80-14-/-H999A</v>
      </c>
      <c r="AC106" s="193"/>
      <c r="AD106" s="193"/>
      <c r="AE106" s="193"/>
      <c r="AF106" s="193"/>
      <c r="AG106" s="193"/>
      <c r="AH106" s="193"/>
      <c r="AI106" s="193"/>
      <c r="AK106" s="113" t="str">
        <f t="shared" si="69"/>
        <v/>
      </c>
      <c r="AL106" s="119" t="s">
        <v>1498</v>
      </c>
      <c r="AM106" s="120" t="s">
        <v>965</v>
      </c>
      <c r="AN106" s="120" t="s">
        <v>1087</v>
      </c>
      <c r="AO106" s="120" t="s">
        <v>1503</v>
      </c>
      <c r="AP106" s="120"/>
      <c r="AQ106" s="133">
        <v>10.144</v>
      </c>
      <c r="AR106" s="133">
        <v>9.927</v>
      </c>
      <c r="AS106" s="144">
        <f t="shared" si="102"/>
        <v>0.217000000000001</v>
      </c>
      <c r="AT106" s="113" t="str">
        <f t="shared" si="70"/>
        <v>ST215/75R14-6PR-STZC</v>
      </c>
      <c r="AU106" s="119" t="s">
        <v>1492</v>
      </c>
      <c r="AV106" s="120" t="s">
        <v>66</v>
      </c>
      <c r="AW106" s="175" t="s">
        <v>979</v>
      </c>
      <c r="AX106" s="120" t="s">
        <v>1493</v>
      </c>
      <c r="AY106" s="133">
        <v>8.077</v>
      </c>
      <c r="AZ106" s="133">
        <v>7.078</v>
      </c>
      <c r="BA106" s="144">
        <f t="shared" si="100"/>
        <v>0.999</v>
      </c>
      <c r="BB106" s="113" t="str">
        <f t="shared" si="71"/>
        <v>195/60R15-Z-108</v>
      </c>
    </row>
    <row r="107" spans="2:54">
      <c r="B107" s="119" t="s">
        <v>803</v>
      </c>
      <c r="C107" s="120" t="s">
        <v>1092</v>
      </c>
      <c r="D107" s="121" t="s">
        <v>1370</v>
      </c>
      <c r="E107" s="125" t="s">
        <v>1504</v>
      </c>
      <c r="F107" s="127">
        <f t="shared" si="104"/>
        <v>77.225</v>
      </c>
      <c r="G107" s="133">
        <v>76.169</v>
      </c>
      <c r="H107" s="128">
        <v>75.28</v>
      </c>
      <c r="I107" s="144">
        <f t="shared" si="105"/>
        <v>0.888999999999996</v>
      </c>
      <c r="J107" s="115" t="str">
        <f t="shared" si="94"/>
        <v>11.00R20-18PR-TZ101</v>
      </c>
      <c r="K107" s="119" t="s">
        <v>1500</v>
      </c>
      <c r="L107" s="120" t="s">
        <v>965</v>
      </c>
      <c r="M107" s="120" t="s">
        <v>1320</v>
      </c>
      <c r="N107" s="125" t="s">
        <v>1505</v>
      </c>
      <c r="O107" s="120" t="s">
        <v>66</v>
      </c>
      <c r="P107" s="120">
        <v>9.22</v>
      </c>
      <c r="Q107" s="120">
        <v>9.19</v>
      </c>
      <c r="R107" s="143">
        <f t="shared" si="103"/>
        <v>0.0300000000000011</v>
      </c>
      <c r="S107" s="113" t="str">
        <f t="shared" si="68"/>
        <v>ST205/75D15-6PR-TE898</v>
      </c>
      <c r="T107" s="122"/>
      <c r="U107" s="123"/>
      <c r="V107" s="123"/>
      <c r="W107" s="123"/>
      <c r="X107" s="123"/>
      <c r="Y107" s="123"/>
      <c r="Z107" s="123"/>
      <c r="AA107" s="151"/>
      <c r="AB107" s="113" t="str">
        <f t="shared" si="86"/>
        <v/>
      </c>
      <c r="AC107" s="193"/>
      <c r="AD107" s="193"/>
      <c r="AE107" s="193"/>
      <c r="AF107" s="193"/>
      <c r="AG107" s="193"/>
      <c r="AH107" s="193"/>
      <c r="AI107" s="193"/>
      <c r="AK107" s="113" t="str">
        <f t="shared" si="69"/>
        <v/>
      </c>
      <c r="AL107" s="119" t="s">
        <v>1498</v>
      </c>
      <c r="AM107" s="120" t="s">
        <v>962</v>
      </c>
      <c r="AN107" s="120" t="s">
        <v>1080</v>
      </c>
      <c r="AO107" s="120" t="s">
        <v>1507</v>
      </c>
      <c r="AP107" s="120"/>
      <c r="AQ107" s="133">
        <v>11.279</v>
      </c>
      <c r="AR107" s="133">
        <v>11.146</v>
      </c>
      <c r="AS107" s="144">
        <f t="shared" si="102"/>
        <v>0.132999999999999</v>
      </c>
      <c r="AT107" s="113" t="str">
        <f t="shared" si="70"/>
        <v>ST215/75R14-8PR-ST100</v>
      </c>
      <c r="AU107" s="119" t="s">
        <v>1492</v>
      </c>
      <c r="AV107" s="120" t="s">
        <v>66</v>
      </c>
      <c r="AW107" s="175" t="s">
        <v>1218</v>
      </c>
      <c r="AX107" s="120" t="s">
        <v>1508</v>
      </c>
      <c r="AY107" s="133">
        <v>8.03</v>
      </c>
      <c r="AZ107" s="133">
        <v>8.028</v>
      </c>
      <c r="BA107" s="144">
        <f t="shared" si="100"/>
        <v>0.00199999999999889</v>
      </c>
      <c r="BB107" s="113" t="str">
        <f t="shared" si="71"/>
        <v>195/60R15-RP218</v>
      </c>
    </row>
    <row r="108" ht="13.8" customHeight="1" spans="2:54">
      <c r="B108" s="119" t="s">
        <v>803</v>
      </c>
      <c r="C108" s="120" t="s">
        <v>1092</v>
      </c>
      <c r="D108" s="121" t="s">
        <v>1380</v>
      </c>
      <c r="E108" s="125" t="s">
        <v>1504</v>
      </c>
      <c r="F108" s="127">
        <f t="shared" si="104"/>
        <v>77.225</v>
      </c>
      <c r="G108" s="133">
        <v>76.169</v>
      </c>
      <c r="H108" s="128">
        <v>75.28</v>
      </c>
      <c r="I108" s="144">
        <f t="shared" si="105"/>
        <v>0.888999999999996</v>
      </c>
      <c r="J108" s="115" t="str">
        <f t="shared" si="94"/>
        <v>11.00R20-18PR-MT100</v>
      </c>
      <c r="K108" s="119" t="s">
        <v>1500</v>
      </c>
      <c r="L108" s="120" t="s">
        <v>965</v>
      </c>
      <c r="M108" s="120" t="s">
        <v>1322</v>
      </c>
      <c r="N108" s="125" t="s">
        <v>1505</v>
      </c>
      <c r="O108" s="120" t="s">
        <v>66</v>
      </c>
      <c r="P108" s="120">
        <v>9.22</v>
      </c>
      <c r="Q108" s="120">
        <v>9.19</v>
      </c>
      <c r="R108" s="143">
        <f t="shared" si="103"/>
        <v>0.0300000000000011</v>
      </c>
      <c r="S108" s="113" t="str">
        <f t="shared" si="68"/>
        <v>ST205/75D15-6PR-RC-101</v>
      </c>
      <c r="T108" s="119" t="s">
        <v>1509</v>
      </c>
      <c r="U108" s="120" t="s">
        <v>942</v>
      </c>
      <c r="V108" s="120" t="s">
        <v>1510</v>
      </c>
      <c r="W108" s="120" t="s">
        <v>1511</v>
      </c>
      <c r="X108" s="120"/>
      <c r="Y108" s="133">
        <v>1.882</v>
      </c>
      <c r="Z108" s="133">
        <v>1.87</v>
      </c>
      <c r="AA108" s="144">
        <f t="shared" ref="AA108:AA115" si="106">Y108-Z108</f>
        <v>0.0119999999999998</v>
      </c>
      <c r="AB108" s="113" t="str">
        <f t="shared" si="86"/>
        <v>80/90-12-4PR-H565-2</v>
      </c>
      <c r="AC108" s="193"/>
      <c r="AD108" s="193"/>
      <c r="AE108" s="193"/>
      <c r="AF108" s="193"/>
      <c r="AG108" s="193"/>
      <c r="AH108" s="193"/>
      <c r="AI108" s="193"/>
      <c r="AK108" s="113" t="str">
        <f t="shared" si="69"/>
        <v/>
      </c>
      <c r="AL108" s="119" t="s">
        <v>1498</v>
      </c>
      <c r="AM108" s="120" t="s">
        <v>965</v>
      </c>
      <c r="AN108" s="120" t="s">
        <v>1104</v>
      </c>
      <c r="AO108" s="120" t="s">
        <v>1512</v>
      </c>
      <c r="AP108" s="120"/>
      <c r="AQ108" s="133">
        <v>9.278</v>
      </c>
      <c r="AR108" s="133">
        <v>9.142</v>
      </c>
      <c r="AS108" s="144">
        <f t="shared" si="102"/>
        <v>0.136000000000001</v>
      </c>
      <c r="AT108" s="113" t="str">
        <f t="shared" si="70"/>
        <v>ST215/75R14-6PR-ST100A</v>
      </c>
      <c r="AU108" s="122"/>
      <c r="AV108" s="123"/>
      <c r="AW108" s="123"/>
      <c r="AX108" s="123"/>
      <c r="AY108" s="130"/>
      <c r="AZ108" s="130"/>
      <c r="BA108" s="145"/>
      <c r="BB108" s="113" t="str">
        <f t="shared" si="71"/>
        <v/>
      </c>
    </row>
    <row r="109" spans="2:54">
      <c r="B109" s="119" t="s">
        <v>803</v>
      </c>
      <c r="C109" s="120" t="s">
        <v>1092</v>
      </c>
      <c r="D109" s="121" t="s">
        <v>1513</v>
      </c>
      <c r="E109" s="125" t="s">
        <v>1504</v>
      </c>
      <c r="F109" s="127">
        <f t="shared" si="104"/>
        <v>77.225</v>
      </c>
      <c r="G109" s="133">
        <v>76.169</v>
      </c>
      <c r="H109" s="128">
        <v>75.28</v>
      </c>
      <c r="I109" s="144">
        <f t="shared" si="105"/>
        <v>0.888999999999996</v>
      </c>
      <c r="J109" s="115" t="str">
        <f t="shared" si="94"/>
        <v>11.00R20-18PR-CB919A</v>
      </c>
      <c r="K109" s="122"/>
      <c r="L109" s="123"/>
      <c r="M109" s="123"/>
      <c r="N109" s="123"/>
      <c r="O109" s="123"/>
      <c r="P109" s="123"/>
      <c r="Q109" s="123"/>
      <c r="R109" s="151"/>
      <c r="S109" s="113" t="str">
        <f t="shared" si="68"/>
        <v/>
      </c>
      <c r="T109" s="119" t="s">
        <v>1509</v>
      </c>
      <c r="U109" s="120" t="s">
        <v>965</v>
      </c>
      <c r="V109" s="120" t="s">
        <v>1510</v>
      </c>
      <c r="W109" s="120" t="s">
        <v>1514</v>
      </c>
      <c r="X109" s="120"/>
      <c r="Y109" s="133">
        <v>1.947</v>
      </c>
      <c r="Z109" s="133">
        <v>1.94</v>
      </c>
      <c r="AA109" s="144">
        <f t="shared" si="106"/>
        <v>0.00700000000000012</v>
      </c>
      <c r="AB109" s="113" t="str">
        <f t="shared" si="86"/>
        <v>80/90-12-6PR-H565-2</v>
      </c>
      <c r="AC109" s="193"/>
      <c r="AD109" s="193"/>
      <c r="AE109" s="193"/>
      <c r="AF109" s="193"/>
      <c r="AG109" s="193"/>
      <c r="AH109" s="193"/>
      <c r="AI109" s="193"/>
      <c r="AK109" s="113" t="str">
        <f t="shared" si="69"/>
        <v/>
      </c>
      <c r="AL109" s="119" t="s">
        <v>1498</v>
      </c>
      <c r="AM109" s="120" t="s">
        <v>965</v>
      </c>
      <c r="AN109" s="120" t="s">
        <v>1110</v>
      </c>
      <c r="AO109" s="120" t="s">
        <v>1512</v>
      </c>
      <c r="AP109" s="120"/>
      <c r="AQ109" s="133">
        <v>9.278</v>
      </c>
      <c r="AR109" s="133">
        <v>9.142</v>
      </c>
      <c r="AS109" s="144">
        <f t="shared" si="102"/>
        <v>0.136000000000001</v>
      </c>
      <c r="AT109" s="113" t="str">
        <f t="shared" si="70"/>
        <v>ST215/75R14-6PR-DURAHAULER ST</v>
      </c>
      <c r="AU109" s="119" t="s">
        <v>1515</v>
      </c>
      <c r="AV109" s="120" t="s">
        <v>66</v>
      </c>
      <c r="AW109" s="120" t="s">
        <v>953</v>
      </c>
      <c r="AX109" s="120" t="s">
        <v>1516</v>
      </c>
      <c r="AY109" s="133">
        <v>7.077</v>
      </c>
      <c r="AZ109" s="133">
        <v>7.413</v>
      </c>
      <c r="BA109" s="144">
        <f t="shared" ref="BA109:BA112" si="107">AY109-AZ109</f>
        <v>-0.336</v>
      </c>
      <c r="BB109" s="113" t="str">
        <f t="shared" si="71"/>
        <v>195/60R16-C-108</v>
      </c>
    </row>
    <row r="110" spans="2:54">
      <c r="B110" s="119" t="s">
        <v>803</v>
      </c>
      <c r="C110" s="120" t="s">
        <v>1092</v>
      </c>
      <c r="D110" s="121" t="s">
        <v>1517</v>
      </c>
      <c r="E110" s="120" t="s">
        <v>1518</v>
      </c>
      <c r="F110" s="127">
        <f t="shared" si="104"/>
        <v>73.114</v>
      </c>
      <c r="G110" s="127">
        <v>72.058</v>
      </c>
      <c r="H110" s="128">
        <v>70.6554</v>
      </c>
      <c r="I110" s="144">
        <f t="shared" si="105"/>
        <v>1.40260000000001</v>
      </c>
      <c r="J110" s="115" t="str">
        <f t="shared" si="94"/>
        <v>11.00R20-18PR-CB332A</v>
      </c>
      <c r="K110" s="119" t="s">
        <v>1519</v>
      </c>
      <c r="L110" s="120" t="s">
        <v>965</v>
      </c>
      <c r="M110" s="120" t="s">
        <v>1453</v>
      </c>
      <c r="N110" s="120" t="s">
        <v>1520</v>
      </c>
      <c r="O110" s="120" t="s">
        <v>66</v>
      </c>
      <c r="P110" s="120">
        <v>10.17</v>
      </c>
      <c r="Q110" s="120">
        <v>10.13</v>
      </c>
      <c r="R110" s="143">
        <f t="shared" ref="R110:R115" si="108">P110-Q110</f>
        <v>0.0399999999999991</v>
      </c>
      <c r="S110" s="113" t="str">
        <f t="shared" si="68"/>
        <v>ST215/75D14-6PR-H180</v>
      </c>
      <c r="T110" s="122"/>
      <c r="U110" s="123"/>
      <c r="V110" s="123"/>
      <c r="W110" s="123"/>
      <c r="X110" s="123"/>
      <c r="Y110" s="123"/>
      <c r="Z110" s="123"/>
      <c r="AA110" s="151"/>
      <c r="AB110" s="113" t="str">
        <f t="shared" si="86"/>
        <v/>
      </c>
      <c r="AC110" s="193"/>
      <c r="AD110" s="193"/>
      <c r="AE110" s="193"/>
      <c r="AF110" s="193"/>
      <c r="AG110" s="193"/>
      <c r="AH110" s="193"/>
      <c r="AI110" s="193"/>
      <c r="AK110" s="113" t="str">
        <f t="shared" si="69"/>
        <v/>
      </c>
      <c r="AL110" s="119" t="s">
        <v>1498</v>
      </c>
      <c r="AM110" s="120" t="s">
        <v>965</v>
      </c>
      <c r="AN110" s="120" t="s">
        <v>1120</v>
      </c>
      <c r="AO110" s="120" t="s">
        <v>1512</v>
      </c>
      <c r="AP110" s="120"/>
      <c r="AQ110" s="133">
        <v>9.278</v>
      </c>
      <c r="AR110" s="133">
        <v>9.142</v>
      </c>
      <c r="AS110" s="144">
        <f t="shared" si="102"/>
        <v>0.136000000000001</v>
      </c>
      <c r="AT110" s="113" t="str">
        <f t="shared" si="70"/>
        <v>ST215/75R14-6PR-ASSURE ST</v>
      </c>
      <c r="AU110" s="119" t="s">
        <v>1515</v>
      </c>
      <c r="AV110" s="120" t="s">
        <v>66</v>
      </c>
      <c r="AW110" s="120" t="s">
        <v>956</v>
      </c>
      <c r="AX110" s="120" t="s">
        <v>1516</v>
      </c>
      <c r="AY110" s="133">
        <v>7.077</v>
      </c>
      <c r="AZ110" s="133">
        <v>7.413</v>
      </c>
      <c r="BA110" s="144">
        <f t="shared" si="107"/>
        <v>-0.336</v>
      </c>
      <c r="BB110" s="113" t="str">
        <f t="shared" si="71"/>
        <v>195/60R16-G-118</v>
      </c>
    </row>
    <row r="111" ht="13.8" customHeight="1" spans="2:54">
      <c r="B111" s="148" t="s">
        <v>803</v>
      </c>
      <c r="C111" s="125" t="s">
        <v>1092</v>
      </c>
      <c r="D111" s="177" t="s">
        <v>1521</v>
      </c>
      <c r="E111" s="120" t="s">
        <v>1518</v>
      </c>
      <c r="F111" s="127">
        <f t="shared" si="104"/>
        <v>73.114</v>
      </c>
      <c r="G111" s="127">
        <v>72.058</v>
      </c>
      <c r="H111" s="128">
        <v>70.6554</v>
      </c>
      <c r="I111" s="144">
        <f t="shared" si="105"/>
        <v>1.40260000000001</v>
      </c>
      <c r="J111" s="115" t="str">
        <f t="shared" si="94"/>
        <v>11.00R20-18PR-CB905A</v>
      </c>
      <c r="K111" s="122"/>
      <c r="L111" s="123"/>
      <c r="M111" s="123"/>
      <c r="N111" s="123"/>
      <c r="O111" s="123"/>
      <c r="P111" s="123"/>
      <c r="Q111" s="123"/>
      <c r="R111" s="151"/>
      <c r="S111" s="113" t="str">
        <f t="shared" si="68"/>
        <v/>
      </c>
      <c r="T111" s="119" t="s">
        <v>1522</v>
      </c>
      <c r="U111" s="120" t="s">
        <v>942</v>
      </c>
      <c r="V111" s="120" t="s">
        <v>1523</v>
      </c>
      <c r="W111" s="120" t="s">
        <v>1524</v>
      </c>
      <c r="X111" s="120"/>
      <c r="Y111" s="133">
        <v>2.395</v>
      </c>
      <c r="Z111" s="133">
        <v>2.29</v>
      </c>
      <c r="AA111" s="144">
        <f t="shared" si="106"/>
        <v>0.105</v>
      </c>
      <c r="AB111" s="113" t="str">
        <f t="shared" ref="AB111:AB139" si="109">_xlfn.TEXTJOIN("-",TRUE,T111,U111,V111)</f>
        <v>80/90-14-4PR-ASP01</v>
      </c>
      <c r="AC111" s="193"/>
      <c r="AD111" s="193"/>
      <c r="AE111" s="193"/>
      <c r="AF111" s="193"/>
      <c r="AG111" s="193"/>
      <c r="AH111" s="193"/>
      <c r="AI111" s="193"/>
      <c r="AK111" s="113" t="str">
        <f t="shared" si="69"/>
        <v/>
      </c>
      <c r="AL111" s="119" t="s">
        <v>1498</v>
      </c>
      <c r="AM111" s="120" t="s">
        <v>965</v>
      </c>
      <c r="AN111" s="120" t="s">
        <v>1125</v>
      </c>
      <c r="AO111" s="120" t="s">
        <v>1512</v>
      </c>
      <c r="AP111" s="120"/>
      <c r="AQ111" s="133">
        <v>9.278</v>
      </c>
      <c r="AR111" s="133">
        <v>9.142</v>
      </c>
      <c r="AS111" s="144">
        <f t="shared" si="102"/>
        <v>0.136000000000001</v>
      </c>
      <c r="AT111" s="113" t="str">
        <f t="shared" si="70"/>
        <v>ST215/75R14-6PR-Tow Pro ST</v>
      </c>
      <c r="AU111" s="119" t="s">
        <v>1515</v>
      </c>
      <c r="AV111" s="120" t="s">
        <v>66</v>
      </c>
      <c r="AW111" s="175" t="s">
        <v>970</v>
      </c>
      <c r="AX111" s="120" t="s">
        <v>1516</v>
      </c>
      <c r="AY111" s="133">
        <v>7.077</v>
      </c>
      <c r="AZ111" s="133">
        <v>7.413</v>
      </c>
      <c r="BA111" s="144">
        <f t="shared" si="107"/>
        <v>-0.336</v>
      </c>
      <c r="BB111" s="113" t="str">
        <f t="shared" si="71"/>
        <v>195/60R16-T-118</v>
      </c>
    </row>
    <row r="112" spans="2:54">
      <c r="B112" s="148" t="s">
        <v>803</v>
      </c>
      <c r="C112" s="125" t="s">
        <v>1092</v>
      </c>
      <c r="D112" s="177" t="s">
        <v>1525</v>
      </c>
      <c r="E112" s="120" t="s">
        <v>1518</v>
      </c>
      <c r="F112" s="127">
        <f t="shared" si="104"/>
        <v>73.114</v>
      </c>
      <c r="G112" s="127">
        <v>72.058</v>
      </c>
      <c r="H112" s="128">
        <v>70.6554</v>
      </c>
      <c r="I112" s="144">
        <f t="shared" si="105"/>
        <v>1.40260000000001</v>
      </c>
      <c r="J112" s="115" t="str">
        <f t="shared" ref="J112:J117" si="110">_xlfn.TEXTJOIN("-",TRUE,B112,C112,D112)</f>
        <v>11.00R20-18PR-EZ330A</v>
      </c>
      <c r="K112" s="119" t="s">
        <v>1526</v>
      </c>
      <c r="L112" s="120" t="s">
        <v>962</v>
      </c>
      <c r="M112" s="120" t="s">
        <v>1453</v>
      </c>
      <c r="N112" s="120" t="s">
        <v>1527</v>
      </c>
      <c r="O112" s="120" t="s">
        <v>66</v>
      </c>
      <c r="P112" s="120">
        <v>11.61</v>
      </c>
      <c r="Q112" s="120">
        <v>11.55</v>
      </c>
      <c r="R112" s="143">
        <f t="shared" si="108"/>
        <v>0.0599999999999987</v>
      </c>
      <c r="S112" s="113" t="str">
        <f t="shared" si="68"/>
        <v>ST225/75D15-8PR-H180</v>
      </c>
      <c r="T112" s="119" t="s">
        <v>1522</v>
      </c>
      <c r="U112" s="120" t="s">
        <v>942</v>
      </c>
      <c r="V112" s="120" t="s">
        <v>1475</v>
      </c>
      <c r="W112" s="120" t="s">
        <v>1528</v>
      </c>
      <c r="X112" s="120"/>
      <c r="Y112" s="133">
        <v>2.29</v>
      </c>
      <c r="Z112" s="133">
        <v>2.29</v>
      </c>
      <c r="AA112" s="144">
        <f t="shared" si="106"/>
        <v>0</v>
      </c>
      <c r="AB112" s="113" t="str">
        <f t="shared" si="109"/>
        <v>80/90-14-4PR-H577</v>
      </c>
      <c r="AC112" s="193"/>
      <c r="AD112" s="193"/>
      <c r="AE112" s="193"/>
      <c r="AF112" s="193"/>
      <c r="AG112" s="193"/>
      <c r="AH112" s="193"/>
      <c r="AI112" s="193"/>
      <c r="AK112" s="113" t="str">
        <f t="shared" si="69"/>
        <v/>
      </c>
      <c r="AL112" s="119" t="s">
        <v>1498</v>
      </c>
      <c r="AM112" s="120" t="s">
        <v>962</v>
      </c>
      <c r="AN112" s="120" t="s">
        <v>1104</v>
      </c>
      <c r="AO112" s="120" t="s">
        <v>1529</v>
      </c>
      <c r="AP112" s="120"/>
      <c r="AQ112" s="133">
        <v>10.304</v>
      </c>
      <c r="AR112" s="133">
        <v>10.511</v>
      </c>
      <c r="AS112" s="144">
        <f t="shared" si="102"/>
        <v>-0.206999999999999</v>
      </c>
      <c r="AT112" s="113" t="str">
        <f t="shared" si="70"/>
        <v>ST215/75R14-8PR-ST100A</v>
      </c>
      <c r="AU112" s="119" t="s">
        <v>1515</v>
      </c>
      <c r="AV112" s="120" t="s">
        <v>66</v>
      </c>
      <c r="AW112" s="175" t="s">
        <v>979</v>
      </c>
      <c r="AX112" s="120" t="s">
        <v>1516</v>
      </c>
      <c r="AY112" s="133">
        <v>7.077</v>
      </c>
      <c r="AZ112" s="133">
        <v>7.413</v>
      </c>
      <c r="BA112" s="144">
        <f t="shared" si="107"/>
        <v>-0.336</v>
      </c>
      <c r="BB112" s="113" t="str">
        <f t="shared" si="71"/>
        <v>195/60R16-Z-108</v>
      </c>
    </row>
    <row r="113" spans="2:54">
      <c r="B113" s="119" t="s">
        <v>803</v>
      </c>
      <c r="C113" s="125" t="s">
        <v>1101</v>
      </c>
      <c r="D113" s="121" t="s">
        <v>1517</v>
      </c>
      <c r="E113" s="120" t="s">
        <v>1518</v>
      </c>
      <c r="F113" s="127">
        <f t="shared" si="104"/>
        <v>73.114</v>
      </c>
      <c r="G113" s="127">
        <v>72.058</v>
      </c>
      <c r="H113" s="128">
        <v>70.6554</v>
      </c>
      <c r="I113" s="144">
        <f t="shared" si="105"/>
        <v>1.40260000000001</v>
      </c>
      <c r="J113" s="115" t="str">
        <f t="shared" si="110"/>
        <v>11.00R20-20PR-CB332A</v>
      </c>
      <c r="K113" s="119" t="s">
        <v>1526</v>
      </c>
      <c r="L113" s="120" t="s">
        <v>962</v>
      </c>
      <c r="M113" s="120" t="s">
        <v>1316</v>
      </c>
      <c r="N113" s="125" t="s">
        <v>1530</v>
      </c>
      <c r="O113" s="120" t="s">
        <v>1014</v>
      </c>
      <c r="P113" s="120">
        <v>10.91</v>
      </c>
      <c r="Q113" s="120">
        <v>11.35</v>
      </c>
      <c r="R113" s="143">
        <f t="shared" si="108"/>
        <v>-0.44</v>
      </c>
      <c r="S113" s="113" t="str">
        <f t="shared" si="68"/>
        <v>ST225/75D15-8PR-ST600</v>
      </c>
      <c r="T113" s="119" t="s">
        <v>1522</v>
      </c>
      <c r="U113" s="120" t="s">
        <v>965</v>
      </c>
      <c r="V113" s="120" t="s">
        <v>1475</v>
      </c>
      <c r="W113" s="120" t="s">
        <v>1531</v>
      </c>
      <c r="X113" s="120"/>
      <c r="Y113" s="133">
        <v>2.345</v>
      </c>
      <c r="Z113" s="133">
        <v>2.4</v>
      </c>
      <c r="AA113" s="144">
        <f t="shared" si="106"/>
        <v>-0.0549999999999997</v>
      </c>
      <c r="AB113" s="113" t="str">
        <f t="shared" si="109"/>
        <v>80/90-14-6PR-H577</v>
      </c>
      <c r="AC113" s="193"/>
      <c r="AD113" s="193"/>
      <c r="AE113" s="193"/>
      <c r="AF113" s="193"/>
      <c r="AG113" s="193"/>
      <c r="AH113" s="193"/>
      <c r="AI113" s="193"/>
      <c r="AK113" s="113" t="str">
        <f t="shared" si="69"/>
        <v/>
      </c>
      <c r="AL113" s="119" t="s">
        <v>1498</v>
      </c>
      <c r="AM113" s="120" t="s">
        <v>962</v>
      </c>
      <c r="AN113" s="120" t="s">
        <v>1110</v>
      </c>
      <c r="AO113" s="120" t="s">
        <v>1529</v>
      </c>
      <c r="AP113" s="120"/>
      <c r="AQ113" s="133">
        <v>10.304</v>
      </c>
      <c r="AR113" s="133">
        <v>10.511</v>
      </c>
      <c r="AS113" s="144">
        <f t="shared" si="102"/>
        <v>-0.206999999999999</v>
      </c>
      <c r="AT113" s="113" t="str">
        <f t="shared" ref="AT113:AT133" si="111">_xlfn.TEXTJOIN("-",TRUE,AL113,AM113,AN113)</f>
        <v>ST215/75R14-8PR-DURAHAULER ST</v>
      </c>
      <c r="AU113" s="122"/>
      <c r="AV113" s="123"/>
      <c r="AW113" s="123"/>
      <c r="AX113" s="123"/>
      <c r="AY113" s="130"/>
      <c r="AZ113" s="130"/>
      <c r="BA113" s="145"/>
      <c r="BB113" s="113" t="str">
        <f t="shared" si="71"/>
        <v/>
      </c>
    </row>
    <row r="114" spans="2:54">
      <c r="B114" s="148" t="s">
        <v>803</v>
      </c>
      <c r="C114" s="125" t="s">
        <v>1101</v>
      </c>
      <c r="D114" s="177" t="s">
        <v>1521</v>
      </c>
      <c r="E114" s="120" t="s">
        <v>1518</v>
      </c>
      <c r="F114" s="127">
        <f t="shared" si="104"/>
        <v>73.114</v>
      </c>
      <c r="G114" s="127">
        <v>72.058</v>
      </c>
      <c r="H114" s="128">
        <v>70.6554</v>
      </c>
      <c r="I114" s="144">
        <f t="shared" si="105"/>
        <v>1.40260000000001</v>
      </c>
      <c r="J114" s="115" t="str">
        <f t="shared" si="110"/>
        <v>11.00R20-20PR-CB905A</v>
      </c>
      <c r="K114" s="119" t="s">
        <v>1526</v>
      </c>
      <c r="L114" s="120" t="s">
        <v>962</v>
      </c>
      <c r="M114" s="120" t="s">
        <v>1320</v>
      </c>
      <c r="N114" s="125" t="s">
        <v>1530</v>
      </c>
      <c r="O114" s="120" t="s">
        <v>1014</v>
      </c>
      <c r="P114" s="120">
        <v>10.91</v>
      </c>
      <c r="Q114" s="120">
        <v>11.35</v>
      </c>
      <c r="R114" s="143">
        <f t="shared" si="108"/>
        <v>-0.44</v>
      </c>
      <c r="S114" s="113" t="str">
        <f t="shared" si="68"/>
        <v>ST225/75D15-8PR-TE898</v>
      </c>
      <c r="T114" s="119" t="s">
        <v>1522</v>
      </c>
      <c r="U114" s="120" t="s">
        <v>965</v>
      </c>
      <c r="V114" s="120" t="s">
        <v>1481</v>
      </c>
      <c r="W114" s="120" t="s">
        <v>1532</v>
      </c>
      <c r="X114" s="120"/>
      <c r="Y114" s="133">
        <v>2.395</v>
      </c>
      <c r="Z114" s="133">
        <v>2.395</v>
      </c>
      <c r="AA114" s="144">
        <f t="shared" si="106"/>
        <v>0</v>
      </c>
      <c r="AB114" s="113" t="str">
        <f t="shared" si="109"/>
        <v>80/90-14-6PR-H597</v>
      </c>
      <c r="AC114" s="193"/>
      <c r="AD114" s="193"/>
      <c r="AE114" s="193"/>
      <c r="AF114" s="193"/>
      <c r="AG114" s="193"/>
      <c r="AH114" s="193"/>
      <c r="AI114" s="193"/>
      <c r="AK114" s="113" t="str">
        <f t="shared" si="69"/>
        <v/>
      </c>
      <c r="AL114" s="119" t="s">
        <v>1498</v>
      </c>
      <c r="AM114" s="120" t="s">
        <v>962</v>
      </c>
      <c r="AN114" s="120" t="s">
        <v>1120</v>
      </c>
      <c r="AO114" s="120" t="s">
        <v>1529</v>
      </c>
      <c r="AP114" s="120"/>
      <c r="AQ114" s="133">
        <v>10.304</v>
      </c>
      <c r="AR114" s="133">
        <v>10.511</v>
      </c>
      <c r="AS114" s="144">
        <f t="shared" si="102"/>
        <v>-0.206999999999999</v>
      </c>
      <c r="AT114" s="113" t="str">
        <f t="shared" si="111"/>
        <v>ST215/75R14-8PR-ASSURE ST</v>
      </c>
      <c r="AU114" s="119" t="s">
        <v>1533</v>
      </c>
      <c r="AV114" s="120" t="s">
        <v>66</v>
      </c>
      <c r="AW114" s="120" t="s">
        <v>953</v>
      </c>
      <c r="AX114" s="120" t="s">
        <v>1534</v>
      </c>
      <c r="AY114" s="133">
        <v>7.65</v>
      </c>
      <c r="AZ114" s="133">
        <v>7.648</v>
      </c>
      <c r="BA114" s="144">
        <f t="shared" ref="BA114:BA118" si="112">AY114-AZ114</f>
        <v>0.00200000000000067</v>
      </c>
      <c r="BB114" s="113" t="str">
        <f t="shared" si="71"/>
        <v>195/65R15-C-108</v>
      </c>
    </row>
    <row r="115" ht="13.8" customHeight="1" spans="2:54">
      <c r="B115" s="148" t="s">
        <v>803</v>
      </c>
      <c r="C115" s="125" t="s">
        <v>1101</v>
      </c>
      <c r="D115" s="177" t="s">
        <v>1525</v>
      </c>
      <c r="E115" s="120" t="s">
        <v>1518</v>
      </c>
      <c r="F115" s="127">
        <f t="shared" si="104"/>
        <v>73.114</v>
      </c>
      <c r="G115" s="127">
        <v>72.058</v>
      </c>
      <c r="H115" s="128">
        <v>70.6554</v>
      </c>
      <c r="I115" s="144">
        <f t="shared" si="105"/>
        <v>1.40260000000001</v>
      </c>
      <c r="J115" s="115" t="str">
        <f t="shared" si="110"/>
        <v>11.00R20-20PR-EZ330A</v>
      </c>
      <c r="K115" s="119" t="s">
        <v>1526</v>
      </c>
      <c r="L115" s="120" t="s">
        <v>962</v>
      </c>
      <c r="M115" s="120" t="s">
        <v>1322</v>
      </c>
      <c r="N115" s="125" t="s">
        <v>1530</v>
      </c>
      <c r="O115" s="120" t="s">
        <v>1014</v>
      </c>
      <c r="P115" s="120">
        <v>10.91</v>
      </c>
      <c r="Q115" s="120">
        <v>11.35</v>
      </c>
      <c r="R115" s="143">
        <f t="shared" si="108"/>
        <v>-0.44</v>
      </c>
      <c r="S115" s="113" t="str">
        <f t="shared" si="68"/>
        <v>ST225/75D15-8PR-RC-101</v>
      </c>
      <c r="T115" s="119" t="s">
        <v>1522</v>
      </c>
      <c r="U115" s="120" t="s">
        <v>942</v>
      </c>
      <c r="V115" s="120" t="s">
        <v>1535</v>
      </c>
      <c r="W115" s="120" t="s">
        <v>1536</v>
      </c>
      <c r="X115" s="120"/>
      <c r="Y115" s="133">
        <v>2.485</v>
      </c>
      <c r="Z115" s="133">
        <v>2.475</v>
      </c>
      <c r="AA115" s="144">
        <f t="shared" si="106"/>
        <v>0.00999999999999979</v>
      </c>
      <c r="AB115" s="113" t="str">
        <f t="shared" si="109"/>
        <v>80/90-14-4PR-H999-A</v>
      </c>
      <c r="AC115" s="193"/>
      <c r="AD115" s="193"/>
      <c r="AE115" s="193"/>
      <c r="AF115" s="193"/>
      <c r="AG115" s="193"/>
      <c r="AH115" s="193"/>
      <c r="AI115" s="193"/>
      <c r="AK115" s="113" t="str">
        <f t="shared" si="69"/>
        <v/>
      </c>
      <c r="AL115" s="119" t="s">
        <v>1498</v>
      </c>
      <c r="AM115" s="120" t="s">
        <v>962</v>
      </c>
      <c r="AN115" s="120" t="s">
        <v>1125</v>
      </c>
      <c r="AO115" s="120" t="s">
        <v>1529</v>
      </c>
      <c r="AP115" s="120"/>
      <c r="AQ115" s="133">
        <v>10.304</v>
      </c>
      <c r="AR115" s="133">
        <v>10.511</v>
      </c>
      <c r="AS115" s="144">
        <f t="shared" si="102"/>
        <v>-0.206999999999999</v>
      </c>
      <c r="AT115" s="113" t="str">
        <f t="shared" si="111"/>
        <v>ST215/75R14-8PR-Tow Pro ST</v>
      </c>
      <c r="AU115" s="119" t="s">
        <v>1533</v>
      </c>
      <c r="AV115" s="120" t="s">
        <v>66</v>
      </c>
      <c r="AW115" s="120" t="s">
        <v>956</v>
      </c>
      <c r="AX115" s="120" t="s">
        <v>1534</v>
      </c>
      <c r="AY115" s="133">
        <v>7.65</v>
      </c>
      <c r="AZ115" s="133">
        <v>7.648</v>
      </c>
      <c r="BA115" s="144">
        <f t="shared" si="112"/>
        <v>0.00200000000000067</v>
      </c>
      <c r="BB115" s="113" t="str">
        <f t="shared" si="71"/>
        <v>195/65R15-G-118</v>
      </c>
    </row>
    <row r="116" spans="2:54">
      <c r="B116" s="148" t="s">
        <v>803</v>
      </c>
      <c r="C116" s="125" t="s">
        <v>1092</v>
      </c>
      <c r="D116" s="120" t="s">
        <v>972</v>
      </c>
      <c r="E116" s="147" t="s">
        <v>1537</v>
      </c>
      <c r="F116" s="183">
        <f t="shared" ref="F116:F119" si="113">G116-4.743+5.779</f>
        <v>69.233</v>
      </c>
      <c r="G116" s="127">
        <v>68.197</v>
      </c>
      <c r="H116" s="128">
        <v>67.6708</v>
      </c>
      <c r="I116" s="144">
        <f t="shared" si="105"/>
        <v>0.526200000000003</v>
      </c>
      <c r="J116" s="115" t="str">
        <f t="shared" si="110"/>
        <v>11.00R20-18PR-AZ850</v>
      </c>
      <c r="K116" s="122"/>
      <c r="L116" s="123"/>
      <c r="M116" s="123"/>
      <c r="N116" s="123"/>
      <c r="O116" s="123"/>
      <c r="P116" s="123"/>
      <c r="Q116" s="123"/>
      <c r="R116" s="151"/>
      <c r="S116" s="113" t="str">
        <f t="shared" si="68"/>
        <v/>
      </c>
      <c r="T116" s="122"/>
      <c r="U116" s="123"/>
      <c r="V116" s="123"/>
      <c r="W116" s="123"/>
      <c r="X116" s="123"/>
      <c r="Y116" s="123"/>
      <c r="Z116" s="123"/>
      <c r="AA116" s="151"/>
      <c r="AB116" s="113" t="str">
        <f t="shared" si="109"/>
        <v/>
      </c>
      <c r="AC116" s="193"/>
      <c r="AD116" s="193"/>
      <c r="AE116" s="193"/>
      <c r="AF116" s="193"/>
      <c r="AG116" s="193"/>
      <c r="AH116" s="193"/>
      <c r="AI116" s="193"/>
      <c r="AK116" s="113" t="str">
        <f t="shared" si="69"/>
        <v/>
      </c>
      <c r="AL116" s="122"/>
      <c r="AM116" s="123"/>
      <c r="AN116" s="123"/>
      <c r="AO116" s="123"/>
      <c r="AP116" s="123"/>
      <c r="AQ116" s="123"/>
      <c r="AR116" s="123"/>
      <c r="AS116" s="151"/>
      <c r="AT116" s="113" t="str">
        <f t="shared" si="111"/>
        <v/>
      </c>
      <c r="AU116" s="119" t="s">
        <v>1533</v>
      </c>
      <c r="AV116" s="120" t="s">
        <v>66</v>
      </c>
      <c r="AW116" s="175" t="s">
        <v>970</v>
      </c>
      <c r="AX116" s="120" t="s">
        <v>1534</v>
      </c>
      <c r="AY116" s="133">
        <v>7.65</v>
      </c>
      <c r="AZ116" s="133">
        <v>7.648</v>
      </c>
      <c r="BA116" s="144">
        <f t="shared" si="112"/>
        <v>0.00200000000000067</v>
      </c>
      <c r="BB116" s="113" t="str">
        <f t="shared" si="71"/>
        <v>195/65R15-T-118</v>
      </c>
    </row>
    <row r="117" spans="2:54">
      <c r="B117" s="178" t="s">
        <v>803</v>
      </c>
      <c r="C117" s="120" t="s">
        <v>1101</v>
      </c>
      <c r="D117" s="124" t="s">
        <v>972</v>
      </c>
      <c r="E117" s="147" t="s">
        <v>1537</v>
      </c>
      <c r="F117" s="183">
        <f t="shared" si="113"/>
        <v>69.233</v>
      </c>
      <c r="G117" s="127">
        <v>68.197</v>
      </c>
      <c r="H117" s="128">
        <v>67.6708</v>
      </c>
      <c r="I117" s="144">
        <f t="shared" si="105"/>
        <v>0.526200000000003</v>
      </c>
      <c r="J117" s="115" t="str">
        <f t="shared" si="110"/>
        <v>11.00R20-20PR-AZ850</v>
      </c>
      <c r="K117" s="119" t="s">
        <v>1340</v>
      </c>
      <c r="L117" s="120" t="s">
        <v>934</v>
      </c>
      <c r="M117" s="120" t="s">
        <v>1538</v>
      </c>
      <c r="N117" s="120" t="s">
        <v>66</v>
      </c>
      <c r="O117" s="120" t="s">
        <v>66</v>
      </c>
      <c r="P117" s="133">
        <v>113.8</v>
      </c>
      <c r="Q117" s="133">
        <v>113</v>
      </c>
      <c r="R117" s="144">
        <f t="shared" ref="R117:R124" si="114">P117-Q117</f>
        <v>0.799999999999997</v>
      </c>
      <c r="S117" s="113" t="str">
        <f t="shared" si="68"/>
        <v>17.5-25-12PR-CL729(TL)</v>
      </c>
      <c r="T117" s="119" t="s">
        <v>1539</v>
      </c>
      <c r="U117" s="120" t="s">
        <v>942</v>
      </c>
      <c r="V117" s="120" t="s">
        <v>1540</v>
      </c>
      <c r="W117" s="120" t="s">
        <v>1541</v>
      </c>
      <c r="X117" s="120"/>
      <c r="Y117" s="173">
        <v>2.11</v>
      </c>
      <c r="Z117" s="133">
        <v>2.115</v>
      </c>
      <c r="AA117" s="144">
        <f t="shared" ref="AA117:AA123" si="115">Y117-Z117</f>
        <v>-0.00500000000000034</v>
      </c>
      <c r="AB117" s="113" t="str">
        <f t="shared" si="109"/>
        <v>90/80-12-4PR-H-602</v>
      </c>
      <c r="AC117" s="193"/>
      <c r="AD117" s="193"/>
      <c r="AE117" s="193"/>
      <c r="AF117" s="193"/>
      <c r="AG117" s="193"/>
      <c r="AH117" s="193"/>
      <c r="AI117" s="193"/>
      <c r="AK117" s="113" t="str">
        <f t="shared" si="69"/>
        <v/>
      </c>
      <c r="AL117" s="119" t="s">
        <v>1542</v>
      </c>
      <c r="AM117" s="120" t="s">
        <v>962</v>
      </c>
      <c r="AN117" s="120" t="s">
        <v>1080</v>
      </c>
      <c r="AO117" s="120" t="s">
        <v>1543</v>
      </c>
      <c r="AP117" s="120"/>
      <c r="AQ117" s="133">
        <v>12.651</v>
      </c>
      <c r="AR117" s="133">
        <v>12.499</v>
      </c>
      <c r="AS117" s="144">
        <f t="shared" ref="AS117:AS136" si="116">AQ117-AR117</f>
        <v>0.151999999999999</v>
      </c>
      <c r="AT117" s="113" t="str">
        <f t="shared" si="111"/>
        <v>ST225/75R15-8PR-ST100</v>
      </c>
      <c r="AU117" s="119" t="s">
        <v>1533</v>
      </c>
      <c r="AV117" s="120" t="s">
        <v>66</v>
      </c>
      <c r="AW117" s="175" t="s">
        <v>979</v>
      </c>
      <c r="AX117" s="120" t="s">
        <v>1534</v>
      </c>
      <c r="AY117" s="133">
        <v>7.65</v>
      </c>
      <c r="AZ117" s="133">
        <v>7.648</v>
      </c>
      <c r="BA117" s="144">
        <f t="shared" si="112"/>
        <v>0.00200000000000067</v>
      </c>
      <c r="BB117" s="113" t="str">
        <f t="shared" si="71"/>
        <v>195/65R15-Z-108</v>
      </c>
    </row>
    <row r="118" spans="2:54">
      <c r="B118" s="148" t="s">
        <v>803</v>
      </c>
      <c r="C118" s="179" t="s">
        <v>1092</v>
      </c>
      <c r="D118" s="147" t="s">
        <v>1212</v>
      </c>
      <c r="E118" s="147" t="s">
        <v>1544</v>
      </c>
      <c r="F118" s="184">
        <f t="shared" si="113"/>
        <v>65.658</v>
      </c>
      <c r="G118" s="184">
        <v>64.622</v>
      </c>
      <c r="H118" s="185">
        <v>64.5155</v>
      </c>
      <c r="I118" s="144">
        <f t="shared" si="105"/>
        <v>0.106499999999997</v>
      </c>
      <c r="J118" s="115" t="str">
        <f t="shared" ref="J118:J136" si="117">_xlfn.TEXTJOIN("-",TRUE,B118,C118,D118)</f>
        <v>11.00R20-18PR-CR926+</v>
      </c>
      <c r="K118" s="119" t="s">
        <v>1340</v>
      </c>
      <c r="L118" s="120" t="s">
        <v>934</v>
      </c>
      <c r="M118" s="120" t="s">
        <v>1545</v>
      </c>
      <c r="N118" s="120" t="s">
        <v>66</v>
      </c>
      <c r="O118" s="120" t="s">
        <v>66</v>
      </c>
      <c r="P118" s="133">
        <v>106.9</v>
      </c>
      <c r="Q118" s="133">
        <v>106.9</v>
      </c>
      <c r="R118" s="144">
        <f t="shared" si="114"/>
        <v>0</v>
      </c>
      <c r="S118" s="113" t="str">
        <f t="shared" si="68"/>
        <v>17.5-25-12PR-CL729(TT)</v>
      </c>
      <c r="T118" s="119" t="s">
        <v>1539</v>
      </c>
      <c r="U118" s="120" t="s">
        <v>965</v>
      </c>
      <c r="V118" s="120" t="s">
        <v>1540</v>
      </c>
      <c r="W118" s="120" t="s">
        <v>1546</v>
      </c>
      <c r="X118" s="120"/>
      <c r="Y118" s="173">
        <v>2.12</v>
      </c>
      <c r="Z118" s="133">
        <v>2.2</v>
      </c>
      <c r="AA118" s="144">
        <f t="shared" si="115"/>
        <v>-0.0800000000000001</v>
      </c>
      <c r="AB118" s="113" t="str">
        <f t="shared" si="109"/>
        <v>90/80-12-6PR-H-602</v>
      </c>
      <c r="AC118" s="193"/>
      <c r="AD118" s="193"/>
      <c r="AE118" s="193"/>
      <c r="AF118" s="193"/>
      <c r="AG118" s="193"/>
      <c r="AH118" s="193"/>
      <c r="AI118" s="193"/>
      <c r="AK118" s="113" t="str">
        <f t="shared" si="69"/>
        <v/>
      </c>
      <c r="AL118" s="119" t="s">
        <v>1542</v>
      </c>
      <c r="AM118" s="120" t="s">
        <v>962</v>
      </c>
      <c r="AN118" s="120" t="s">
        <v>1087</v>
      </c>
      <c r="AO118" s="120" t="s">
        <v>1543</v>
      </c>
      <c r="AP118" s="120"/>
      <c r="AQ118" s="133">
        <v>12.651</v>
      </c>
      <c r="AR118" s="133">
        <v>12.499</v>
      </c>
      <c r="AS118" s="144">
        <f t="shared" si="116"/>
        <v>0.151999999999999</v>
      </c>
      <c r="AT118" s="113" t="str">
        <f t="shared" si="111"/>
        <v>ST225/75R15-8PR-STZC</v>
      </c>
      <c r="AU118" s="119" t="s">
        <v>1533</v>
      </c>
      <c r="AV118" s="120" t="s">
        <v>66</v>
      </c>
      <c r="AW118" s="175" t="s">
        <v>1218</v>
      </c>
      <c r="AX118" s="120" t="s">
        <v>1547</v>
      </c>
      <c r="AY118" s="133">
        <v>8.51</v>
      </c>
      <c r="AZ118" s="133">
        <v>8.509</v>
      </c>
      <c r="BA118" s="144">
        <f t="shared" si="112"/>
        <v>0.000999999999999446</v>
      </c>
      <c r="BB118" s="113" t="str">
        <f t="shared" si="71"/>
        <v>195/65R15-RP218</v>
      </c>
    </row>
    <row r="119" ht="13.8" customHeight="1" spans="2:54">
      <c r="B119" s="119" t="s">
        <v>803</v>
      </c>
      <c r="C119" s="124" t="s">
        <v>1092</v>
      </c>
      <c r="D119" s="120" t="s">
        <v>1045</v>
      </c>
      <c r="E119" s="120" t="s">
        <v>1544</v>
      </c>
      <c r="F119" s="184">
        <f t="shared" si="113"/>
        <v>65.658</v>
      </c>
      <c r="G119" s="184">
        <v>64.622</v>
      </c>
      <c r="H119" s="185">
        <v>64.5155</v>
      </c>
      <c r="I119" s="144">
        <f t="shared" si="105"/>
        <v>0.106499999999997</v>
      </c>
      <c r="J119" s="115" t="str">
        <f t="shared" si="117"/>
        <v>11.00R20-18PR-TZ202</v>
      </c>
      <c r="K119" s="119" t="s">
        <v>1340</v>
      </c>
      <c r="L119" s="120" t="s">
        <v>1074</v>
      </c>
      <c r="M119" s="120" t="s">
        <v>1538</v>
      </c>
      <c r="N119" s="120" t="s">
        <v>66</v>
      </c>
      <c r="O119" s="120" t="s">
        <v>66</v>
      </c>
      <c r="P119" s="133">
        <v>122</v>
      </c>
      <c r="Q119" s="133">
        <v>121.5</v>
      </c>
      <c r="R119" s="144">
        <f t="shared" si="114"/>
        <v>0.5</v>
      </c>
      <c r="S119" s="113" t="str">
        <f t="shared" si="68"/>
        <v>17.5-25-16PR-CL729(TL)</v>
      </c>
      <c r="T119" s="122"/>
      <c r="U119" s="123"/>
      <c r="V119" s="123"/>
      <c r="W119" s="123"/>
      <c r="X119" s="123"/>
      <c r="Y119" s="123"/>
      <c r="Z119" s="123"/>
      <c r="AA119" s="151"/>
      <c r="AB119" s="113" t="str">
        <f t="shared" si="109"/>
        <v/>
      </c>
      <c r="AC119" s="193"/>
      <c r="AD119" s="193"/>
      <c r="AE119" s="193"/>
      <c r="AF119" s="193"/>
      <c r="AG119" s="193"/>
      <c r="AH119" s="193"/>
      <c r="AI119" s="193"/>
      <c r="AK119" s="113" t="str">
        <f t="shared" si="69"/>
        <v/>
      </c>
      <c r="AL119" s="119" t="s">
        <v>1542</v>
      </c>
      <c r="AM119" s="120" t="s">
        <v>946</v>
      </c>
      <c r="AN119" s="120" t="s">
        <v>1080</v>
      </c>
      <c r="AO119" s="120" t="s">
        <v>1548</v>
      </c>
      <c r="AP119" s="120"/>
      <c r="AQ119" s="133">
        <v>13.481</v>
      </c>
      <c r="AR119" s="133">
        <v>13.435</v>
      </c>
      <c r="AS119" s="144">
        <f t="shared" si="116"/>
        <v>0.0459999999999994</v>
      </c>
      <c r="AT119" s="113" t="str">
        <f t="shared" si="111"/>
        <v>ST225/75R15-10PR-ST100</v>
      </c>
      <c r="AU119" s="122"/>
      <c r="AV119" s="123"/>
      <c r="AW119" s="123"/>
      <c r="AX119" s="123"/>
      <c r="AY119" s="130"/>
      <c r="AZ119" s="130"/>
      <c r="BA119" s="145"/>
      <c r="BB119" s="113" t="str">
        <f t="shared" ref="BB119:BB126" si="118">_xlfn.TEXTJOIN("-",TRUE,AU119,AW119)</f>
        <v/>
      </c>
    </row>
    <row r="120" spans="2:54">
      <c r="B120" s="119" t="s">
        <v>803</v>
      </c>
      <c r="C120" s="124" t="s">
        <v>1092</v>
      </c>
      <c r="D120" s="120" t="s">
        <v>1060</v>
      </c>
      <c r="E120" s="120" t="s">
        <v>1549</v>
      </c>
      <c r="F120" s="160">
        <f t="shared" ref="F120:F125" si="119">G120-4.738+5.801</f>
        <v>75.353</v>
      </c>
      <c r="G120" s="160">
        <v>74.29</v>
      </c>
      <c r="H120" s="185">
        <v>74.5093</v>
      </c>
      <c r="I120" s="144">
        <f t="shared" si="105"/>
        <v>-0.21929999999999</v>
      </c>
      <c r="J120" s="115" t="str">
        <f t="shared" si="117"/>
        <v>11.00R20-18PR-EZ369</v>
      </c>
      <c r="K120" s="119" t="s">
        <v>1340</v>
      </c>
      <c r="L120" s="120" t="s">
        <v>1074</v>
      </c>
      <c r="M120" s="120" t="s">
        <v>1545</v>
      </c>
      <c r="N120" s="120" t="s">
        <v>66</v>
      </c>
      <c r="O120" s="120" t="s">
        <v>66</v>
      </c>
      <c r="P120" s="133">
        <v>118.9</v>
      </c>
      <c r="Q120" s="133">
        <v>118.6</v>
      </c>
      <c r="R120" s="144">
        <f t="shared" si="114"/>
        <v>0.300000000000011</v>
      </c>
      <c r="S120" s="113" t="str">
        <f t="shared" si="68"/>
        <v>17.5-25-16PR-CL729(TT)</v>
      </c>
      <c r="T120" s="119" t="s">
        <v>1550</v>
      </c>
      <c r="U120" s="120" t="s">
        <v>942</v>
      </c>
      <c r="V120" s="120" t="s">
        <v>1551</v>
      </c>
      <c r="W120" s="120" t="s">
        <v>1552</v>
      </c>
      <c r="X120" s="120"/>
      <c r="Y120" s="133">
        <v>2.855</v>
      </c>
      <c r="Z120" s="133">
        <v>2.855</v>
      </c>
      <c r="AA120" s="144">
        <f t="shared" si="115"/>
        <v>0</v>
      </c>
      <c r="AB120" s="113" t="str">
        <f t="shared" si="109"/>
        <v>90/80-14-4PR-H522S</v>
      </c>
      <c r="AC120" s="193"/>
      <c r="AD120" s="193"/>
      <c r="AE120" s="193"/>
      <c r="AF120" s="193"/>
      <c r="AG120" s="193"/>
      <c r="AH120" s="193"/>
      <c r="AI120" s="193"/>
      <c r="AK120" s="113" t="str">
        <f t="shared" si="69"/>
        <v/>
      </c>
      <c r="AL120" s="119" t="s">
        <v>1542</v>
      </c>
      <c r="AM120" s="120" t="s">
        <v>946</v>
      </c>
      <c r="AN120" s="120" t="s">
        <v>1087</v>
      </c>
      <c r="AO120" s="120" t="s">
        <v>1548</v>
      </c>
      <c r="AP120" s="120"/>
      <c r="AQ120" s="133">
        <v>13.481</v>
      </c>
      <c r="AR120" s="133">
        <v>13.435</v>
      </c>
      <c r="AS120" s="144">
        <f t="shared" si="116"/>
        <v>0.0459999999999994</v>
      </c>
      <c r="AT120" s="113" t="str">
        <f t="shared" si="111"/>
        <v>ST225/75R15-10PR-STZC</v>
      </c>
      <c r="AU120" s="119" t="s">
        <v>1276</v>
      </c>
      <c r="AV120" s="120" t="s">
        <v>66</v>
      </c>
      <c r="AW120" s="120" t="s">
        <v>953</v>
      </c>
      <c r="AX120" s="120" t="s">
        <v>1553</v>
      </c>
      <c r="AY120" s="133">
        <v>7.309</v>
      </c>
      <c r="AZ120" s="133">
        <v>7.32</v>
      </c>
      <c r="BA120" s="144">
        <f t="shared" ref="BA120:BA123" si="120">AY120-AZ120</f>
        <v>-0.0110000000000001</v>
      </c>
      <c r="BB120" s="113" t="str">
        <f t="shared" si="118"/>
        <v>195/70R14-C-108</v>
      </c>
    </row>
    <row r="121" spans="2:54">
      <c r="B121" s="180" t="s">
        <v>803</v>
      </c>
      <c r="C121" s="138" t="s">
        <v>1092</v>
      </c>
      <c r="D121" s="181" t="s">
        <v>1554</v>
      </c>
      <c r="E121" s="120" t="s">
        <v>1555</v>
      </c>
      <c r="F121" s="127">
        <f t="shared" si="119"/>
        <v>68.45</v>
      </c>
      <c r="G121" s="127">
        <v>67.387</v>
      </c>
      <c r="H121" s="185">
        <v>66.4279</v>
      </c>
      <c r="I121" s="144">
        <f t="shared" si="105"/>
        <v>0.959100000000007</v>
      </c>
      <c r="J121" s="115" t="str">
        <f t="shared" si="117"/>
        <v>11.00R20-18PR-AS578</v>
      </c>
      <c r="K121" s="119" t="s">
        <v>1340</v>
      </c>
      <c r="L121" s="120" t="s">
        <v>934</v>
      </c>
      <c r="M121" s="120" t="s">
        <v>1556</v>
      </c>
      <c r="N121" s="120" t="s">
        <v>66</v>
      </c>
      <c r="O121" s="120" t="s">
        <v>66</v>
      </c>
      <c r="P121" s="133">
        <v>105</v>
      </c>
      <c r="Q121" s="133">
        <v>104.7</v>
      </c>
      <c r="R121" s="144">
        <f t="shared" si="114"/>
        <v>0.299999999999997</v>
      </c>
      <c r="S121" s="113" t="str">
        <f t="shared" si="68"/>
        <v>17.5-25-12PR-EL36(TL)</v>
      </c>
      <c r="T121" s="119" t="s">
        <v>1550</v>
      </c>
      <c r="U121" s="120" t="s">
        <v>942</v>
      </c>
      <c r="V121" s="120" t="s">
        <v>1475</v>
      </c>
      <c r="W121" s="120" t="s">
        <v>1557</v>
      </c>
      <c r="X121" s="120"/>
      <c r="Y121" s="133">
        <v>2.47</v>
      </c>
      <c r="Z121" s="133">
        <v>2.47</v>
      </c>
      <c r="AA121" s="144">
        <f t="shared" si="115"/>
        <v>0</v>
      </c>
      <c r="AB121" s="113" t="str">
        <f t="shared" si="109"/>
        <v>90/80-14-4PR-H577</v>
      </c>
      <c r="AC121" s="193"/>
      <c r="AD121" s="193"/>
      <c r="AE121" s="193"/>
      <c r="AF121" s="193"/>
      <c r="AG121" s="193"/>
      <c r="AH121" s="193"/>
      <c r="AI121" s="193"/>
      <c r="AK121" s="113" t="str">
        <f t="shared" si="69"/>
        <v/>
      </c>
      <c r="AL121" s="119" t="s">
        <v>1542</v>
      </c>
      <c r="AM121" s="120" t="s">
        <v>962</v>
      </c>
      <c r="AN121" s="120" t="s">
        <v>1104</v>
      </c>
      <c r="AO121" s="120" t="s">
        <v>1558</v>
      </c>
      <c r="AP121" s="120"/>
      <c r="AQ121" s="133">
        <v>11.668</v>
      </c>
      <c r="AR121" s="133">
        <v>11.444</v>
      </c>
      <c r="AS121" s="144">
        <f t="shared" si="116"/>
        <v>0.223999999999998</v>
      </c>
      <c r="AT121" s="113" t="str">
        <f t="shared" si="111"/>
        <v>ST225/75R15-8PR-ST100A</v>
      </c>
      <c r="AU121" s="119" t="s">
        <v>1276</v>
      </c>
      <c r="AV121" s="120" t="s">
        <v>66</v>
      </c>
      <c r="AW121" s="120" t="s">
        <v>956</v>
      </c>
      <c r="AX121" s="120" t="s">
        <v>1553</v>
      </c>
      <c r="AY121" s="133">
        <v>7.309</v>
      </c>
      <c r="AZ121" s="133">
        <v>7.32</v>
      </c>
      <c r="BA121" s="144">
        <f t="shared" si="120"/>
        <v>-0.0110000000000001</v>
      </c>
      <c r="BB121" s="113" t="str">
        <f t="shared" si="118"/>
        <v>195/70R14-G-118</v>
      </c>
    </row>
    <row r="122" spans="2:54">
      <c r="B122" s="148" t="s">
        <v>803</v>
      </c>
      <c r="C122" s="125" t="s">
        <v>1092</v>
      </c>
      <c r="D122" s="177" t="s">
        <v>1559</v>
      </c>
      <c r="E122" s="120" t="s">
        <v>1555</v>
      </c>
      <c r="F122" s="127">
        <f t="shared" si="119"/>
        <v>68.45</v>
      </c>
      <c r="G122" s="127">
        <v>67.387</v>
      </c>
      <c r="H122" s="185">
        <v>66.4279</v>
      </c>
      <c r="I122" s="144">
        <f t="shared" si="105"/>
        <v>0.959100000000007</v>
      </c>
      <c r="J122" s="115" t="str">
        <f t="shared" si="117"/>
        <v>11.00R20-18PR-AS678</v>
      </c>
      <c r="K122" s="119" t="s">
        <v>1340</v>
      </c>
      <c r="L122" s="120" t="s">
        <v>934</v>
      </c>
      <c r="M122" s="120" t="s">
        <v>1560</v>
      </c>
      <c r="N122" s="120" t="s">
        <v>66</v>
      </c>
      <c r="O122" s="120" t="s">
        <v>66</v>
      </c>
      <c r="P122" s="133">
        <v>102</v>
      </c>
      <c r="Q122" s="133">
        <v>101.8</v>
      </c>
      <c r="R122" s="144">
        <f t="shared" si="114"/>
        <v>0.200000000000003</v>
      </c>
      <c r="S122" s="113" t="str">
        <f t="shared" si="68"/>
        <v>17.5-25-12PR-EL36(TT)</v>
      </c>
      <c r="T122" s="119" t="s">
        <v>1550</v>
      </c>
      <c r="U122" s="120" t="s">
        <v>965</v>
      </c>
      <c r="V122" s="120" t="s">
        <v>1481</v>
      </c>
      <c r="W122" s="120" t="s">
        <v>1561</v>
      </c>
      <c r="X122" s="120"/>
      <c r="Y122" s="133">
        <v>2.635</v>
      </c>
      <c r="Z122" s="133">
        <v>2.635</v>
      </c>
      <c r="AA122" s="144">
        <f t="shared" si="115"/>
        <v>0</v>
      </c>
      <c r="AB122" s="113" t="str">
        <f t="shared" si="109"/>
        <v>90/80-14-6PR-H597</v>
      </c>
      <c r="AC122" s="193"/>
      <c r="AD122" s="193"/>
      <c r="AE122" s="193"/>
      <c r="AF122" s="193"/>
      <c r="AG122" s="193"/>
      <c r="AH122" s="193"/>
      <c r="AI122" s="193"/>
      <c r="AK122" s="113" t="str">
        <f t="shared" si="69"/>
        <v/>
      </c>
      <c r="AL122" s="119" t="s">
        <v>1542</v>
      </c>
      <c r="AM122" s="120" t="s">
        <v>962</v>
      </c>
      <c r="AN122" s="120" t="s">
        <v>1110</v>
      </c>
      <c r="AO122" s="120" t="s">
        <v>1558</v>
      </c>
      <c r="AP122" s="120"/>
      <c r="AQ122" s="133">
        <v>11.668</v>
      </c>
      <c r="AR122" s="133">
        <v>11.444</v>
      </c>
      <c r="AS122" s="144">
        <f t="shared" si="116"/>
        <v>0.223999999999998</v>
      </c>
      <c r="AT122" s="113" t="str">
        <f t="shared" si="111"/>
        <v>ST225/75R15-8PR-DURAHAULER ST</v>
      </c>
      <c r="AU122" s="119" t="s">
        <v>1276</v>
      </c>
      <c r="AV122" s="120" t="s">
        <v>66</v>
      </c>
      <c r="AW122" s="175" t="s">
        <v>970</v>
      </c>
      <c r="AX122" s="120" t="s">
        <v>1553</v>
      </c>
      <c r="AY122" s="133">
        <v>7.309</v>
      </c>
      <c r="AZ122" s="133">
        <v>7.32</v>
      </c>
      <c r="BA122" s="144">
        <f t="shared" si="120"/>
        <v>-0.0110000000000001</v>
      </c>
      <c r="BB122" s="113" t="str">
        <f t="shared" si="118"/>
        <v>195/70R14-T-118</v>
      </c>
    </row>
    <row r="123" spans="2:54">
      <c r="B123" s="148" t="s">
        <v>803</v>
      </c>
      <c r="C123" s="125" t="s">
        <v>1092</v>
      </c>
      <c r="D123" s="177" t="s">
        <v>1450</v>
      </c>
      <c r="E123" s="120" t="s">
        <v>1555</v>
      </c>
      <c r="F123" s="127">
        <f t="shared" si="119"/>
        <v>68.45</v>
      </c>
      <c r="G123" s="127">
        <v>67.387</v>
      </c>
      <c r="H123" s="185">
        <v>66.4279</v>
      </c>
      <c r="I123" s="144">
        <f t="shared" si="105"/>
        <v>0.959100000000007</v>
      </c>
      <c r="J123" s="115" t="str">
        <f t="shared" si="117"/>
        <v>11.00R20-18PR-AT196</v>
      </c>
      <c r="K123" s="119" t="s">
        <v>1340</v>
      </c>
      <c r="L123" s="120" t="s">
        <v>1074</v>
      </c>
      <c r="M123" s="120" t="s">
        <v>1556</v>
      </c>
      <c r="N123" s="120" t="s">
        <v>66</v>
      </c>
      <c r="O123" s="120" t="s">
        <v>66</v>
      </c>
      <c r="P123" s="133">
        <v>113.4</v>
      </c>
      <c r="Q123" s="133">
        <v>112.5</v>
      </c>
      <c r="R123" s="144">
        <f t="shared" si="114"/>
        <v>0.900000000000006</v>
      </c>
      <c r="S123" s="113" t="str">
        <f t="shared" si="68"/>
        <v>17.5-25-16PR-EL36(TL)</v>
      </c>
      <c r="T123" s="119" t="s">
        <v>1550</v>
      </c>
      <c r="U123" s="120" t="s">
        <v>942</v>
      </c>
      <c r="V123" s="120" t="s">
        <v>1535</v>
      </c>
      <c r="W123" s="120" t="s">
        <v>1562</v>
      </c>
      <c r="X123" s="120"/>
      <c r="Y123" s="133">
        <v>2.495</v>
      </c>
      <c r="Z123" s="133">
        <v>2.485</v>
      </c>
      <c r="AA123" s="144">
        <f t="shared" si="115"/>
        <v>0.0100000000000002</v>
      </c>
      <c r="AB123" s="113" t="str">
        <f t="shared" si="109"/>
        <v>90/80-14-4PR-H999-A</v>
      </c>
      <c r="AC123" s="193"/>
      <c r="AD123" s="193"/>
      <c r="AE123" s="193"/>
      <c r="AF123" s="193"/>
      <c r="AG123" s="193"/>
      <c r="AH123" s="193"/>
      <c r="AI123" s="193"/>
      <c r="AK123" s="113" t="str">
        <f t="shared" si="69"/>
        <v/>
      </c>
      <c r="AL123" s="119" t="s">
        <v>1542</v>
      </c>
      <c r="AM123" s="120" t="s">
        <v>962</v>
      </c>
      <c r="AN123" s="120" t="s">
        <v>1120</v>
      </c>
      <c r="AO123" s="120" t="s">
        <v>1558</v>
      </c>
      <c r="AP123" s="120"/>
      <c r="AQ123" s="133">
        <v>11.668</v>
      </c>
      <c r="AR123" s="133">
        <v>11.444</v>
      </c>
      <c r="AS123" s="144">
        <f t="shared" si="116"/>
        <v>0.223999999999998</v>
      </c>
      <c r="AT123" s="113" t="str">
        <f t="shared" si="111"/>
        <v>ST225/75R15-8PR-ASSURE ST</v>
      </c>
      <c r="AU123" s="119" t="s">
        <v>1276</v>
      </c>
      <c r="AV123" s="120" t="s">
        <v>66</v>
      </c>
      <c r="AW123" s="175" t="s">
        <v>979</v>
      </c>
      <c r="AX123" s="120" t="s">
        <v>1553</v>
      </c>
      <c r="AY123" s="133">
        <v>7.309</v>
      </c>
      <c r="AZ123" s="133">
        <v>7.32</v>
      </c>
      <c r="BA123" s="144">
        <f t="shared" si="120"/>
        <v>-0.0110000000000001</v>
      </c>
      <c r="BB123" s="113" t="str">
        <f t="shared" si="118"/>
        <v>195/70R14-Z-108</v>
      </c>
    </row>
    <row r="124" spans="2:54">
      <c r="B124" s="148" t="s">
        <v>803</v>
      </c>
      <c r="C124" s="125" t="s">
        <v>1092</v>
      </c>
      <c r="D124" s="177" t="s">
        <v>1146</v>
      </c>
      <c r="E124" s="120" t="s">
        <v>1555</v>
      </c>
      <c r="F124" s="127">
        <f t="shared" si="119"/>
        <v>68.45</v>
      </c>
      <c r="G124" s="127">
        <v>67.387</v>
      </c>
      <c r="H124" s="185">
        <v>66.4279</v>
      </c>
      <c r="I124" s="144">
        <f t="shared" si="105"/>
        <v>0.959100000000007</v>
      </c>
      <c r="J124" s="115" t="str">
        <f t="shared" si="117"/>
        <v>11.00R20-18PR-TKAL III</v>
      </c>
      <c r="K124" s="119" t="s">
        <v>1340</v>
      </c>
      <c r="L124" s="120" t="s">
        <v>1074</v>
      </c>
      <c r="M124" s="120" t="s">
        <v>1560</v>
      </c>
      <c r="N124" s="120" t="s">
        <v>66</v>
      </c>
      <c r="O124" s="120" t="s">
        <v>66</v>
      </c>
      <c r="P124" s="133">
        <v>110.4</v>
      </c>
      <c r="Q124" s="133">
        <v>110</v>
      </c>
      <c r="R124" s="144">
        <f t="shared" si="114"/>
        <v>0.400000000000006</v>
      </c>
      <c r="S124" s="113" t="str">
        <f t="shared" si="68"/>
        <v>17.5-25-16PR-EL36(TT)</v>
      </c>
      <c r="T124" s="122"/>
      <c r="U124" s="123"/>
      <c r="V124" s="123"/>
      <c r="W124" s="123"/>
      <c r="X124" s="123"/>
      <c r="Y124" s="123"/>
      <c r="Z124" s="123"/>
      <c r="AA124" s="151"/>
      <c r="AB124" s="113" t="str">
        <f t="shared" si="109"/>
        <v/>
      </c>
      <c r="AC124" s="193"/>
      <c r="AD124" s="193"/>
      <c r="AE124" s="193"/>
      <c r="AF124" s="193"/>
      <c r="AG124" s="193"/>
      <c r="AH124" s="193"/>
      <c r="AI124" s="193"/>
      <c r="AK124" s="113" t="str">
        <f t="shared" si="69"/>
        <v/>
      </c>
      <c r="AL124" s="119" t="s">
        <v>1542</v>
      </c>
      <c r="AM124" s="120" t="s">
        <v>962</v>
      </c>
      <c r="AN124" s="120" t="s">
        <v>1125</v>
      </c>
      <c r="AO124" s="120" t="s">
        <v>1558</v>
      </c>
      <c r="AP124" s="120"/>
      <c r="AQ124" s="133">
        <v>11.668</v>
      </c>
      <c r="AR124" s="133">
        <v>11.444</v>
      </c>
      <c r="AS124" s="144">
        <f t="shared" si="116"/>
        <v>0.223999999999998</v>
      </c>
      <c r="AT124" s="113" t="str">
        <f t="shared" si="111"/>
        <v>ST225/75R15-8PR-Tow Pro ST</v>
      </c>
      <c r="AU124" s="122"/>
      <c r="AV124" s="123"/>
      <c r="AW124" s="123"/>
      <c r="AX124" s="123"/>
      <c r="AY124" s="130"/>
      <c r="AZ124" s="130"/>
      <c r="BA124" s="145"/>
      <c r="BB124" s="113" t="str">
        <f t="shared" si="118"/>
        <v/>
      </c>
    </row>
    <row r="125" ht="13.8" customHeight="1" spans="2:54">
      <c r="B125" s="148" t="s">
        <v>803</v>
      </c>
      <c r="C125" s="125" t="s">
        <v>1092</v>
      </c>
      <c r="D125" s="177" t="s">
        <v>1417</v>
      </c>
      <c r="E125" s="120" t="s">
        <v>1555</v>
      </c>
      <c r="F125" s="127">
        <f t="shared" si="119"/>
        <v>68.45</v>
      </c>
      <c r="G125" s="127">
        <v>67.387</v>
      </c>
      <c r="H125" s="185">
        <v>66.4279</v>
      </c>
      <c r="I125" s="144">
        <f t="shared" si="105"/>
        <v>0.959100000000007</v>
      </c>
      <c r="J125" s="115" t="str">
        <f t="shared" si="117"/>
        <v>11.00R20-18PR-FOLO.R109</v>
      </c>
      <c r="K125" s="122"/>
      <c r="L125" s="123"/>
      <c r="M125" s="123"/>
      <c r="N125" s="123"/>
      <c r="O125" s="123"/>
      <c r="P125" s="123"/>
      <c r="Q125" s="123"/>
      <c r="R125" s="151"/>
      <c r="S125" s="113" t="str">
        <f t="shared" si="68"/>
        <v/>
      </c>
      <c r="T125" s="119" t="s">
        <v>1563</v>
      </c>
      <c r="U125" s="120" t="s">
        <v>942</v>
      </c>
      <c r="V125" s="120" t="s">
        <v>1510</v>
      </c>
      <c r="W125" s="120" t="s">
        <v>1564</v>
      </c>
      <c r="X125" s="120"/>
      <c r="Y125" s="133">
        <v>2.66</v>
      </c>
      <c r="Z125" s="133">
        <v>2.665</v>
      </c>
      <c r="AA125" s="144">
        <f t="shared" ref="AA125:AA131" si="121">Y125-Z125</f>
        <v>-0.00499999999999989</v>
      </c>
      <c r="AB125" s="113" t="str">
        <f t="shared" si="109"/>
        <v>90/90-12-4PR-H565-2</v>
      </c>
      <c r="AC125" s="193"/>
      <c r="AD125" s="193"/>
      <c r="AE125" s="193"/>
      <c r="AF125" s="193"/>
      <c r="AG125" s="193"/>
      <c r="AH125" s="193"/>
      <c r="AI125" s="193"/>
      <c r="AK125" s="113" t="str">
        <f t="shared" si="69"/>
        <v/>
      </c>
      <c r="AL125" s="119" t="s">
        <v>1542</v>
      </c>
      <c r="AM125" s="120" t="s">
        <v>946</v>
      </c>
      <c r="AN125" s="120" t="s">
        <v>1104</v>
      </c>
      <c r="AO125" s="120" t="s">
        <v>1565</v>
      </c>
      <c r="AP125" s="120"/>
      <c r="AQ125" s="133">
        <v>12.456</v>
      </c>
      <c r="AR125" s="133">
        <v>12.238</v>
      </c>
      <c r="AS125" s="144">
        <f t="shared" si="116"/>
        <v>0.218</v>
      </c>
      <c r="AT125" s="113" t="str">
        <f t="shared" si="111"/>
        <v>ST225/75R15-10PR-ST100A</v>
      </c>
      <c r="AU125" s="119" t="s">
        <v>1566</v>
      </c>
      <c r="AV125" s="120" t="s">
        <v>66</v>
      </c>
      <c r="AW125" s="120" t="s">
        <v>953</v>
      </c>
      <c r="AX125" s="120" t="s">
        <v>1567</v>
      </c>
      <c r="AY125" s="133">
        <v>8.004</v>
      </c>
      <c r="AZ125" s="133">
        <v>8.002</v>
      </c>
      <c r="BA125" s="144">
        <f t="shared" ref="BA125:BA130" si="122">AY125-AZ125</f>
        <v>0.00199999999999889</v>
      </c>
      <c r="BB125" s="113" t="str">
        <f t="shared" si="118"/>
        <v>205/55R16-C-108</v>
      </c>
    </row>
    <row r="126" spans="2:54">
      <c r="B126" s="148" t="s">
        <v>803</v>
      </c>
      <c r="C126" s="125" t="s">
        <v>1092</v>
      </c>
      <c r="D126" s="125" t="s">
        <v>1568</v>
      </c>
      <c r="E126" s="181" t="s">
        <v>1569</v>
      </c>
      <c r="F126" s="133">
        <f>G126-4.743+5.799</f>
        <v>76.559</v>
      </c>
      <c r="G126" s="133">
        <v>75.503</v>
      </c>
      <c r="H126" s="185">
        <v>75.0523</v>
      </c>
      <c r="I126" s="144">
        <f t="shared" si="105"/>
        <v>0.450699999999998</v>
      </c>
      <c r="J126" s="115" t="str">
        <f t="shared" si="117"/>
        <v>11.00R20-18PR-EZ336</v>
      </c>
      <c r="K126" s="119" t="s">
        <v>1570</v>
      </c>
      <c r="L126" s="167" t="s">
        <v>1074</v>
      </c>
      <c r="M126" s="167" t="s">
        <v>1571</v>
      </c>
      <c r="N126" s="125" t="s">
        <v>66</v>
      </c>
      <c r="O126" s="120" t="s">
        <v>66</v>
      </c>
      <c r="P126" s="187">
        <v>206.4</v>
      </c>
      <c r="Q126" s="187">
        <v>206.1</v>
      </c>
      <c r="R126" s="144">
        <f t="shared" ref="R126:R143" si="123">P126-Q126</f>
        <v>0.300000000000011</v>
      </c>
      <c r="S126" s="113" t="str">
        <f t="shared" si="68"/>
        <v>23.5-25-16PR-CL728</v>
      </c>
      <c r="T126" s="122"/>
      <c r="U126" s="123"/>
      <c r="V126" s="123"/>
      <c r="W126" s="123"/>
      <c r="X126" s="123"/>
      <c r="Y126" s="123"/>
      <c r="Z126" s="123"/>
      <c r="AA126" s="151"/>
      <c r="AB126" s="113" t="str">
        <f t="shared" si="109"/>
        <v/>
      </c>
      <c r="AC126" s="193"/>
      <c r="AD126" s="193"/>
      <c r="AE126" s="193"/>
      <c r="AF126" s="193"/>
      <c r="AG126" s="193"/>
      <c r="AH126" s="193"/>
      <c r="AI126" s="193"/>
      <c r="AK126" s="113" t="str">
        <f t="shared" si="69"/>
        <v/>
      </c>
      <c r="AL126" s="119" t="s">
        <v>1542</v>
      </c>
      <c r="AM126" s="120" t="s">
        <v>946</v>
      </c>
      <c r="AN126" s="120" t="s">
        <v>1110</v>
      </c>
      <c r="AO126" s="120" t="s">
        <v>1565</v>
      </c>
      <c r="AP126" s="120"/>
      <c r="AQ126" s="133">
        <v>12.456</v>
      </c>
      <c r="AR126" s="133">
        <v>12.238</v>
      </c>
      <c r="AS126" s="144">
        <f t="shared" si="116"/>
        <v>0.218</v>
      </c>
      <c r="AT126" s="113" t="str">
        <f t="shared" si="111"/>
        <v>ST225/75R15-10PR-DURAHAULER ST</v>
      </c>
      <c r="AU126" s="119" t="s">
        <v>1566</v>
      </c>
      <c r="AV126" s="120" t="s">
        <v>66</v>
      </c>
      <c r="AW126" s="120" t="s">
        <v>956</v>
      </c>
      <c r="AX126" s="120" t="s">
        <v>1567</v>
      </c>
      <c r="AY126" s="133">
        <v>8.004</v>
      </c>
      <c r="AZ126" s="133">
        <v>8.002</v>
      </c>
      <c r="BA126" s="144">
        <f t="shared" si="122"/>
        <v>0.00199999999999889</v>
      </c>
      <c r="BB126" s="113" t="str">
        <f t="shared" si="118"/>
        <v>205/55R16-G-118</v>
      </c>
    </row>
    <row r="127" ht="13.8" customHeight="1" spans="2:54">
      <c r="B127" s="148" t="s">
        <v>803</v>
      </c>
      <c r="C127" s="125" t="s">
        <v>1092</v>
      </c>
      <c r="D127" s="125" t="s">
        <v>1038</v>
      </c>
      <c r="E127" s="177" t="s">
        <v>1572</v>
      </c>
      <c r="F127" s="133">
        <f>G127-4.743+5.779</f>
        <v>67.136</v>
      </c>
      <c r="G127" s="133">
        <v>66.1</v>
      </c>
      <c r="H127" s="185">
        <v>65.9</v>
      </c>
      <c r="I127" s="144">
        <f t="shared" si="105"/>
        <v>0.199999999999989</v>
      </c>
      <c r="J127" s="115" t="str">
        <f t="shared" si="117"/>
        <v>11.00R20-18PR-AZ676</v>
      </c>
      <c r="K127" s="119" t="s">
        <v>1570</v>
      </c>
      <c r="L127" s="167" t="s">
        <v>1074</v>
      </c>
      <c r="M127" s="167" t="s">
        <v>1573</v>
      </c>
      <c r="N127" s="46"/>
      <c r="O127" s="120" t="s">
        <v>66</v>
      </c>
      <c r="P127" s="187">
        <v>206.4</v>
      </c>
      <c r="Q127" s="187">
        <v>206.1</v>
      </c>
      <c r="R127" s="144">
        <f t="shared" si="123"/>
        <v>0.300000000000011</v>
      </c>
      <c r="S127" s="113" t="str">
        <f t="shared" si="68"/>
        <v>23.5-25-16PR-T318</v>
      </c>
      <c r="T127" s="119" t="s">
        <v>1574</v>
      </c>
      <c r="U127" s="120" t="s">
        <v>942</v>
      </c>
      <c r="V127" s="120" t="s">
        <v>1523</v>
      </c>
      <c r="W127" s="120" t="s">
        <v>1575</v>
      </c>
      <c r="X127" s="120"/>
      <c r="Y127" s="133">
        <v>2.735</v>
      </c>
      <c r="Z127" s="133">
        <v>2.735</v>
      </c>
      <c r="AA127" s="144">
        <f t="shared" si="121"/>
        <v>0</v>
      </c>
      <c r="AB127" s="113" t="str">
        <f t="shared" si="109"/>
        <v>90/90-14-4PR-ASP01</v>
      </c>
      <c r="AC127" s="193"/>
      <c r="AD127" s="193"/>
      <c r="AE127" s="193"/>
      <c r="AF127" s="193"/>
      <c r="AG127" s="193"/>
      <c r="AH127" s="193"/>
      <c r="AI127" s="193"/>
      <c r="AK127" s="113" t="str">
        <f t="shared" si="69"/>
        <v/>
      </c>
      <c r="AL127" s="119" t="s">
        <v>1542</v>
      </c>
      <c r="AM127" s="120" t="s">
        <v>946</v>
      </c>
      <c r="AN127" s="120" t="s">
        <v>1120</v>
      </c>
      <c r="AO127" s="120" t="s">
        <v>1565</v>
      </c>
      <c r="AP127" s="120"/>
      <c r="AQ127" s="133">
        <v>12.456</v>
      </c>
      <c r="AR127" s="133">
        <v>12.238</v>
      </c>
      <c r="AS127" s="144">
        <f t="shared" si="116"/>
        <v>0.218</v>
      </c>
      <c r="AT127" s="113" t="str">
        <f t="shared" si="111"/>
        <v>ST225/75R15-10PR-ASSURE ST</v>
      </c>
      <c r="AU127" s="119" t="s">
        <v>1566</v>
      </c>
      <c r="AV127" s="120" t="s">
        <v>66</v>
      </c>
      <c r="AW127" s="175" t="s">
        <v>970</v>
      </c>
      <c r="AX127" s="120" t="s">
        <v>1567</v>
      </c>
      <c r="AY127" s="133">
        <v>8.004</v>
      </c>
      <c r="AZ127" s="133">
        <v>8.002</v>
      </c>
      <c r="BA127" s="144">
        <f t="shared" si="122"/>
        <v>0.00199999999999889</v>
      </c>
      <c r="BB127" s="113" t="str">
        <f t="shared" si="71"/>
        <v>205/55R16-T-118</v>
      </c>
    </row>
    <row r="128" spans="2:54">
      <c r="B128" s="148" t="s">
        <v>803</v>
      </c>
      <c r="C128" s="125" t="s">
        <v>1092</v>
      </c>
      <c r="D128" s="125" t="s">
        <v>1430</v>
      </c>
      <c r="E128" s="177" t="s">
        <v>1576</v>
      </c>
      <c r="F128" s="133">
        <f>G128-4.738+5.801</f>
        <v>77.734</v>
      </c>
      <c r="G128" s="133">
        <v>76.671</v>
      </c>
      <c r="H128" s="185">
        <v>76.7079</v>
      </c>
      <c r="I128" s="144">
        <f t="shared" si="105"/>
        <v>-0.0368999999999886</v>
      </c>
      <c r="J128" s="115" t="str">
        <f t="shared" si="117"/>
        <v>11.00R20-18PR-CM998</v>
      </c>
      <c r="K128" s="119" t="s">
        <v>1570</v>
      </c>
      <c r="L128" s="167" t="s">
        <v>1101</v>
      </c>
      <c r="M128" s="167" t="s">
        <v>1571</v>
      </c>
      <c r="N128" s="125" t="s">
        <v>66</v>
      </c>
      <c r="O128" s="120" t="s">
        <v>66</v>
      </c>
      <c r="P128" s="187">
        <v>216.7</v>
      </c>
      <c r="Q128" s="187">
        <v>216.3</v>
      </c>
      <c r="R128" s="144">
        <f t="shared" si="123"/>
        <v>0.399999999999977</v>
      </c>
      <c r="S128" s="113" t="str">
        <f t="shared" si="68"/>
        <v>23.5-25-20PR-CL728</v>
      </c>
      <c r="T128" s="119" t="s">
        <v>1574</v>
      </c>
      <c r="U128" s="120" t="s">
        <v>942</v>
      </c>
      <c r="V128" s="120" t="s">
        <v>1475</v>
      </c>
      <c r="W128" s="120" t="s">
        <v>1577</v>
      </c>
      <c r="X128" s="120"/>
      <c r="Y128" s="133">
        <v>2.735</v>
      </c>
      <c r="Z128" s="133">
        <v>2.735</v>
      </c>
      <c r="AA128" s="144">
        <f t="shared" si="121"/>
        <v>0</v>
      </c>
      <c r="AB128" s="113" t="str">
        <f t="shared" si="109"/>
        <v>90/90-14-4PR-H577</v>
      </c>
      <c r="AC128" s="193"/>
      <c r="AD128" s="193"/>
      <c r="AE128" s="193"/>
      <c r="AF128" s="193"/>
      <c r="AG128" s="193"/>
      <c r="AH128" s="193"/>
      <c r="AI128" s="193"/>
      <c r="AK128" s="113" t="str">
        <f t="shared" si="69"/>
        <v/>
      </c>
      <c r="AL128" s="119" t="s">
        <v>1542</v>
      </c>
      <c r="AM128" s="120" t="s">
        <v>946</v>
      </c>
      <c r="AN128" s="120" t="s">
        <v>1125</v>
      </c>
      <c r="AO128" s="120" t="s">
        <v>1565</v>
      </c>
      <c r="AP128" s="120"/>
      <c r="AQ128" s="133">
        <v>12.456</v>
      </c>
      <c r="AR128" s="133">
        <v>12.238</v>
      </c>
      <c r="AS128" s="144">
        <f t="shared" si="116"/>
        <v>0.218</v>
      </c>
      <c r="AT128" s="113" t="str">
        <f t="shared" si="111"/>
        <v>ST225/75R15-10PR-Tow Pro ST</v>
      </c>
      <c r="AU128" s="119" t="s">
        <v>1566</v>
      </c>
      <c r="AV128" s="120" t="s">
        <v>66</v>
      </c>
      <c r="AW128" s="175" t="s">
        <v>979</v>
      </c>
      <c r="AX128" s="120" t="s">
        <v>1567</v>
      </c>
      <c r="AY128" s="133">
        <v>8.004</v>
      </c>
      <c r="AZ128" s="133">
        <v>8.002</v>
      </c>
      <c r="BA128" s="144">
        <f t="shared" si="122"/>
        <v>0.00199999999999889</v>
      </c>
      <c r="BB128" s="113" t="str">
        <f t="shared" si="71"/>
        <v>205/55R16-Z-108</v>
      </c>
    </row>
    <row r="129" spans="2:54">
      <c r="B129" s="148" t="s">
        <v>803</v>
      </c>
      <c r="C129" s="125" t="s">
        <v>1092</v>
      </c>
      <c r="D129" s="125" t="s">
        <v>1028</v>
      </c>
      <c r="E129" s="177" t="s">
        <v>1578</v>
      </c>
      <c r="F129" s="133">
        <f>G129-4.743+5.779</f>
        <v>69.001</v>
      </c>
      <c r="G129" s="133">
        <v>67.965</v>
      </c>
      <c r="H129" s="185">
        <v>67.5899</v>
      </c>
      <c r="I129" s="144">
        <f t="shared" si="105"/>
        <v>0.375100000000003</v>
      </c>
      <c r="J129" s="115" t="str">
        <f t="shared" si="117"/>
        <v>11.00R20-18PR-CM988</v>
      </c>
      <c r="K129" s="119" t="s">
        <v>1570</v>
      </c>
      <c r="L129" s="167" t="s">
        <v>1101</v>
      </c>
      <c r="M129" s="167" t="s">
        <v>1573</v>
      </c>
      <c r="N129" s="46"/>
      <c r="O129" s="120" t="s">
        <v>66</v>
      </c>
      <c r="P129" s="187">
        <v>216.7</v>
      </c>
      <c r="Q129" s="187">
        <v>216.3</v>
      </c>
      <c r="R129" s="144">
        <f t="shared" si="123"/>
        <v>0.399999999999977</v>
      </c>
      <c r="S129" s="113" t="str">
        <f t="shared" si="68"/>
        <v>23.5-25-20PR-T318</v>
      </c>
      <c r="T129" s="119" t="s">
        <v>1574</v>
      </c>
      <c r="U129" s="120" t="s">
        <v>965</v>
      </c>
      <c r="V129" s="120" t="s">
        <v>1475</v>
      </c>
      <c r="W129" s="120" t="s">
        <v>1579</v>
      </c>
      <c r="X129" s="120"/>
      <c r="Y129" s="133">
        <v>2.695</v>
      </c>
      <c r="Z129" s="133">
        <v>2.755</v>
      </c>
      <c r="AA129" s="144">
        <f t="shared" si="121"/>
        <v>-0.0600000000000001</v>
      </c>
      <c r="AB129" s="113" t="str">
        <f t="shared" si="109"/>
        <v>90/90-14-6PR-H577</v>
      </c>
      <c r="AC129" s="193"/>
      <c r="AD129" s="193"/>
      <c r="AE129" s="193"/>
      <c r="AF129" s="193"/>
      <c r="AG129" s="193"/>
      <c r="AH129" s="193"/>
      <c r="AI129" s="193"/>
      <c r="AK129" s="113" t="str">
        <f t="shared" si="69"/>
        <v/>
      </c>
      <c r="AL129" s="119" t="s">
        <v>1542</v>
      </c>
      <c r="AM129" s="120" t="s">
        <v>962</v>
      </c>
      <c r="AN129" s="120" t="s">
        <v>1167</v>
      </c>
      <c r="AO129" s="120" t="s">
        <v>1580</v>
      </c>
      <c r="AP129" s="120"/>
      <c r="AQ129" s="133">
        <v>11.656</v>
      </c>
      <c r="AR129" s="133">
        <v>11.612</v>
      </c>
      <c r="AS129" s="144">
        <f t="shared" si="116"/>
        <v>0.0440000000000005</v>
      </c>
      <c r="AT129" s="113" t="str">
        <f t="shared" si="111"/>
        <v>ST225/75R15-8PR-ST200</v>
      </c>
      <c r="AU129" s="119" t="s">
        <v>1566</v>
      </c>
      <c r="AV129" s="120" t="s">
        <v>66</v>
      </c>
      <c r="AW129" s="175" t="s">
        <v>1581</v>
      </c>
      <c r="AX129" s="120" t="s">
        <v>1582</v>
      </c>
      <c r="AY129" s="133">
        <v>8.854</v>
      </c>
      <c r="AZ129" s="133">
        <v>8.855</v>
      </c>
      <c r="BA129" s="144">
        <f t="shared" si="122"/>
        <v>-0.00100000000000122</v>
      </c>
      <c r="BB129" s="113" t="str">
        <f t="shared" si="71"/>
        <v>205/55R16-RP218(Process 1)</v>
      </c>
    </row>
    <row r="130" spans="2:54">
      <c r="B130" s="148" t="s">
        <v>803</v>
      </c>
      <c r="C130" s="125" t="s">
        <v>1092</v>
      </c>
      <c r="D130" s="125" t="s">
        <v>1408</v>
      </c>
      <c r="E130" s="177" t="s">
        <v>1583</v>
      </c>
      <c r="F130" s="133">
        <f>G130-4.738+5.801</f>
        <v>81.262</v>
      </c>
      <c r="G130" s="133">
        <v>80.199</v>
      </c>
      <c r="H130" s="185">
        <v>80.046</v>
      </c>
      <c r="I130" s="144">
        <f t="shared" si="105"/>
        <v>0.152999999999992</v>
      </c>
      <c r="J130" s="115" t="str">
        <f t="shared" si="117"/>
        <v>11.00R20-18PR-EZ835</v>
      </c>
      <c r="K130" s="119" t="s">
        <v>1570</v>
      </c>
      <c r="L130" s="167" t="s">
        <v>1584</v>
      </c>
      <c r="M130" s="167" t="s">
        <v>1571</v>
      </c>
      <c r="N130" s="125" t="s">
        <v>66</v>
      </c>
      <c r="O130" s="120" t="s">
        <v>66</v>
      </c>
      <c r="P130" s="187">
        <v>216.7</v>
      </c>
      <c r="Q130" s="187">
        <v>216.3</v>
      </c>
      <c r="R130" s="144">
        <f t="shared" si="123"/>
        <v>0.399999999999977</v>
      </c>
      <c r="S130" s="113" t="str">
        <f t="shared" si="68"/>
        <v>23.5-25-24PR-CL728</v>
      </c>
      <c r="T130" s="119" t="s">
        <v>1574</v>
      </c>
      <c r="U130" s="120" t="s">
        <v>942</v>
      </c>
      <c r="V130" s="120" t="s">
        <v>1481</v>
      </c>
      <c r="W130" s="120" t="s">
        <v>1585</v>
      </c>
      <c r="X130" s="120"/>
      <c r="Y130" s="133">
        <v>2.875</v>
      </c>
      <c r="Z130" s="133">
        <v>2.875</v>
      </c>
      <c r="AA130" s="144">
        <f t="shared" si="121"/>
        <v>0</v>
      </c>
      <c r="AB130" s="113" t="str">
        <f t="shared" si="109"/>
        <v>90/90-14-4PR-H597</v>
      </c>
      <c r="AC130" s="193"/>
      <c r="AD130" s="193"/>
      <c r="AE130" s="193"/>
      <c r="AF130" s="193"/>
      <c r="AG130" s="193"/>
      <c r="AH130" s="193"/>
      <c r="AI130" s="193"/>
      <c r="AK130" s="113" t="str">
        <f t="shared" si="69"/>
        <v/>
      </c>
      <c r="AL130" s="119" t="s">
        <v>1542</v>
      </c>
      <c r="AM130" s="120" t="s">
        <v>962</v>
      </c>
      <c r="AN130" s="120" t="s">
        <v>984</v>
      </c>
      <c r="AO130" s="120" t="s">
        <v>1580</v>
      </c>
      <c r="AP130" s="120"/>
      <c r="AQ130" s="133">
        <v>11.656</v>
      </c>
      <c r="AR130" s="133">
        <v>11.612</v>
      </c>
      <c r="AS130" s="144">
        <f t="shared" si="116"/>
        <v>0.0440000000000005</v>
      </c>
      <c r="AT130" s="113" t="str">
        <f t="shared" si="111"/>
        <v>ST225/75R15-8PR-ST Radial</v>
      </c>
      <c r="AU130" s="119" t="s">
        <v>1566</v>
      </c>
      <c r="AV130" s="120" t="s">
        <v>66</v>
      </c>
      <c r="AW130" s="175" t="s">
        <v>1586</v>
      </c>
      <c r="AX130" s="120" t="s">
        <v>1587</v>
      </c>
      <c r="AY130" s="133">
        <v>9.152</v>
      </c>
      <c r="AZ130" s="133">
        <v>9.151</v>
      </c>
      <c r="BA130" s="144">
        <f t="shared" si="122"/>
        <v>0.000999999999999446</v>
      </c>
      <c r="BB130" s="113" t="str">
        <f t="shared" si="71"/>
        <v>205/55R16-RP218(Process 2)</v>
      </c>
    </row>
    <row r="131" ht="13.8" customHeight="1" spans="2:54">
      <c r="B131" s="148" t="s">
        <v>803</v>
      </c>
      <c r="C131" s="125" t="s">
        <v>1074</v>
      </c>
      <c r="D131" s="125" t="s">
        <v>1588</v>
      </c>
      <c r="E131" s="177" t="s">
        <v>1589</v>
      </c>
      <c r="F131" s="133">
        <f t="shared" ref="F131:F134" si="124">G131-4.743+5.799</f>
        <v>85.692</v>
      </c>
      <c r="G131" s="133">
        <v>84.636</v>
      </c>
      <c r="H131" s="185">
        <v>83.6857</v>
      </c>
      <c r="I131" s="144">
        <f t="shared" si="105"/>
        <v>0.950299999999999</v>
      </c>
      <c r="J131" s="115" t="str">
        <f t="shared" si="117"/>
        <v>11.00R20-16PR-SUPER ETOT</v>
      </c>
      <c r="K131" s="119" t="s">
        <v>1570</v>
      </c>
      <c r="L131" s="167" t="s">
        <v>1584</v>
      </c>
      <c r="M131" s="167" t="s">
        <v>1573</v>
      </c>
      <c r="N131" s="46"/>
      <c r="O131" s="120" t="s">
        <v>66</v>
      </c>
      <c r="P131" s="187">
        <v>216.7</v>
      </c>
      <c r="Q131" s="187">
        <v>216.3</v>
      </c>
      <c r="R131" s="144">
        <f t="shared" si="123"/>
        <v>0.399999999999977</v>
      </c>
      <c r="S131" s="113" t="str">
        <f t="shared" si="68"/>
        <v>23.5-25-24PR-T318</v>
      </c>
      <c r="T131" s="119" t="s">
        <v>1574</v>
      </c>
      <c r="U131" s="120" t="s">
        <v>942</v>
      </c>
      <c r="V131" s="120" t="s">
        <v>1487</v>
      </c>
      <c r="W131" s="120" t="s">
        <v>1590</v>
      </c>
      <c r="X131" s="120"/>
      <c r="Y131" s="133">
        <v>2.837</v>
      </c>
      <c r="Z131" s="133">
        <v>2.815</v>
      </c>
      <c r="AA131" s="144">
        <f t="shared" si="121"/>
        <v>0.0220000000000002</v>
      </c>
      <c r="AB131" s="113" t="str">
        <f t="shared" si="109"/>
        <v>90/90-14-4PR-H999A</v>
      </c>
      <c r="AC131" s="193"/>
      <c r="AD131" s="193"/>
      <c r="AE131" s="193"/>
      <c r="AF131" s="193"/>
      <c r="AG131" s="193"/>
      <c r="AH131" s="193"/>
      <c r="AI131" s="193"/>
      <c r="AK131" s="113" t="str">
        <f t="shared" si="69"/>
        <v/>
      </c>
      <c r="AL131" s="119" t="s">
        <v>1542</v>
      </c>
      <c r="AM131" s="120" t="s">
        <v>962</v>
      </c>
      <c r="AN131" s="170" t="s">
        <v>993</v>
      </c>
      <c r="AO131" s="120" t="s">
        <v>1580</v>
      </c>
      <c r="AP131" s="120"/>
      <c r="AQ131" s="133">
        <v>11.656</v>
      </c>
      <c r="AR131" s="133">
        <v>11.612</v>
      </c>
      <c r="AS131" s="144">
        <f t="shared" si="116"/>
        <v>0.0440000000000005</v>
      </c>
      <c r="AT131" s="113" t="str">
        <f t="shared" si="111"/>
        <v>ST225/75R15-8PR-RAINIER ST</v>
      </c>
      <c r="AU131" s="122"/>
      <c r="AV131" s="123"/>
      <c r="AW131" s="123"/>
      <c r="AX131" s="123"/>
      <c r="AY131" s="130"/>
      <c r="AZ131" s="130"/>
      <c r="BA131" s="145"/>
      <c r="BB131" s="113" t="str">
        <f t="shared" si="71"/>
        <v/>
      </c>
    </row>
    <row r="132" spans="2:54">
      <c r="B132" s="148" t="s">
        <v>803</v>
      </c>
      <c r="C132" s="125" t="s">
        <v>1092</v>
      </c>
      <c r="D132" s="125" t="s">
        <v>1588</v>
      </c>
      <c r="E132" s="177" t="s">
        <v>1589</v>
      </c>
      <c r="F132" s="133">
        <f t="shared" si="124"/>
        <v>85.692</v>
      </c>
      <c r="G132" s="133">
        <v>84.636</v>
      </c>
      <c r="H132" s="185">
        <v>83.6857</v>
      </c>
      <c r="I132" s="144">
        <f t="shared" si="105"/>
        <v>0.950299999999999</v>
      </c>
      <c r="J132" s="115" t="str">
        <f t="shared" si="117"/>
        <v>11.00R20-18PR-SUPER ETOT</v>
      </c>
      <c r="K132" s="119" t="s">
        <v>1570</v>
      </c>
      <c r="L132" s="167" t="s">
        <v>1074</v>
      </c>
      <c r="M132" s="167" t="s">
        <v>1591</v>
      </c>
      <c r="N132" s="120" t="s">
        <v>66</v>
      </c>
      <c r="O132" s="120" t="s">
        <v>66</v>
      </c>
      <c r="P132" s="187">
        <v>199.8</v>
      </c>
      <c r="Q132" s="187">
        <v>199.6</v>
      </c>
      <c r="R132" s="144">
        <f t="shared" si="123"/>
        <v>0.200000000000017</v>
      </c>
      <c r="S132" s="113" t="str">
        <f t="shared" si="68"/>
        <v>23.5-25-16PR-EL36</v>
      </c>
      <c r="T132" s="122"/>
      <c r="U132" s="123"/>
      <c r="V132" s="123"/>
      <c r="W132" s="123"/>
      <c r="X132" s="123"/>
      <c r="Y132" s="123"/>
      <c r="Z132" s="123"/>
      <c r="AA132" s="151"/>
      <c r="AB132" s="113" t="str">
        <f t="shared" si="109"/>
        <v/>
      </c>
      <c r="AC132" s="193"/>
      <c r="AD132" s="193"/>
      <c r="AE132" s="193"/>
      <c r="AF132" s="193"/>
      <c r="AG132" s="193"/>
      <c r="AH132" s="193"/>
      <c r="AI132" s="193"/>
      <c r="AK132" s="113" t="str">
        <f t="shared" si="69"/>
        <v/>
      </c>
      <c r="AL132" s="119" t="s">
        <v>1542</v>
      </c>
      <c r="AM132" s="120" t="s">
        <v>946</v>
      </c>
      <c r="AN132" s="120" t="s">
        <v>1167</v>
      </c>
      <c r="AO132" s="120" t="s">
        <v>1592</v>
      </c>
      <c r="AP132" s="120"/>
      <c r="AQ132" s="133">
        <v>12.104</v>
      </c>
      <c r="AR132" s="133">
        <v>12.097</v>
      </c>
      <c r="AS132" s="144">
        <f t="shared" si="116"/>
        <v>0.00699999999999967</v>
      </c>
      <c r="AT132" s="113" t="str">
        <f t="shared" si="111"/>
        <v>ST225/75R15-10PR-ST200</v>
      </c>
      <c r="AU132" s="119" t="s">
        <v>1593</v>
      </c>
      <c r="AV132" s="120" t="s">
        <v>66</v>
      </c>
      <c r="AW132" s="120" t="s">
        <v>953</v>
      </c>
      <c r="AX132" s="120" t="s">
        <v>1594</v>
      </c>
      <c r="AY132" s="133">
        <v>7.97</v>
      </c>
      <c r="AZ132" s="133">
        <v>7.971</v>
      </c>
      <c r="BA132" s="144">
        <f t="shared" ref="BA132:BA136" si="125">AY132-AZ132</f>
        <v>-0.00100000000000033</v>
      </c>
      <c r="BB132" s="113" t="str">
        <f t="shared" si="71"/>
        <v>205/60R16-C-108</v>
      </c>
    </row>
    <row r="133" spans="2:54">
      <c r="B133" s="148" t="s">
        <v>803</v>
      </c>
      <c r="C133" s="125" t="s">
        <v>1092</v>
      </c>
      <c r="D133" s="125" t="s">
        <v>1595</v>
      </c>
      <c r="E133" s="177" t="s">
        <v>1596</v>
      </c>
      <c r="F133" s="133">
        <f t="shared" si="124"/>
        <v>79.291</v>
      </c>
      <c r="G133" s="133">
        <v>78.235</v>
      </c>
      <c r="H133" s="185">
        <v>78.1</v>
      </c>
      <c r="I133" s="144">
        <f t="shared" si="105"/>
        <v>0.135000000000005</v>
      </c>
      <c r="J133" s="115" t="str">
        <f t="shared" si="117"/>
        <v>11.00R20-18PR-ETRF</v>
      </c>
      <c r="K133" s="119" t="s">
        <v>1570</v>
      </c>
      <c r="L133" s="167" t="s">
        <v>1101</v>
      </c>
      <c r="M133" s="167" t="s">
        <v>1591</v>
      </c>
      <c r="N133" s="120" t="s">
        <v>66</v>
      </c>
      <c r="O133" s="120" t="s">
        <v>66</v>
      </c>
      <c r="P133" s="187">
        <v>211.3</v>
      </c>
      <c r="Q133" s="187">
        <v>209.9</v>
      </c>
      <c r="R133" s="144">
        <f t="shared" si="123"/>
        <v>1.40000000000001</v>
      </c>
      <c r="S133" s="113" t="str">
        <f t="shared" ref="S133:S196" si="126">_xlfn.TEXTJOIN("-",TRUE,K133,L133,M133)</f>
        <v>23.5-25-20PR-EL36</v>
      </c>
      <c r="T133" s="119" t="s">
        <v>1597</v>
      </c>
      <c r="U133" s="120" t="s">
        <v>965</v>
      </c>
      <c r="V133" s="120" t="s">
        <v>1551</v>
      </c>
      <c r="W133" s="120" t="s">
        <v>1598</v>
      </c>
      <c r="X133" s="120"/>
      <c r="Y133" s="133">
        <v>3.255</v>
      </c>
      <c r="Z133" s="133">
        <v>3.255</v>
      </c>
      <c r="AA133" s="144">
        <f t="shared" ref="AA133:AA137" si="127">Y133-Z133</f>
        <v>0</v>
      </c>
      <c r="AB133" s="113" t="str">
        <f t="shared" si="109"/>
        <v>100/80-14-6PR-H522S</v>
      </c>
      <c r="AC133" s="193"/>
      <c r="AD133" s="193"/>
      <c r="AE133" s="193"/>
      <c r="AF133" s="193"/>
      <c r="AG133" s="193"/>
      <c r="AH133" s="193"/>
      <c r="AI133" s="193"/>
      <c r="AK133" s="113" t="str">
        <f t="shared" ref="AK133:AK196" si="128">_xlfn.TEXTJOIN("-",TRUE,AC133,AD133,AE133)</f>
        <v/>
      </c>
      <c r="AL133" s="119" t="s">
        <v>1542</v>
      </c>
      <c r="AM133" s="120" t="s">
        <v>946</v>
      </c>
      <c r="AN133" s="120" t="s">
        <v>984</v>
      </c>
      <c r="AO133" s="120" t="s">
        <v>1592</v>
      </c>
      <c r="AP133" s="120"/>
      <c r="AQ133" s="133">
        <v>12.104</v>
      </c>
      <c r="AR133" s="133">
        <v>12.097</v>
      </c>
      <c r="AS133" s="144">
        <f t="shared" si="116"/>
        <v>0.00699999999999967</v>
      </c>
      <c r="AT133" s="113" t="str">
        <f t="shared" si="111"/>
        <v>ST225/75R15-10PR-ST Radial</v>
      </c>
      <c r="AU133" s="119" t="s">
        <v>1593</v>
      </c>
      <c r="AV133" s="120" t="s">
        <v>66</v>
      </c>
      <c r="AW133" s="120" t="s">
        <v>956</v>
      </c>
      <c r="AX133" s="120" t="s">
        <v>1594</v>
      </c>
      <c r="AY133" s="133">
        <v>7.97</v>
      </c>
      <c r="AZ133" s="133">
        <v>7.971</v>
      </c>
      <c r="BA133" s="144">
        <f t="shared" si="125"/>
        <v>-0.00100000000000033</v>
      </c>
      <c r="BB133" s="113" t="str">
        <f t="shared" ref="BB133:BB196" si="129">_xlfn.TEXTJOIN("-",TRUE,AU133,AW133)</f>
        <v>205/60R16-G-118</v>
      </c>
    </row>
    <row r="134" ht="13.8" customHeight="1" spans="2:54">
      <c r="B134" s="148" t="s">
        <v>803</v>
      </c>
      <c r="C134" s="125" t="s">
        <v>1092</v>
      </c>
      <c r="D134" s="125" t="s">
        <v>1599</v>
      </c>
      <c r="E134" s="177" t="s">
        <v>1596</v>
      </c>
      <c r="F134" s="133">
        <f t="shared" si="124"/>
        <v>79.291</v>
      </c>
      <c r="G134" s="133">
        <v>78.235</v>
      </c>
      <c r="H134" s="185">
        <v>78.1</v>
      </c>
      <c r="I134" s="144">
        <f t="shared" si="105"/>
        <v>0.135000000000005</v>
      </c>
      <c r="J134" s="115" t="str">
        <f t="shared" si="117"/>
        <v>11.00R20-18PR-AM4S.Q679</v>
      </c>
      <c r="K134" s="119" t="s">
        <v>1570</v>
      </c>
      <c r="L134" s="167" t="s">
        <v>1584</v>
      </c>
      <c r="M134" s="167" t="s">
        <v>1591</v>
      </c>
      <c r="N134" s="120" t="s">
        <v>66</v>
      </c>
      <c r="O134" s="120" t="s">
        <v>66</v>
      </c>
      <c r="P134" s="187">
        <v>211.3</v>
      </c>
      <c r="Q134" s="187">
        <v>209.9</v>
      </c>
      <c r="R134" s="144">
        <f t="shared" si="123"/>
        <v>1.40000000000001</v>
      </c>
      <c r="S134" s="113" t="str">
        <f t="shared" si="126"/>
        <v>23.5-25-24PR-EL36</v>
      </c>
      <c r="T134" s="119" t="s">
        <v>1597</v>
      </c>
      <c r="U134" s="120" t="s">
        <v>942</v>
      </c>
      <c r="V134" s="120" t="s">
        <v>1475</v>
      </c>
      <c r="W134" s="120" t="s">
        <v>1600</v>
      </c>
      <c r="X134" s="120"/>
      <c r="Y134" s="133">
        <v>3.1</v>
      </c>
      <c r="Z134" s="133">
        <v>3.195</v>
      </c>
      <c r="AA134" s="144">
        <f t="shared" si="127"/>
        <v>-0.0949999999999998</v>
      </c>
      <c r="AB134" s="113" t="str">
        <f t="shared" si="109"/>
        <v>100/80-14-4PR-H577</v>
      </c>
      <c r="AC134" s="193"/>
      <c r="AD134" s="193"/>
      <c r="AE134" s="193"/>
      <c r="AF134" s="193"/>
      <c r="AG134" s="193"/>
      <c r="AH134" s="193"/>
      <c r="AI134" s="193"/>
      <c r="AK134" s="113" t="str">
        <f t="shared" si="128"/>
        <v/>
      </c>
      <c r="AL134" s="119" t="s">
        <v>1542</v>
      </c>
      <c r="AM134" s="120" t="s">
        <v>946</v>
      </c>
      <c r="AN134" s="170" t="s">
        <v>993</v>
      </c>
      <c r="AO134" s="120" t="s">
        <v>1592</v>
      </c>
      <c r="AP134" s="120"/>
      <c r="AQ134" s="133">
        <v>12.104</v>
      </c>
      <c r="AR134" s="133">
        <v>12.097</v>
      </c>
      <c r="AS134" s="144">
        <f t="shared" si="116"/>
        <v>0.00699999999999967</v>
      </c>
      <c r="AT134" s="113" t="s">
        <v>1601</v>
      </c>
      <c r="AU134" s="119" t="s">
        <v>1593</v>
      </c>
      <c r="AV134" s="120" t="s">
        <v>66</v>
      </c>
      <c r="AW134" s="175" t="s">
        <v>970</v>
      </c>
      <c r="AX134" s="120" t="s">
        <v>1594</v>
      </c>
      <c r="AY134" s="133">
        <v>7.97</v>
      </c>
      <c r="AZ134" s="133">
        <v>7.971</v>
      </c>
      <c r="BA134" s="144">
        <f t="shared" si="125"/>
        <v>-0.00100000000000033</v>
      </c>
      <c r="BB134" s="113" t="str">
        <f t="shared" si="129"/>
        <v>205/60R16-T-118</v>
      </c>
    </row>
    <row r="135" spans="2:54">
      <c r="B135" s="148" t="s">
        <v>803</v>
      </c>
      <c r="C135" s="125" t="s">
        <v>1092</v>
      </c>
      <c r="D135" s="125" t="s">
        <v>1244</v>
      </c>
      <c r="E135" s="177" t="s">
        <v>1602</v>
      </c>
      <c r="F135" s="133">
        <f t="shared" ref="F135:F141" si="130">G135-4.74+5.8</f>
        <v>77.6</v>
      </c>
      <c r="G135" s="133">
        <v>76.54</v>
      </c>
      <c r="H135" s="185">
        <v>76.52</v>
      </c>
      <c r="I135" s="144">
        <f t="shared" si="105"/>
        <v>0.0200000000000102</v>
      </c>
      <c r="J135" s="115" t="str">
        <f t="shared" si="117"/>
        <v>11.00R20-18PR-EZ867</v>
      </c>
      <c r="K135" s="119" t="s">
        <v>1570</v>
      </c>
      <c r="L135" s="167" t="s">
        <v>1101</v>
      </c>
      <c r="M135" s="167" t="s">
        <v>1603</v>
      </c>
      <c r="N135" s="120" t="s">
        <v>66</v>
      </c>
      <c r="O135" s="120" t="s">
        <v>66</v>
      </c>
      <c r="P135" s="187">
        <v>211.3</v>
      </c>
      <c r="Q135" s="187">
        <v>209.9</v>
      </c>
      <c r="R135" s="144">
        <f t="shared" si="123"/>
        <v>1.40000000000001</v>
      </c>
      <c r="S135" s="113" t="str">
        <f t="shared" si="126"/>
        <v>23.5-25-20PR-EL36A</v>
      </c>
      <c r="T135" s="119" t="s">
        <v>1597</v>
      </c>
      <c r="U135" s="120" t="s">
        <v>965</v>
      </c>
      <c r="V135" s="120" t="s">
        <v>1481</v>
      </c>
      <c r="W135" s="120" t="s">
        <v>1604</v>
      </c>
      <c r="X135" s="120"/>
      <c r="Y135" s="133">
        <v>3.28</v>
      </c>
      <c r="Z135" s="133">
        <v>3.28</v>
      </c>
      <c r="AA135" s="144">
        <f t="shared" si="127"/>
        <v>0</v>
      </c>
      <c r="AB135" s="113" t="str">
        <f t="shared" si="109"/>
        <v>100/80-14-6PR-H597</v>
      </c>
      <c r="AC135" s="193"/>
      <c r="AD135" s="193"/>
      <c r="AE135" s="193"/>
      <c r="AF135" s="193"/>
      <c r="AG135" s="193"/>
      <c r="AH135" s="193"/>
      <c r="AI135" s="193"/>
      <c r="AK135" s="113" t="str">
        <f t="shared" si="128"/>
        <v/>
      </c>
      <c r="AL135" s="119" t="s">
        <v>1542</v>
      </c>
      <c r="AM135" s="120" t="s">
        <v>962</v>
      </c>
      <c r="AN135" s="120" t="s">
        <v>1188</v>
      </c>
      <c r="AO135" s="120" t="s">
        <v>1605</v>
      </c>
      <c r="AP135" s="120"/>
      <c r="AQ135" s="133">
        <v>11.917</v>
      </c>
      <c r="AR135" s="133">
        <v>11.798</v>
      </c>
      <c r="AS135" s="144">
        <f t="shared" si="116"/>
        <v>0.119</v>
      </c>
      <c r="AT135" s="113" t="str">
        <f t="shared" ref="AT133:AT175" si="131">_xlfn.TEXTJOIN("-",TRUE,AL135,AM135,AN135)</f>
        <v>ST225/75R15-8PR-ST226</v>
      </c>
      <c r="AU135" s="119" t="s">
        <v>1593</v>
      </c>
      <c r="AV135" s="120" t="s">
        <v>66</v>
      </c>
      <c r="AW135" s="175" t="s">
        <v>979</v>
      </c>
      <c r="AX135" s="120" t="s">
        <v>1594</v>
      </c>
      <c r="AY135" s="133">
        <v>7.97</v>
      </c>
      <c r="AZ135" s="133">
        <v>7.971</v>
      </c>
      <c r="BA135" s="144">
        <f t="shared" si="125"/>
        <v>-0.00100000000000033</v>
      </c>
      <c r="BB135" s="113" t="str">
        <f t="shared" si="129"/>
        <v>205/60R16-Z-108</v>
      </c>
    </row>
    <row r="136" ht="13.8" customHeight="1" spans="2:54">
      <c r="B136" s="148" t="s">
        <v>803</v>
      </c>
      <c r="C136" s="125" t="s">
        <v>1092</v>
      </c>
      <c r="D136" s="125" t="s">
        <v>1606</v>
      </c>
      <c r="E136" s="177" t="s">
        <v>1602</v>
      </c>
      <c r="F136" s="133">
        <f t="shared" si="130"/>
        <v>77.6</v>
      </c>
      <c r="G136" s="133">
        <v>76.54</v>
      </c>
      <c r="H136" s="185">
        <v>76.52</v>
      </c>
      <c r="I136" s="144">
        <f t="shared" si="105"/>
        <v>0.0200000000000102</v>
      </c>
      <c r="J136" s="115" t="str">
        <f t="shared" si="117"/>
        <v>11.00R20-18PR-XEZ87</v>
      </c>
      <c r="K136" s="119" t="s">
        <v>1570</v>
      </c>
      <c r="L136" s="167" t="s">
        <v>1584</v>
      </c>
      <c r="M136" s="167" t="s">
        <v>1603</v>
      </c>
      <c r="N136" s="125" t="s">
        <v>66</v>
      </c>
      <c r="O136" s="120" t="s">
        <v>66</v>
      </c>
      <c r="P136" s="187">
        <v>211.2</v>
      </c>
      <c r="Q136" s="187">
        <v>209.9</v>
      </c>
      <c r="R136" s="144">
        <f t="shared" si="123"/>
        <v>1.29999999999998</v>
      </c>
      <c r="S136" s="113" t="str">
        <f t="shared" si="126"/>
        <v>23.5-25-24PR-EL36A</v>
      </c>
      <c r="T136" s="119" t="s">
        <v>1597</v>
      </c>
      <c r="U136" s="120" t="s">
        <v>942</v>
      </c>
      <c r="V136" s="120" t="s">
        <v>1535</v>
      </c>
      <c r="W136" s="120" t="s">
        <v>1607</v>
      </c>
      <c r="X136" s="120"/>
      <c r="Y136" s="133">
        <v>3.18</v>
      </c>
      <c r="Z136" s="133">
        <v>3.18</v>
      </c>
      <c r="AA136" s="144">
        <f t="shared" si="127"/>
        <v>0</v>
      </c>
      <c r="AB136" s="113" t="str">
        <f t="shared" si="109"/>
        <v>100/80-14-4PR-H999-A</v>
      </c>
      <c r="AC136" s="193"/>
      <c r="AD136" s="193"/>
      <c r="AE136" s="193"/>
      <c r="AF136" s="193"/>
      <c r="AG136" s="193"/>
      <c r="AH136" s="193"/>
      <c r="AI136" s="193"/>
      <c r="AK136" s="113" t="str">
        <f t="shared" si="128"/>
        <v/>
      </c>
      <c r="AL136" s="119" t="s">
        <v>1542</v>
      </c>
      <c r="AM136" s="120" t="s">
        <v>946</v>
      </c>
      <c r="AN136" s="120" t="s">
        <v>1188</v>
      </c>
      <c r="AO136" s="120" t="s">
        <v>1608</v>
      </c>
      <c r="AP136" s="120"/>
      <c r="AQ136" s="133">
        <v>12.354</v>
      </c>
      <c r="AR136" s="133">
        <v>12.272</v>
      </c>
      <c r="AS136" s="144">
        <f t="shared" si="116"/>
        <v>0.081999999999999</v>
      </c>
      <c r="AT136" s="113" t="str">
        <f t="shared" si="131"/>
        <v>ST225/75R15-10PR-ST226</v>
      </c>
      <c r="AU136" s="119" t="s">
        <v>1593</v>
      </c>
      <c r="AV136" s="120" t="s">
        <v>66</v>
      </c>
      <c r="AW136" s="175" t="s">
        <v>1218</v>
      </c>
      <c r="AX136" s="120" t="s">
        <v>1609</v>
      </c>
      <c r="AY136" s="133">
        <v>9.203</v>
      </c>
      <c r="AZ136" s="133">
        <v>9.202</v>
      </c>
      <c r="BA136" s="144">
        <f t="shared" si="125"/>
        <v>0.000999999999999446</v>
      </c>
      <c r="BB136" s="113" t="str">
        <f t="shared" si="129"/>
        <v>205/60R16-RP218</v>
      </c>
    </row>
    <row r="137" spans="2:54">
      <c r="B137" s="148" t="s">
        <v>803</v>
      </c>
      <c r="C137" s="125" t="s">
        <v>1092</v>
      </c>
      <c r="D137" s="125" t="s">
        <v>1610</v>
      </c>
      <c r="E137" s="177" t="s">
        <v>1611</v>
      </c>
      <c r="F137" s="133">
        <f t="shared" si="130"/>
        <v>84.34</v>
      </c>
      <c r="G137" s="133">
        <v>83.28</v>
      </c>
      <c r="H137" s="185">
        <v>83.3</v>
      </c>
      <c r="I137" s="144">
        <f t="shared" si="105"/>
        <v>-0.019999999999996</v>
      </c>
      <c r="J137" s="115" t="str">
        <f t="shared" ref="J137:J200" si="132">_xlfn.TEXTJOIN("-",TRUE,B137,C137,D137)</f>
        <v>11.00R20-18PR-EZ870</v>
      </c>
      <c r="K137" s="119" t="s">
        <v>1570</v>
      </c>
      <c r="L137" s="167" t="s">
        <v>1584</v>
      </c>
      <c r="M137" s="167" t="s">
        <v>1612</v>
      </c>
      <c r="N137" s="46"/>
      <c r="O137" s="120" t="s">
        <v>66</v>
      </c>
      <c r="P137" s="187">
        <v>211.2</v>
      </c>
      <c r="Q137" s="187">
        <v>209.9</v>
      </c>
      <c r="R137" s="144">
        <f t="shared" si="123"/>
        <v>1.29999999999998</v>
      </c>
      <c r="S137" s="113" t="str">
        <f t="shared" si="126"/>
        <v>23.5-25-24PR-DF60</v>
      </c>
      <c r="T137" s="119" t="s">
        <v>1597</v>
      </c>
      <c r="U137" s="120" t="s">
        <v>965</v>
      </c>
      <c r="V137" s="120" t="s">
        <v>1535</v>
      </c>
      <c r="W137" s="120" t="s">
        <v>1613</v>
      </c>
      <c r="X137" s="120"/>
      <c r="Y137" s="133">
        <v>3.18</v>
      </c>
      <c r="Z137" s="133">
        <v>3.18</v>
      </c>
      <c r="AA137" s="144">
        <f t="shared" si="127"/>
        <v>0</v>
      </c>
      <c r="AB137" s="113" t="str">
        <f t="shared" si="109"/>
        <v>100/80-14-6PR-H999-A</v>
      </c>
      <c r="AC137" s="193"/>
      <c r="AD137" s="193"/>
      <c r="AE137" s="193"/>
      <c r="AF137" s="193"/>
      <c r="AG137" s="193"/>
      <c r="AH137" s="193"/>
      <c r="AI137" s="193"/>
      <c r="AK137" s="113" t="str">
        <f t="shared" si="128"/>
        <v/>
      </c>
      <c r="AL137" s="122"/>
      <c r="AM137" s="123"/>
      <c r="AN137" s="123"/>
      <c r="AO137" s="123"/>
      <c r="AP137" s="123"/>
      <c r="AQ137" s="123"/>
      <c r="AR137" s="123"/>
      <c r="AS137" s="151"/>
      <c r="AT137" s="113" t="str">
        <f t="shared" si="131"/>
        <v/>
      </c>
      <c r="AU137" s="122"/>
      <c r="AV137" s="123"/>
      <c r="AW137" s="123"/>
      <c r="AX137" s="123"/>
      <c r="AY137" s="130"/>
      <c r="AZ137" s="130"/>
      <c r="BA137" s="145"/>
      <c r="BB137" s="113" t="str">
        <f t="shared" si="129"/>
        <v/>
      </c>
    </row>
    <row r="138" ht="13.8" customHeight="1" spans="2:54">
      <c r="B138" s="148" t="s">
        <v>803</v>
      </c>
      <c r="C138" s="125" t="s">
        <v>1092</v>
      </c>
      <c r="D138" s="125" t="s">
        <v>1490</v>
      </c>
      <c r="E138" s="177" t="s">
        <v>1614</v>
      </c>
      <c r="F138" s="133">
        <f t="shared" si="130"/>
        <v>65.844</v>
      </c>
      <c r="G138" s="133">
        <v>64.784</v>
      </c>
      <c r="H138" s="185">
        <v>64.64</v>
      </c>
      <c r="I138" s="144">
        <f t="shared" si="105"/>
        <v>0.144000000000005</v>
      </c>
      <c r="J138" s="115" t="str">
        <f t="shared" si="132"/>
        <v>11.00R20-18PR-AZ183</v>
      </c>
      <c r="K138" s="119" t="s">
        <v>1570</v>
      </c>
      <c r="L138" s="167" t="s">
        <v>1074</v>
      </c>
      <c r="M138" s="167" t="s">
        <v>1615</v>
      </c>
      <c r="N138" s="125" t="s">
        <v>66</v>
      </c>
      <c r="O138" s="120" t="s">
        <v>66</v>
      </c>
      <c r="P138" s="187">
        <v>197.1</v>
      </c>
      <c r="Q138" s="187">
        <v>197.5</v>
      </c>
      <c r="R138" s="144">
        <f t="shared" si="123"/>
        <v>-0.400000000000006</v>
      </c>
      <c r="S138" s="113" t="str">
        <f t="shared" si="126"/>
        <v>23.5-25-16PR-EL37</v>
      </c>
      <c r="T138" s="122"/>
      <c r="U138" s="123"/>
      <c r="V138" s="123"/>
      <c r="W138" s="123"/>
      <c r="X138" s="123"/>
      <c r="Y138" s="123"/>
      <c r="Z138" s="123"/>
      <c r="AA138" s="151"/>
      <c r="AB138" s="113" t="str">
        <f t="shared" si="109"/>
        <v/>
      </c>
      <c r="AC138" s="193"/>
      <c r="AD138" s="193"/>
      <c r="AE138" s="193"/>
      <c r="AF138" s="193"/>
      <c r="AG138" s="193"/>
      <c r="AH138" s="193"/>
      <c r="AI138" s="193"/>
      <c r="AK138" s="113" t="str">
        <f t="shared" si="128"/>
        <v/>
      </c>
      <c r="AL138" s="119" t="s">
        <v>1616</v>
      </c>
      <c r="AM138" s="120" t="s">
        <v>934</v>
      </c>
      <c r="AN138" s="170" t="s">
        <v>993</v>
      </c>
      <c r="AO138" s="120" t="s">
        <v>1617</v>
      </c>
      <c r="AP138" s="120"/>
      <c r="AQ138" s="133">
        <v>18.129</v>
      </c>
      <c r="AR138" s="133">
        <v>18.149</v>
      </c>
      <c r="AS138" s="144">
        <f t="shared" ref="AS138:AS152" si="133">AQ138-AR138</f>
        <v>-0.0199999999999996</v>
      </c>
      <c r="AT138" s="113" t="str">
        <f t="shared" si="131"/>
        <v>ST235/80R16-12PR-RAINIER ST</v>
      </c>
      <c r="AU138" s="119" t="s">
        <v>1618</v>
      </c>
      <c r="AV138" s="120" t="s">
        <v>66</v>
      </c>
      <c r="AW138" s="120" t="s">
        <v>953</v>
      </c>
      <c r="AX138" s="120" t="s">
        <v>1619</v>
      </c>
      <c r="AY138" s="133">
        <v>8.415</v>
      </c>
      <c r="AZ138" s="133">
        <v>8.417</v>
      </c>
      <c r="BA138" s="144">
        <f t="shared" ref="BA138:BA142" si="134">AY138-AZ138</f>
        <v>-0.00200000000000067</v>
      </c>
      <c r="BB138" s="113" t="str">
        <f t="shared" si="129"/>
        <v>205/65R15-C-108</v>
      </c>
    </row>
    <row r="139" spans="2:54">
      <c r="B139" s="148" t="s">
        <v>803</v>
      </c>
      <c r="C139" s="125" t="s">
        <v>1092</v>
      </c>
      <c r="D139" s="125" t="s">
        <v>1462</v>
      </c>
      <c r="E139" s="177" t="s">
        <v>1620</v>
      </c>
      <c r="F139" s="133">
        <f t="shared" si="130"/>
        <v>69.844</v>
      </c>
      <c r="G139" s="133">
        <v>68.784</v>
      </c>
      <c r="H139" s="185">
        <v>68.65</v>
      </c>
      <c r="I139" s="144">
        <f t="shared" si="105"/>
        <v>0.134</v>
      </c>
      <c r="J139" s="115" t="str">
        <f t="shared" si="132"/>
        <v>11.00R20-18PR-EZ175</v>
      </c>
      <c r="K139" s="119" t="s">
        <v>1570</v>
      </c>
      <c r="L139" s="167" t="s">
        <v>1074</v>
      </c>
      <c r="M139" s="167" t="s">
        <v>1621</v>
      </c>
      <c r="N139" s="200"/>
      <c r="O139" s="120" t="s">
        <v>66</v>
      </c>
      <c r="P139" s="187">
        <v>197.1</v>
      </c>
      <c r="Q139" s="187">
        <v>197.5</v>
      </c>
      <c r="R139" s="144">
        <f t="shared" si="123"/>
        <v>-0.400000000000006</v>
      </c>
      <c r="S139" s="113" t="str">
        <f t="shared" si="126"/>
        <v>23.5-25-16PR-T317</v>
      </c>
      <c r="T139" s="119" t="s">
        <v>1622</v>
      </c>
      <c r="U139" s="120" t="s">
        <v>942</v>
      </c>
      <c r="V139" s="120" t="s">
        <v>1623</v>
      </c>
      <c r="W139" s="120" t="s">
        <v>1624</v>
      </c>
      <c r="X139" s="120"/>
      <c r="Y139" s="133">
        <v>2.86</v>
      </c>
      <c r="Z139" s="133">
        <v>2.965</v>
      </c>
      <c r="AA139" s="144">
        <f t="shared" ref="AA139:AA141" si="135">Y139-Z139</f>
        <v>-0.105</v>
      </c>
      <c r="AB139" s="113" t="str">
        <f t="shared" si="109"/>
        <v>100/90-12-4PR-H566</v>
      </c>
      <c r="AC139" s="193"/>
      <c r="AD139" s="193"/>
      <c r="AE139" s="193"/>
      <c r="AF139" s="193"/>
      <c r="AG139" s="193"/>
      <c r="AH139" s="193"/>
      <c r="AI139" s="193"/>
      <c r="AK139" s="113" t="str">
        <f t="shared" si="128"/>
        <v/>
      </c>
      <c r="AL139" s="119" t="s">
        <v>1616</v>
      </c>
      <c r="AM139" s="120" t="s">
        <v>946</v>
      </c>
      <c r="AN139" s="120" t="s">
        <v>1080</v>
      </c>
      <c r="AO139" s="120" t="s">
        <v>1625</v>
      </c>
      <c r="AP139" s="120"/>
      <c r="AQ139" s="133">
        <v>17.257</v>
      </c>
      <c r="AR139" s="133">
        <v>17.101</v>
      </c>
      <c r="AS139" s="144">
        <f t="shared" si="133"/>
        <v>0.156000000000002</v>
      </c>
      <c r="AT139" s="113" t="str">
        <f t="shared" si="131"/>
        <v>ST235/80R16-10PR-ST100</v>
      </c>
      <c r="AU139" s="119" t="s">
        <v>1618</v>
      </c>
      <c r="AV139" s="120" t="s">
        <v>66</v>
      </c>
      <c r="AW139" s="120" t="s">
        <v>956</v>
      </c>
      <c r="AX139" s="120" t="s">
        <v>1619</v>
      </c>
      <c r="AY139" s="133">
        <v>8.415</v>
      </c>
      <c r="AZ139" s="133">
        <v>8.417</v>
      </c>
      <c r="BA139" s="144">
        <f t="shared" si="134"/>
        <v>-0.00200000000000067</v>
      </c>
      <c r="BB139" s="113" t="str">
        <f t="shared" si="129"/>
        <v>205/65R15-G-118</v>
      </c>
    </row>
    <row r="140" ht="13.8" customHeight="1" spans="2:54">
      <c r="B140" s="148" t="s">
        <v>803</v>
      </c>
      <c r="C140" s="125" t="s">
        <v>1092</v>
      </c>
      <c r="D140" s="125" t="s">
        <v>1176</v>
      </c>
      <c r="E140" s="177" t="s">
        <v>1626</v>
      </c>
      <c r="F140" s="133">
        <f t="shared" si="130"/>
        <v>80.09</v>
      </c>
      <c r="G140" s="133">
        <v>79.03</v>
      </c>
      <c r="H140" s="185">
        <v>78.97</v>
      </c>
      <c r="I140" s="144">
        <f t="shared" si="105"/>
        <v>0.0600000000000023</v>
      </c>
      <c r="J140" s="115" t="str">
        <f t="shared" si="132"/>
        <v>11.00R20-18PR-EZ865</v>
      </c>
      <c r="K140" s="119" t="s">
        <v>1570</v>
      </c>
      <c r="L140" s="167" t="s">
        <v>1101</v>
      </c>
      <c r="M140" s="201" t="s">
        <v>1615</v>
      </c>
      <c r="N140" s="120" t="s">
        <v>66</v>
      </c>
      <c r="O140" s="124" t="s">
        <v>66</v>
      </c>
      <c r="P140" s="187">
        <v>204.1</v>
      </c>
      <c r="Q140" s="187">
        <v>204.6</v>
      </c>
      <c r="R140" s="144">
        <f t="shared" si="123"/>
        <v>-0.5</v>
      </c>
      <c r="S140" s="113" t="str">
        <f t="shared" si="126"/>
        <v>23.5-25-20PR-EL37</v>
      </c>
      <c r="T140" s="119" t="s">
        <v>1622</v>
      </c>
      <c r="U140" s="120" t="s">
        <v>942</v>
      </c>
      <c r="V140" s="120" t="s">
        <v>1627</v>
      </c>
      <c r="W140" s="120" t="s">
        <v>1624</v>
      </c>
      <c r="X140" s="120"/>
      <c r="Y140" s="133">
        <v>2.86</v>
      </c>
      <c r="Z140" s="133">
        <v>2.865</v>
      </c>
      <c r="AA140" s="144">
        <f t="shared" si="135"/>
        <v>-0.00500000000000034</v>
      </c>
      <c r="AB140" s="113" t="str">
        <f t="shared" ref="AB117:AB180" si="136">_xlfn.TEXTJOIN("-",TRUE,T140,U140,V140)</f>
        <v>100/90-12-4PR-H-565-2</v>
      </c>
      <c r="AC140" s="193"/>
      <c r="AD140" s="193"/>
      <c r="AE140" s="193"/>
      <c r="AF140" s="193"/>
      <c r="AG140" s="193"/>
      <c r="AH140" s="193"/>
      <c r="AI140" s="193"/>
      <c r="AK140" s="113" t="str">
        <f t="shared" si="128"/>
        <v/>
      </c>
      <c r="AL140" s="119" t="s">
        <v>1616</v>
      </c>
      <c r="AM140" s="120" t="s">
        <v>946</v>
      </c>
      <c r="AN140" s="120" t="s">
        <v>1087</v>
      </c>
      <c r="AO140" s="120" t="s">
        <v>1625</v>
      </c>
      <c r="AP140" s="120"/>
      <c r="AQ140" s="133">
        <v>17.257</v>
      </c>
      <c r="AR140" s="133">
        <v>17.101</v>
      </c>
      <c r="AS140" s="144">
        <f t="shared" si="133"/>
        <v>0.156000000000002</v>
      </c>
      <c r="AT140" s="113" t="str">
        <f t="shared" si="131"/>
        <v>ST235/80R16-10PR-STZC</v>
      </c>
      <c r="AU140" s="119" t="s">
        <v>1618</v>
      </c>
      <c r="AV140" s="120" t="s">
        <v>66</v>
      </c>
      <c r="AW140" s="175" t="s">
        <v>970</v>
      </c>
      <c r="AX140" s="120" t="s">
        <v>1619</v>
      </c>
      <c r="AY140" s="133">
        <v>8.415</v>
      </c>
      <c r="AZ140" s="133">
        <v>8.417</v>
      </c>
      <c r="BA140" s="144">
        <f t="shared" si="134"/>
        <v>-0.00200000000000067</v>
      </c>
      <c r="BB140" s="113" t="str">
        <f t="shared" si="129"/>
        <v>205/65R15-T-118</v>
      </c>
    </row>
    <row r="141" spans="2:54">
      <c r="B141" s="148" t="s">
        <v>803</v>
      </c>
      <c r="C141" s="125" t="s">
        <v>1092</v>
      </c>
      <c r="D141" s="125" t="s">
        <v>1485</v>
      </c>
      <c r="E141" s="177" t="s">
        <v>1628</v>
      </c>
      <c r="F141" s="133">
        <f t="shared" si="130"/>
        <v>69.464</v>
      </c>
      <c r="G141" s="133">
        <v>68.404</v>
      </c>
      <c r="H141" s="185">
        <v>68.27</v>
      </c>
      <c r="I141" s="144">
        <f t="shared" si="105"/>
        <v>0.134</v>
      </c>
      <c r="J141" s="115" t="str">
        <f t="shared" si="132"/>
        <v>11.00R20-18PR-EZ033</v>
      </c>
      <c r="K141" s="119" t="s">
        <v>1570</v>
      </c>
      <c r="L141" s="167" t="s">
        <v>1101</v>
      </c>
      <c r="M141" s="201" t="s">
        <v>1621</v>
      </c>
      <c r="N141" s="40"/>
      <c r="O141" s="124" t="s">
        <v>66</v>
      </c>
      <c r="P141" s="187">
        <v>204.1</v>
      </c>
      <c r="Q141" s="187">
        <v>204.6</v>
      </c>
      <c r="R141" s="144">
        <f t="shared" si="123"/>
        <v>-0.5</v>
      </c>
      <c r="S141" s="113" t="str">
        <f t="shared" si="126"/>
        <v>23.5-25-20PR-T317</v>
      </c>
      <c r="T141" s="119" t="s">
        <v>1622</v>
      </c>
      <c r="U141" s="120" t="s">
        <v>66</v>
      </c>
      <c r="V141" s="120" t="s">
        <v>1629</v>
      </c>
      <c r="W141" s="120" t="s">
        <v>1630</v>
      </c>
      <c r="X141" s="120"/>
      <c r="Y141" s="133">
        <v>3.015</v>
      </c>
      <c r="Z141" s="133">
        <v>3.015</v>
      </c>
      <c r="AA141" s="144">
        <f t="shared" si="135"/>
        <v>0</v>
      </c>
      <c r="AB141" s="113" t="str">
        <f t="shared" si="136"/>
        <v>100/90-12-/-RS05</v>
      </c>
      <c r="AC141" s="193"/>
      <c r="AD141" s="193"/>
      <c r="AE141" s="193"/>
      <c r="AF141" s="193"/>
      <c r="AG141" s="193"/>
      <c r="AH141" s="193"/>
      <c r="AI141" s="193"/>
      <c r="AK141" s="113" t="str">
        <f t="shared" si="128"/>
        <v/>
      </c>
      <c r="AL141" s="119" t="s">
        <v>1616</v>
      </c>
      <c r="AM141" s="120" t="s">
        <v>946</v>
      </c>
      <c r="AN141" s="120" t="s">
        <v>1104</v>
      </c>
      <c r="AO141" s="120" t="s">
        <v>1631</v>
      </c>
      <c r="AP141" s="120"/>
      <c r="AQ141" s="133">
        <v>15.741</v>
      </c>
      <c r="AR141" s="133">
        <v>15.482</v>
      </c>
      <c r="AS141" s="144">
        <f t="shared" si="133"/>
        <v>0.259</v>
      </c>
      <c r="AT141" s="113" t="str">
        <f t="shared" si="131"/>
        <v>ST235/80R16-10PR-ST100A</v>
      </c>
      <c r="AU141" s="119" t="s">
        <v>1618</v>
      </c>
      <c r="AV141" s="120" t="s">
        <v>66</v>
      </c>
      <c r="AW141" s="175" t="s">
        <v>979</v>
      </c>
      <c r="AX141" s="120" t="s">
        <v>1619</v>
      </c>
      <c r="AY141" s="133">
        <v>8.415</v>
      </c>
      <c r="AZ141" s="133">
        <v>8.417</v>
      </c>
      <c r="BA141" s="144">
        <f t="shared" si="134"/>
        <v>-0.00200000000000067</v>
      </c>
      <c r="BB141" s="113" t="str">
        <f t="shared" si="129"/>
        <v>205/65R15-Z-108</v>
      </c>
    </row>
    <row r="142" spans="2:54">
      <c r="B142" s="122"/>
      <c r="C142" s="123"/>
      <c r="D142" s="123"/>
      <c r="E142" s="123"/>
      <c r="F142" s="130"/>
      <c r="G142" s="130"/>
      <c r="H142" s="186"/>
      <c r="I142" s="151"/>
      <c r="J142" s="115" t="str">
        <f t="shared" si="132"/>
        <v/>
      </c>
      <c r="K142" s="119" t="s">
        <v>1570</v>
      </c>
      <c r="L142" s="167" t="s">
        <v>1584</v>
      </c>
      <c r="M142" s="201" t="s">
        <v>1615</v>
      </c>
      <c r="N142" s="40"/>
      <c r="O142" s="124" t="s">
        <v>66</v>
      </c>
      <c r="P142" s="187">
        <v>204.1</v>
      </c>
      <c r="Q142" s="187">
        <v>204.7</v>
      </c>
      <c r="R142" s="144">
        <f t="shared" si="123"/>
        <v>-0.599999999999994</v>
      </c>
      <c r="S142" s="113" t="str">
        <f t="shared" si="126"/>
        <v>23.5-25-24PR-EL37</v>
      </c>
      <c r="T142" s="122"/>
      <c r="U142" s="123"/>
      <c r="V142" s="123"/>
      <c r="W142" s="123"/>
      <c r="X142" s="123"/>
      <c r="Y142" s="123"/>
      <c r="Z142" s="123"/>
      <c r="AA142" s="151"/>
      <c r="AB142" s="113" t="str">
        <f t="shared" si="136"/>
        <v/>
      </c>
      <c r="AC142" s="193"/>
      <c r="AD142" s="193"/>
      <c r="AE142" s="193"/>
      <c r="AF142" s="193"/>
      <c r="AG142" s="193"/>
      <c r="AH142" s="193"/>
      <c r="AI142" s="193"/>
      <c r="AK142" s="113" t="str">
        <f t="shared" si="128"/>
        <v/>
      </c>
      <c r="AL142" s="119" t="s">
        <v>1616</v>
      </c>
      <c r="AM142" s="120" t="s">
        <v>946</v>
      </c>
      <c r="AN142" s="120" t="s">
        <v>1110</v>
      </c>
      <c r="AO142" s="120" t="s">
        <v>1631</v>
      </c>
      <c r="AP142" s="120"/>
      <c r="AQ142" s="133">
        <v>15.741</v>
      </c>
      <c r="AR142" s="133">
        <v>15.482</v>
      </c>
      <c r="AS142" s="144">
        <f t="shared" si="133"/>
        <v>0.259</v>
      </c>
      <c r="AT142" s="113" t="str">
        <f t="shared" si="131"/>
        <v>ST235/80R16-10PR-DURAHAULER ST</v>
      </c>
      <c r="AU142" s="119" t="s">
        <v>1618</v>
      </c>
      <c r="AV142" s="120" t="s">
        <v>66</v>
      </c>
      <c r="AW142" s="175" t="s">
        <v>1218</v>
      </c>
      <c r="AX142" s="120" t="s">
        <v>1632</v>
      </c>
      <c r="AY142" s="133">
        <v>9.057</v>
      </c>
      <c r="AZ142" s="133">
        <v>9.066</v>
      </c>
      <c r="BA142" s="144">
        <f t="shared" si="134"/>
        <v>-0.00900000000000034</v>
      </c>
      <c r="BB142" s="113" t="str">
        <f t="shared" si="129"/>
        <v>205/65R15-RP218</v>
      </c>
    </row>
    <row r="143" s="113" customFormat="1" ht="13.8" customHeight="1" spans="2:54">
      <c r="B143" s="146" t="s">
        <v>1633</v>
      </c>
      <c r="C143" s="147" t="s">
        <v>1074</v>
      </c>
      <c r="D143" s="147" t="s">
        <v>1634</v>
      </c>
      <c r="E143" s="147" t="s">
        <v>1635</v>
      </c>
      <c r="F143" s="195">
        <f t="shared" ref="F143:F150" si="137">G143-2.777+3.17</f>
        <v>57.631</v>
      </c>
      <c r="G143" s="195">
        <v>57.238</v>
      </c>
      <c r="H143" s="133">
        <v>57.1635</v>
      </c>
      <c r="I143" s="197">
        <f t="shared" ref="I143:I206" si="138">G143-H143</f>
        <v>0.0745000000000005</v>
      </c>
      <c r="J143" s="115" t="str">
        <f t="shared" si="132"/>
        <v>11R22.5-16PR-AS858</v>
      </c>
      <c r="K143" s="119" t="s">
        <v>1570</v>
      </c>
      <c r="L143" s="167" t="s">
        <v>1584</v>
      </c>
      <c r="M143" s="201" t="s">
        <v>1621</v>
      </c>
      <c r="N143" s="40"/>
      <c r="O143" s="124" t="s">
        <v>66</v>
      </c>
      <c r="P143" s="187">
        <v>204.1</v>
      </c>
      <c r="Q143" s="187">
        <v>204.7</v>
      </c>
      <c r="R143" s="144">
        <f t="shared" si="123"/>
        <v>-0.599999999999994</v>
      </c>
      <c r="S143" s="113" t="str">
        <f t="shared" si="126"/>
        <v>23.5-25-24PR-T317</v>
      </c>
      <c r="T143" s="119" t="s">
        <v>1636</v>
      </c>
      <c r="U143" s="120" t="s">
        <v>965</v>
      </c>
      <c r="V143" s="120" t="s">
        <v>1475</v>
      </c>
      <c r="W143" s="120" t="s">
        <v>1637</v>
      </c>
      <c r="X143" s="120"/>
      <c r="Y143" s="133">
        <v>3.665</v>
      </c>
      <c r="Z143" s="133">
        <v>3.665</v>
      </c>
      <c r="AA143" s="144">
        <f t="shared" ref="AA143:AA147" si="139">Y143-Z143</f>
        <v>0</v>
      </c>
      <c r="AB143" s="113" t="str">
        <f t="shared" si="136"/>
        <v>100/90-14-6PR-H577</v>
      </c>
      <c r="AC143" s="193"/>
      <c r="AD143" s="193"/>
      <c r="AE143" s="193"/>
      <c r="AF143" s="193"/>
      <c r="AG143" s="193"/>
      <c r="AH143" s="193"/>
      <c r="AI143" s="193"/>
      <c r="AJ143" s="116"/>
      <c r="AK143" s="113" t="str">
        <f t="shared" si="128"/>
        <v/>
      </c>
      <c r="AL143" s="119" t="s">
        <v>1616</v>
      </c>
      <c r="AM143" s="120" t="s">
        <v>946</v>
      </c>
      <c r="AN143" s="120" t="s">
        <v>1120</v>
      </c>
      <c r="AO143" s="120" t="s">
        <v>1631</v>
      </c>
      <c r="AP143" s="120"/>
      <c r="AQ143" s="133">
        <v>15.741</v>
      </c>
      <c r="AR143" s="133">
        <v>15.482</v>
      </c>
      <c r="AS143" s="144">
        <f t="shared" si="133"/>
        <v>0.259</v>
      </c>
      <c r="AT143" s="113" t="str">
        <f t="shared" si="131"/>
        <v>ST235/80R16-10PR-ASSURE ST</v>
      </c>
      <c r="AU143" s="122"/>
      <c r="AV143" s="123"/>
      <c r="AW143" s="123"/>
      <c r="AX143" s="123"/>
      <c r="AY143" s="130"/>
      <c r="AZ143" s="130"/>
      <c r="BA143" s="145"/>
      <c r="BB143" s="113" t="str">
        <f t="shared" si="129"/>
        <v/>
      </c>
    </row>
    <row r="144" ht="13.8" customHeight="1" spans="2:54">
      <c r="B144" s="119" t="s">
        <v>1633</v>
      </c>
      <c r="C144" s="120" t="s">
        <v>1074</v>
      </c>
      <c r="D144" s="120" t="s">
        <v>1638</v>
      </c>
      <c r="E144" s="147" t="s">
        <v>1635</v>
      </c>
      <c r="F144" s="195">
        <f t="shared" si="137"/>
        <v>57.631</v>
      </c>
      <c r="G144" s="195">
        <v>57.238</v>
      </c>
      <c r="H144" s="133">
        <v>57.1635</v>
      </c>
      <c r="I144" s="197">
        <f t="shared" si="138"/>
        <v>0.0745000000000005</v>
      </c>
      <c r="J144" s="115" t="str">
        <f t="shared" si="132"/>
        <v>11R22.5-16PR-AS868</v>
      </c>
      <c r="K144" s="122"/>
      <c r="L144" s="123"/>
      <c r="M144" s="123"/>
      <c r="N144" s="123"/>
      <c r="O144" s="123"/>
      <c r="P144" s="123"/>
      <c r="Q144" s="123"/>
      <c r="R144" s="151"/>
      <c r="S144" s="113" t="str">
        <f t="shared" si="126"/>
        <v/>
      </c>
      <c r="T144" s="119" t="s">
        <v>1636</v>
      </c>
      <c r="U144" s="120" t="s">
        <v>965</v>
      </c>
      <c r="V144" s="120" t="s">
        <v>1481</v>
      </c>
      <c r="W144" s="120" t="s">
        <v>1639</v>
      </c>
      <c r="X144" s="120"/>
      <c r="Y144" s="133">
        <v>3.79</v>
      </c>
      <c r="Z144" s="133">
        <v>3.625</v>
      </c>
      <c r="AA144" s="144">
        <f t="shared" si="139"/>
        <v>0.165</v>
      </c>
      <c r="AB144" s="113" t="str">
        <f t="shared" si="136"/>
        <v>100/90-14-6PR-H597</v>
      </c>
      <c r="AC144" s="193"/>
      <c r="AD144" s="193"/>
      <c r="AE144" s="193"/>
      <c r="AF144" s="193"/>
      <c r="AG144" s="193"/>
      <c r="AH144" s="193"/>
      <c r="AI144" s="193"/>
      <c r="AK144" s="113" t="str">
        <f t="shared" si="128"/>
        <v/>
      </c>
      <c r="AL144" s="119" t="s">
        <v>1616</v>
      </c>
      <c r="AM144" s="120" t="s">
        <v>946</v>
      </c>
      <c r="AN144" s="120" t="s">
        <v>1125</v>
      </c>
      <c r="AO144" s="120" t="s">
        <v>1631</v>
      </c>
      <c r="AP144" s="120"/>
      <c r="AQ144" s="133">
        <v>15.741</v>
      </c>
      <c r="AR144" s="133">
        <v>15.482</v>
      </c>
      <c r="AS144" s="144">
        <f t="shared" si="133"/>
        <v>0.259</v>
      </c>
      <c r="AT144" s="113" t="str">
        <f t="shared" si="131"/>
        <v>ST235/80R16-10PR-Tow Pro ST</v>
      </c>
      <c r="AU144" s="119" t="s">
        <v>1640</v>
      </c>
      <c r="AV144" s="120" t="s">
        <v>66</v>
      </c>
      <c r="AW144" s="120" t="s">
        <v>953</v>
      </c>
      <c r="AX144" s="120" t="s">
        <v>1641</v>
      </c>
      <c r="AY144" s="133">
        <v>8.956</v>
      </c>
      <c r="AZ144" s="133">
        <v>8.958</v>
      </c>
      <c r="BA144" s="144">
        <f t="shared" ref="BA144:BA148" si="140">AY144-AZ144</f>
        <v>-0.00200000000000067</v>
      </c>
      <c r="BB144" s="113" t="str">
        <f t="shared" si="129"/>
        <v>205/65R16-C-108</v>
      </c>
    </row>
    <row r="145" ht="13.8" customHeight="1" spans="2:54">
      <c r="B145" s="119" t="s">
        <v>1633</v>
      </c>
      <c r="C145" s="120" t="s">
        <v>1074</v>
      </c>
      <c r="D145" s="120" t="s">
        <v>972</v>
      </c>
      <c r="E145" s="120" t="s">
        <v>1642</v>
      </c>
      <c r="F145" s="195">
        <f t="shared" si="137"/>
        <v>56.586</v>
      </c>
      <c r="G145" s="195">
        <v>56.193</v>
      </c>
      <c r="H145" s="133">
        <v>56.1625</v>
      </c>
      <c r="I145" s="197">
        <f t="shared" si="138"/>
        <v>0.0304999999999964</v>
      </c>
      <c r="J145" s="115" t="str">
        <f t="shared" si="132"/>
        <v>11R22.5-16PR-AZ850</v>
      </c>
      <c r="K145" s="119" t="s">
        <v>1643</v>
      </c>
      <c r="L145" s="120" t="s">
        <v>1074</v>
      </c>
      <c r="M145" s="120" t="s">
        <v>1644</v>
      </c>
      <c r="N145" s="120" t="s">
        <v>66</v>
      </c>
      <c r="O145" s="120" t="s">
        <v>66</v>
      </c>
      <c r="P145" s="133">
        <v>75.43</v>
      </c>
      <c r="Q145" s="133">
        <v>74.35</v>
      </c>
      <c r="R145" s="144">
        <f>P145-Q145</f>
        <v>1.08000000000001</v>
      </c>
      <c r="S145" s="113" t="str">
        <f t="shared" si="126"/>
        <v>18-625-16PR-Outrigger</v>
      </c>
      <c r="T145" s="122"/>
      <c r="U145" s="123"/>
      <c r="V145" s="123"/>
      <c r="W145" s="123"/>
      <c r="X145" s="123"/>
      <c r="Y145" s="123"/>
      <c r="Z145" s="123"/>
      <c r="AA145" s="151"/>
      <c r="AB145" s="113" t="str">
        <f t="shared" si="136"/>
        <v/>
      </c>
      <c r="AC145" s="193"/>
      <c r="AD145" s="193"/>
      <c r="AE145" s="193"/>
      <c r="AF145" s="193"/>
      <c r="AG145" s="193"/>
      <c r="AH145" s="193"/>
      <c r="AI145" s="193"/>
      <c r="AK145" s="113" t="str">
        <f t="shared" si="128"/>
        <v/>
      </c>
      <c r="AL145" s="119" t="s">
        <v>1616</v>
      </c>
      <c r="AM145" s="120" t="s">
        <v>934</v>
      </c>
      <c r="AN145" s="120" t="s">
        <v>1104</v>
      </c>
      <c r="AO145" s="120" t="s">
        <v>1645</v>
      </c>
      <c r="AP145" s="120"/>
      <c r="AQ145" s="133">
        <v>17.664</v>
      </c>
      <c r="AR145" s="133">
        <v>17.436</v>
      </c>
      <c r="AS145" s="144">
        <f t="shared" si="133"/>
        <v>0.228000000000002</v>
      </c>
      <c r="AT145" s="113" t="str">
        <f t="shared" si="131"/>
        <v>ST235/80R16-12PR-ST100A</v>
      </c>
      <c r="AU145" s="119" t="s">
        <v>1640</v>
      </c>
      <c r="AV145" s="120" t="s">
        <v>66</v>
      </c>
      <c r="AW145" s="120" t="s">
        <v>956</v>
      </c>
      <c r="AX145" s="120" t="s">
        <v>1641</v>
      </c>
      <c r="AY145" s="133">
        <v>8.956</v>
      </c>
      <c r="AZ145" s="133">
        <v>8.958</v>
      </c>
      <c r="BA145" s="144">
        <f t="shared" si="140"/>
        <v>-0.00200000000000067</v>
      </c>
      <c r="BB145" s="113" t="str">
        <f t="shared" si="129"/>
        <v>205/65R16-G-118</v>
      </c>
    </row>
    <row r="146" spans="2:54">
      <c r="B146" s="119" t="s">
        <v>1633</v>
      </c>
      <c r="C146" s="120" t="s">
        <v>958</v>
      </c>
      <c r="D146" s="120" t="s">
        <v>1646</v>
      </c>
      <c r="E146" s="125" t="s">
        <v>1647</v>
      </c>
      <c r="F146" s="195">
        <f t="shared" si="137"/>
        <v>48.903</v>
      </c>
      <c r="G146" s="128">
        <v>48.51</v>
      </c>
      <c r="H146" s="133">
        <v>48.4462</v>
      </c>
      <c r="I146" s="197">
        <f t="shared" si="138"/>
        <v>0.0638000000000005</v>
      </c>
      <c r="J146" s="115" t="str">
        <f t="shared" si="132"/>
        <v>11R22.5-14PR-CR915</v>
      </c>
      <c r="K146" s="122"/>
      <c r="L146" s="123"/>
      <c r="M146" s="123"/>
      <c r="N146" s="123"/>
      <c r="O146" s="123"/>
      <c r="P146" s="123"/>
      <c r="Q146" s="123"/>
      <c r="R146" s="151"/>
      <c r="S146" s="113" t="str">
        <f t="shared" si="126"/>
        <v/>
      </c>
      <c r="T146" s="119" t="s">
        <v>1648</v>
      </c>
      <c r="U146" s="120" t="s">
        <v>965</v>
      </c>
      <c r="V146" s="120" t="s">
        <v>1623</v>
      </c>
      <c r="W146" s="120" t="s">
        <v>1649</v>
      </c>
      <c r="X146" s="120"/>
      <c r="Y146" s="133">
        <v>2.81</v>
      </c>
      <c r="Z146" s="133">
        <v>2.81</v>
      </c>
      <c r="AA146" s="144">
        <f t="shared" si="139"/>
        <v>0</v>
      </c>
      <c r="AB146" s="113" t="str">
        <f t="shared" si="136"/>
        <v>110/70-12-6PR-H566</v>
      </c>
      <c r="AC146" s="193"/>
      <c r="AD146" s="193"/>
      <c r="AE146" s="193"/>
      <c r="AF146" s="193"/>
      <c r="AG146" s="193"/>
      <c r="AH146" s="193"/>
      <c r="AI146" s="193"/>
      <c r="AK146" s="113" t="str">
        <f t="shared" si="128"/>
        <v/>
      </c>
      <c r="AL146" s="119" t="s">
        <v>1616</v>
      </c>
      <c r="AM146" s="120" t="s">
        <v>934</v>
      </c>
      <c r="AN146" s="120" t="s">
        <v>1110</v>
      </c>
      <c r="AO146" s="120" t="s">
        <v>1645</v>
      </c>
      <c r="AP146" s="120"/>
      <c r="AQ146" s="133">
        <v>17.664</v>
      </c>
      <c r="AR146" s="133">
        <v>17.436</v>
      </c>
      <c r="AS146" s="144">
        <f t="shared" si="133"/>
        <v>0.228000000000002</v>
      </c>
      <c r="AT146" s="113" t="str">
        <f t="shared" si="131"/>
        <v>ST235/80R16-12PR-DURAHAULER ST</v>
      </c>
      <c r="AU146" s="119" t="s">
        <v>1640</v>
      </c>
      <c r="AV146" s="120" t="s">
        <v>66</v>
      </c>
      <c r="AW146" s="175" t="s">
        <v>970</v>
      </c>
      <c r="AX146" s="120" t="s">
        <v>1641</v>
      </c>
      <c r="AY146" s="133">
        <v>8.956</v>
      </c>
      <c r="AZ146" s="133">
        <v>8.958</v>
      </c>
      <c r="BA146" s="144">
        <f t="shared" si="140"/>
        <v>-0.00200000000000067</v>
      </c>
      <c r="BB146" s="113" t="str">
        <f t="shared" si="129"/>
        <v>205/65R16-T-118</v>
      </c>
    </row>
    <row r="147" ht="13.8" customHeight="1" spans="2:54">
      <c r="B147" s="119" t="s">
        <v>1633</v>
      </c>
      <c r="C147" s="120" t="s">
        <v>958</v>
      </c>
      <c r="D147" s="120" t="s">
        <v>1650</v>
      </c>
      <c r="E147" s="125" t="s">
        <v>1647</v>
      </c>
      <c r="F147" s="195">
        <f t="shared" si="137"/>
        <v>48.903</v>
      </c>
      <c r="G147" s="128">
        <v>48.51</v>
      </c>
      <c r="H147" s="133">
        <v>48.4462</v>
      </c>
      <c r="I147" s="197">
        <f t="shared" si="138"/>
        <v>0.0638000000000005</v>
      </c>
      <c r="J147" s="115" t="str">
        <f t="shared" si="132"/>
        <v>11R22.5-14PR-AT598</v>
      </c>
      <c r="K147" s="119" t="s">
        <v>1651</v>
      </c>
      <c r="L147" s="120" t="s">
        <v>958</v>
      </c>
      <c r="M147" s="120" t="s">
        <v>1652</v>
      </c>
      <c r="N147" s="120" t="s">
        <v>1653</v>
      </c>
      <c r="O147" s="120" t="s">
        <v>66</v>
      </c>
      <c r="P147" s="133">
        <v>51.7</v>
      </c>
      <c r="Q147" s="133">
        <v>52</v>
      </c>
      <c r="R147" s="144">
        <f>P147-Q147</f>
        <v>-0.299999999999997</v>
      </c>
      <c r="S147" s="113" t="str">
        <f t="shared" si="126"/>
        <v>355/55D625-14PR-Outrigger XT(NL)</v>
      </c>
      <c r="T147" s="119" t="s">
        <v>1648</v>
      </c>
      <c r="U147" s="120" t="s">
        <v>965</v>
      </c>
      <c r="V147" s="120" t="s">
        <v>1510</v>
      </c>
      <c r="W147" s="120" t="s">
        <v>1649</v>
      </c>
      <c r="X147" s="120"/>
      <c r="Y147" s="133">
        <v>2.81</v>
      </c>
      <c r="Z147" s="133">
        <v>2.81</v>
      </c>
      <c r="AA147" s="144">
        <f t="shared" si="139"/>
        <v>0</v>
      </c>
      <c r="AB147" s="113" t="str">
        <f t="shared" si="136"/>
        <v>110/70-12-6PR-H565-2</v>
      </c>
      <c r="AC147" s="193"/>
      <c r="AD147" s="193"/>
      <c r="AE147" s="193"/>
      <c r="AF147" s="193"/>
      <c r="AG147" s="193"/>
      <c r="AH147" s="193"/>
      <c r="AI147" s="193"/>
      <c r="AK147" s="113" t="str">
        <f t="shared" si="128"/>
        <v/>
      </c>
      <c r="AL147" s="119" t="s">
        <v>1616</v>
      </c>
      <c r="AM147" s="120" t="s">
        <v>934</v>
      </c>
      <c r="AN147" s="120" t="s">
        <v>1120</v>
      </c>
      <c r="AO147" s="120" t="s">
        <v>1645</v>
      </c>
      <c r="AP147" s="120"/>
      <c r="AQ147" s="133">
        <v>17.664</v>
      </c>
      <c r="AR147" s="133">
        <v>17.436</v>
      </c>
      <c r="AS147" s="144">
        <f t="shared" si="133"/>
        <v>0.228000000000002</v>
      </c>
      <c r="AT147" s="113" t="str">
        <f t="shared" si="131"/>
        <v>ST235/80R16-12PR-ASSURE ST</v>
      </c>
      <c r="AU147" s="119" t="s">
        <v>1640</v>
      </c>
      <c r="AV147" s="120" t="s">
        <v>66</v>
      </c>
      <c r="AW147" s="175" t="s">
        <v>979</v>
      </c>
      <c r="AX147" s="120" t="s">
        <v>1594</v>
      </c>
      <c r="AY147" s="133">
        <v>8.956</v>
      </c>
      <c r="AZ147" s="133">
        <v>8.958</v>
      </c>
      <c r="BA147" s="144">
        <f t="shared" si="140"/>
        <v>-0.00200000000000067</v>
      </c>
      <c r="BB147" s="113" t="str">
        <f t="shared" si="129"/>
        <v>205/65R16-Z-108</v>
      </c>
    </row>
    <row r="148" ht="18.35" spans="2:54">
      <c r="B148" s="119" t="s">
        <v>1633</v>
      </c>
      <c r="C148" s="120" t="s">
        <v>958</v>
      </c>
      <c r="D148" s="120" t="s">
        <v>1654</v>
      </c>
      <c r="E148" s="125" t="s">
        <v>1647</v>
      </c>
      <c r="F148" s="195">
        <f t="shared" si="137"/>
        <v>48.903</v>
      </c>
      <c r="G148" s="128">
        <v>48.51</v>
      </c>
      <c r="H148" s="133">
        <v>48.4462</v>
      </c>
      <c r="I148" s="197">
        <f t="shared" si="138"/>
        <v>0.0638000000000005</v>
      </c>
      <c r="J148" s="115" t="str">
        <f t="shared" si="132"/>
        <v>11R22.5-14PR-HT1 Plus</v>
      </c>
      <c r="K148" s="198"/>
      <c r="L148" s="199"/>
      <c r="M148" s="199"/>
      <c r="N148" s="199"/>
      <c r="O148" s="202"/>
      <c r="P148" s="202"/>
      <c r="Q148" s="199"/>
      <c r="R148" s="203"/>
      <c r="S148" s="113" t="str">
        <f t="shared" si="126"/>
        <v/>
      </c>
      <c r="T148" s="122"/>
      <c r="U148" s="123"/>
      <c r="V148" s="123"/>
      <c r="W148" s="123"/>
      <c r="X148" s="123"/>
      <c r="Y148" s="123"/>
      <c r="Z148" s="123"/>
      <c r="AA148" s="151"/>
      <c r="AB148" s="113" t="str">
        <f t="shared" si="136"/>
        <v/>
      </c>
      <c r="AC148" s="193"/>
      <c r="AD148" s="193"/>
      <c r="AE148" s="193"/>
      <c r="AF148" s="193"/>
      <c r="AG148" s="193"/>
      <c r="AH148" s="193"/>
      <c r="AI148" s="193"/>
      <c r="AK148" s="113" t="str">
        <f t="shared" si="128"/>
        <v/>
      </c>
      <c r="AL148" s="119" t="s">
        <v>1616</v>
      </c>
      <c r="AM148" s="120" t="s">
        <v>934</v>
      </c>
      <c r="AN148" s="120" t="s">
        <v>1125</v>
      </c>
      <c r="AO148" s="120" t="s">
        <v>1645</v>
      </c>
      <c r="AP148" s="120"/>
      <c r="AQ148" s="133">
        <v>17.664</v>
      </c>
      <c r="AR148" s="133">
        <v>17.436</v>
      </c>
      <c r="AS148" s="144">
        <f t="shared" si="133"/>
        <v>0.228000000000002</v>
      </c>
      <c r="AT148" s="113" t="str">
        <f t="shared" si="131"/>
        <v>ST235/80R16-12PR-Tow Pro ST</v>
      </c>
      <c r="AU148" s="119" t="s">
        <v>1640</v>
      </c>
      <c r="AV148" s="120" t="s">
        <v>66</v>
      </c>
      <c r="AW148" s="175" t="s">
        <v>1218</v>
      </c>
      <c r="AX148" s="120" t="s">
        <v>1655</v>
      </c>
      <c r="AY148" s="133">
        <v>10.12</v>
      </c>
      <c r="AZ148" s="133">
        <v>10.12</v>
      </c>
      <c r="BA148" s="144">
        <f t="shared" si="140"/>
        <v>0</v>
      </c>
      <c r="BB148" s="113" t="str">
        <f t="shared" si="129"/>
        <v>205/65R16-RP218</v>
      </c>
    </row>
    <row r="149" ht="17.75" spans="2:54">
      <c r="B149" s="119" t="s">
        <v>1633</v>
      </c>
      <c r="C149" s="120" t="s">
        <v>958</v>
      </c>
      <c r="D149" s="120" t="s">
        <v>1656</v>
      </c>
      <c r="E149" s="125" t="s">
        <v>1647</v>
      </c>
      <c r="F149" s="195">
        <f t="shared" si="137"/>
        <v>48.903</v>
      </c>
      <c r="G149" s="128">
        <v>48.51</v>
      </c>
      <c r="H149" s="133">
        <v>48.4462</v>
      </c>
      <c r="I149" s="197">
        <f t="shared" si="138"/>
        <v>0.0638000000000005</v>
      </c>
      <c r="J149" s="115" t="str">
        <f t="shared" si="132"/>
        <v>11R22.5-14PR-I-48T</v>
      </c>
      <c r="K149" s="198"/>
      <c r="L149" s="199"/>
      <c r="M149" s="199"/>
      <c r="N149" s="199"/>
      <c r="O149" s="202"/>
      <c r="P149" s="202"/>
      <c r="Q149" s="199"/>
      <c r="R149" s="203"/>
      <c r="S149" s="113" t="str">
        <f t="shared" si="126"/>
        <v/>
      </c>
      <c r="T149" s="119" t="s">
        <v>1657</v>
      </c>
      <c r="U149" s="120" t="s">
        <v>965</v>
      </c>
      <c r="V149" s="120" t="s">
        <v>1551</v>
      </c>
      <c r="W149" s="120" t="s">
        <v>1658</v>
      </c>
      <c r="X149" s="120"/>
      <c r="Y149" s="133">
        <v>3.115</v>
      </c>
      <c r="Z149" s="133">
        <v>3.115</v>
      </c>
      <c r="AA149" s="144">
        <f t="shared" ref="AA149:AA152" si="141">Y149-Z149</f>
        <v>0</v>
      </c>
      <c r="AB149" s="113" t="str">
        <f t="shared" si="136"/>
        <v>110/70-13-6PR-H522S</v>
      </c>
      <c r="AC149" s="193"/>
      <c r="AD149" s="193"/>
      <c r="AE149" s="193"/>
      <c r="AF149" s="193"/>
      <c r="AG149" s="193"/>
      <c r="AH149" s="193"/>
      <c r="AI149" s="193"/>
      <c r="AK149" s="113" t="str">
        <f t="shared" si="128"/>
        <v/>
      </c>
      <c r="AL149" s="119" t="s">
        <v>1616</v>
      </c>
      <c r="AM149" s="120" t="s">
        <v>946</v>
      </c>
      <c r="AN149" s="120" t="s">
        <v>1167</v>
      </c>
      <c r="AO149" s="120" t="s">
        <v>1659</v>
      </c>
      <c r="AP149" s="120"/>
      <c r="AQ149" s="133">
        <v>15.99</v>
      </c>
      <c r="AR149" s="133">
        <v>16.498</v>
      </c>
      <c r="AS149" s="144">
        <f t="shared" si="133"/>
        <v>-0.508000000000001</v>
      </c>
      <c r="AT149" s="113" t="str">
        <f t="shared" si="131"/>
        <v>ST235/80R16-10PR-ST200</v>
      </c>
      <c r="AU149" s="122"/>
      <c r="AV149" s="123"/>
      <c r="AW149" s="123"/>
      <c r="AX149" s="123"/>
      <c r="AY149" s="130"/>
      <c r="AZ149" s="130"/>
      <c r="BA149" s="145"/>
      <c r="BB149" s="113" t="str">
        <f t="shared" si="129"/>
        <v/>
      </c>
    </row>
    <row r="150" ht="13.8" customHeight="1" spans="2:54">
      <c r="B150" s="119" t="s">
        <v>1633</v>
      </c>
      <c r="C150" s="120" t="s">
        <v>958</v>
      </c>
      <c r="D150" s="120" t="s">
        <v>1660</v>
      </c>
      <c r="E150" s="125" t="s">
        <v>1647</v>
      </c>
      <c r="F150" s="195">
        <f t="shared" si="137"/>
        <v>48.903</v>
      </c>
      <c r="G150" s="128">
        <v>48.51</v>
      </c>
      <c r="H150" s="133">
        <v>48.4462</v>
      </c>
      <c r="I150" s="197">
        <f t="shared" si="138"/>
        <v>0.0638000000000005</v>
      </c>
      <c r="J150" s="115" t="str">
        <f t="shared" si="132"/>
        <v>11R22.5-14PR-RLINE-T1</v>
      </c>
      <c r="K150" s="193"/>
      <c r="L150" s="193"/>
      <c r="M150" s="193"/>
      <c r="N150" s="193"/>
      <c r="O150" s="193"/>
      <c r="P150" s="193"/>
      <c r="Q150" s="193"/>
      <c r="R150" s="193"/>
      <c r="S150" s="113" t="str">
        <f t="shared" si="126"/>
        <v/>
      </c>
      <c r="T150" s="122"/>
      <c r="U150" s="123"/>
      <c r="V150" s="123"/>
      <c r="W150" s="123"/>
      <c r="X150" s="123"/>
      <c r="Y150" s="123"/>
      <c r="Z150" s="123"/>
      <c r="AA150" s="151"/>
      <c r="AB150" s="113" t="str">
        <f t="shared" si="136"/>
        <v/>
      </c>
      <c r="AC150" s="193"/>
      <c r="AD150" s="193"/>
      <c r="AE150" s="193"/>
      <c r="AF150" s="193"/>
      <c r="AG150" s="193"/>
      <c r="AH150" s="193"/>
      <c r="AI150" s="193"/>
      <c r="AK150" s="113" t="str">
        <f t="shared" si="128"/>
        <v/>
      </c>
      <c r="AL150" s="119" t="s">
        <v>1616</v>
      </c>
      <c r="AM150" s="120" t="s">
        <v>946</v>
      </c>
      <c r="AN150" s="120" t="s">
        <v>984</v>
      </c>
      <c r="AO150" s="120" t="s">
        <v>1659</v>
      </c>
      <c r="AP150" s="120"/>
      <c r="AQ150" s="133">
        <v>15.99</v>
      </c>
      <c r="AR150" s="133">
        <v>15.932</v>
      </c>
      <c r="AS150" s="144">
        <f t="shared" si="133"/>
        <v>0.0579999999999998</v>
      </c>
      <c r="AT150" s="113" t="str">
        <f t="shared" si="131"/>
        <v>ST235/80R16-10PR-ST Radial</v>
      </c>
      <c r="AU150" s="119" t="s">
        <v>1640</v>
      </c>
      <c r="AV150" s="120" t="s">
        <v>66</v>
      </c>
      <c r="AW150" s="120" t="s">
        <v>953</v>
      </c>
      <c r="AX150" s="120" t="s">
        <v>1641</v>
      </c>
      <c r="AY150" s="133">
        <v>8.956</v>
      </c>
      <c r="AZ150" s="133">
        <v>8.958</v>
      </c>
      <c r="BA150" s="144">
        <f t="shared" ref="BA150:BA153" si="142">AY150-AZ150</f>
        <v>-0.00200000000000067</v>
      </c>
      <c r="BB150" s="113" t="str">
        <f t="shared" si="129"/>
        <v>205/65R16-C-108</v>
      </c>
    </row>
    <row r="151" ht="13.8" customHeight="1" spans="2:54">
      <c r="B151" s="119" t="s">
        <v>1633</v>
      </c>
      <c r="C151" s="120" t="s">
        <v>1074</v>
      </c>
      <c r="D151" s="120" t="s">
        <v>1661</v>
      </c>
      <c r="E151" s="120" t="s">
        <v>1662</v>
      </c>
      <c r="F151" s="195">
        <f>G151-4.112+4.112</f>
        <v>64.143</v>
      </c>
      <c r="G151" s="128">
        <v>64.143</v>
      </c>
      <c r="H151" s="133">
        <v>64.1066</v>
      </c>
      <c r="I151" s="197">
        <f t="shared" si="138"/>
        <v>0.0364000000000004</v>
      </c>
      <c r="J151" s="115" t="str">
        <f t="shared" si="132"/>
        <v>11R22.5-16PR-CR906 II</v>
      </c>
      <c r="K151" s="193"/>
      <c r="L151" s="193"/>
      <c r="M151" s="193"/>
      <c r="N151" s="193"/>
      <c r="O151" s="193"/>
      <c r="P151" s="193"/>
      <c r="Q151" s="193"/>
      <c r="R151" s="193"/>
      <c r="S151" s="113" t="str">
        <f t="shared" si="126"/>
        <v/>
      </c>
      <c r="T151" s="119" t="s">
        <v>1663</v>
      </c>
      <c r="U151" s="120" t="s">
        <v>942</v>
      </c>
      <c r="V151" s="120" t="s">
        <v>1551</v>
      </c>
      <c r="W151" s="120" t="s">
        <v>1664</v>
      </c>
      <c r="X151" s="120"/>
      <c r="Y151" s="133">
        <v>3.415</v>
      </c>
      <c r="Z151" s="133">
        <v>3.475</v>
      </c>
      <c r="AA151" s="144">
        <f t="shared" si="141"/>
        <v>-0.0600000000000001</v>
      </c>
      <c r="AB151" s="113" t="str">
        <f t="shared" si="136"/>
        <v>110/80-14-4PR-H522S</v>
      </c>
      <c r="AC151" s="193"/>
      <c r="AD151" s="193"/>
      <c r="AE151" s="193"/>
      <c r="AF151" s="193"/>
      <c r="AG151" s="193"/>
      <c r="AH151" s="193"/>
      <c r="AI151" s="193"/>
      <c r="AK151" s="113" t="str">
        <f t="shared" si="128"/>
        <v/>
      </c>
      <c r="AL151" s="119" t="s">
        <v>1616</v>
      </c>
      <c r="AM151" s="120" t="s">
        <v>946</v>
      </c>
      <c r="AN151" s="170" t="s">
        <v>993</v>
      </c>
      <c r="AO151" s="120" t="s">
        <v>1659</v>
      </c>
      <c r="AP151" s="120"/>
      <c r="AQ151" s="133">
        <v>15.99</v>
      </c>
      <c r="AR151" s="133">
        <v>15.932</v>
      </c>
      <c r="AS151" s="144">
        <f t="shared" si="133"/>
        <v>0.0579999999999998</v>
      </c>
      <c r="AT151" s="113" t="str">
        <f t="shared" si="131"/>
        <v>ST235/80R16-10PR-RAINIER ST</v>
      </c>
      <c r="AU151" s="119" t="s">
        <v>1640</v>
      </c>
      <c r="AV151" s="120" t="s">
        <v>66</v>
      </c>
      <c r="AW151" s="120" t="s">
        <v>956</v>
      </c>
      <c r="AX151" s="120" t="s">
        <v>1641</v>
      </c>
      <c r="AY151" s="133">
        <v>8.956</v>
      </c>
      <c r="AZ151" s="133">
        <v>8.958</v>
      </c>
      <c r="BA151" s="144">
        <f t="shared" si="142"/>
        <v>-0.00200000000000067</v>
      </c>
      <c r="BB151" s="113" t="str">
        <f t="shared" si="129"/>
        <v>205/65R16-G-118</v>
      </c>
    </row>
    <row r="152" spans="2:54">
      <c r="B152" s="119" t="s">
        <v>1633</v>
      </c>
      <c r="C152" s="120" t="s">
        <v>1074</v>
      </c>
      <c r="D152" s="120" t="s">
        <v>1665</v>
      </c>
      <c r="E152" s="125" t="s">
        <v>1666</v>
      </c>
      <c r="F152" s="195">
        <f t="shared" ref="F152:F192" si="143">G152-2.777+3.17</f>
        <v>56.235</v>
      </c>
      <c r="G152" s="128">
        <v>55.842</v>
      </c>
      <c r="H152" s="133">
        <v>55.49</v>
      </c>
      <c r="I152" s="197">
        <f t="shared" si="138"/>
        <v>0.351999999999997</v>
      </c>
      <c r="J152" s="115" t="str">
        <f t="shared" si="132"/>
        <v>11R22.5-16PR-AD716</v>
      </c>
      <c r="K152" s="193"/>
      <c r="L152" s="193"/>
      <c r="M152" s="193"/>
      <c r="N152" s="193"/>
      <c r="O152" s="193"/>
      <c r="P152" s="193"/>
      <c r="Q152" s="193"/>
      <c r="R152" s="193"/>
      <c r="S152" s="113" t="str">
        <f t="shared" si="126"/>
        <v/>
      </c>
      <c r="T152" s="119" t="s">
        <v>1663</v>
      </c>
      <c r="U152" s="120" t="s">
        <v>965</v>
      </c>
      <c r="V152" s="120" t="s">
        <v>1551</v>
      </c>
      <c r="W152" s="120" t="s">
        <v>1667</v>
      </c>
      <c r="X152" s="120"/>
      <c r="Y152" s="133">
        <v>3.475</v>
      </c>
      <c r="Z152" s="133">
        <v>3.475</v>
      </c>
      <c r="AA152" s="144">
        <f t="shared" si="141"/>
        <v>0</v>
      </c>
      <c r="AB152" s="113" t="str">
        <f t="shared" si="136"/>
        <v>110/80-14-6PR-H522S</v>
      </c>
      <c r="AC152" s="193"/>
      <c r="AD152" s="193"/>
      <c r="AE152" s="193"/>
      <c r="AF152" s="193"/>
      <c r="AG152" s="193"/>
      <c r="AH152" s="193"/>
      <c r="AI152" s="193"/>
      <c r="AK152" s="113" t="str">
        <f t="shared" si="128"/>
        <v/>
      </c>
      <c r="AL152" s="119" t="s">
        <v>1616</v>
      </c>
      <c r="AM152" s="120" t="s">
        <v>946</v>
      </c>
      <c r="AN152" s="120" t="s">
        <v>1188</v>
      </c>
      <c r="AO152" s="120" t="s">
        <v>1668</v>
      </c>
      <c r="AP152" s="120"/>
      <c r="AQ152" s="133">
        <v>16.431</v>
      </c>
      <c r="AR152" s="133">
        <v>16.926</v>
      </c>
      <c r="AS152" s="144">
        <f t="shared" si="133"/>
        <v>-0.494999999999997</v>
      </c>
      <c r="AT152" s="113" t="str">
        <f t="shared" si="131"/>
        <v>ST235/80R16-10PR-ST226</v>
      </c>
      <c r="AU152" s="119" t="s">
        <v>1640</v>
      </c>
      <c r="AV152" s="120" t="s">
        <v>66</v>
      </c>
      <c r="AW152" s="175" t="s">
        <v>970</v>
      </c>
      <c r="AX152" s="120" t="s">
        <v>1641</v>
      </c>
      <c r="AY152" s="133">
        <v>8.956</v>
      </c>
      <c r="AZ152" s="133">
        <v>8.958</v>
      </c>
      <c r="BA152" s="144">
        <f t="shared" si="142"/>
        <v>-0.00200000000000067</v>
      </c>
      <c r="BB152" s="113" t="str">
        <f t="shared" si="129"/>
        <v>205/65R16-T-118</v>
      </c>
    </row>
    <row r="153" spans="2:54">
      <c r="B153" s="119" t="s">
        <v>1633</v>
      </c>
      <c r="C153" s="120" t="s">
        <v>1074</v>
      </c>
      <c r="D153" s="120" t="s">
        <v>1669</v>
      </c>
      <c r="E153" s="125" t="s">
        <v>1666</v>
      </c>
      <c r="F153" s="195">
        <f t="shared" si="143"/>
        <v>56.235</v>
      </c>
      <c r="G153" s="128">
        <v>55.842</v>
      </c>
      <c r="H153" s="133">
        <v>55.49</v>
      </c>
      <c r="I153" s="197">
        <f t="shared" si="138"/>
        <v>0.351999999999997</v>
      </c>
      <c r="J153" s="115" t="str">
        <f t="shared" si="132"/>
        <v>11R22.5-16PR-M-TRAC CSD</v>
      </c>
      <c r="K153" s="193"/>
      <c r="L153" s="193"/>
      <c r="M153" s="193"/>
      <c r="N153" s="193"/>
      <c r="O153" s="193"/>
      <c r="P153" s="193">
        <v>57.22</v>
      </c>
      <c r="Q153" s="193"/>
      <c r="R153" s="193"/>
      <c r="S153" s="113" t="s">
        <v>1670</v>
      </c>
      <c r="T153" s="122"/>
      <c r="U153" s="123"/>
      <c r="V153" s="123"/>
      <c r="W153" s="123"/>
      <c r="X153" s="123"/>
      <c r="Y153" s="123"/>
      <c r="Z153" s="123"/>
      <c r="AA153" s="151"/>
      <c r="AB153" s="113" t="str">
        <f t="shared" si="136"/>
        <v/>
      </c>
      <c r="AK153" s="113" t="str">
        <f t="shared" si="128"/>
        <v/>
      </c>
      <c r="AL153" s="122"/>
      <c r="AM153" s="123"/>
      <c r="AN153" s="123"/>
      <c r="AO153" s="123"/>
      <c r="AP153" s="123"/>
      <c r="AQ153" s="123"/>
      <c r="AR153" s="186"/>
      <c r="AS153" s="151"/>
      <c r="AT153" s="113" t="str">
        <f t="shared" si="131"/>
        <v/>
      </c>
      <c r="AU153" s="119" t="s">
        <v>1640</v>
      </c>
      <c r="AV153" s="120" t="s">
        <v>66</v>
      </c>
      <c r="AW153" s="175" t="s">
        <v>979</v>
      </c>
      <c r="AX153" s="120" t="s">
        <v>1594</v>
      </c>
      <c r="AY153" s="133">
        <v>8.956</v>
      </c>
      <c r="AZ153" s="133">
        <v>8.958</v>
      </c>
      <c r="BA153" s="144">
        <f t="shared" si="142"/>
        <v>-0.00200000000000067</v>
      </c>
      <c r="BB153" s="113" t="str">
        <f t="shared" si="129"/>
        <v>205/65R16-Z-108</v>
      </c>
    </row>
    <row r="154" spans="2:54">
      <c r="B154" s="119" t="s">
        <v>1633</v>
      </c>
      <c r="C154" s="120" t="s">
        <v>1074</v>
      </c>
      <c r="D154" s="120" t="s">
        <v>1671</v>
      </c>
      <c r="E154" s="125" t="s">
        <v>1666</v>
      </c>
      <c r="F154" s="195">
        <f t="shared" si="143"/>
        <v>56.235</v>
      </c>
      <c r="G154" s="128">
        <v>55.842</v>
      </c>
      <c r="H154" s="133">
        <v>55.49</v>
      </c>
      <c r="I154" s="197">
        <f t="shared" si="138"/>
        <v>0.351999999999997</v>
      </c>
      <c r="J154" s="115" t="str">
        <f t="shared" si="132"/>
        <v>11R22.5-16PR-HD1 Plus</v>
      </c>
      <c r="K154" s="193"/>
      <c r="L154" s="193"/>
      <c r="M154" s="193"/>
      <c r="N154" s="193"/>
      <c r="O154" s="193"/>
      <c r="P154" s="193"/>
      <c r="Q154" s="193"/>
      <c r="R154" s="193"/>
      <c r="S154" s="113" t="str">
        <f t="shared" si="126"/>
        <v/>
      </c>
      <c r="T154" s="119" t="s">
        <v>1672</v>
      </c>
      <c r="U154" s="120" t="s">
        <v>942</v>
      </c>
      <c r="V154" s="120" t="s">
        <v>1623</v>
      </c>
      <c r="W154" s="120" t="s">
        <v>1673</v>
      </c>
      <c r="X154" s="120"/>
      <c r="Y154" s="133">
        <v>3.36</v>
      </c>
      <c r="Z154" s="133">
        <v>3.36</v>
      </c>
      <c r="AA154" s="144">
        <f t="shared" ref="AA154:AA156" si="144">Y154-Z154</f>
        <v>0</v>
      </c>
      <c r="AB154" s="113" t="str">
        <f t="shared" si="136"/>
        <v>110/90-12-4PR-H566</v>
      </c>
      <c r="AK154" s="113" t="str">
        <f t="shared" si="128"/>
        <v/>
      </c>
      <c r="AL154" s="119" t="s">
        <v>1674</v>
      </c>
      <c r="AM154" s="120" t="s">
        <v>946</v>
      </c>
      <c r="AN154" s="120" t="s">
        <v>1080</v>
      </c>
      <c r="AO154" s="120" t="s">
        <v>1675</v>
      </c>
      <c r="AP154" s="121"/>
      <c r="AQ154" s="128">
        <v>18.049</v>
      </c>
      <c r="AR154" s="133">
        <v>18.038</v>
      </c>
      <c r="AS154" s="205">
        <f t="shared" ref="AS154:AS167" si="145">AQ154-AR154</f>
        <v>0.0109999999999992</v>
      </c>
      <c r="AT154" s="113" t="str">
        <f t="shared" si="131"/>
        <v>ST235/85R16-10PR-ST100</v>
      </c>
      <c r="AU154" s="122"/>
      <c r="AV154" s="123"/>
      <c r="AW154" s="123"/>
      <c r="AX154" s="123"/>
      <c r="AY154" s="130"/>
      <c r="AZ154" s="130"/>
      <c r="BA154" s="145"/>
      <c r="BB154" s="113" t="str">
        <f t="shared" si="129"/>
        <v/>
      </c>
    </row>
    <row r="155" ht="13.8" customHeight="1" spans="2:54">
      <c r="B155" s="119" t="s">
        <v>1633</v>
      </c>
      <c r="C155" s="120" t="s">
        <v>1074</v>
      </c>
      <c r="D155" s="120" t="s">
        <v>1676</v>
      </c>
      <c r="E155" s="125" t="s">
        <v>1666</v>
      </c>
      <c r="F155" s="195">
        <f t="shared" si="143"/>
        <v>56.235</v>
      </c>
      <c r="G155" s="128">
        <v>55.842</v>
      </c>
      <c r="H155" s="133">
        <v>55.49</v>
      </c>
      <c r="I155" s="197">
        <f t="shared" si="138"/>
        <v>0.351999999999997</v>
      </c>
      <c r="J155" s="115" t="str">
        <f t="shared" si="132"/>
        <v>11R22.5-16PR-CM996</v>
      </c>
      <c r="K155" s="193"/>
      <c r="L155" s="193"/>
      <c r="M155" s="193"/>
      <c r="N155" s="193"/>
      <c r="O155" s="193"/>
      <c r="P155" s="193"/>
      <c r="Q155" s="193"/>
      <c r="R155" s="193"/>
      <c r="S155" s="113" t="str">
        <f t="shared" si="126"/>
        <v/>
      </c>
      <c r="T155" s="119" t="s">
        <v>1672</v>
      </c>
      <c r="U155" s="120" t="s">
        <v>965</v>
      </c>
      <c r="V155" s="120" t="s">
        <v>1510</v>
      </c>
      <c r="W155" s="120" t="s">
        <v>1677</v>
      </c>
      <c r="X155" s="120"/>
      <c r="Y155" s="133">
        <v>3.505</v>
      </c>
      <c r="Z155" s="133">
        <v>3.505</v>
      </c>
      <c r="AA155" s="144">
        <f t="shared" si="144"/>
        <v>0</v>
      </c>
      <c r="AB155" s="113" t="str">
        <f t="shared" si="136"/>
        <v>110/90-12-6PR-H565-2</v>
      </c>
      <c r="AK155" s="113" t="str">
        <f t="shared" si="128"/>
        <v/>
      </c>
      <c r="AL155" s="119" t="s">
        <v>1674</v>
      </c>
      <c r="AM155" s="120" t="s">
        <v>934</v>
      </c>
      <c r="AN155" s="120" t="s">
        <v>1080</v>
      </c>
      <c r="AO155" s="120" t="s">
        <v>1678</v>
      </c>
      <c r="AP155" s="121"/>
      <c r="AQ155" s="128">
        <v>20.325</v>
      </c>
      <c r="AR155" s="133">
        <v>20.311</v>
      </c>
      <c r="AS155" s="205">
        <f t="shared" si="145"/>
        <v>0.0139999999999993</v>
      </c>
      <c r="AT155" s="113" t="str">
        <f t="shared" si="131"/>
        <v>ST235/85R16-12PR-ST100</v>
      </c>
      <c r="AU155" s="119" t="s">
        <v>1679</v>
      </c>
      <c r="AV155" s="120" t="s">
        <v>66</v>
      </c>
      <c r="AW155" s="175" t="s">
        <v>1218</v>
      </c>
      <c r="AX155" s="120" t="s">
        <v>1680</v>
      </c>
      <c r="AY155" s="133">
        <v>9.656</v>
      </c>
      <c r="AZ155" s="133">
        <v>9.655</v>
      </c>
      <c r="BA155" s="144">
        <f t="shared" ref="BA155:BA159" si="146">AY155-AZ155</f>
        <v>0.00100000000000122</v>
      </c>
      <c r="BB155" s="113" t="str">
        <f t="shared" si="129"/>
        <v>205/70R15-RP218</v>
      </c>
    </row>
    <row r="156" spans="2:54">
      <c r="B156" s="119" t="s">
        <v>1633</v>
      </c>
      <c r="C156" s="120" t="s">
        <v>1074</v>
      </c>
      <c r="D156" s="120" t="s">
        <v>1681</v>
      </c>
      <c r="E156" s="125" t="s">
        <v>1666</v>
      </c>
      <c r="F156" s="195">
        <f t="shared" si="143"/>
        <v>56.235</v>
      </c>
      <c r="G156" s="128">
        <v>55.842</v>
      </c>
      <c r="H156" s="133">
        <v>55.49</v>
      </c>
      <c r="I156" s="197">
        <f t="shared" si="138"/>
        <v>0.351999999999997</v>
      </c>
      <c r="J156" s="115" t="str">
        <f t="shared" si="132"/>
        <v>11R22.5-16PR-RLINE-D2</v>
      </c>
      <c r="K156" s="193"/>
      <c r="L156" s="193"/>
      <c r="M156" s="193"/>
      <c r="N156" s="193"/>
      <c r="O156" s="193"/>
      <c r="P156" s="193"/>
      <c r="Q156" s="193"/>
      <c r="R156" s="193"/>
      <c r="S156" s="113" t="str">
        <f t="shared" si="126"/>
        <v/>
      </c>
      <c r="T156" s="119" t="s">
        <v>1672</v>
      </c>
      <c r="U156" s="120" t="s">
        <v>965</v>
      </c>
      <c r="V156" s="120" t="s">
        <v>1623</v>
      </c>
      <c r="W156" s="120" t="s">
        <v>1677</v>
      </c>
      <c r="X156" s="120"/>
      <c r="Y156" s="133">
        <v>3.505</v>
      </c>
      <c r="Z156" s="133">
        <v>3.505</v>
      </c>
      <c r="AA156" s="144">
        <f t="shared" si="144"/>
        <v>0</v>
      </c>
      <c r="AB156" s="113" t="str">
        <f t="shared" si="136"/>
        <v>110/90-12-6PR-H566</v>
      </c>
      <c r="AK156" s="113" t="str">
        <f t="shared" si="128"/>
        <v/>
      </c>
      <c r="AL156" s="119" t="s">
        <v>1674</v>
      </c>
      <c r="AM156" s="120" t="s">
        <v>934</v>
      </c>
      <c r="AN156" s="120" t="s">
        <v>1087</v>
      </c>
      <c r="AO156" s="120" t="s">
        <v>1678</v>
      </c>
      <c r="AP156" s="121"/>
      <c r="AQ156" s="128">
        <v>20.325</v>
      </c>
      <c r="AR156" s="133">
        <v>20.311</v>
      </c>
      <c r="AS156" s="205">
        <f t="shared" si="145"/>
        <v>0.0139999999999993</v>
      </c>
      <c r="AT156" s="113" t="str">
        <f t="shared" si="131"/>
        <v>ST235/85R16-12PR-STZC</v>
      </c>
      <c r="AU156" s="122"/>
      <c r="AV156" s="123"/>
      <c r="AW156" s="123"/>
      <c r="AX156" s="123"/>
      <c r="AY156" s="130"/>
      <c r="AZ156" s="130"/>
      <c r="BA156" s="145"/>
      <c r="BB156" s="113" t="str">
        <f t="shared" si="129"/>
        <v/>
      </c>
    </row>
    <row r="157" spans="2:54">
      <c r="B157" s="119" t="s">
        <v>1633</v>
      </c>
      <c r="C157" s="120" t="s">
        <v>958</v>
      </c>
      <c r="D157" s="120" t="s">
        <v>1682</v>
      </c>
      <c r="E157" s="120" t="s">
        <v>1683</v>
      </c>
      <c r="F157" s="195">
        <f t="shared" si="143"/>
        <v>48.543</v>
      </c>
      <c r="G157" s="128">
        <v>48.15</v>
      </c>
      <c r="H157" s="133">
        <v>47.9674</v>
      </c>
      <c r="I157" s="197">
        <f t="shared" si="138"/>
        <v>0.182600000000001</v>
      </c>
      <c r="J157" s="115" t="str">
        <f t="shared" si="132"/>
        <v>11R22.5-14PR-AT552</v>
      </c>
      <c r="K157" s="193"/>
      <c r="L157" s="193"/>
      <c r="M157" s="193"/>
      <c r="N157" s="193"/>
      <c r="O157" s="193"/>
      <c r="P157" s="193"/>
      <c r="Q157" s="193"/>
      <c r="R157" s="193"/>
      <c r="S157" s="113" t="str">
        <f t="shared" si="126"/>
        <v/>
      </c>
      <c r="T157" s="122"/>
      <c r="U157" s="123"/>
      <c r="V157" s="123"/>
      <c r="W157" s="123"/>
      <c r="X157" s="123"/>
      <c r="Y157" s="123"/>
      <c r="Z157" s="123"/>
      <c r="AA157" s="151"/>
      <c r="AB157" s="113" t="str">
        <f t="shared" si="136"/>
        <v/>
      </c>
      <c r="AK157" s="113" t="str">
        <f t="shared" si="128"/>
        <v/>
      </c>
      <c r="AL157" s="119" t="s">
        <v>1674</v>
      </c>
      <c r="AM157" s="120" t="s">
        <v>946</v>
      </c>
      <c r="AN157" s="120" t="s">
        <v>1104</v>
      </c>
      <c r="AO157" s="120" t="s">
        <v>1684</v>
      </c>
      <c r="AP157" s="121"/>
      <c r="AQ157" s="128">
        <v>16.431</v>
      </c>
      <c r="AR157" s="133">
        <v>16.277</v>
      </c>
      <c r="AS157" s="205">
        <f t="shared" si="145"/>
        <v>0.154</v>
      </c>
      <c r="AT157" s="113" t="str">
        <f t="shared" si="131"/>
        <v>ST235/85R16-10PR-ST100A</v>
      </c>
      <c r="AU157" s="119" t="s">
        <v>1685</v>
      </c>
      <c r="AV157" s="120" t="s">
        <v>66</v>
      </c>
      <c r="AW157" s="175" t="s">
        <v>1218</v>
      </c>
      <c r="AX157" s="120" t="s">
        <v>1686</v>
      </c>
      <c r="AY157" s="133">
        <v>9.672</v>
      </c>
      <c r="AZ157" s="133">
        <v>9.673</v>
      </c>
      <c r="BA157" s="144">
        <f t="shared" si="146"/>
        <v>-0.000999999999999446</v>
      </c>
      <c r="BB157" s="113" t="str">
        <f t="shared" si="129"/>
        <v>215/50R17-RP218</v>
      </c>
    </row>
    <row r="158" ht="13.8" customHeight="1" spans="2:54">
      <c r="B158" s="119" t="s">
        <v>1633</v>
      </c>
      <c r="C158" s="120" t="s">
        <v>958</v>
      </c>
      <c r="D158" s="120" t="s">
        <v>1687</v>
      </c>
      <c r="E158" s="120" t="s">
        <v>1688</v>
      </c>
      <c r="F158" s="195">
        <f t="shared" si="143"/>
        <v>51.373</v>
      </c>
      <c r="G158" s="128">
        <v>50.98</v>
      </c>
      <c r="H158" s="133">
        <v>50.902</v>
      </c>
      <c r="I158" s="197">
        <f t="shared" si="138"/>
        <v>0.0779999999999959</v>
      </c>
      <c r="J158" s="115" t="str">
        <f t="shared" si="132"/>
        <v>11R22.5-14PR-AT563</v>
      </c>
      <c r="K158" s="193"/>
      <c r="L158" s="193"/>
      <c r="M158" s="193"/>
      <c r="N158" s="193"/>
      <c r="O158" s="193"/>
      <c r="P158" s="193"/>
      <c r="Q158" s="193"/>
      <c r="R158" s="193"/>
      <c r="S158" s="113" t="str">
        <f t="shared" si="126"/>
        <v/>
      </c>
      <c r="T158" s="119" t="s">
        <v>1689</v>
      </c>
      <c r="U158" s="120" t="s">
        <v>965</v>
      </c>
      <c r="V158" s="120" t="s">
        <v>1510</v>
      </c>
      <c r="W158" s="120" t="s">
        <v>1690</v>
      </c>
      <c r="X158" s="120"/>
      <c r="Y158" s="133">
        <v>3.29</v>
      </c>
      <c r="Z158" s="133">
        <v>3.29</v>
      </c>
      <c r="AA158" s="144">
        <f t="shared" ref="AA158:AA161" si="147">Y158-Z158</f>
        <v>0</v>
      </c>
      <c r="AB158" s="113" t="str">
        <f t="shared" si="136"/>
        <v>120/70-12-6PR-H565-2</v>
      </c>
      <c r="AK158" s="113" t="str">
        <f t="shared" si="128"/>
        <v/>
      </c>
      <c r="AL158" s="119" t="s">
        <v>1674</v>
      </c>
      <c r="AM158" s="120" t="s">
        <v>946</v>
      </c>
      <c r="AN158" s="120" t="s">
        <v>1110</v>
      </c>
      <c r="AO158" s="120" t="s">
        <v>1684</v>
      </c>
      <c r="AP158" s="121"/>
      <c r="AQ158" s="128">
        <v>16.431</v>
      </c>
      <c r="AR158" s="133">
        <v>16.277</v>
      </c>
      <c r="AS158" s="205">
        <f t="shared" si="145"/>
        <v>0.154</v>
      </c>
      <c r="AT158" s="113" t="str">
        <f t="shared" si="131"/>
        <v>ST235/85R16-10PR-DURAHAULER ST</v>
      </c>
      <c r="AU158" s="122"/>
      <c r="AV158" s="123"/>
      <c r="AW158" s="123"/>
      <c r="AX158" s="123"/>
      <c r="AY158" s="130"/>
      <c r="AZ158" s="130"/>
      <c r="BA158" s="145"/>
      <c r="BB158" s="113" t="str">
        <f t="shared" si="129"/>
        <v/>
      </c>
    </row>
    <row r="159" spans="2:54">
      <c r="B159" s="119" t="s">
        <v>1633</v>
      </c>
      <c r="C159" s="120" t="s">
        <v>958</v>
      </c>
      <c r="D159" s="120" t="s">
        <v>1691</v>
      </c>
      <c r="E159" s="125" t="s">
        <v>1692</v>
      </c>
      <c r="F159" s="195">
        <f t="shared" si="143"/>
        <v>46.877</v>
      </c>
      <c r="G159" s="128">
        <v>46.484</v>
      </c>
      <c r="H159" s="133">
        <v>46.4078</v>
      </c>
      <c r="I159" s="197">
        <f t="shared" si="138"/>
        <v>0.0762</v>
      </c>
      <c r="J159" s="115" t="str">
        <f t="shared" si="132"/>
        <v>11R22.5-14PR-CR915 eco</v>
      </c>
      <c r="K159" s="193"/>
      <c r="L159" s="193"/>
      <c r="M159" s="193"/>
      <c r="N159" s="193"/>
      <c r="O159" s="193"/>
      <c r="P159" s="193"/>
      <c r="Q159" s="193"/>
      <c r="R159" s="193"/>
      <c r="S159" s="113" t="str">
        <f t="shared" si="126"/>
        <v/>
      </c>
      <c r="T159" s="119" t="s">
        <v>1689</v>
      </c>
      <c r="U159" s="120" t="s">
        <v>965</v>
      </c>
      <c r="V159" s="120" t="s">
        <v>1623</v>
      </c>
      <c r="W159" s="120" t="s">
        <v>1690</v>
      </c>
      <c r="X159" s="120"/>
      <c r="Y159" s="133">
        <v>3.29</v>
      </c>
      <c r="Z159" s="133">
        <v>3.29</v>
      </c>
      <c r="AA159" s="144">
        <f t="shared" si="147"/>
        <v>0</v>
      </c>
      <c r="AB159" s="113" t="str">
        <f t="shared" si="136"/>
        <v>120/70-12-6PR-H566</v>
      </c>
      <c r="AK159" s="113" t="str">
        <f t="shared" si="128"/>
        <v/>
      </c>
      <c r="AL159" s="119" t="s">
        <v>1674</v>
      </c>
      <c r="AM159" s="120" t="s">
        <v>946</v>
      </c>
      <c r="AN159" s="120" t="s">
        <v>1120</v>
      </c>
      <c r="AO159" s="120" t="s">
        <v>1684</v>
      </c>
      <c r="AP159" s="121"/>
      <c r="AQ159" s="128">
        <v>16.431</v>
      </c>
      <c r="AR159" s="133">
        <v>16.277</v>
      </c>
      <c r="AS159" s="205">
        <f t="shared" si="145"/>
        <v>0.154</v>
      </c>
      <c r="AT159" s="113" t="str">
        <f t="shared" si="131"/>
        <v>ST235/85R16-10PR-ASSURE ST</v>
      </c>
      <c r="AU159" s="119" t="s">
        <v>1693</v>
      </c>
      <c r="AV159" s="120" t="s">
        <v>66</v>
      </c>
      <c r="AW159" s="175" t="s">
        <v>1218</v>
      </c>
      <c r="AX159" s="120" t="s">
        <v>1694</v>
      </c>
      <c r="AY159" s="133">
        <v>9.34</v>
      </c>
      <c r="AZ159" s="133">
        <v>9.343</v>
      </c>
      <c r="BA159" s="144">
        <f t="shared" si="146"/>
        <v>-0.00300000000000011</v>
      </c>
      <c r="BB159" s="113" t="str">
        <f t="shared" si="129"/>
        <v>215/55R16-RP218</v>
      </c>
    </row>
    <row r="160" s="113" customFormat="1" ht="13.8" customHeight="1" spans="2:54">
      <c r="B160" s="119" t="s">
        <v>1633</v>
      </c>
      <c r="C160" s="120" t="s">
        <v>1074</v>
      </c>
      <c r="D160" s="121" t="s">
        <v>1695</v>
      </c>
      <c r="E160" s="120" t="s">
        <v>1696</v>
      </c>
      <c r="F160" s="196">
        <f t="shared" si="143"/>
        <v>61.547</v>
      </c>
      <c r="G160" s="128">
        <v>61.154</v>
      </c>
      <c r="H160" s="133">
        <v>61.01</v>
      </c>
      <c r="I160" s="197">
        <f t="shared" si="138"/>
        <v>0.144000000000005</v>
      </c>
      <c r="J160" s="115" t="str">
        <f t="shared" si="132"/>
        <v>11R22.5-16PR-DA25</v>
      </c>
      <c r="K160" s="193"/>
      <c r="L160" s="193"/>
      <c r="M160" s="193"/>
      <c r="N160" s="193"/>
      <c r="O160" s="193"/>
      <c r="P160" s="193"/>
      <c r="Q160" s="193"/>
      <c r="R160" s="193"/>
      <c r="S160" s="113" t="str">
        <f t="shared" si="126"/>
        <v/>
      </c>
      <c r="T160" s="122"/>
      <c r="U160" s="123"/>
      <c r="V160" s="123"/>
      <c r="W160" s="123"/>
      <c r="X160" s="123"/>
      <c r="Y160" s="123"/>
      <c r="Z160" s="123"/>
      <c r="AA160" s="151"/>
      <c r="AB160" s="113" t="str">
        <f t="shared" si="136"/>
        <v/>
      </c>
      <c r="AC160" s="114"/>
      <c r="AD160" s="114"/>
      <c r="AE160" s="114"/>
      <c r="AF160" s="114"/>
      <c r="AG160" s="114"/>
      <c r="AH160" s="114"/>
      <c r="AI160" s="114"/>
      <c r="AJ160" s="116"/>
      <c r="AK160" s="113" t="str">
        <f t="shared" si="128"/>
        <v/>
      </c>
      <c r="AL160" s="119" t="s">
        <v>1674</v>
      </c>
      <c r="AM160" s="120" t="s">
        <v>946</v>
      </c>
      <c r="AN160" s="120" t="s">
        <v>1125</v>
      </c>
      <c r="AO160" s="120" t="s">
        <v>1684</v>
      </c>
      <c r="AP160" s="121"/>
      <c r="AQ160" s="128">
        <v>16.431</v>
      </c>
      <c r="AR160" s="133">
        <v>16.277</v>
      </c>
      <c r="AS160" s="205">
        <f t="shared" si="145"/>
        <v>0.154</v>
      </c>
      <c r="AT160" s="113" t="str">
        <f t="shared" si="131"/>
        <v>ST235/85R16-10PR-Tow Pro ST</v>
      </c>
      <c r="AU160" s="122"/>
      <c r="AV160" s="123"/>
      <c r="AW160" s="123"/>
      <c r="AX160" s="123"/>
      <c r="AY160" s="130"/>
      <c r="AZ160" s="130"/>
      <c r="BA160" s="145"/>
      <c r="BB160" s="113" t="str">
        <f t="shared" si="129"/>
        <v/>
      </c>
    </row>
    <row r="161" ht="13.8" customHeight="1" spans="2:54">
      <c r="B161" s="119" t="s">
        <v>1633</v>
      </c>
      <c r="C161" s="120" t="s">
        <v>1074</v>
      </c>
      <c r="D161" s="120" t="s">
        <v>1697</v>
      </c>
      <c r="E161" s="138" t="s">
        <v>1696</v>
      </c>
      <c r="F161" s="195">
        <f t="shared" si="143"/>
        <v>61.547</v>
      </c>
      <c r="G161" s="128">
        <v>61.154</v>
      </c>
      <c r="H161" s="133">
        <v>61.01</v>
      </c>
      <c r="I161" s="197">
        <f t="shared" si="138"/>
        <v>0.144000000000005</v>
      </c>
      <c r="J161" s="115" t="str">
        <f t="shared" si="132"/>
        <v>11R22.5-16PR-VXD932</v>
      </c>
      <c r="K161" s="193"/>
      <c r="L161" s="193"/>
      <c r="M161" s="193"/>
      <c r="N161" s="193"/>
      <c r="O161" s="193"/>
      <c r="P161" s="193"/>
      <c r="Q161" s="193"/>
      <c r="R161" s="193"/>
      <c r="S161" s="113" t="str">
        <f t="shared" si="126"/>
        <v/>
      </c>
      <c r="T161" s="119" t="s">
        <v>1698</v>
      </c>
      <c r="U161" s="120" t="s">
        <v>965</v>
      </c>
      <c r="V161" s="120" t="s">
        <v>1551</v>
      </c>
      <c r="W161" s="120" t="s">
        <v>1699</v>
      </c>
      <c r="X161" s="120"/>
      <c r="Y161" s="133">
        <v>3.625</v>
      </c>
      <c r="Z161" s="133">
        <v>3.625</v>
      </c>
      <c r="AA161" s="144">
        <f t="shared" si="147"/>
        <v>0</v>
      </c>
      <c r="AB161" s="113" t="str">
        <f t="shared" si="136"/>
        <v>120/70-13-6PR-H522S</v>
      </c>
      <c r="AK161" s="113" t="str">
        <f t="shared" si="128"/>
        <v/>
      </c>
      <c r="AL161" s="119" t="s">
        <v>1674</v>
      </c>
      <c r="AM161" s="120" t="s">
        <v>934</v>
      </c>
      <c r="AN161" s="120" t="s">
        <v>1104</v>
      </c>
      <c r="AO161" s="120" t="s">
        <v>1700</v>
      </c>
      <c r="AP161" s="121"/>
      <c r="AQ161" s="128">
        <v>18.44</v>
      </c>
      <c r="AR161" s="133">
        <v>18.402</v>
      </c>
      <c r="AS161" s="205">
        <f t="shared" si="145"/>
        <v>0.0380000000000003</v>
      </c>
      <c r="AT161" s="113" t="str">
        <f t="shared" si="131"/>
        <v>ST235/85R16-12PR-ST100A</v>
      </c>
      <c r="AU161" s="119" t="s">
        <v>1701</v>
      </c>
      <c r="AV161" s="120" t="s">
        <v>66</v>
      </c>
      <c r="AW161" s="175" t="s">
        <v>1581</v>
      </c>
      <c r="AX161" s="120" t="s">
        <v>1702</v>
      </c>
      <c r="AY161" s="133">
        <v>10.066</v>
      </c>
      <c r="AZ161" s="133">
        <v>10.066</v>
      </c>
      <c r="BA161" s="144">
        <f t="shared" ref="BA161:BA168" si="148">AY161-AZ161</f>
        <v>0</v>
      </c>
      <c r="BB161" s="113" t="str">
        <f t="shared" si="129"/>
        <v>215/55R17-RP218(Process 1)</v>
      </c>
    </row>
    <row r="162" spans="2:54">
      <c r="B162" s="119" t="s">
        <v>1633</v>
      </c>
      <c r="C162" s="120" t="s">
        <v>1074</v>
      </c>
      <c r="D162" s="120" t="s">
        <v>1703</v>
      </c>
      <c r="E162" s="120" t="s">
        <v>1704</v>
      </c>
      <c r="F162" s="195">
        <f t="shared" si="143"/>
        <v>63.564</v>
      </c>
      <c r="G162" s="128">
        <v>63.171</v>
      </c>
      <c r="H162" s="133">
        <v>62.0901</v>
      </c>
      <c r="I162" s="197">
        <f t="shared" si="138"/>
        <v>1.0809</v>
      </c>
      <c r="J162" s="115" t="str">
        <f t="shared" si="132"/>
        <v>11R22.5-16PR-DL21</v>
      </c>
      <c r="K162" s="193"/>
      <c r="L162" s="193"/>
      <c r="M162" s="193"/>
      <c r="N162" s="193"/>
      <c r="O162" s="193"/>
      <c r="P162" s="193"/>
      <c r="Q162" s="193"/>
      <c r="R162" s="193"/>
      <c r="S162" s="113" t="str">
        <f t="shared" si="126"/>
        <v/>
      </c>
      <c r="T162" s="122"/>
      <c r="U162" s="123"/>
      <c r="V162" s="123"/>
      <c r="W162" s="123"/>
      <c r="X162" s="123"/>
      <c r="Y162" s="123"/>
      <c r="Z162" s="123"/>
      <c r="AA162" s="151"/>
      <c r="AB162" s="113" t="str">
        <f t="shared" si="136"/>
        <v/>
      </c>
      <c r="AK162" s="113" t="str">
        <f t="shared" si="128"/>
        <v/>
      </c>
      <c r="AL162" s="119" t="s">
        <v>1674</v>
      </c>
      <c r="AM162" s="120" t="s">
        <v>934</v>
      </c>
      <c r="AN162" s="120" t="s">
        <v>1110</v>
      </c>
      <c r="AO162" s="120" t="s">
        <v>1700</v>
      </c>
      <c r="AP162" s="121"/>
      <c r="AQ162" s="128">
        <v>18.44</v>
      </c>
      <c r="AR162" s="133">
        <v>18.402</v>
      </c>
      <c r="AS162" s="205">
        <f t="shared" si="145"/>
        <v>0.0380000000000003</v>
      </c>
      <c r="AT162" s="113" t="str">
        <f t="shared" si="131"/>
        <v>ST235/85R16-12PR-DURAHAULER ST</v>
      </c>
      <c r="AU162" s="119" t="s">
        <v>1701</v>
      </c>
      <c r="AV162" s="120" t="s">
        <v>66</v>
      </c>
      <c r="AW162" s="175" t="s">
        <v>1586</v>
      </c>
      <c r="AX162" s="120" t="s">
        <v>1705</v>
      </c>
      <c r="AY162" s="133">
        <v>10.382</v>
      </c>
      <c r="AZ162" s="133">
        <v>10.383</v>
      </c>
      <c r="BA162" s="144">
        <f t="shared" si="148"/>
        <v>-0.000999999999999446</v>
      </c>
      <c r="BB162" s="113" t="str">
        <f t="shared" si="129"/>
        <v>215/55R17-RP218(Process 2)</v>
      </c>
    </row>
    <row r="163" spans="2:54">
      <c r="B163" s="119" t="s">
        <v>1633</v>
      </c>
      <c r="C163" s="120" t="s">
        <v>1074</v>
      </c>
      <c r="D163" s="120" t="s">
        <v>1706</v>
      </c>
      <c r="E163" s="125" t="s">
        <v>1707</v>
      </c>
      <c r="F163" s="195">
        <f t="shared" si="143"/>
        <v>61.345</v>
      </c>
      <c r="G163" s="128">
        <v>60.952</v>
      </c>
      <c r="H163" s="133">
        <v>60.84</v>
      </c>
      <c r="I163" s="197">
        <f t="shared" si="138"/>
        <v>0.111999999999995</v>
      </c>
      <c r="J163" s="115" t="str">
        <f t="shared" si="132"/>
        <v>11R22.5-16PR-W-Elite DL22</v>
      </c>
      <c r="K163" s="193"/>
      <c r="L163" s="193"/>
      <c r="M163" s="193"/>
      <c r="N163" s="193"/>
      <c r="O163" s="193"/>
      <c r="P163" s="193"/>
      <c r="Q163" s="193"/>
      <c r="R163" s="193"/>
      <c r="S163" s="113" t="str">
        <f t="shared" si="126"/>
        <v/>
      </c>
      <c r="T163" s="119" t="s">
        <v>1708</v>
      </c>
      <c r="U163" s="120" t="s">
        <v>965</v>
      </c>
      <c r="V163" s="120" t="s">
        <v>1709</v>
      </c>
      <c r="W163" s="120" t="s">
        <v>1710</v>
      </c>
      <c r="X163" s="120"/>
      <c r="Y163" s="133">
        <v>3.575</v>
      </c>
      <c r="Z163" s="133">
        <v>3.575</v>
      </c>
      <c r="AA163" s="144">
        <f t="shared" ref="AA163:AA167" si="149">Y163-Z163</f>
        <v>0</v>
      </c>
      <c r="AB163" s="113" t="str">
        <f t="shared" si="136"/>
        <v>120/80-12-6PR-RS06</v>
      </c>
      <c r="AK163" s="113" t="str">
        <f t="shared" si="128"/>
        <v/>
      </c>
      <c r="AL163" s="119" t="s">
        <v>1674</v>
      </c>
      <c r="AM163" s="120" t="s">
        <v>934</v>
      </c>
      <c r="AN163" s="120" t="s">
        <v>1120</v>
      </c>
      <c r="AO163" s="120" t="s">
        <v>1700</v>
      </c>
      <c r="AP163" s="121"/>
      <c r="AQ163" s="128">
        <v>18.44</v>
      </c>
      <c r="AR163" s="133">
        <v>18.402</v>
      </c>
      <c r="AS163" s="205">
        <f t="shared" si="145"/>
        <v>0.0380000000000003</v>
      </c>
      <c r="AT163" s="113" t="str">
        <f t="shared" si="131"/>
        <v>ST235/85R16-12PR-ASSURE ST</v>
      </c>
      <c r="AU163" s="122"/>
      <c r="AV163" s="123"/>
      <c r="AW163" s="123"/>
      <c r="AX163" s="123"/>
      <c r="AY163" s="130"/>
      <c r="AZ163" s="130"/>
      <c r="BA163" s="145"/>
      <c r="BB163" s="113" t="str">
        <f t="shared" si="129"/>
        <v/>
      </c>
    </row>
    <row r="164" spans="2:54">
      <c r="B164" s="119" t="s">
        <v>1633</v>
      </c>
      <c r="C164" s="120" t="s">
        <v>1074</v>
      </c>
      <c r="D164" s="120" t="s">
        <v>1711</v>
      </c>
      <c r="E164" s="125" t="s">
        <v>1707</v>
      </c>
      <c r="F164" s="195">
        <f t="shared" si="143"/>
        <v>61.345</v>
      </c>
      <c r="G164" s="128">
        <v>60.952</v>
      </c>
      <c r="H164" s="133">
        <v>60.84</v>
      </c>
      <c r="I164" s="197">
        <f t="shared" si="138"/>
        <v>0.111999999999995</v>
      </c>
      <c r="J164" s="115" t="str">
        <f t="shared" si="132"/>
        <v>11R22.5-16PR-W-Elite DA23</v>
      </c>
      <c r="K164" s="193"/>
      <c r="L164" s="193"/>
      <c r="M164" s="193"/>
      <c r="N164" s="193"/>
      <c r="O164" s="193"/>
      <c r="P164" s="193"/>
      <c r="Q164" s="193"/>
      <c r="R164" s="193"/>
      <c r="S164" s="113" t="str">
        <f t="shared" si="126"/>
        <v/>
      </c>
      <c r="T164" s="122"/>
      <c r="U164" s="123"/>
      <c r="V164" s="123"/>
      <c r="W164" s="123"/>
      <c r="X164" s="123"/>
      <c r="Y164" s="123"/>
      <c r="Z164" s="123"/>
      <c r="AA164" s="151"/>
      <c r="AB164" s="113" t="str">
        <f t="shared" si="136"/>
        <v/>
      </c>
      <c r="AK164" s="113" t="str">
        <f t="shared" si="128"/>
        <v/>
      </c>
      <c r="AL164" s="119" t="s">
        <v>1674</v>
      </c>
      <c r="AM164" s="120" t="s">
        <v>934</v>
      </c>
      <c r="AN164" s="120" t="s">
        <v>1125</v>
      </c>
      <c r="AO164" s="120" t="s">
        <v>1700</v>
      </c>
      <c r="AP164" s="121"/>
      <c r="AQ164" s="128">
        <v>18.44</v>
      </c>
      <c r="AR164" s="133">
        <v>18.402</v>
      </c>
      <c r="AS164" s="205">
        <f t="shared" si="145"/>
        <v>0.0380000000000003</v>
      </c>
      <c r="AT164" s="113" t="str">
        <f t="shared" si="131"/>
        <v>ST235/85R16-12PR-Tow Pro ST</v>
      </c>
      <c r="AU164" s="119" t="s">
        <v>1712</v>
      </c>
      <c r="AV164" s="120" t="s">
        <v>66</v>
      </c>
      <c r="AW164" s="175" t="s">
        <v>953</v>
      </c>
      <c r="AX164" s="120" t="s">
        <v>1713</v>
      </c>
      <c r="AY164" s="133">
        <v>9.255</v>
      </c>
      <c r="AZ164" s="133">
        <v>9.255</v>
      </c>
      <c r="BA164" s="144">
        <f t="shared" si="148"/>
        <v>0</v>
      </c>
      <c r="BB164" s="113" t="str">
        <f t="shared" si="129"/>
        <v>215/60R16-C-108</v>
      </c>
    </row>
    <row r="165" spans="2:54">
      <c r="B165" s="119" t="s">
        <v>1633</v>
      </c>
      <c r="C165" s="120" t="s">
        <v>1074</v>
      </c>
      <c r="D165" s="120" t="s">
        <v>1714</v>
      </c>
      <c r="E165" s="125" t="s">
        <v>1707</v>
      </c>
      <c r="F165" s="195">
        <f t="shared" si="143"/>
        <v>61.345</v>
      </c>
      <c r="G165" s="128">
        <v>60.952</v>
      </c>
      <c r="H165" s="133">
        <v>60.84</v>
      </c>
      <c r="I165" s="197">
        <f t="shared" si="138"/>
        <v>0.111999999999995</v>
      </c>
      <c r="J165" s="115" t="str">
        <f t="shared" si="132"/>
        <v>11R22.5-16PR-AD600</v>
      </c>
      <c r="K165" s="193"/>
      <c r="L165" s="193"/>
      <c r="M165" s="193"/>
      <c r="N165" s="193"/>
      <c r="O165" s="193"/>
      <c r="P165" s="193"/>
      <c r="Q165" s="193"/>
      <c r="R165" s="193"/>
      <c r="S165" s="113" t="str">
        <f t="shared" si="126"/>
        <v/>
      </c>
      <c r="T165" s="119" t="s">
        <v>1715</v>
      </c>
      <c r="U165" s="120" t="s">
        <v>965</v>
      </c>
      <c r="V165" s="120" t="s">
        <v>1551</v>
      </c>
      <c r="W165" s="120" t="s">
        <v>1716</v>
      </c>
      <c r="X165" s="120"/>
      <c r="Y165" s="133">
        <v>4.255</v>
      </c>
      <c r="Z165" s="133">
        <v>4.255</v>
      </c>
      <c r="AA165" s="144">
        <f t="shared" si="149"/>
        <v>0</v>
      </c>
      <c r="AB165" s="113" t="str">
        <f t="shared" si="136"/>
        <v>130/70-13-6PR-H522S</v>
      </c>
      <c r="AK165" s="113" t="str">
        <f t="shared" si="128"/>
        <v/>
      </c>
      <c r="AL165" s="119" t="s">
        <v>1674</v>
      </c>
      <c r="AM165" s="120" t="s">
        <v>934</v>
      </c>
      <c r="AN165" s="120" t="s">
        <v>1167</v>
      </c>
      <c r="AO165" s="120" t="s">
        <v>1717</v>
      </c>
      <c r="AP165" s="121"/>
      <c r="AQ165" s="128">
        <v>18.96</v>
      </c>
      <c r="AR165" s="133">
        <v>18.944</v>
      </c>
      <c r="AS165" s="205">
        <f t="shared" si="145"/>
        <v>0.0160000000000018</v>
      </c>
      <c r="AT165" s="113" t="str">
        <f t="shared" si="131"/>
        <v>ST235/85R16-12PR-ST200</v>
      </c>
      <c r="AU165" s="119" t="s">
        <v>1712</v>
      </c>
      <c r="AV165" s="120" t="s">
        <v>66</v>
      </c>
      <c r="AW165" s="175" t="s">
        <v>956</v>
      </c>
      <c r="AX165" s="120" t="s">
        <v>1713</v>
      </c>
      <c r="AY165" s="133">
        <v>9.255</v>
      </c>
      <c r="AZ165" s="133">
        <v>9.255</v>
      </c>
      <c r="BA165" s="144">
        <f t="shared" si="148"/>
        <v>0</v>
      </c>
      <c r="BB165" s="113" t="str">
        <f t="shared" si="129"/>
        <v>215/60R16-G-118</v>
      </c>
    </row>
    <row r="166" ht="13.8" customHeight="1" spans="2:54">
      <c r="B166" s="119" t="s">
        <v>1633</v>
      </c>
      <c r="C166" s="120" t="s">
        <v>1074</v>
      </c>
      <c r="D166" s="120" t="s">
        <v>1718</v>
      </c>
      <c r="E166" s="125" t="s">
        <v>1707</v>
      </c>
      <c r="F166" s="195">
        <f t="shared" si="143"/>
        <v>61.345</v>
      </c>
      <c r="G166" s="128">
        <v>60.952</v>
      </c>
      <c r="H166" s="133">
        <v>60.84</v>
      </c>
      <c r="I166" s="197">
        <f t="shared" si="138"/>
        <v>0.111999999999995</v>
      </c>
      <c r="J166" s="115" t="str">
        <f t="shared" si="132"/>
        <v>11R22.5-16PR-PD211</v>
      </c>
      <c r="K166" s="193"/>
      <c r="L166" s="193"/>
      <c r="M166" s="193"/>
      <c r="N166" s="193"/>
      <c r="O166" s="193"/>
      <c r="P166" s="193"/>
      <c r="Q166" s="193"/>
      <c r="R166" s="193"/>
      <c r="S166" s="113" t="str">
        <f t="shared" si="126"/>
        <v/>
      </c>
      <c r="T166" s="122"/>
      <c r="U166" s="123"/>
      <c r="V166" s="123"/>
      <c r="W166" s="123"/>
      <c r="X166" s="123"/>
      <c r="Y166" s="123"/>
      <c r="Z166" s="123"/>
      <c r="AA166" s="151"/>
      <c r="AB166" s="113" t="str">
        <f t="shared" si="136"/>
        <v/>
      </c>
      <c r="AK166" s="113" t="str">
        <f t="shared" si="128"/>
        <v/>
      </c>
      <c r="AL166" s="119" t="s">
        <v>1674</v>
      </c>
      <c r="AM166" s="120" t="s">
        <v>934</v>
      </c>
      <c r="AN166" s="120" t="s">
        <v>984</v>
      </c>
      <c r="AO166" s="120" t="s">
        <v>1717</v>
      </c>
      <c r="AP166" s="121"/>
      <c r="AQ166" s="128">
        <v>18.96</v>
      </c>
      <c r="AR166" s="133">
        <v>18.944</v>
      </c>
      <c r="AS166" s="205">
        <f t="shared" si="145"/>
        <v>0.0160000000000018</v>
      </c>
      <c r="AT166" s="113" t="str">
        <f t="shared" si="131"/>
        <v>ST235/85R16-12PR-ST Radial</v>
      </c>
      <c r="AU166" s="119" t="s">
        <v>1712</v>
      </c>
      <c r="AV166" s="120" t="s">
        <v>66</v>
      </c>
      <c r="AW166" s="175" t="s">
        <v>970</v>
      </c>
      <c r="AX166" s="120" t="s">
        <v>1713</v>
      </c>
      <c r="AY166" s="133">
        <v>9.255</v>
      </c>
      <c r="AZ166" s="133">
        <v>9.255</v>
      </c>
      <c r="BA166" s="144">
        <f t="shared" si="148"/>
        <v>0</v>
      </c>
      <c r="BB166" s="113" t="str">
        <f t="shared" si="129"/>
        <v>215/60R16-T-118</v>
      </c>
    </row>
    <row r="167" ht="13.8" customHeight="1" spans="2:54">
      <c r="B167" s="119" t="s">
        <v>1633</v>
      </c>
      <c r="C167" s="120" t="s">
        <v>1074</v>
      </c>
      <c r="D167" s="120" t="s">
        <v>1719</v>
      </c>
      <c r="E167" s="125" t="s">
        <v>1720</v>
      </c>
      <c r="F167" s="195">
        <f t="shared" si="143"/>
        <v>56.218</v>
      </c>
      <c r="G167" s="128">
        <v>55.825</v>
      </c>
      <c r="H167" s="133">
        <v>55.24</v>
      </c>
      <c r="I167" s="197">
        <f t="shared" si="138"/>
        <v>0.585000000000001</v>
      </c>
      <c r="J167" s="115" t="str">
        <f t="shared" si="132"/>
        <v>11R22.5-16PR-W-Elite SL11</v>
      </c>
      <c r="K167" s="193"/>
      <c r="L167" s="193"/>
      <c r="M167" s="193"/>
      <c r="N167" s="193"/>
      <c r="O167" s="193"/>
      <c r="P167" s="193"/>
      <c r="Q167" s="193"/>
      <c r="R167" s="193"/>
      <c r="S167" s="113" t="str">
        <f t="shared" si="126"/>
        <v/>
      </c>
      <c r="T167" s="119" t="s">
        <v>1721</v>
      </c>
      <c r="U167" s="120" t="s">
        <v>942</v>
      </c>
      <c r="V167" s="120" t="s">
        <v>1551</v>
      </c>
      <c r="W167" s="120" t="s">
        <v>1722</v>
      </c>
      <c r="X167" s="120"/>
      <c r="Y167" s="133">
        <v>4.465</v>
      </c>
      <c r="Z167" s="133">
        <v>4.465</v>
      </c>
      <c r="AA167" s="144">
        <f t="shared" si="149"/>
        <v>0</v>
      </c>
      <c r="AB167" s="113" t="str">
        <f t="shared" si="136"/>
        <v>140/70-13-4PR-H522S</v>
      </c>
      <c r="AK167" s="113" t="str">
        <f t="shared" si="128"/>
        <v/>
      </c>
      <c r="AL167" s="119" t="s">
        <v>1674</v>
      </c>
      <c r="AM167" s="120" t="s">
        <v>934</v>
      </c>
      <c r="AN167" s="120" t="s">
        <v>1188</v>
      </c>
      <c r="AO167" s="120" t="s">
        <v>1723</v>
      </c>
      <c r="AP167" s="121"/>
      <c r="AQ167" s="128">
        <v>18.992</v>
      </c>
      <c r="AR167" s="133">
        <v>18.936</v>
      </c>
      <c r="AS167" s="205">
        <f t="shared" si="145"/>
        <v>0.0560000000000009</v>
      </c>
      <c r="AT167" s="113" t="str">
        <f t="shared" si="131"/>
        <v>ST235/85R16-12PR-ST226</v>
      </c>
      <c r="AU167" s="119" t="s">
        <v>1712</v>
      </c>
      <c r="AV167" s="120" t="s">
        <v>66</v>
      </c>
      <c r="AW167" s="175" t="s">
        <v>979</v>
      </c>
      <c r="AX167" s="120" t="s">
        <v>1713</v>
      </c>
      <c r="AY167" s="133">
        <v>9.255</v>
      </c>
      <c r="AZ167" s="133">
        <v>9.255</v>
      </c>
      <c r="BA167" s="144">
        <f t="shared" si="148"/>
        <v>0</v>
      </c>
      <c r="BB167" s="113" t="str">
        <f t="shared" si="129"/>
        <v>215/60R16-Z-108</v>
      </c>
    </row>
    <row r="168" ht="18.35" spans="2:54">
      <c r="B168" s="119" t="s">
        <v>1633</v>
      </c>
      <c r="C168" s="120" t="s">
        <v>1074</v>
      </c>
      <c r="D168" s="120" t="s">
        <v>1724</v>
      </c>
      <c r="E168" s="125" t="s">
        <v>1720</v>
      </c>
      <c r="F168" s="195">
        <f t="shared" si="143"/>
        <v>56.218</v>
      </c>
      <c r="G168" s="128">
        <v>55.825</v>
      </c>
      <c r="H168" s="133">
        <v>55.24</v>
      </c>
      <c r="I168" s="197">
        <f t="shared" si="138"/>
        <v>0.585000000000001</v>
      </c>
      <c r="J168" s="115" t="str">
        <f t="shared" si="132"/>
        <v>11R22.5-16PR-VA996</v>
      </c>
      <c r="K168" s="193"/>
      <c r="L168" s="193"/>
      <c r="M168" s="193"/>
      <c r="N168" s="193"/>
      <c r="O168" s="193"/>
      <c r="P168" s="193"/>
      <c r="Q168" s="193"/>
      <c r="R168" s="193"/>
      <c r="S168" s="113" t="str">
        <f t="shared" si="126"/>
        <v/>
      </c>
      <c r="T168" s="122"/>
      <c r="U168" s="123"/>
      <c r="V168" s="123"/>
      <c r="W168" s="123"/>
      <c r="X168" s="123"/>
      <c r="Y168" s="123"/>
      <c r="Z168" s="123"/>
      <c r="AA168" s="151"/>
      <c r="AB168" s="113" t="str">
        <f t="shared" si="136"/>
        <v/>
      </c>
      <c r="AK168" s="113" t="str">
        <f t="shared" si="128"/>
        <v/>
      </c>
      <c r="AL168" s="198"/>
      <c r="AM168" s="199"/>
      <c r="AN168" s="199"/>
      <c r="AO168" s="199"/>
      <c r="AP168" s="199"/>
      <c r="AQ168" s="202"/>
      <c r="AR168" s="204"/>
      <c r="AS168" s="203"/>
      <c r="AT168" s="113" t="str">
        <f t="shared" si="131"/>
        <v/>
      </c>
      <c r="AU168" s="119" t="s">
        <v>1712</v>
      </c>
      <c r="AV168" s="120" t="s">
        <v>66</v>
      </c>
      <c r="AW168" s="175" t="s">
        <v>1218</v>
      </c>
      <c r="AX168" s="120" t="s">
        <v>1725</v>
      </c>
      <c r="AY168" s="133">
        <v>10.173</v>
      </c>
      <c r="AZ168" s="133">
        <v>10.174</v>
      </c>
      <c r="BA168" s="144">
        <f t="shared" si="148"/>
        <v>-0.000999999999999446</v>
      </c>
      <c r="BB168" s="113" t="str">
        <f t="shared" si="129"/>
        <v>215/60R16-RP218</v>
      </c>
    </row>
    <row r="169" spans="2:54">
      <c r="B169" s="119" t="s">
        <v>1633</v>
      </c>
      <c r="C169" s="120" t="s">
        <v>1074</v>
      </c>
      <c r="D169" s="120" t="s">
        <v>1726</v>
      </c>
      <c r="E169" s="125" t="s">
        <v>1720</v>
      </c>
      <c r="F169" s="195">
        <f t="shared" si="143"/>
        <v>56.218</v>
      </c>
      <c r="G169" s="128">
        <v>55.825</v>
      </c>
      <c r="H169" s="133">
        <v>55.24</v>
      </c>
      <c r="I169" s="197">
        <f t="shared" si="138"/>
        <v>0.585000000000001</v>
      </c>
      <c r="J169" s="115" t="str">
        <f t="shared" si="132"/>
        <v>11R22.5-16PR-AS200</v>
      </c>
      <c r="K169" s="193"/>
      <c r="L169" s="193"/>
      <c r="M169" s="193"/>
      <c r="N169" s="193"/>
      <c r="O169" s="193"/>
      <c r="P169" s="193"/>
      <c r="Q169" s="193"/>
      <c r="R169" s="193"/>
      <c r="S169" s="113" t="str">
        <f t="shared" si="126"/>
        <v/>
      </c>
      <c r="T169" s="119" t="s">
        <v>1727</v>
      </c>
      <c r="U169" s="120" t="s">
        <v>965</v>
      </c>
      <c r="V169" s="120" t="s">
        <v>1551</v>
      </c>
      <c r="W169" s="120" t="s">
        <v>1728</v>
      </c>
      <c r="X169" s="120"/>
      <c r="Y169" s="133">
        <v>4.67</v>
      </c>
      <c r="Z169" s="133">
        <v>4.67</v>
      </c>
      <c r="AA169" s="144">
        <f>Y169-Z169</f>
        <v>0</v>
      </c>
      <c r="AB169" s="113" t="str">
        <f t="shared" si="136"/>
        <v>140/70-14-6PR-H522S</v>
      </c>
      <c r="AK169" s="113" t="str">
        <f t="shared" si="128"/>
        <v/>
      </c>
      <c r="AT169" s="113" t="str">
        <f t="shared" si="131"/>
        <v/>
      </c>
      <c r="AU169" s="122"/>
      <c r="AV169" s="123"/>
      <c r="AW169" s="123"/>
      <c r="AX169" s="123"/>
      <c r="AY169" s="130"/>
      <c r="AZ169" s="130"/>
      <c r="BA169" s="145"/>
      <c r="BB169" s="113" t="str">
        <f t="shared" si="129"/>
        <v/>
      </c>
    </row>
    <row r="170" ht="13.8" customHeight="1" spans="2:54">
      <c r="B170" s="119" t="s">
        <v>1633</v>
      </c>
      <c r="C170" s="120" t="s">
        <v>1074</v>
      </c>
      <c r="D170" s="121" t="s">
        <v>1729</v>
      </c>
      <c r="E170" s="120" t="s">
        <v>1720</v>
      </c>
      <c r="F170" s="195">
        <f t="shared" si="143"/>
        <v>56.218</v>
      </c>
      <c r="G170" s="128">
        <v>55.825</v>
      </c>
      <c r="H170" s="133">
        <v>55.24</v>
      </c>
      <c r="I170" s="197">
        <f t="shared" si="138"/>
        <v>0.585000000000001</v>
      </c>
      <c r="J170" s="115" t="str">
        <f t="shared" si="132"/>
        <v>11R22.5-16PR-PS221</v>
      </c>
      <c r="K170" s="193"/>
      <c r="L170" s="193"/>
      <c r="M170" s="193"/>
      <c r="N170" s="193"/>
      <c r="O170" s="193"/>
      <c r="P170" s="193"/>
      <c r="Q170" s="193"/>
      <c r="R170" s="193"/>
      <c r="S170" s="113" t="str">
        <f t="shared" si="126"/>
        <v/>
      </c>
      <c r="T170" s="198"/>
      <c r="U170" s="199"/>
      <c r="V170" s="199"/>
      <c r="W170" s="199"/>
      <c r="X170" s="199"/>
      <c r="Y170" s="202"/>
      <c r="Z170" s="202"/>
      <c r="AA170" s="203"/>
      <c r="AB170" s="113" t="str">
        <f t="shared" si="136"/>
        <v/>
      </c>
      <c r="AK170" s="113" t="str">
        <f t="shared" si="128"/>
        <v/>
      </c>
      <c r="AT170" s="113" t="str">
        <f t="shared" si="131"/>
        <v/>
      </c>
      <c r="AU170" s="119" t="s">
        <v>1730</v>
      </c>
      <c r="AV170" s="120" t="s">
        <v>66</v>
      </c>
      <c r="AW170" s="175" t="s">
        <v>1218</v>
      </c>
      <c r="AX170" s="120" t="s">
        <v>1731</v>
      </c>
      <c r="AY170" s="133">
        <v>10.587</v>
      </c>
      <c r="AZ170" s="133">
        <v>10.585</v>
      </c>
      <c r="BA170" s="144">
        <f t="shared" ref="BA170:BA176" si="150">AY170-AZ170</f>
        <v>0.00199999999999889</v>
      </c>
      <c r="BB170" s="113" t="str">
        <f t="shared" si="129"/>
        <v>215/60R17-RP218</v>
      </c>
    </row>
    <row r="171" spans="2:54">
      <c r="B171" s="119" t="s">
        <v>1633</v>
      </c>
      <c r="C171" s="120" t="s">
        <v>958</v>
      </c>
      <c r="D171" s="120" t="s">
        <v>1732</v>
      </c>
      <c r="E171" s="138" t="s">
        <v>1733</v>
      </c>
      <c r="F171" s="195">
        <f t="shared" si="143"/>
        <v>48.103</v>
      </c>
      <c r="G171" s="128">
        <v>47.71</v>
      </c>
      <c r="H171" s="133">
        <v>47.6342</v>
      </c>
      <c r="I171" s="197">
        <f t="shared" si="138"/>
        <v>0.075800000000001</v>
      </c>
      <c r="J171" s="115" t="str">
        <f t="shared" si="132"/>
        <v>11R22.5-14PR-TL31</v>
      </c>
      <c r="K171" s="193"/>
      <c r="L171" s="193"/>
      <c r="M171" s="193"/>
      <c r="N171" s="193"/>
      <c r="O171" s="193"/>
      <c r="P171" s="193"/>
      <c r="Q171" s="193"/>
      <c r="R171" s="193"/>
      <c r="S171" s="113" t="str">
        <f t="shared" si="126"/>
        <v/>
      </c>
      <c r="T171" s="193"/>
      <c r="U171" s="193"/>
      <c r="V171" s="193"/>
      <c r="W171" s="193"/>
      <c r="X171" s="193"/>
      <c r="Y171" s="193"/>
      <c r="Z171" s="193"/>
      <c r="AA171" s="193"/>
      <c r="AB171" s="113" t="str">
        <f t="shared" si="136"/>
        <v/>
      </c>
      <c r="AK171" s="113" t="str">
        <f t="shared" si="128"/>
        <v/>
      </c>
      <c r="AT171" s="113" t="str">
        <f t="shared" si="131"/>
        <v/>
      </c>
      <c r="AU171" s="122"/>
      <c r="AV171" s="123"/>
      <c r="AW171" s="123"/>
      <c r="AX171" s="123"/>
      <c r="AY171" s="130"/>
      <c r="AZ171" s="130"/>
      <c r="BA171" s="145"/>
      <c r="BB171" s="113" t="str">
        <f t="shared" si="129"/>
        <v/>
      </c>
    </row>
    <row r="172" spans="2:54">
      <c r="B172" s="119" t="s">
        <v>1633</v>
      </c>
      <c r="C172" s="120" t="s">
        <v>958</v>
      </c>
      <c r="D172" s="121" t="s">
        <v>1734</v>
      </c>
      <c r="E172" s="120" t="s">
        <v>1733</v>
      </c>
      <c r="F172" s="196">
        <f t="shared" si="143"/>
        <v>48.103</v>
      </c>
      <c r="G172" s="128">
        <v>47.71</v>
      </c>
      <c r="H172" s="133">
        <v>47.6342</v>
      </c>
      <c r="I172" s="197">
        <f t="shared" si="138"/>
        <v>0.075800000000001</v>
      </c>
      <c r="J172" s="115" t="str">
        <f t="shared" si="132"/>
        <v>11R22.5-14PR-VT993</v>
      </c>
      <c r="K172" s="193"/>
      <c r="L172" s="193"/>
      <c r="M172" s="193"/>
      <c r="N172" s="193"/>
      <c r="O172" s="193"/>
      <c r="P172" s="193"/>
      <c r="Q172" s="193"/>
      <c r="R172" s="193"/>
      <c r="S172" s="113" t="str">
        <f t="shared" si="126"/>
        <v/>
      </c>
      <c r="T172" s="193"/>
      <c r="U172" s="193"/>
      <c r="V172" s="193"/>
      <c r="W172" s="193"/>
      <c r="X172" s="193"/>
      <c r="Y172" s="193"/>
      <c r="Z172" s="193"/>
      <c r="AA172" s="193"/>
      <c r="AB172" s="113" t="str">
        <f t="shared" si="136"/>
        <v/>
      </c>
      <c r="AK172" s="113" t="str">
        <f t="shared" si="128"/>
        <v/>
      </c>
      <c r="AT172" s="113" t="str">
        <f t="shared" si="131"/>
        <v/>
      </c>
      <c r="AU172" s="119" t="s">
        <v>1735</v>
      </c>
      <c r="AV172" s="120" t="s">
        <v>66</v>
      </c>
      <c r="AW172" s="175" t="s">
        <v>953</v>
      </c>
      <c r="AX172" s="120" t="s">
        <v>1736</v>
      </c>
      <c r="AY172" s="133">
        <v>9.099</v>
      </c>
      <c r="AZ172" s="133">
        <v>9.097</v>
      </c>
      <c r="BA172" s="144">
        <f t="shared" si="150"/>
        <v>0.00200000000000067</v>
      </c>
      <c r="BB172" s="113" t="str">
        <f t="shared" si="129"/>
        <v>215/65R16-C-108</v>
      </c>
    </row>
    <row r="173" spans="2:54">
      <c r="B173" s="119" t="s">
        <v>1633</v>
      </c>
      <c r="C173" s="120" t="s">
        <v>1074</v>
      </c>
      <c r="D173" s="120" t="s">
        <v>1737</v>
      </c>
      <c r="E173" s="147" t="s">
        <v>1738</v>
      </c>
      <c r="F173" s="195">
        <f t="shared" si="143"/>
        <v>57.553</v>
      </c>
      <c r="G173" s="128">
        <v>57.16</v>
      </c>
      <c r="H173" s="133">
        <v>56.4194</v>
      </c>
      <c r="I173" s="197">
        <f t="shared" si="138"/>
        <v>0.740599999999993</v>
      </c>
      <c r="J173" s="115" t="str">
        <f t="shared" si="132"/>
        <v>11R22.5-16PR-ZA12</v>
      </c>
      <c r="K173" s="193"/>
      <c r="L173" s="193"/>
      <c r="M173" s="193"/>
      <c r="N173" s="193"/>
      <c r="O173" s="193"/>
      <c r="P173" s="193"/>
      <c r="Q173" s="193"/>
      <c r="R173" s="193"/>
      <c r="S173" s="113" t="str">
        <f t="shared" si="126"/>
        <v/>
      </c>
      <c r="T173" s="193"/>
      <c r="U173" s="193"/>
      <c r="V173" s="193"/>
      <c r="W173" s="193"/>
      <c r="X173" s="193"/>
      <c r="Y173" s="193"/>
      <c r="Z173" s="193"/>
      <c r="AA173" s="193"/>
      <c r="AB173" s="113" t="str">
        <f t="shared" si="136"/>
        <v/>
      </c>
      <c r="AK173" s="113" t="str">
        <f t="shared" si="128"/>
        <v/>
      </c>
      <c r="AT173" s="113" t="str">
        <f t="shared" si="131"/>
        <v/>
      </c>
      <c r="AU173" s="119" t="s">
        <v>1735</v>
      </c>
      <c r="AV173" s="120" t="s">
        <v>66</v>
      </c>
      <c r="AW173" s="175" t="s">
        <v>956</v>
      </c>
      <c r="AX173" s="120" t="s">
        <v>1736</v>
      </c>
      <c r="AY173" s="133">
        <v>9.099</v>
      </c>
      <c r="AZ173" s="133">
        <v>9.097</v>
      </c>
      <c r="BA173" s="144">
        <f t="shared" si="150"/>
        <v>0.00200000000000067</v>
      </c>
      <c r="BB173" s="113" t="str">
        <f t="shared" si="129"/>
        <v>215/65R16-G-118</v>
      </c>
    </row>
    <row r="174" spans="2:54">
      <c r="B174" s="119" t="s">
        <v>1633</v>
      </c>
      <c r="C174" s="120" t="s">
        <v>1074</v>
      </c>
      <c r="D174" s="120" t="s">
        <v>1739</v>
      </c>
      <c r="E174" s="120" t="s">
        <v>1740</v>
      </c>
      <c r="F174" s="195">
        <f t="shared" si="143"/>
        <v>58.605</v>
      </c>
      <c r="G174" s="134">
        <v>58.212</v>
      </c>
      <c r="H174" s="133">
        <v>58.22</v>
      </c>
      <c r="I174" s="197">
        <f t="shared" si="138"/>
        <v>-0.00799999999999557</v>
      </c>
      <c r="J174" s="115" t="str">
        <f t="shared" si="132"/>
        <v>11R22.5-16PR-ZM41</v>
      </c>
      <c r="K174" s="193"/>
      <c r="L174" s="193"/>
      <c r="M174" s="193"/>
      <c r="N174" s="193"/>
      <c r="O174" s="193"/>
      <c r="P174" s="193"/>
      <c r="Q174" s="193"/>
      <c r="R174" s="193"/>
      <c r="S174" s="113" t="str">
        <f t="shared" si="126"/>
        <v/>
      </c>
      <c r="T174" s="193"/>
      <c r="U174" s="193"/>
      <c r="V174" s="193"/>
      <c r="W174" s="193"/>
      <c r="X174" s="193"/>
      <c r="Y174" s="193"/>
      <c r="Z174" s="193"/>
      <c r="AA174" s="193"/>
      <c r="AB174" s="113" t="str">
        <f t="shared" si="136"/>
        <v/>
      </c>
      <c r="AK174" s="113" t="str">
        <f t="shared" si="128"/>
        <v/>
      </c>
      <c r="AT174" s="113" t="str">
        <f t="shared" si="131"/>
        <v/>
      </c>
      <c r="AU174" s="119" t="s">
        <v>1735</v>
      </c>
      <c r="AV174" s="120" t="s">
        <v>66</v>
      </c>
      <c r="AW174" s="175" t="s">
        <v>970</v>
      </c>
      <c r="AX174" s="120" t="s">
        <v>1736</v>
      </c>
      <c r="AY174" s="133">
        <v>9.099</v>
      </c>
      <c r="AZ174" s="133">
        <v>9.097</v>
      </c>
      <c r="BA174" s="144">
        <f t="shared" si="150"/>
        <v>0.00200000000000067</v>
      </c>
      <c r="BB174" s="113" t="str">
        <f t="shared" si="129"/>
        <v>215/65R16-T-118</v>
      </c>
    </row>
    <row r="175" spans="2:54">
      <c r="B175" s="119" t="s">
        <v>1633</v>
      </c>
      <c r="C175" s="120" t="s">
        <v>1074</v>
      </c>
      <c r="D175" s="120" t="s">
        <v>1327</v>
      </c>
      <c r="E175" s="121" t="s">
        <v>1741</v>
      </c>
      <c r="F175" s="195">
        <f t="shared" si="143"/>
        <v>57.098</v>
      </c>
      <c r="G175" s="133">
        <v>56.705</v>
      </c>
      <c r="H175" s="127">
        <v>56.81</v>
      </c>
      <c r="I175" s="197">
        <f t="shared" si="138"/>
        <v>-0.105000000000004</v>
      </c>
      <c r="J175" s="115" t="str">
        <f t="shared" si="132"/>
        <v>11R22.5-16PR-CM958</v>
      </c>
      <c r="K175" s="193"/>
      <c r="L175" s="193"/>
      <c r="M175" s="193"/>
      <c r="N175" s="193"/>
      <c r="O175" s="193"/>
      <c r="P175" s="193"/>
      <c r="Q175" s="193"/>
      <c r="R175" s="193"/>
      <c r="S175" s="113" t="str">
        <f t="shared" si="126"/>
        <v/>
      </c>
      <c r="T175" s="193"/>
      <c r="U175" s="193"/>
      <c r="V175" s="193"/>
      <c r="W175" s="193"/>
      <c r="X175" s="193"/>
      <c r="Y175" s="193"/>
      <c r="Z175" s="193"/>
      <c r="AA175" s="193"/>
      <c r="AB175" s="113" t="str">
        <f t="shared" si="136"/>
        <v/>
      </c>
      <c r="AK175" s="113" t="str">
        <f t="shared" si="128"/>
        <v/>
      </c>
      <c r="AT175" s="113" t="str">
        <f t="shared" si="131"/>
        <v/>
      </c>
      <c r="AU175" s="119" t="s">
        <v>1735</v>
      </c>
      <c r="AV175" s="120" t="s">
        <v>66</v>
      </c>
      <c r="AW175" s="175" t="s">
        <v>979</v>
      </c>
      <c r="AX175" s="120" t="s">
        <v>1736</v>
      </c>
      <c r="AY175" s="133">
        <v>9.099</v>
      </c>
      <c r="AZ175" s="133">
        <v>9.097</v>
      </c>
      <c r="BA175" s="144">
        <f t="shared" si="150"/>
        <v>0.00200000000000067</v>
      </c>
      <c r="BB175" s="113" t="str">
        <f t="shared" si="129"/>
        <v>215/65R16-Z-108</v>
      </c>
    </row>
    <row r="176" spans="2:54">
      <c r="B176" s="119" t="s">
        <v>1633</v>
      </c>
      <c r="C176" s="120" t="s">
        <v>1074</v>
      </c>
      <c r="D176" s="120" t="s">
        <v>1742</v>
      </c>
      <c r="E176" s="120" t="s">
        <v>1743</v>
      </c>
      <c r="F176" s="195">
        <f t="shared" si="143"/>
        <v>52.833</v>
      </c>
      <c r="G176" s="195">
        <v>52.44</v>
      </c>
      <c r="H176" s="133">
        <v>52.3641</v>
      </c>
      <c r="I176" s="197">
        <f t="shared" si="138"/>
        <v>0.0758999999999972</v>
      </c>
      <c r="J176" s="115" t="str">
        <f t="shared" si="132"/>
        <v>11R22.5-16PR-I-19A</v>
      </c>
      <c r="K176" s="193"/>
      <c r="L176" s="193"/>
      <c r="M176" s="193"/>
      <c r="N176" s="193"/>
      <c r="O176" s="193"/>
      <c r="P176" s="193"/>
      <c r="Q176" s="193"/>
      <c r="R176" s="193"/>
      <c r="S176" s="113" t="str">
        <f t="shared" si="126"/>
        <v/>
      </c>
      <c r="T176" s="193"/>
      <c r="U176" s="193"/>
      <c r="V176" s="193"/>
      <c r="W176" s="193"/>
      <c r="X176" s="193"/>
      <c r="Y176" s="193"/>
      <c r="Z176" s="193"/>
      <c r="AA176" s="193"/>
      <c r="AB176" s="113" t="str">
        <f t="shared" si="136"/>
        <v/>
      </c>
      <c r="AK176" s="113" t="str">
        <f t="shared" si="128"/>
        <v/>
      </c>
      <c r="AU176" s="119" t="s">
        <v>1735</v>
      </c>
      <c r="AV176" s="120" t="s">
        <v>66</v>
      </c>
      <c r="AW176" s="175" t="s">
        <v>1218</v>
      </c>
      <c r="AX176" s="120" t="s">
        <v>1744</v>
      </c>
      <c r="AY176" s="133">
        <v>10.461</v>
      </c>
      <c r="AZ176" s="133">
        <v>10.461</v>
      </c>
      <c r="BA176" s="144">
        <f t="shared" si="150"/>
        <v>0</v>
      </c>
      <c r="BB176" s="113" t="str">
        <f t="shared" si="129"/>
        <v>215/65R16-RP218</v>
      </c>
    </row>
    <row r="177" ht="13.8" customHeight="1" spans="2:54">
      <c r="B177" s="119" t="s">
        <v>1633</v>
      </c>
      <c r="C177" s="120" t="s">
        <v>1074</v>
      </c>
      <c r="D177" s="120" t="s">
        <v>1745</v>
      </c>
      <c r="E177" s="120" t="s">
        <v>1743</v>
      </c>
      <c r="F177" s="195">
        <f t="shared" si="143"/>
        <v>52.833</v>
      </c>
      <c r="G177" s="195">
        <v>52.44</v>
      </c>
      <c r="H177" s="133">
        <v>52.3641</v>
      </c>
      <c r="I177" s="197">
        <f t="shared" si="138"/>
        <v>0.0758999999999972</v>
      </c>
      <c r="J177" s="115" t="str">
        <f t="shared" si="132"/>
        <v>11R22.5-16PR-I-61S</v>
      </c>
      <c r="K177" s="193"/>
      <c r="L177" s="193"/>
      <c r="M177" s="193"/>
      <c r="N177" s="193"/>
      <c r="O177" s="193"/>
      <c r="P177" s="193"/>
      <c r="Q177" s="193"/>
      <c r="R177" s="193"/>
      <c r="S177" s="113" t="str">
        <f t="shared" si="126"/>
        <v/>
      </c>
      <c r="T177" s="193"/>
      <c r="U177" s="193"/>
      <c r="V177" s="193"/>
      <c r="W177" s="193"/>
      <c r="X177" s="193"/>
      <c r="Y177" s="193"/>
      <c r="Z177" s="193"/>
      <c r="AA177" s="193"/>
      <c r="AB177" s="113" t="str">
        <f t="shared" si="136"/>
        <v/>
      </c>
      <c r="AK177" s="113" t="str">
        <f t="shared" si="128"/>
        <v/>
      </c>
      <c r="AU177" s="122"/>
      <c r="AV177" s="123"/>
      <c r="AW177" s="123"/>
      <c r="AX177" s="123"/>
      <c r="AY177" s="130"/>
      <c r="AZ177" s="130"/>
      <c r="BA177" s="145"/>
      <c r="BB177" s="113" t="str">
        <f t="shared" si="129"/>
        <v/>
      </c>
    </row>
    <row r="178" ht="13.8" customHeight="1" spans="2:54">
      <c r="B178" s="119" t="s">
        <v>1633</v>
      </c>
      <c r="C178" s="120" t="s">
        <v>1074</v>
      </c>
      <c r="D178" s="120" t="s">
        <v>1746</v>
      </c>
      <c r="E178" s="120" t="s">
        <v>1747</v>
      </c>
      <c r="F178" s="195">
        <f t="shared" si="143"/>
        <v>55.732</v>
      </c>
      <c r="G178" s="128">
        <v>55.339</v>
      </c>
      <c r="H178" s="133">
        <v>56.0138</v>
      </c>
      <c r="I178" s="197">
        <f t="shared" si="138"/>
        <v>-0.674800000000005</v>
      </c>
      <c r="J178" s="115" t="str">
        <f t="shared" si="132"/>
        <v>11R22.5-16PR-CM980</v>
      </c>
      <c r="K178" s="193"/>
      <c r="L178" s="193"/>
      <c r="M178" s="193"/>
      <c r="N178" s="193"/>
      <c r="O178" s="193"/>
      <c r="P178" s="193"/>
      <c r="Q178" s="193"/>
      <c r="R178" s="193"/>
      <c r="S178" s="113" t="str">
        <f t="shared" si="126"/>
        <v/>
      </c>
      <c r="T178" s="193"/>
      <c r="U178" s="193"/>
      <c r="V178" s="193"/>
      <c r="W178" s="193"/>
      <c r="X178" s="193"/>
      <c r="Y178" s="193"/>
      <c r="Z178" s="193"/>
      <c r="AA178" s="193"/>
      <c r="AB178" s="113" t="str">
        <f t="shared" si="136"/>
        <v/>
      </c>
      <c r="AK178" s="113" t="str">
        <f t="shared" si="128"/>
        <v/>
      </c>
      <c r="AU178" s="119" t="s">
        <v>1748</v>
      </c>
      <c r="AV178" s="120" t="s">
        <v>66</v>
      </c>
      <c r="AW178" s="175" t="s">
        <v>1218</v>
      </c>
      <c r="AX178" s="120" t="s">
        <v>1749</v>
      </c>
      <c r="AY178" s="133">
        <v>10.061</v>
      </c>
      <c r="AZ178" s="133">
        <v>10.062</v>
      </c>
      <c r="BA178" s="144">
        <f t="shared" ref="BA178:BA182" si="151">AY178-AZ178</f>
        <v>-0.000999999999999446</v>
      </c>
      <c r="BB178" s="113" t="str">
        <f t="shared" si="129"/>
        <v>225/50R17-RP218</v>
      </c>
    </row>
    <row r="179" spans="2:54">
      <c r="B179" s="119" t="s">
        <v>1633</v>
      </c>
      <c r="C179" s="120" t="s">
        <v>1074</v>
      </c>
      <c r="D179" s="120" t="s">
        <v>1750</v>
      </c>
      <c r="E179" s="120" t="s">
        <v>1747</v>
      </c>
      <c r="F179" s="195">
        <f t="shared" si="143"/>
        <v>55.732</v>
      </c>
      <c r="G179" s="128">
        <v>55.339</v>
      </c>
      <c r="H179" s="133">
        <v>56.0138</v>
      </c>
      <c r="I179" s="197">
        <f t="shared" si="138"/>
        <v>-0.674800000000005</v>
      </c>
      <c r="J179" s="115" t="str">
        <f t="shared" si="132"/>
        <v>11R22.5-16PR-RLINE-D3</v>
      </c>
      <c r="K179" s="193"/>
      <c r="L179" s="193"/>
      <c r="M179" s="193"/>
      <c r="N179" s="193"/>
      <c r="O179" s="193"/>
      <c r="P179" s="193"/>
      <c r="Q179" s="193"/>
      <c r="R179" s="193"/>
      <c r="S179" s="113" t="str">
        <f t="shared" si="126"/>
        <v/>
      </c>
      <c r="T179" s="193"/>
      <c r="U179" s="193"/>
      <c r="V179" s="193"/>
      <c r="W179" s="193"/>
      <c r="X179" s="193"/>
      <c r="Y179" s="193"/>
      <c r="Z179" s="193"/>
      <c r="AA179" s="193"/>
      <c r="AB179" s="113" t="str">
        <f t="shared" si="136"/>
        <v/>
      </c>
      <c r="AK179" s="113" t="str">
        <f t="shared" si="128"/>
        <v/>
      </c>
      <c r="AU179" s="122"/>
      <c r="AV179" s="123"/>
      <c r="AW179" s="123"/>
      <c r="AX179" s="123"/>
      <c r="AY179" s="130"/>
      <c r="AZ179" s="130"/>
      <c r="BA179" s="145"/>
      <c r="BB179" s="113" t="str">
        <f t="shared" si="129"/>
        <v/>
      </c>
    </row>
    <row r="180" spans="2:54">
      <c r="B180" s="119" t="s">
        <v>1633</v>
      </c>
      <c r="C180" s="120" t="s">
        <v>1074</v>
      </c>
      <c r="D180" s="120" t="s">
        <v>1751</v>
      </c>
      <c r="E180" s="120" t="s">
        <v>1752</v>
      </c>
      <c r="F180" s="195">
        <f t="shared" si="143"/>
        <v>52.394</v>
      </c>
      <c r="G180" s="134">
        <v>52.001</v>
      </c>
      <c r="H180" s="133">
        <v>51.9231</v>
      </c>
      <c r="I180" s="197">
        <f t="shared" si="138"/>
        <v>0.0778999999999996</v>
      </c>
      <c r="J180" s="115" t="str">
        <f t="shared" si="132"/>
        <v>11R22.5-16PR-CR960A</v>
      </c>
      <c r="K180" s="193"/>
      <c r="L180" s="193"/>
      <c r="M180" s="193"/>
      <c r="N180" s="193"/>
      <c r="O180" s="193"/>
      <c r="P180" s="193"/>
      <c r="Q180" s="193"/>
      <c r="R180" s="193"/>
      <c r="S180" s="113" t="str">
        <f t="shared" si="126"/>
        <v/>
      </c>
      <c r="T180" s="193"/>
      <c r="U180" s="193"/>
      <c r="V180" s="193"/>
      <c r="W180" s="193"/>
      <c r="X180" s="193"/>
      <c r="Y180" s="193"/>
      <c r="Z180" s="193"/>
      <c r="AA180" s="193"/>
      <c r="AB180" s="113" t="str">
        <f t="shared" si="136"/>
        <v/>
      </c>
      <c r="AK180" s="113" t="str">
        <f t="shared" si="128"/>
        <v/>
      </c>
      <c r="AU180" s="119" t="s">
        <v>1753</v>
      </c>
      <c r="AV180" s="120" t="s">
        <v>66</v>
      </c>
      <c r="AW180" s="175" t="s">
        <v>1218</v>
      </c>
      <c r="AX180" s="120" t="s">
        <v>1754</v>
      </c>
      <c r="AY180" s="133">
        <v>11.369</v>
      </c>
      <c r="AZ180" s="133">
        <v>11.368</v>
      </c>
      <c r="BA180" s="144">
        <f t="shared" si="151"/>
        <v>0.000999999999999446</v>
      </c>
      <c r="BB180" s="113" t="str">
        <f t="shared" si="129"/>
        <v>225/50R18-RP218</v>
      </c>
    </row>
    <row r="181" ht="13.8" customHeight="1" spans="2:54">
      <c r="B181" s="119" t="s">
        <v>1633</v>
      </c>
      <c r="C181" s="120" t="s">
        <v>1074</v>
      </c>
      <c r="D181" s="120" t="s">
        <v>1755</v>
      </c>
      <c r="E181" s="120" t="s">
        <v>1752</v>
      </c>
      <c r="F181" s="195">
        <f t="shared" si="143"/>
        <v>52.394</v>
      </c>
      <c r="G181" s="134">
        <v>52.001</v>
      </c>
      <c r="H181" s="133">
        <v>51.9231</v>
      </c>
      <c r="I181" s="197">
        <f t="shared" si="138"/>
        <v>0.0778999999999996</v>
      </c>
      <c r="J181" s="115" t="str">
        <f t="shared" si="132"/>
        <v>11R22.5-16PR-RLINE-A1</v>
      </c>
      <c r="K181" s="193"/>
      <c r="L181" s="193"/>
      <c r="M181" s="193"/>
      <c r="N181" s="193"/>
      <c r="O181" s="193"/>
      <c r="P181" s="193"/>
      <c r="Q181" s="193"/>
      <c r="R181" s="193"/>
      <c r="S181" s="113" t="str">
        <f t="shared" si="126"/>
        <v/>
      </c>
      <c r="T181" s="193"/>
      <c r="U181" s="193"/>
      <c r="V181" s="193"/>
      <c r="W181" s="193"/>
      <c r="X181" s="193"/>
      <c r="Y181" s="193"/>
      <c r="Z181" s="193"/>
      <c r="AA181" s="193"/>
      <c r="AB181" s="113" t="str">
        <f t="shared" ref="AB181:AB244" si="152">_xlfn.TEXTJOIN("-",TRUE,T181,U181,V181)</f>
        <v/>
      </c>
      <c r="AK181" s="113" t="str">
        <f t="shared" si="128"/>
        <v/>
      </c>
      <c r="AU181" s="122"/>
      <c r="AV181" s="123"/>
      <c r="AW181" s="123"/>
      <c r="AX181" s="123"/>
      <c r="AY181" s="130"/>
      <c r="AZ181" s="130"/>
      <c r="BA181" s="145"/>
      <c r="BB181" s="113" t="str">
        <f t="shared" si="129"/>
        <v/>
      </c>
    </row>
    <row r="182" spans="2:54">
      <c r="B182" s="119" t="s">
        <v>1633</v>
      </c>
      <c r="C182" s="120" t="s">
        <v>1074</v>
      </c>
      <c r="D182" s="120" t="s">
        <v>1756</v>
      </c>
      <c r="E182" s="177" t="s">
        <v>1757</v>
      </c>
      <c r="F182" s="195">
        <f t="shared" si="143"/>
        <v>62.274</v>
      </c>
      <c r="G182" s="133">
        <v>61.881</v>
      </c>
      <c r="H182" s="127">
        <v>61.2542</v>
      </c>
      <c r="I182" s="197">
        <f t="shared" si="138"/>
        <v>0.626800000000003</v>
      </c>
      <c r="J182" s="115" t="str">
        <f t="shared" si="132"/>
        <v>11R22.5-16PR-VD998</v>
      </c>
      <c r="K182" s="193"/>
      <c r="L182" s="193"/>
      <c r="M182" s="193"/>
      <c r="N182" s="193"/>
      <c r="O182" s="193"/>
      <c r="P182" s="193"/>
      <c r="Q182" s="193"/>
      <c r="R182" s="193"/>
      <c r="S182" s="113" t="str">
        <f t="shared" si="126"/>
        <v/>
      </c>
      <c r="T182" s="193"/>
      <c r="U182" s="193"/>
      <c r="V182" s="193"/>
      <c r="W182" s="193"/>
      <c r="X182" s="193"/>
      <c r="Y182" s="193"/>
      <c r="Z182" s="193"/>
      <c r="AA182" s="193"/>
      <c r="AB182" s="113" t="str">
        <f t="shared" si="152"/>
        <v/>
      </c>
      <c r="AK182" s="113" t="str">
        <f t="shared" si="128"/>
        <v/>
      </c>
      <c r="AU182" s="119" t="s">
        <v>1758</v>
      </c>
      <c r="AV182" s="120" t="s">
        <v>66</v>
      </c>
      <c r="AW182" s="175" t="s">
        <v>1218</v>
      </c>
      <c r="AX182" s="120" t="s">
        <v>1759</v>
      </c>
      <c r="AY182" s="133">
        <v>11.252</v>
      </c>
      <c r="AZ182" s="133">
        <v>11.253</v>
      </c>
      <c r="BA182" s="144">
        <f t="shared" si="151"/>
        <v>-0.000999999999999446</v>
      </c>
      <c r="BB182" s="113" t="str">
        <f t="shared" si="129"/>
        <v>225/55R17-RP218</v>
      </c>
    </row>
    <row r="183" spans="2:54">
      <c r="B183" s="119" t="s">
        <v>1633</v>
      </c>
      <c r="C183" s="120" t="s">
        <v>1074</v>
      </c>
      <c r="D183" s="120" t="s">
        <v>1760</v>
      </c>
      <c r="E183" s="177" t="s">
        <v>1757</v>
      </c>
      <c r="F183" s="195">
        <f t="shared" si="143"/>
        <v>62.274</v>
      </c>
      <c r="G183" s="133">
        <v>61.881</v>
      </c>
      <c r="H183" s="127">
        <v>61.2542</v>
      </c>
      <c r="I183" s="197">
        <f t="shared" si="138"/>
        <v>0.626800000000003</v>
      </c>
      <c r="J183" s="115" t="str">
        <f t="shared" si="132"/>
        <v>11R22.5-16PR-VD908</v>
      </c>
      <c r="K183" s="193"/>
      <c r="L183" s="193"/>
      <c r="M183" s="193"/>
      <c r="N183" s="193"/>
      <c r="O183" s="193"/>
      <c r="P183" s="193"/>
      <c r="Q183" s="193"/>
      <c r="R183" s="193"/>
      <c r="S183" s="113" t="str">
        <f t="shared" si="126"/>
        <v/>
      </c>
      <c r="T183" s="193"/>
      <c r="U183" s="193"/>
      <c r="V183" s="193"/>
      <c r="W183" s="193"/>
      <c r="X183" s="193"/>
      <c r="Y183" s="193"/>
      <c r="Z183" s="193"/>
      <c r="AA183" s="193"/>
      <c r="AB183" s="113" t="str">
        <f t="shared" si="152"/>
        <v/>
      </c>
      <c r="AK183" s="113" t="str">
        <f t="shared" si="128"/>
        <v/>
      </c>
      <c r="AU183" s="122"/>
      <c r="AV183" s="123"/>
      <c r="AW183" s="123"/>
      <c r="AX183" s="123"/>
      <c r="AY183" s="130"/>
      <c r="AZ183" s="130"/>
      <c r="BA183" s="145"/>
      <c r="BB183" s="113" t="str">
        <f t="shared" si="129"/>
        <v/>
      </c>
    </row>
    <row r="184" ht="13.8" customHeight="1" spans="2:54">
      <c r="B184" s="119" t="s">
        <v>1633</v>
      </c>
      <c r="C184" s="120" t="s">
        <v>1074</v>
      </c>
      <c r="D184" s="120" t="s">
        <v>1761</v>
      </c>
      <c r="E184" s="120" t="s">
        <v>1762</v>
      </c>
      <c r="F184" s="195">
        <f t="shared" si="143"/>
        <v>57.371</v>
      </c>
      <c r="G184" s="195">
        <v>56.978</v>
      </c>
      <c r="H184" s="133">
        <v>56.9035</v>
      </c>
      <c r="I184" s="197">
        <f t="shared" si="138"/>
        <v>0.0745000000000005</v>
      </c>
      <c r="J184" s="115" t="str">
        <f t="shared" si="132"/>
        <v>11R22.5-16PR-VA991</v>
      </c>
      <c r="K184" s="193"/>
      <c r="L184" s="193"/>
      <c r="M184" s="193"/>
      <c r="N184" s="193"/>
      <c r="O184" s="193"/>
      <c r="P184" s="193"/>
      <c r="Q184" s="193"/>
      <c r="R184" s="193"/>
      <c r="S184" s="113" t="str">
        <f t="shared" si="126"/>
        <v/>
      </c>
      <c r="T184" s="193"/>
      <c r="U184" s="193"/>
      <c r="V184" s="193"/>
      <c r="W184" s="193"/>
      <c r="X184" s="193"/>
      <c r="Y184" s="193"/>
      <c r="Z184" s="193"/>
      <c r="AA184" s="193"/>
      <c r="AB184" s="113" t="str">
        <f t="shared" si="152"/>
        <v/>
      </c>
      <c r="AK184" s="113" t="str">
        <f t="shared" si="128"/>
        <v/>
      </c>
      <c r="AU184" s="119" t="s">
        <v>1763</v>
      </c>
      <c r="AV184" s="120" t="s">
        <v>66</v>
      </c>
      <c r="AW184" s="175" t="s">
        <v>1218</v>
      </c>
      <c r="AX184" s="120" t="s">
        <v>1764</v>
      </c>
      <c r="AY184" s="133">
        <v>11.517</v>
      </c>
      <c r="AZ184" s="133">
        <v>11.517</v>
      </c>
      <c r="BA184" s="144">
        <f t="shared" ref="BA184:BA188" si="153">AY184-AZ184</f>
        <v>0</v>
      </c>
      <c r="BB184" s="113" t="str">
        <f t="shared" si="129"/>
        <v>225/55R18-RP218</v>
      </c>
    </row>
    <row r="185" ht="27.6" customHeight="1" spans="2:54">
      <c r="B185" s="119" t="s">
        <v>1633</v>
      </c>
      <c r="C185" s="120" t="s">
        <v>1074</v>
      </c>
      <c r="D185" s="120" t="s">
        <v>1765</v>
      </c>
      <c r="E185" s="120" t="s">
        <v>1766</v>
      </c>
      <c r="F185" s="195">
        <f t="shared" si="143"/>
        <v>59.961</v>
      </c>
      <c r="G185" s="128">
        <v>59.568</v>
      </c>
      <c r="H185" s="133">
        <v>59.4931</v>
      </c>
      <c r="I185" s="197">
        <f t="shared" si="138"/>
        <v>0.0748999999999995</v>
      </c>
      <c r="J185" s="115" t="str">
        <f t="shared" si="132"/>
        <v>11R22.5-16PR-VDM924</v>
      </c>
      <c r="K185" s="193"/>
      <c r="L185" s="193"/>
      <c r="M185" s="193"/>
      <c r="N185" s="193"/>
      <c r="O185" s="193"/>
      <c r="P185" s="193"/>
      <c r="Q185" s="193"/>
      <c r="R185" s="193"/>
      <c r="S185" s="113" t="str">
        <f t="shared" si="126"/>
        <v/>
      </c>
      <c r="T185" s="193"/>
      <c r="U185" s="193"/>
      <c r="V185" s="193"/>
      <c r="W185" s="193"/>
      <c r="X185" s="193"/>
      <c r="Y185" s="193"/>
      <c r="Z185" s="193"/>
      <c r="AA185" s="193"/>
      <c r="AB185" s="113" t="str">
        <f t="shared" si="152"/>
        <v/>
      </c>
      <c r="AK185" s="113" t="str">
        <f t="shared" si="128"/>
        <v/>
      </c>
      <c r="AU185" s="122"/>
      <c r="AV185" s="123"/>
      <c r="AW185" s="123"/>
      <c r="AX185" s="123"/>
      <c r="AY185" s="130"/>
      <c r="AZ185" s="130"/>
      <c r="BA185" s="145"/>
      <c r="BB185" s="113" t="str">
        <f t="shared" si="129"/>
        <v/>
      </c>
    </row>
    <row r="186" spans="2:54">
      <c r="B186" s="119" t="s">
        <v>1633</v>
      </c>
      <c r="C186" s="120" t="s">
        <v>1074</v>
      </c>
      <c r="D186" s="120" t="s">
        <v>1767</v>
      </c>
      <c r="E186" s="125" t="s">
        <v>1768</v>
      </c>
      <c r="F186" s="195">
        <f t="shared" si="143"/>
        <v>56.923</v>
      </c>
      <c r="G186" s="128">
        <v>56.53</v>
      </c>
      <c r="H186" s="133">
        <v>56.4545</v>
      </c>
      <c r="I186" s="197">
        <f t="shared" si="138"/>
        <v>0.0754999999999981</v>
      </c>
      <c r="J186" s="115" t="str">
        <f t="shared" si="132"/>
        <v>11R22.5-16PR-AD721</v>
      </c>
      <c r="K186" s="193"/>
      <c r="L186" s="193"/>
      <c r="M186" s="193"/>
      <c r="N186" s="193"/>
      <c r="O186" s="193"/>
      <c r="P186" s="193"/>
      <c r="Q186" s="193"/>
      <c r="R186" s="193"/>
      <c r="S186" s="113" t="str">
        <f t="shared" si="126"/>
        <v/>
      </c>
      <c r="T186" s="193"/>
      <c r="U186" s="193"/>
      <c r="V186" s="193"/>
      <c r="W186" s="193"/>
      <c r="X186" s="193"/>
      <c r="Y186" s="193"/>
      <c r="Z186" s="193"/>
      <c r="AA186" s="193"/>
      <c r="AB186" s="113" t="str">
        <f t="shared" si="152"/>
        <v/>
      </c>
      <c r="AK186" s="113" t="str">
        <f t="shared" si="128"/>
        <v/>
      </c>
      <c r="AU186" s="119" t="s">
        <v>1769</v>
      </c>
      <c r="AV186" s="120" t="s">
        <v>66</v>
      </c>
      <c r="AW186" s="175" t="s">
        <v>1218</v>
      </c>
      <c r="AX186" s="120" t="s">
        <v>1770</v>
      </c>
      <c r="AY186" s="133">
        <v>12.308</v>
      </c>
      <c r="AZ186" s="133">
        <v>12.307</v>
      </c>
      <c r="BA186" s="144">
        <f t="shared" si="153"/>
        <v>0.000999999999999446</v>
      </c>
      <c r="BB186" s="113" t="str">
        <f t="shared" si="129"/>
        <v>225/55R19-RP218</v>
      </c>
    </row>
    <row r="187" ht="13.8" customHeight="1" spans="2:54">
      <c r="B187" s="119" t="s">
        <v>1633</v>
      </c>
      <c r="C187" s="120" t="s">
        <v>1074</v>
      </c>
      <c r="D187" s="120" t="s">
        <v>1771</v>
      </c>
      <c r="E187" s="125" t="s">
        <v>1768</v>
      </c>
      <c r="F187" s="195">
        <f t="shared" si="143"/>
        <v>56.923</v>
      </c>
      <c r="G187" s="128">
        <v>56.53</v>
      </c>
      <c r="H187" s="133">
        <v>56.4545</v>
      </c>
      <c r="I187" s="197">
        <f t="shared" si="138"/>
        <v>0.0754999999999981</v>
      </c>
      <c r="J187" s="115" t="str">
        <f t="shared" si="132"/>
        <v>11R22.5-16PR-HD2 Plus</v>
      </c>
      <c r="K187" s="193"/>
      <c r="L187" s="193"/>
      <c r="M187" s="193"/>
      <c r="N187" s="193"/>
      <c r="O187" s="193"/>
      <c r="P187" s="193"/>
      <c r="Q187" s="193"/>
      <c r="R187" s="193"/>
      <c r="S187" s="113" t="str">
        <f t="shared" si="126"/>
        <v/>
      </c>
      <c r="T187" s="193"/>
      <c r="U187" s="193"/>
      <c r="V187" s="193"/>
      <c r="W187" s="193"/>
      <c r="X187" s="193"/>
      <c r="Y187" s="193"/>
      <c r="Z187" s="193"/>
      <c r="AA187" s="193"/>
      <c r="AB187" s="113" t="str">
        <f t="shared" si="152"/>
        <v/>
      </c>
      <c r="AK187" s="113" t="str">
        <f t="shared" si="128"/>
        <v/>
      </c>
      <c r="AU187" s="122"/>
      <c r="AV187" s="123"/>
      <c r="AW187" s="123"/>
      <c r="AX187" s="123"/>
      <c r="AY187" s="130"/>
      <c r="AZ187" s="130"/>
      <c r="BA187" s="145"/>
      <c r="BB187" s="113" t="str">
        <f t="shared" si="129"/>
        <v/>
      </c>
    </row>
    <row r="188" spans="2:54">
      <c r="B188" s="119" t="s">
        <v>1633</v>
      </c>
      <c r="C188" s="120" t="s">
        <v>1074</v>
      </c>
      <c r="D188" s="120" t="s">
        <v>1772</v>
      </c>
      <c r="E188" s="125" t="s">
        <v>1773</v>
      </c>
      <c r="F188" s="195">
        <f t="shared" si="143"/>
        <v>57.089</v>
      </c>
      <c r="G188" s="134">
        <v>56.696</v>
      </c>
      <c r="H188" s="133">
        <v>56.6208</v>
      </c>
      <c r="I188" s="197">
        <f t="shared" si="138"/>
        <v>0.0751999999999953</v>
      </c>
      <c r="J188" s="115" t="str">
        <f t="shared" si="132"/>
        <v>11R22.5-16PR-AZ692</v>
      </c>
      <c r="K188" s="193"/>
      <c r="L188" s="193"/>
      <c r="M188" s="193"/>
      <c r="N188" s="193"/>
      <c r="O188" s="193"/>
      <c r="P188" s="193"/>
      <c r="Q188" s="193"/>
      <c r="R188" s="193"/>
      <c r="S188" s="113" t="str">
        <f t="shared" si="126"/>
        <v/>
      </c>
      <c r="T188" s="193"/>
      <c r="U188" s="193"/>
      <c r="V188" s="193"/>
      <c r="W188" s="193"/>
      <c r="X188" s="193"/>
      <c r="Y188" s="193"/>
      <c r="Z188" s="193"/>
      <c r="AA188" s="193"/>
      <c r="AB188" s="113" t="str">
        <f t="shared" si="152"/>
        <v/>
      </c>
      <c r="AK188" s="113" t="str">
        <f t="shared" si="128"/>
        <v/>
      </c>
      <c r="AU188" s="119" t="s">
        <v>1774</v>
      </c>
      <c r="AV188" s="120" t="s">
        <v>66</v>
      </c>
      <c r="AW188" s="175" t="s">
        <v>1218</v>
      </c>
      <c r="AX188" s="120" t="s">
        <v>1775</v>
      </c>
      <c r="AY188" s="133">
        <v>10.848</v>
      </c>
      <c r="AZ188" s="133">
        <v>10.849</v>
      </c>
      <c r="BA188" s="144">
        <f t="shared" si="153"/>
        <v>-0.000999999999999446</v>
      </c>
      <c r="BB188" s="113" t="str">
        <f t="shared" si="129"/>
        <v>225/60R16-RP218</v>
      </c>
    </row>
    <row r="189" spans="2:54">
      <c r="B189" s="119" t="s">
        <v>1633</v>
      </c>
      <c r="C189" s="120" t="s">
        <v>1074</v>
      </c>
      <c r="D189" s="121" t="s">
        <v>1776</v>
      </c>
      <c r="E189" s="120" t="s">
        <v>1777</v>
      </c>
      <c r="F189" s="195">
        <f t="shared" si="143"/>
        <v>52.452</v>
      </c>
      <c r="G189" s="133">
        <v>52.059</v>
      </c>
      <c r="H189" s="127">
        <v>51.6925</v>
      </c>
      <c r="I189" s="197">
        <f t="shared" si="138"/>
        <v>0.366499999999995</v>
      </c>
      <c r="J189" s="115" t="str">
        <f t="shared" si="132"/>
        <v>11R22.5-16PR-AZ599</v>
      </c>
      <c r="K189" s="193"/>
      <c r="L189" s="193"/>
      <c r="M189" s="193"/>
      <c r="N189" s="193"/>
      <c r="O189" s="193"/>
      <c r="P189" s="193"/>
      <c r="Q189" s="193"/>
      <c r="R189" s="193"/>
      <c r="S189" s="113" t="str">
        <f t="shared" si="126"/>
        <v/>
      </c>
      <c r="T189" s="193"/>
      <c r="U189" s="193"/>
      <c r="V189" s="193"/>
      <c r="W189" s="193"/>
      <c r="X189" s="193"/>
      <c r="Y189" s="193"/>
      <c r="Z189" s="193"/>
      <c r="AA189" s="193"/>
      <c r="AB189" s="113" t="str">
        <f t="shared" si="152"/>
        <v/>
      </c>
      <c r="AK189" s="113" t="str">
        <f t="shared" si="128"/>
        <v/>
      </c>
      <c r="AU189" s="122"/>
      <c r="AV189" s="123"/>
      <c r="AW189" s="123"/>
      <c r="AX189" s="123"/>
      <c r="AY189" s="130"/>
      <c r="AZ189" s="130"/>
      <c r="BA189" s="145"/>
      <c r="BB189" s="113" t="str">
        <f t="shared" si="129"/>
        <v/>
      </c>
    </row>
    <row r="190" ht="13.8" customHeight="1" spans="2:54">
      <c r="B190" s="119" t="s">
        <v>1633</v>
      </c>
      <c r="C190" s="120" t="s">
        <v>1074</v>
      </c>
      <c r="D190" s="121" t="s">
        <v>1778</v>
      </c>
      <c r="E190" s="120" t="s">
        <v>1777</v>
      </c>
      <c r="F190" s="195">
        <f t="shared" si="143"/>
        <v>52.452</v>
      </c>
      <c r="G190" s="133">
        <v>52.059</v>
      </c>
      <c r="H190" s="127">
        <v>51.6925</v>
      </c>
      <c r="I190" s="197">
        <f t="shared" si="138"/>
        <v>0.366499999999995</v>
      </c>
      <c r="J190" s="115" t="str">
        <f t="shared" si="132"/>
        <v>11R22.5-16PR-M-TRAC AP</v>
      </c>
      <c r="K190" s="193"/>
      <c r="L190" s="193"/>
      <c r="M190" s="193"/>
      <c r="N190" s="193"/>
      <c r="O190" s="193"/>
      <c r="P190" s="193"/>
      <c r="Q190" s="193"/>
      <c r="R190" s="193"/>
      <c r="S190" s="113" t="str">
        <f t="shared" si="126"/>
        <v/>
      </c>
      <c r="T190" s="193"/>
      <c r="U190" s="193"/>
      <c r="V190" s="193"/>
      <c r="W190" s="193"/>
      <c r="X190" s="193"/>
      <c r="Y190" s="193"/>
      <c r="Z190" s="193"/>
      <c r="AA190" s="193"/>
      <c r="AB190" s="113" t="str">
        <f t="shared" si="152"/>
        <v/>
      </c>
      <c r="AK190" s="113" t="str">
        <f t="shared" si="128"/>
        <v/>
      </c>
      <c r="AU190" s="119" t="s">
        <v>1779</v>
      </c>
      <c r="AV190" s="120" t="s">
        <v>66</v>
      </c>
      <c r="AW190" s="175" t="s">
        <v>1218</v>
      </c>
      <c r="AX190" s="120" t="s">
        <v>1780</v>
      </c>
      <c r="AY190" s="133">
        <v>11.416</v>
      </c>
      <c r="AZ190" s="133">
        <v>11.415</v>
      </c>
      <c r="BA190" s="144">
        <f t="shared" ref="BA190:BA194" si="154">AY190-AZ190</f>
        <v>0.00100000000000122</v>
      </c>
      <c r="BB190" s="113" t="str">
        <f t="shared" si="129"/>
        <v>225/60R17-RP218</v>
      </c>
    </row>
    <row r="191" spans="2:54">
      <c r="B191" s="119" t="s">
        <v>1633</v>
      </c>
      <c r="C191" s="120" t="s">
        <v>1074</v>
      </c>
      <c r="D191" s="121" t="s">
        <v>1781</v>
      </c>
      <c r="E191" s="120" t="s">
        <v>1777</v>
      </c>
      <c r="F191" s="195">
        <f t="shared" si="143"/>
        <v>52.452</v>
      </c>
      <c r="G191" s="133">
        <v>52.059</v>
      </c>
      <c r="H191" s="127">
        <v>51.6925</v>
      </c>
      <c r="I191" s="197">
        <f t="shared" si="138"/>
        <v>0.366499999999995</v>
      </c>
      <c r="J191" s="115" t="str">
        <f t="shared" si="132"/>
        <v>11R22.5-16PR-HF1 Plus</v>
      </c>
      <c r="K191" s="193"/>
      <c r="L191" s="193"/>
      <c r="M191" s="193"/>
      <c r="N191" s="193"/>
      <c r="O191" s="193"/>
      <c r="P191" s="193"/>
      <c r="Q191" s="193"/>
      <c r="R191" s="193"/>
      <c r="S191" s="113" t="str">
        <f t="shared" si="126"/>
        <v/>
      </c>
      <c r="T191" s="193"/>
      <c r="U191" s="193"/>
      <c r="V191" s="193"/>
      <c r="W191" s="193"/>
      <c r="X191" s="193"/>
      <c r="Y191" s="193"/>
      <c r="Z191" s="193"/>
      <c r="AA191" s="193"/>
      <c r="AB191" s="113" t="str">
        <f t="shared" si="152"/>
        <v/>
      </c>
      <c r="AK191" s="113" t="str">
        <f t="shared" si="128"/>
        <v/>
      </c>
      <c r="AU191" s="122"/>
      <c r="AV191" s="123"/>
      <c r="AW191" s="123"/>
      <c r="AX191" s="123"/>
      <c r="AY191" s="130"/>
      <c r="AZ191" s="130"/>
      <c r="BA191" s="145"/>
      <c r="BB191" s="113" t="str">
        <f t="shared" si="129"/>
        <v/>
      </c>
    </row>
    <row r="192" ht="13.8" customHeight="1" spans="2:54">
      <c r="B192" s="119" t="s">
        <v>1633</v>
      </c>
      <c r="C192" s="120" t="s">
        <v>1074</v>
      </c>
      <c r="D192" s="120" t="s">
        <v>1782</v>
      </c>
      <c r="E192" s="138" t="s">
        <v>1783</v>
      </c>
      <c r="F192" s="195">
        <f t="shared" si="143"/>
        <v>52.098</v>
      </c>
      <c r="G192" s="195">
        <v>51.705</v>
      </c>
      <c r="H192" s="133">
        <v>51.6295</v>
      </c>
      <c r="I192" s="197">
        <f t="shared" si="138"/>
        <v>0.0754999999999981</v>
      </c>
      <c r="J192" s="115" t="str">
        <f t="shared" si="132"/>
        <v>11R22.5-16PR-AS600</v>
      </c>
      <c r="K192" s="193"/>
      <c r="L192" s="193"/>
      <c r="M192" s="193"/>
      <c r="N192" s="193"/>
      <c r="O192" s="193"/>
      <c r="P192" s="193"/>
      <c r="Q192" s="193"/>
      <c r="R192" s="193"/>
      <c r="S192" s="113" t="str">
        <f t="shared" si="126"/>
        <v/>
      </c>
      <c r="T192" s="193"/>
      <c r="U192" s="193"/>
      <c r="V192" s="193"/>
      <c r="W192" s="193"/>
      <c r="X192" s="193"/>
      <c r="Y192" s="193"/>
      <c r="Z192" s="193"/>
      <c r="AA192" s="193"/>
      <c r="AB192" s="113" t="str">
        <f t="shared" si="152"/>
        <v/>
      </c>
      <c r="AK192" s="113" t="str">
        <f t="shared" si="128"/>
        <v/>
      </c>
      <c r="AU192" s="119" t="s">
        <v>1784</v>
      </c>
      <c r="AV192" s="120" t="s">
        <v>66</v>
      </c>
      <c r="AW192" s="175" t="s">
        <v>1218</v>
      </c>
      <c r="AX192" s="120" t="s">
        <v>1785</v>
      </c>
      <c r="AY192" s="133">
        <v>11.984</v>
      </c>
      <c r="AZ192" s="133">
        <v>11.985</v>
      </c>
      <c r="BA192" s="144">
        <f t="shared" si="154"/>
        <v>-0.000999999999999446</v>
      </c>
      <c r="BB192" s="113" t="str">
        <f t="shared" si="129"/>
        <v>225/60R18-RP218</v>
      </c>
    </row>
    <row r="193" spans="2:54">
      <c r="B193" s="119" t="s">
        <v>1633</v>
      </c>
      <c r="C193" s="120" t="s">
        <v>1074</v>
      </c>
      <c r="D193" s="121" t="s">
        <v>1786</v>
      </c>
      <c r="E193" s="120" t="s">
        <v>1787</v>
      </c>
      <c r="F193" s="196">
        <f t="shared" ref="F193:F200" si="155">G193-2.822+3.221</f>
        <v>52.906</v>
      </c>
      <c r="G193" s="128">
        <v>52.507</v>
      </c>
      <c r="H193" s="133">
        <v>52.361</v>
      </c>
      <c r="I193" s="197">
        <f t="shared" si="138"/>
        <v>0.146000000000001</v>
      </c>
      <c r="J193" s="115" t="str">
        <f t="shared" si="132"/>
        <v>11R22.5-16PR-AZ126T+</v>
      </c>
      <c r="K193" s="193"/>
      <c r="L193" s="193"/>
      <c r="M193" s="193"/>
      <c r="N193" s="193"/>
      <c r="O193" s="193"/>
      <c r="P193" s="193"/>
      <c r="Q193" s="193"/>
      <c r="R193" s="193"/>
      <c r="S193" s="113" t="str">
        <f t="shared" si="126"/>
        <v/>
      </c>
      <c r="T193" s="193"/>
      <c r="U193" s="193"/>
      <c r="V193" s="193"/>
      <c r="W193" s="193"/>
      <c r="X193" s="193"/>
      <c r="Y193" s="193"/>
      <c r="Z193" s="193"/>
      <c r="AA193" s="193"/>
      <c r="AB193" s="113" t="str">
        <f t="shared" si="152"/>
        <v/>
      </c>
      <c r="AK193" s="113" t="str">
        <f t="shared" si="128"/>
        <v/>
      </c>
      <c r="AU193" s="122"/>
      <c r="AV193" s="123"/>
      <c r="AW193" s="123"/>
      <c r="AX193" s="123"/>
      <c r="AY193" s="130"/>
      <c r="AZ193" s="130"/>
      <c r="BA193" s="145"/>
      <c r="BB193" s="113" t="str">
        <f t="shared" si="129"/>
        <v/>
      </c>
    </row>
    <row r="194" spans="2:54">
      <c r="B194" s="119" t="s">
        <v>1633</v>
      </c>
      <c r="C194" s="120" t="s">
        <v>1074</v>
      </c>
      <c r="D194" s="120" t="s">
        <v>1788</v>
      </c>
      <c r="E194" s="138" t="s">
        <v>1787</v>
      </c>
      <c r="F194" s="195">
        <f t="shared" si="155"/>
        <v>52.906</v>
      </c>
      <c r="G194" s="128">
        <v>52.507</v>
      </c>
      <c r="H194" s="133">
        <v>52.361</v>
      </c>
      <c r="I194" s="197">
        <f t="shared" si="138"/>
        <v>0.146000000000001</v>
      </c>
      <c r="J194" s="115" t="str">
        <f t="shared" si="132"/>
        <v>11R22.5-16PR-HCC1 PlusX</v>
      </c>
      <c r="K194" s="193"/>
      <c r="L194" s="193"/>
      <c r="M194" s="193"/>
      <c r="N194" s="193"/>
      <c r="O194" s="193"/>
      <c r="P194" s="193"/>
      <c r="Q194" s="193"/>
      <c r="R194" s="193"/>
      <c r="S194" s="113" t="str">
        <f t="shared" si="126"/>
        <v/>
      </c>
      <c r="T194" s="193"/>
      <c r="U194" s="193"/>
      <c r="V194" s="193"/>
      <c r="W194" s="193"/>
      <c r="X194" s="193"/>
      <c r="Y194" s="193"/>
      <c r="Z194" s="193"/>
      <c r="AA194" s="193"/>
      <c r="AB194" s="113" t="str">
        <f t="shared" si="152"/>
        <v/>
      </c>
      <c r="AK194" s="113" t="str">
        <f t="shared" si="128"/>
        <v/>
      </c>
      <c r="AU194" s="119" t="s">
        <v>1789</v>
      </c>
      <c r="AV194" s="120" t="s">
        <v>66</v>
      </c>
      <c r="AW194" s="175" t="s">
        <v>1218</v>
      </c>
      <c r="AX194" s="120" t="s">
        <v>1790</v>
      </c>
      <c r="AY194" s="133">
        <v>11.783</v>
      </c>
      <c r="AZ194" s="133">
        <v>11.782</v>
      </c>
      <c r="BA194" s="144">
        <f t="shared" si="154"/>
        <v>0.000999999999999446</v>
      </c>
      <c r="BB194" s="113" t="str">
        <f t="shared" si="129"/>
        <v>235/55R17-RP218</v>
      </c>
    </row>
    <row r="195" ht="13.8" customHeight="1" spans="2:54">
      <c r="B195" s="119" t="s">
        <v>1633</v>
      </c>
      <c r="C195" s="120" t="s">
        <v>1074</v>
      </c>
      <c r="D195" s="120" t="s">
        <v>1791</v>
      </c>
      <c r="E195" s="125" t="s">
        <v>1792</v>
      </c>
      <c r="F195" s="195">
        <f t="shared" si="155"/>
        <v>51.042</v>
      </c>
      <c r="G195" s="128">
        <v>50.643</v>
      </c>
      <c r="H195" s="133">
        <v>50.57</v>
      </c>
      <c r="I195" s="197">
        <f t="shared" si="138"/>
        <v>0.0730000000000004</v>
      </c>
      <c r="J195" s="115" t="str">
        <f t="shared" si="132"/>
        <v>11R22.5-16PR-AT194</v>
      </c>
      <c r="K195" s="193"/>
      <c r="L195" s="193"/>
      <c r="M195" s="193"/>
      <c r="N195" s="193"/>
      <c r="O195" s="193"/>
      <c r="P195" s="193"/>
      <c r="Q195" s="193"/>
      <c r="R195" s="193"/>
      <c r="S195" s="113" t="str">
        <f t="shared" si="126"/>
        <v/>
      </c>
      <c r="T195" s="193"/>
      <c r="U195" s="193"/>
      <c r="V195" s="193"/>
      <c r="W195" s="193"/>
      <c r="X195" s="193"/>
      <c r="Y195" s="193"/>
      <c r="Z195" s="193"/>
      <c r="AA195" s="193"/>
      <c r="AB195" s="113" t="str">
        <f t="shared" si="152"/>
        <v/>
      </c>
      <c r="AK195" s="113" t="str">
        <f t="shared" si="128"/>
        <v/>
      </c>
      <c r="AU195" s="122"/>
      <c r="AV195" s="123"/>
      <c r="AW195" s="123"/>
      <c r="AX195" s="123"/>
      <c r="AY195" s="130"/>
      <c r="AZ195" s="130"/>
      <c r="BA195" s="145"/>
      <c r="BB195" s="113" t="str">
        <f t="shared" si="129"/>
        <v/>
      </c>
    </row>
    <row r="196" ht="13.8" customHeight="1" spans="2:54">
      <c r="B196" s="119" t="s">
        <v>1633</v>
      </c>
      <c r="C196" s="120" t="s">
        <v>1074</v>
      </c>
      <c r="D196" s="120" t="s">
        <v>1793</v>
      </c>
      <c r="E196" s="125" t="s">
        <v>1792</v>
      </c>
      <c r="F196" s="195">
        <f t="shared" si="155"/>
        <v>51.042</v>
      </c>
      <c r="G196" s="128">
        <v>50.643</v>
      </c>
      <c r="H196" s="133">
        <v>50.57</v>
      </c>
      <c r="I196" s="197">
        <f t="shared" si="138"/>
        <v>0.0730000000000004</v>
      </c>
      <c r="J196" s="115" t="str">
        <f t="shared" si="132"/>
        <v>11R22.5-16PR-AT167</v>
      </c>
      <c r="K196" s="193"/>
      <c r="L196" s="193"/>
      <c r="M196" s="193"/>
      <c r="N196" s="193"/>
      <c r="O196" s="193"/>
      <c r="P196" s="193"/>
      <c r="Q196" s="193"/>
      <c r="R196" s="193"/>
      <c r="S196" s="113" t="str">
        <f t="shared" si="126"/>
        <v/>
      </c>
      <c r="T196" s="193"/>
      <c r="U196" s="193"/>
      <c r="V196" s="193"/>
      <c r="W196" s="193"/>
      <c r="X196" s="193"/>
      <c r="Y196" s="193"/>
      <c r="Z196" s="193"/>
      <c r="AA196" s="193"/>
      <c r="AB196" s="113" t="str">
        <f t="shared" si="152"/>
        <v/>
      </c>
      <c r="AK196" s="113" t="str">
        <f t="shared" si="128"/>
        <v/>
      </c>
      <c r="AU196" s="119" t="s">
        <v>1794</v>
      </c>
      <c r="AV196" s="120" t="s">
        <v>66</v>
      </c>
      <c r="AW196" s="175" t="s">
        <v>1218</v>
      </c>
      <c r="AX196" s="120" t="s">
        <v>1795</v>
      </c>
      <c r="AY196" s="133">
        <v>12.272</v>
      </c>
      <c r="AZ196" s="133">
        <v>12.271</v>
      </c>
      <c r="BA196" s="144">
        <f>AY196-AZ196</f>
        <v>0.000999999999999446</v>
      </c>
      <c r="BB196" s="113" t="str">
        <f t="shared" si="129"/>
        <v>235/55R18-RP218</v>
      </c>
    </row>
    <row r="197" spans="2:54">
      <c r="B197" s="119" t="s">
        <v>1633</v>
      </c>
      <c r="C197" s="120" t="s">
        <v>1074</v>
      </c>
      <c r="D197" s="120" t="s">
        <v>1796</v>
      </c>
      <c r="E197" s="125" t="s">
        <v>1792</v>
      </c>
      <c r="F197" s="195">
        <f t="shared" si="155"/>
        <v>51.042</v>
      </c>
      <c r="G197" s="128">
        <v>50.643</v>
      </c>
      <c r="H197" s="133">
        <v>50.57</v>
      </c>
      <c r="I197" s="197">
        <f t="shared" si="138"/>
        <v>0.0730000000000004</v>
      </c>
      <c r="J197" s="115" t="str">
        <f t="shared" si="132"/>
        <v>11R22.5-16PR-HF1 PlusX</v>
      </c>
      <c r="K197" s="193"/>
      <c r="L197" s="193"/>
      <c r="M197" s="193"/>
      <c r="N197" s="193"/>
      <c r="O197" s="193"/>
      <c r="P197" s="193"/>
      <c r="Q197" s="193"/>
      <c r="R197" s="193"/>
      <c r="S197" s="113" t="str">
        <f t="shared" ref="S197:S260" si="156">_xlfn.TEXTJOIN("-",TRUE,K197,L197,M197)</f>
        <v/>
      </c>
      <c r="T197" s="193"/>
      <c r="U197" s="193"/>
      <c r="V197" s="193"/>
      <c r="W197" s="193"/>
      <c r="X197" s="193"/>
      <c r="Y197" s="193"/>
      <c r="Z197" s="193"/>
      <c r="AA197" s="193"/>
      <c r="AB197" s="113" t="str">
        <f t="shared" si="152"/>
        <v/>
      </c>
      <c r="AK197" s="113" t="str">
        <f t="shared" ref="AK197:AK221" si="157">_xlfn.TEXTJOIN("-",TRUE,AC197,AD197,AE197)</f>
        <v/>
      </c>
      <c r="AU197" s="122"/>
      <c r="AV197" s="123"/>
      <c r="AW197" s="123"/>
      <c r="AX197" s="123"/>
      <c r="AY197" s="130"/>
      <c r="AZ197" s="130"/>
      <c r="BA197" s="145"/>
      <c r="BB197" s="113" t="str">
        <f t="shared" ref="BB197:BB260" si="158">_xlfn.TEXTJOIN("-",TRUE,AU197,AW197)</f>
        <v/>
      </c>
    </row>
    <row r="198" ht="13.8" customHeight="1" spans="2:54">
      <c r="B198" s="119" t="s">
        <v>1633</v>
      </c>
      <c r="C198" s="120" t="s">
        <v>1074</v>
      </c>
      <c r="D198" s="120" t="s">
        <v>1797</v>
      </c>
      <c r="E198" s="125" t="s">
        <v>1792</v>
      </c>
      <c r="F198" s="195">
        <f t="shared" si="155"/>
        <v>51.042</v>
      </c>
      <c r="G198" s="128">
        <v>50.643</v>
      </c>
      <c r="H198" s="133">
        <v>50.57</v>
      </c>
      <c r="I198" s="197">
        <f t="shared" si="138"/>
        <v>0.0730000000000004</v>
      </c>
      <c r="J198" s="115" t="str">
        <f t="shared" si="132"/>
        <v>11R22.5-16PR-KOBE APM</v>
      </c>
      <c r="K198" s="193"/>
      <c r="L198" s="193"/>
      <c r="M198" s="193"/>
      <c r="N198" s="193"/>
      <c r="O198" s="193"/>
      <c r="P198" s="193"/>
      <c r="Q198" s="193"/>
      <c r="R198" s="193"/>
      <c r="S198" s="113" t="str">
        <f t="shared" si="156"/>
        <v/>
      </c>
      <c r="T198" s="193"/>
      <c r="U198" s="193"/>
      <c r="V198" s="193"/>
      <c r="W198" s="193"/>
      <c r="X198" s="193"/>
      <c r="Y198" s="193"/>
      <c r="Z198" s="193"/>
      <c r="AA198" s="193"/>
      <c r="AB198" s="113" t="str">
        <f t="shared" si="152"/>
        <v/>
      </c>
      <c r="AK198" s="113" t="str">
        <f t="shared" si="157"/>
        <v/>
      </c>
      <c r="AU198" s="119" t="s">
        <v>1798</v>
      </c>
      <c r="AV198" s="120" t="s">
        <v>66</v>
      </c>
      <c r="AW198" s="175" t="s">
        <v>1218</v>
      </c>
      <c r="AX198" s="120" t="s">
        <v>1799</v>
      </c>
      <c r="AY198" s="133">
        <v>13.3</v>
      </c>
      <c r="AZ198" s="133">
        <v>13.299</v>
      </c>
      <c r="BA198" s="144">
        <f>AY198-AZ198</f>
        <v>0.00100000000000122</v>
      </c>
      <c r="BB198" s="113" t="str">
        <f t="shared" si="158"/>
        <v>235/55R19-RP218</v>
      </c>
    </row>
    <row r="199" ht="17.75" spans="2:54">
      <c r="B199" s="119" t="s">
        <v>1633</v>
      </c>
      <c r="C199" s="120" t="s">
        <v>1074</v>
      </c>
      <c r="D199" s="120" t="s">
        <v>1800</v>
      </c>
      <c r="E199" s="125" t="s">
        <v>1792</v>
      </c>
      <c r="F199" s="195">
        <f t="shared" si="155"/>
        <v>51.042</v>
      </c>
      <c r="G199" s="128">
        <v>50.643</v>
      </c>
      <c r="H199" s="133">
        <v>50.57</v>
      </c>
      <c r="I199" s="197">
        <f t="shared" si="138"/>
        <v>0.0730000000000004</v>
      </c>
      <c r="J199" s="115" t="str">
        <f t="shared" si="132"/>
        <v>11R22.5-16PR-MX901 AP</v>
      </c>
      <c r="K199" s="193"/>
      <c r="L199" s="193"/>
      <c r="M199" s="193"/>
      <c r="N199" s="193"/>
      <c r="O199" s="193"/>
      <c r="P199" s="193"/>
      <c r="Q199" s="193"/>
      <c r="R199" s="193"/>
      <c r="S199" s="113" t="str">
        <f t="shared" si="156"/>
        <v/>
      </c>
      <c r="T199" s="193"/>
      <c r="U199" s="193"/>
      <c r="V199" s="193"/>
      <c r="W199" s="193"/>
      <c r="X199" s="193"/>
      <c r="Y199" s="193"/>
      <c r="Z199" s="193"/>
      <c r="AA199" s="193"/>
      <c r="AB199" s="113" t="str">
        <f t="shared" si="152"/>
        <v/>
      </c>
      <c r="AK199" s="113" t="str">
        <f t="shared" si="157"/>
        <v/>
      </c>
      <c r="AU199" s="198"/>
      <c r="AV199" s="199"/>
      <c r="AW199" s="199"/>
      <c r="AX199" s="199"/>
      <c r="AY199" s="202"/>
      <c r="AZ199" s="204"/>
      <c r="BA199" s="203"/>
      <c r="BB199" s="113" t="str">
        <f t="shared" si="158"/>
        <v/>
      </c>
    </row>
    <row r="200" ht="13.8" customHeight="1" spans="2:54">
      <c r="B200" s="119" t="s">
        <v>1633</v>
      </c>
      <c r="C200" s="120" t="s">
        <v>1074</v>
      </c>
      <c r="D200" s="120" t="s">
        <v>1801</v>
      </c>
      <c r="E200" s="125" t="s">
        <v>1792</v>
      </c>
      <c r="F200" s="195">
        <f t="shared" si="155"/>
        <v>51.042</v>
      </c>
      <c r="G200" s="128">
        <v>50.643</v>
      </c>
      <c r="H200" s="133">
        <v>50.57</v>
      </c>
      <c r="I200" s="197">
        <f t="shared" si="138"/>
        <v>0.0730000000000004</v>
      </c>
      <c r="J200" s="115" t="str">
        <f t="shared" si="132"/>
        <v>11R22.5-16PR-TRA-167</v>
      </c>
      <c r="K200" s="193"/>
      <c r="L200" s="193"/>
      <c r="M200" s="193"/>
      <c r="N200" s="193"/>
      <c r="O200" s="193"/>
      <c r="P200" s="193"/>
      <c r="Q200" s="193"/>
      <c r="R200" s="193"/>
      <c r="S200" s="113" t="str">
        <f t="shared" si="156"/>
        <v/>
      </c>
      <c r="T200" s="193"/>
      <c r="U200" s="193"/>
      <c r="V200" s="193"/>
      <c r="W200" s="193"/>
      <c r="X200" s="193"/>
      <c r="Y200" s="193"/>
      <c r="Z200" s="193"/>
      <c r="AA200" s="193"/>
      <c r="AB200" s="113" t="str">
        <f t="shared" si="152"/>
        <v/>
      </c>
      <c r="AK200" s="113" t="str">
        <f t="shared" si="157"/>
        <v/>
      </c>
      <c r="BB200" s="113" t="str">
        <f t="shared" si="158"/>
        <v/>
      </c>
    </row>
    <row r="201" spans="2:54">
      <c r="B201" s="119" t="s">
        <v>1633</v>
      </c>
      <c r="C201" s="120" t="s">
        <v>1074</v>
      </c>
      <c r="D201" s="120" t="s">
        <v>1802</v>
      </c>
      <c r="E201" s="125" t="s">
        <v>1803</v>
      </c>
      <c r="F201" s="195">
        <f>G201-2.777+3.17</f>
        <v>54.281</v>
      </c>
      <c r="G201" s="128">
        <v>53.888</v>
      </c>
      <c r="H201" s="133">
        <v>53.9301</v>
      </c>
      <c r="I201" s="197">
        <f t="shared" si="138"/>
        <v>-0.0421000000000049</v>
      </c>
      <c r="J201" s="115" t="str">
        <f t="shared" ref="J201:J264" si="159">_xlfn.TEXTJOIN("-",TRUE,B201,C201,D201)</f>
        <v>11R22.5-16PR-AZ579</v>
      </c>
      <c r="K201" s="193"/>
      <c r="L201" s="193"/>
      <c r="M201" s="193"/>
      <c r="N201" s="193"/>
      <c r="O201" s="193"/>
      <c r="P201" s="193"/>
      <c r="Q201" s="193"/>
      <c r="R201" s="193"/>
      <c r="S201" s="113" t="str">
        <f t="shared" si="156"/>
        <v/>
      </c>
      <c r="T201" s="193"/>
      <c r="U201" s="193"/>
      <c r="V201" s="193"/>
      <c r="W201" s="193"/>
      <c r="X201" s="193"/>
      <c r="Y201" s="193"/>
      <c r="Z201" s="193"/>
      <c r="AA201" s="193"/>
      <c r="AB201" s="113" t="str">
        <f t="shared" si="152"/>
        <v/>
      </c>
      <c r="AK201" s="113" t="str">
        <f t="shared" si="157"/>
        <v/>
      </c>
      <c r="AY201" s="116">
        <v>6.2</v>
      </c>
      <c r="BB201" s="113" t="s">
        <v>1804</v>
      </c>
    </row>
    <row r="202" spans="2:54">
      <c r="B202" s="119" t="s">
        <v>1633</v>
      </c>
      <c r="C202" s="120" t="s">
        <v>1074</v>
      </c>
      <c r="D202" s="121" t="s">
        <v>1805</v>
      </c>
      <c r="E202" s="120" t="s">
        <v>1803</v>
      </c>
      <c r="F202" s="196">
        <f>G202-2.777+3.17</f>
        <v>54.281</v>
      </c>
      <c r="G202" s="128">
        <v>53.888</v>
      </c>
      <c r="H202" s="133">
        <v>53.9301</v>
      </c>
      <c r="I202" s="197">
        <f t="shared" si="138"/>
        <v>-0.0421000000000049</v>
      </c>
      <c r="J202" s="115" t="str">
        <f t="shared" si="159"/>
        <v>11R22.5-16PR-HCC1 Plus</v>
      </c>
      <c r="K202" s="193"/>
      <c r="L202" s="193"/>
      <c r="M202" s="193"/>
      <c r="N202" s="193"/>
      <c r="O202" s="193"/>
      <c r="P202" s="193"/>
      <c r="Q202" s="193"/>
      <c r="R202" s="193"/>
      <c r="S202" s="113" t="str">
        <f t="shared" si="156"/>
        <v/>
      </c>
      <c r="T202" s="193"/>
      <c r="U202" s="193"/>
      <c r="V202" s="193"/>
      <c r="W202" s="193"/>
      <c r="X202" s="193"/>
      <c r="Y202" s="193"/>
      <c r="Z202" s="193"/>
      <c r="AA202" s="193"/>
      <c r="AB202" s="113" t="str">
        <f t="shared" si="152"/>
        <v/>
      </c>
      <c r="AK202" s="113" t="str">
        <f t="shared" si="157"/>
        <v/>
      </c>
      <c r="AY202" s="116">
        <v>7.32</v>
      </c>
      <c r="BB202" s="113" t="s">
        <v>1806</v>
      </c>
    </row>
    <row r="203" ht="13.8" customHeight="1" spans="2:54">
      <c r="B203" s="119" t="s">
        <v>1633</v>
      </c>
      <c r="C203" s="120" t="s">
        <v>1074</v>
      </c>
      <c r="D203" s="120" t="s">
        <v>1807</v>
      </c>
      <c r="E203" s="138" t="s">
        <v>1808</v>
      </c>
      <c r="F203" s="195">
        <f t="shared" ref="F203:F210" si="160">G203-2.822+3.221</f>
        <v>49.206</v>
      </c>
      <c r="G203" s="128">
        <v>48.807</v>
      </c>
      <c r="H203" s="133">
        <v>48.6631</v>
      </c>
      <c r="I203" s="197">
        <f t="shared" si="138"/>
        <v>0.143900000000002</v>
      </c>
      <c r="J203" s="115" t="str">
        <f t="shared" si="159"/>
        <v>11R22.5-16PR-AT115</v>
      </c>
      <c r="K203" s="193"/>
      <c r="L203" s="193"/>
      <c r="M203" s="193"/>
      <c r="N203" s="193"/>
      <c r="O203" s="193"/>
      <c r="P203" s="193"/>
      <c r="Q203" s="193"/>
      <c r="R203" s="193"/>
      <c r="S203" s="113" t="str">
        <f t="shared" si="156"/>
        <v/>
      </c>
      <c r="T203" s="193"/>
      <c r="U203" s="193"/>
      <c r="V203" s="193"/>
      <c r="W203" s="193"/>
      <c r="X203" s="193"/>
      <c r="Y203" s="193"/>
      <c r="Z203" s="193"/>
      <c r="AA203" s="193"/>
      <c r="AB203" s="113" t="str">
        <f t="shared" si="152"/>
        <v/>
      </c>
      <c r="AK203" s="113" t="str">
        <f t="shared" si="157"/>
        <v/>
      </c>
      <c r="BB203" s="113" t="str">
        <f t="shared" si="158"/>
        <v/>
      </c>
    </row>
    <row r="204" ht="13.8" customHeight="1" spans="2:54">
      <c r="B204" s="119" t="s">
        <v>1633</v>
      </c>
      <c r="C204" s="120" t="s">
        <v>1074</v>
      </c>
      <c r="D204" s="120" t="s">
        <v>1809</v>
      </c>
      <c r="E204" s="120" t="s">
        <v>1808</v>
      </c>
      <c r="F204" s="195">
        <f t="shared" si="160"/>
        <v>49.206</v>
      </c>
      <c r="G204" s="128">
        <v>48.807</v>
      </c>
      <c r="H204" s="133">
        <v>48.6631</v>
      </c>
      <c r="I204" s="197">
        <f t="shared" si="138"/>
        <v>0.143900000000002</v>
      </c>
      <c r="J204" s="115" t="str">
        <f t="shared" si="159"/>
        <v>11R22.5-16PR-HT1 PlusX</v>
      </c>
      <c r="K204" s="193"/>
      <c r="L204" s="193"/>
      <c r="M204" s="193"/>
      <c r="N204" s="193"/>
      <c r="O204" s="193"/>
      <c r="P204" s="193"/>
      <c r="Q204" s="193"/>
      <c r="R204" s="193"/>
      <c r="S204" s="113" t="str">
        <f t="shared" si="156"/>
        <v/>
      </c>
      <c r="T204" s="193"/>
      <c r="U204" s="193"/>
      <c r="V204" s="193"/>
      <c r="W204" s="193"/>
      <c r="X204" s="193"/>
      <c r="Y204" s="193"/>
      <c r="Z204" s="193"/>
      <c r="AA204" s="193"/>
      <c r="AB204" s="113" t="str">
        <f t="shared" si="152"/>
        <v/>
      </c>
      <c r="AK204" s="113" t="str">
        <f t="shared" si="157"/>
        <v/>
      </c>
      <c r="BB204" s="113" t="str">
        <f t="shared" si="158"/>
        <v/>
      </c>
    </row>
    <row r="205" spans="2:54">
      <c r="B205" s="119" t="s">
        <v>1633</v>
      </c>
      <c r="C205" s="120" t="s">
        <v>1074</v>
      </c>
      <c r="D205" s="120" t="s">
        <v>1810</v>
      </c>
      <c r="E205" s="120" t="s">
        <v>1808</v>
      </c>
      <c r="F205" s="195">
        <f t="shared" si="160"/>
        <v>49.206</v>
      </c>
      <c r="G205" s="128">
        <v>48.807</v>
      </c>
      <c r="H205" s="133">
        <v>48.6631</v>
      </c>
      <c r="I205" s="197">
        <f t="shared" si="138"/>
        <v>0.143900000000002</v>
      </c>
      <c r="J205" s="115" t="str">
        <f t="shared" si="159"/>
        <v>11R22.5-16PR-TLT-115</v>
      </c>
      <c r="K205" s="193"/>
      <c r="L205" s="193"/>
      <c r="M205" s="193"/>
      <c r="N205" s="193"/>
      <c r="O205" s="193"/>
      <c r="P205" s="193"/>
      <c r="Q205" s="193"/>
      <c r="R205" s="193"/>
      <c r="S205" s="113" t="str">
        <f t="shared" si="156"/>
        <v/>
      </c>
      <c r="T205" s="193"/>
      <c r="U205" s="193"/>
      <c r="V205" s="193"/>
      <c r="W205" s="193"/>
      <c r="X205" s="193"/>
      <c r="Y205" s="193"/>
      <c r="Z205" s="193"/>
      <c r="AA205" s="193"/>
      <c r="AB205" s="113" t="str">
        <f t="shared" si="152"/>
        <v/>
      </c>
      <c r="AK205" s="113" t="str">
        <f t="shared" si="157"/>
        <v/>
      </c>
      <c r="BB205" s="113" t="str">
        <f t="shared" si="158"/>
        <v/>
      </c>
    </row>
    <row r="206" ht="13.8" customHeight="1" spans="2:54">
      <c r="B206" s="119" t="s">
        <v>1633</v>
      </c>
      <c r="C206" s="120" t="s">
        <v>1074</v>
      </c>
      <c r="D206" s="120" t="s">
        <v>1811</v>
      </c>
      <c r="E206" s="125" t="s">
        <v>1808</v>
      </c>
      <c r="F206" s="195">
        <f t="shared" si="160"/>
        <v>49.206</v>
      </c>
      <c r="G206" s="128">
        <v>48.807</v>
      </c>
      <c r="H206" s="133">
        <v>48.6631</v>
      </c>
      <c r="I206" s="197">
        <f t="shared" si="138"/>
        <v>0.143900000000002</v>
      </c>
      <c r="J206" s="115" t="str">
        <f t="shared" si="159"/>
        <v>11R22.5-16PR-MX901 TR</v>
      </c>
      <c r="K206" s="193"/>
      <c r="L206" s="193"/>
      <c r="M206" s="193"/>
      <c r="N206" s="193"/>
      <c r="O206" s="193"/>
      <c r="P206" s="193"/>
      <c r="Q206" s="193"/>
      <c r="R206" s="193"/>
      <c r="S206" s="113" t="str">
        <f t="shared" si="156"/>
        <v/>
      </c>
      <c r="T206" s="193"/>
      <c r="U206" s="193"/>
      <c r="V206" s="193"/>
      <c r="W206" s="193"/>
      <c r="X206" s="193"/>
      <c r="Y206" s="193"/>
      <c r="Z206" s="193"/>
      <c r="AA206" s="193"/>
      <c r="AB206" s="113" t="str">
        <f t="shared" si="152"/>
        <v/>
      </c>
      <c r="AK206" s="113" t="str">
        <f t="shared" si="157"/>
        <v/>
      </c>
      <c r="BB206" s="113" t="str">
        <f t="shared" si="158"/>
        <v/>
      </c>
    </row>
    <row r="207" spans="2:54">
      <c r="B207" s="119" t="s">
        <v>1633</v>
      </c>
      <c r="C207" s="120" t="s">
        <v>1074</v>
      </c>
      <c r="D207" s="120" t="s">
        <v>1812</v>
      </c>
      <c r="E207" s="125" t="s">
        <v>1813</v>
      </c>
      <c r="F207" s="195">
        <f t="shared" si="160"/>
        <v>54.939</v>
      </c>
      <c r="G207" s="128">
        <v>54.54</v>
      </c>
      <c r="H207" s="133">
        <v>54.27</v>
      </c>
      <c r="I207" s="197">
        <f t="shared" ref="I207:I248" si="161">G207-H207</f>
        <v>0.269999999999996</v>
      </c>
      <c r="J207" s="115" t="str">
        <f t="shared" si="159"/>
        <v>11R22.5-16PR-AD178</v>
      </c>
      <c r="K207" s="193"/>
      <c r="L207" s="193"/>
      <c r="M207" s="193"/>
      <c r="N207" s="193"/>
      <c r="O207" s="193"/>
      <c r="P207" s="193"/>
      <c r="Q207" s="193"/>
      <c r="R207" s="193"/>
      <c r="S207" s="113" t="str">
        <f t="shared" si="156"/>
        <v/>
      </c>
      <c r="T207" s="193"/>
      <c r="U207" s="193"/>
      <c r="V207" s="193"/>
      <c r="W207" s="193"/>
      <c r="X207" s="193"/>
      <c r="Y207" s="193"/>
      <c r="Z207" s="193"/>
      <c r="AA207" s="193"/>
      <c r="AB207" s="113" t="str">
        <f t="shared" si="152"/>
        <v/>
      </c>
      <c r="AK207" s="113" t="str">
        <f t="shared" si="157"/>
        <v/>
      </c>
      <c r="BB207" s="113" t="str">
        <f t="shared" si="158"/>
        <v/>
      </c>
    </row>
    <row r="208" spans="2:54">
      <c r="B208" s="119" t="s">
        <v>1633</v>
      </c>
      <c r="C208" s="120" t="s">
        <v>1074</v>
      </c>
      <c r="D208" s="120" t="s">
        <v>1814</v>
      </c>
      <c r="E208" s="125" t="s">
        <v>1813</v>
      </c>
      <c r="F208" s="195">
        <f t="shared" si="160"/>
        <v>54.939</v>
      </c>
      <c r="G208" s="128">
        <v>54.54</v>
      </c>
      <c r="H208" s="133">
        <v>54.27</v>
      </c>
      <c r="I208" s="197">
        <f t="shared" si="161"/>
        <v>0.269999999999996</v>
      </c>
      <c r="J208" s="115" t="str">
        <f t="shared" si="159"/>
        <v>11R22.5-16PR-HD1 PlusX</v>
      </c>
      <c r="K208" s="193"/>
      <c r="L208" s="193"/>
      <c r="M208" s="193"/>
      <c r="N208" s="193"/>
      <c r="O208" s="193"/>
      <c r="P208" s="193"/>
      <c r="Q208" s="193"/>
      <c r="R208" s="193"/>
      <c r="S208" s="113" t="str">
        <f t="shared" si="156"/>
        <v/>
      </c>
      <c r="T208" s="193"/>
      <c r="U208" s="193"/>
      <c r="V208" s="193"/>
      <c r="W208" s="193"/>
      <c r="X208" s="193"/>
      <c r="Y208" s="193"/>
      <c r="Z208" s="193"/>
      <c r="AA208" s="193"/>
      <c r="AB208" s="113" t="str">
        <f t="shared" si="152"/>
        <v/>
      </c>
      <c r="AC208" s="193"/>
      <c r="AD208" s="193"/>
      <c r="AE208" s="193"/>
      <c r="AF208" s="193"/>
      <c r="AG208" s="193"/>
      <c r="AH208" s="193"/>
      <c r="AI208" s="193"/>
      <c r="AK208" s="113" t="str">
        <f t="shared" si="157"/>
        <v/>
      </c>
      <c r="BB208" s="113" t="str">
        <f t="shared" si="158"/>
        <v/>
      </c>
    </row>
    <row r="209" spans="2:54">
      <c r="B209" s="119" t="s">
        <v>1633</v>
      </c>
      <c r="C209" s="120" t="s">
        <v>1074</v>
      </c>
      <c r="D209" s="120" t="s">
        <v>1815</v>
      </c>
      <c r="E209" s="125" t="s">
        <v>1813</v>
      </c>
      <c r="F209" s="195">
        <f t="shared" si="160"/>
        <v>54.939</v>
      </c>
      <c r="G209" s="128">
        <v>54.54</v>
      </c>
      <c r="H209" s="133">
        <v>54.27</v>
      </c>
      <c r="I209" s="197">
        <f t="shared" si="161"/>
        <v>0.269999999999996</v>
      </c>
      <c r="J209" s="115" t="str">
        <f t="shared" si="159"/>
        <v>11R22.5-16PR-AD196</v>
      </c>
      <c r="K209" s="193"/>
      <c r="L209" s="193"/>
      <c r="M209" s="193"/>
      <c r="N209" s="193"/>
      <c r="O209" s="193"/>
      <c r="P209" s="193"/>
      <c r="Q209" s="193"/>
      <c r="R209" s="193"/>
      <c r="S209" s="113" t="str">
        <f t="shared" si="156"/>
        <v/>
      </c>
      <c r="T209" s="193"/>
      <c r="U209" s="193"/>
      <c r="V209" s="193"/>
      <c r="W209" s="193"/>
      <c r="X209" s="193"/>
      <c r="Y209" s="193"/>
      <c r="Z209" s="193"/>
      <c r="AA209" s="193"/>
      <c r="AB209" s="113" t="str">
        <f t="shared" si="152"/>
        <v/>
      </c>
      <c r="AC209" s="193"/>
      <c r="AD209" s="193"/>
      <c r="AE209" s="193"/>
      <c r="AF209" s="193"/>
      <c r="AG209" s="193"/>
      <c r="AH209" s="193"/>
      <c r="AI209" s="193"/>
      <c r="AK209" s="113" t="str">
        <f t="shared" si="157"/>
        <v/>
      </c>
      <c r="BB209" s="113" t="str">
        <f t="shared" si="158"/>
        <v/>
      </c>
    </row>
    <row r="210" ht="13.8" customHeight="1" spans="2:54">
      <c r="B210" s="119" t="s">
        <v>1633</v>
      </c>
      <c r="C210" s="120" t="s">
        <v>1074</v>
      </c>
      <c r="D210" s="120" t="s">
        <v>1816</v>
      </c>
      <c r="E210" s="125" t="s">
        <v>1813</v>
      </c>
      <c r="F210" s="195">
        <f t="shared" si="160"/>
        <v>54.939</v>
      </c>
      <c r="G210" s="128">
        <v>54.54</v>
      </c>
      <c r="H210" s="133">
        <v>54.27</v>
      </c>
      <c r="I210" s="197">
        <f t="shared" si="161"/>
        <v>0.269999999999996</v>
      </c>
      <c r="J210" s="115" t="str">
        <f t="shared" si="159"/>
        <v>11R22.5-16PR-KOBE DPM</v>
      </c>
      <c r="K210" s="193"/>
      <c r="L210" s="193"/>
      <c r="M210" s="193"/>
      <c r="N210" s="193"/>
      <c r="O210" s="193"/>
      <c r="P210" s="193"/>
      <c r="Q210" s="193"/>
      <c r="R210" s="193"/>
      <c r="S210" s="113" t="str">
        <f t="shared" si="156"/>
        <v/>
      </c>
      <c r="T210" s="193"/>
      <c r="U210" s="193"/>
      <c r="V210" s="193"/>
      <c r="W210" s="193"/>
      <c r="X210" s="193"/>
      <c r="Y210" s="193"/>
      <c r="Z210" s="193"/>
      <c r="AA210" s="193"/>
      <c r="AB210" s="113" t="str">
        <f t="shared" si="152"/>
        <v/>
      </c>
      <c r="AC210" s="193"/>
      <c r="AD210" s="193"/>
      <c r="AE210" s="193"/>
      <c r="AF210" s="193"/>
      <c r="AG210" s="193"/>
      <c r="AH210" s="193"/>
      <c r="AI210" s="193"/>
      <c r="AK210" s="113" t="str">
        <f t="shared" si="157"/>
        <v/>
      </c>
      <c r="BB210" s="113" t="str">
        <f t="shared" si="158"/>
        <v/>
      </c>
    </row>
    <row r="211" spans="2:54">
      <c r="B211" s="119" t="s">
        <v>1633</v>
      </c>
      <c r="C211" s="120" t="s">
        <v>1074</v>
      </c>
      <c r="D211" s="120" t="s">
        <v>1559</v>
      </c>
      <c r="E211" s="125" t="s">
        <v>1817</v>
      </c>
      <c r="F211" s="195">
        <f>G211-2.777+3.17</f>
        <v>51.723</v>
      </c>
      <c r="G211" s="128">
        <v>51.33</v>
      </c>
      <c r="H211" s="133">
        <v>51.1566</v>
      </c>
      <c r="I211" s="197">
        <f t="shared" si="161"/>
        <v>0.173400000000001</v>
      </c>
      <c r="J211" s="115" t="str">
        <f t="shared" si="159"/>
        <v>11R22.5-16PR-AS678</v>
      </c>
      <c r="K211" s="193"/>
      <c r="L211" s="193"/>
      <c r="M211" s="193"/>
      <c r="N211" s="193"/>
      <c r="O211" s="193"/>
      <c r="P211" s="193"/>
      <c r="Q211" s="193"/>
      <c r="R211" s="193"/>
      <c r="S211" s="113" t="str">
        <f t="shared" si="156"/>
        <v/>
      </c>
      <c r="T211" s="193"/>
      <c r="U211" s="193"/>
      <c r="V211" s="193"/>
      <c r="W211" s="193"/>
      <c r="X211" s="193"/>
      <c r="Y211" s="193"/>
      <c r="Z211" s="193"/>
      <c r="AA211" s="193"/>
      <c r="AB211" s="113" t="str">
        <f t="shared" si="152"/>
        <v/>
      </c>
      <c r="AC211" s="193"/>
      <c r="AD211" s="193"/>
      <c r="AE211" s="193"/>
      <c r="AF211" s="193"/>
      <c r="AG211" s="193"/>
      <c r="AH211" s="193"/>
      <c r="AI211" s="193"/>
      <c r="AK211" s="113" t="str">
        <f t="shared" si="157"/>
        <v/>
      </c>
      <c r="BB211" s="113" t="str">
        <f t="shared" si="158"/>
        <v/>
      </c>
    </row>
    <row r="212" spans="2:54">
      <c r="B212" s="119" t="s">
        <v>1633</v>
      </c>
      <c r="C212" s="120" t="s">
        <v>1074</v>
      </c>
      <c r="D212" s="120" t="s">
        <v>1818</v>
      </c>
      <c r="E212" s="125" t="s">
        <v>1819</v>
      </c>
      <c r="F212" s="195">
        <f>G212-2.814+3.216</f>
        <v>54.485</v>
      </c>
      <c r="G212" s="128">
        <v>54.083</v>
      </c>
      <c r="H212" s="133">
        <v>54.04</v>
      </c>
      <c r="I212" s="197">
        <f t="shared" si="161"/>
        <v>0.0429999999999993</v>
      </c>
      <c r="J212" s="115" t="str">
        <f t="shared" si="159"/>
        <v>11R22.5-16PR-AD184</v>
      </c>
      <c r="K212" s="193"/>
      <c r="L212" s="193"/>
      <c r="M212" s="193"/>
      <c r="N212" s="193"/>
      <c r="O212" s="193"/>
      <c r="P212" s="193"/>
      <c r="Q212" s="193"/>
      <c r="R212" s="193"/>
      <c r="S212" s="113" t="str">
        <f t="shared" si="156"/>
        <v/>
      </c>
      <c r="T212" s="193"/>
      <c r="U212" s="193"/>
      <c r="V212" s="193"/>
      <c r="W212" s="193"/>
      <c r="X212" s="193"/>
      <c r="Y212" s="193"/>
      <c r="Z212" s="193"/>
      <c r="AA212" s="193"/>
      <c r="AB212" s="113" t="str">
        <f t="shared" si="152"/>
        <v/>
      </c>
      <c r="AC212" s="193"/>
      <c r="AD212" s="193"/>
      <c r="AE212" s="193"/>
      <c r="AF212" s="193"/>
      <c r="AG212" s="193"/>
      <c r="AH212" s="193"/>
      <c r="AI212" s="193"/>
      <c r="AK212" s="113" t="str">
        <f t="shared" si="157"/>
        <v/>
      </c>
      <c r="BB212" s="113" t="str">
        <f t="shared" si="158"/>
        <v/>
      </c>
    </row>
    <row r="213" ht="13.8" customHeight="1" spans="2:54">
      <c r="B213" s="119" t="s">
        <v>1633</v>
      </c>
      <c r="C213" s="120" t="s">
        <v>1074</v>
      </c>
      <c r="D213" s="121" t="s">
        <v>1820</v>
      </c>
      <c r="E213" s="120" t="s">
        <v>1819</v>
      </c>
      <c r="F213" s="195">
        <f>G213-2.814+3.216</f>
        <v>54.485</v>
      </c>
      <c r="G213" s="128">
        <v>54.083</v>
      </c>
      <c r="H213" s="133">
        <v>54.04</v>
      </c>
      <c r="I213" s="197">
        <f t="shared" si="161"/>
        <v>0.0429999999999993</v>
      </c>
      <c r="J213" s="115" t="str">
        <f t="shared" si="159"/>
        <v>11R22.5-16PR-HD2 PlusX</v>
      </c>
      <c r="K213" s="193"/>
      <c r="L213" s="193"/>
      <c r="M213" s="193"/>
      <c r="N213" s="193"/>
      <c r="O213" s="193"/>
      <c r="P213" s="193"/>
      <c r="Q213" s="193"/>
      <c r="R213" s="193"/>
      <c r="S213" s="113" t="str">
        <f t="shared" si="156"/>
        <v/>
      </c>
      <c r="T213" s="193"/>
      <c r="U213" s="193"/>
      <c r="V213" s="193"/>
      <c r="W213" s="193"/>
      <c r="X213" s="193"/>
      <c r="Y213" s="193"/>
      <c r="Z213" s="193"/>
      <c r="AA213" s="193"/>
      <c r="AB213" s="113" t="str">
        <f t="shared" si="152"/>
        <v/>
      </c>
      <c r="AC213" s="193"/>
      <c r="AD213" s="193"/>
      <c r="AE213" s="193"/>
      <c r="AF213" s="193"/>
      <c r="AG213" s="193"/>
      <c r="AH213" s="193"/>
      <c r="AI213" s="193"/>
      <c r="AK213" s="113" t="str">
        <f t="shared" si="157"/>
        <v/>
      </c>
      <c r="BB213" s="113" t="str">
        <f t="shared" si="158"/>
        <v/>
      </c>
    </row>
    <row r="214" spans="2:54">
      <c r="B214" s="119" t="s">
        <v>1633</v>
      </c>
      <c r="C214" s="120" t="s">
        <v>1074</v>
      </c>
      <c r="D214" s="120" t="s">
        <v>1821</v>
      </c>
      <c r="E214" s="138" t="s">
        <v>1822</v>
      </c>
      <c r="F214" s="195">
        <f t="shared" ref="F214:F232" si="162">G214-2.781+3.166</f>
        <v>53.822</v>
      </c>
      <c r="G214" s="128">
        <v>53.437</v>
      </c>
      <c r="H214" s="133">
        <v>53.27</v>
      </c>
      <c r="I214" s="197">
        <f t="shared" si="161"/>
        <v>0.166999999999994</v>
      </c>
      <c r="J214" s="115" t="str">
        <f t="shared" si="159"/>
        <v>11R22.5-16PR-AD757</v>
      </c>
      <c r="K214" s="193"/>
      <c r="L214" s="193"/>
      <c r="M214" s="193"/>
      <c r="N214" s="193"/>
      <c r="O214" s="193"/>
      <c r="P214" s="193"/>
      <c r="Q214" s="193"/>
      <c r="R214" s="193"/>
      <c r="S214" s="113" t="str">
        <f t="shared" si="156"/>
        <v/>
      </c>
      <c r="T214" s="193"/>
      <c r="U214" s="193"/>
      <c r="V214" s="193"/>
      <c r="W214" s="193"/>
      <c r="X214" s="193"/>
      <c r="Y214" s="193"/>
      <c r="Z214" s="193"/>
      <c r="AA214" s="193"/>
      <c r="AB214" s="113" t="str">
        <f t="shared" si="152"/>
        <v/>
      </c>
      <c r="AC214" s="193"/>
      <c r="AD214" s="193"/>
      <c r="AE214" s="193"/>
      <c r="AF214" s="193"/>
      <c r="AG214" s="193"/>
      <c r="AH214" s="193"/>
      <c r="AI214" s="193"/>
      <c r="AK214" s="113" t="str">
        <f t="shared" si="157"/>
        <v/>
      </c>
      <c r="BB214" s="113" t="str">
        <f t="shared" si="158"/>
        <v/>
      </c>
    </row>
    <row r="215" spans="2:54">
      <c r="B215" s="119" t="s">
        <v>1633</v>
      </c>
      <c r="C215" s="120" t="s">
        <v>1074</v>
      </c>
      <c r="D215" s="120" t="s">
        <v>1823</v>
      </c>
      <c r="E215" s="125" t="s">
        <v>1824</v>
      </c>
      <c r="F215" s="195">
        <f t="shared" si="162"/>
        <v>55.386</v>
      </c>
      <c r="G215" s="128">
        <v>55.001</v>
      </c>
      <c r="H215" s="133">
        <v>54.97</v>
      </c>
      <c r="I215" s="197">
        <f t="shared" si="161"/>
        <v>0.0309999999999988</v>
      </c>
      <c r="J215" s="115" t="str">
        <f t="shared" si="159"/>
        <v>11R22.5-16PR-AS673</v>
      </c>
      <c r="K215" s="193"/>
      <c r="L215" s="193"/>
      <c r="M215" s="193"/>
      <c r="N215" s="193"/>
      <c r="O215" s="193"/>
      <c r="P215" s="193"/>
      <c r="Q215" s="193"/>
      <c r="R215" s="193"/>
      <c r="S215" s="113" t="str">
        <f t="shared" si="156"/>
        <v/>
      </c>
      <c r="T215" s="193"/>
      <c r="U215" s="193"/>
      <c r="V215" s="193"/>
      <c r="W215" s="193"/>
      <c r="X215" s="193"/>
      <c r="Y215" s="193"/>
      <c r="Z215" s="193"/>
      <c r="AA215" s="193"/>
      <c r="AB215" s="113" t="str">
        <f t="shared" si="152"/>
        <v/>
      </c>
      <c r="AC215" s="193"/>
      <c r="AD215" s="193"/>
      <c r="AE215" s="193"/>
      <c r="AF215" s="193"/>
      <c r="AG215" s="193"/>
      <c r="AH215" s="193"/>
      <c r="AI215" s="193"/>
      <c r="AK215" s="113" t="str">
        <f t="shared" si="157"/>
        <v/>
      </c>
      <c r="BB215" s="113" t="str">
        <f t="shared" si="158"/>
        <v/>
      </c>
    </row>
    <row r="216" ht="13.8" customHeight="1" spans="2:54">
      <c r="B216" s="119" t="s">
        <v>1633</v>
      </c>
      <c r="C216" s="120" t="s">
        <v>1074</v>
      </c>
      <c r="D216" s="120" t="s">
        <v>1825</v>
      </c>
      <c r="E216" s="125" t="s">
        <v>1826</v>
      </c>
      <c r="F216" s="195">
        <f t="shared" si="162"/>
        <v>56.953</v>
      </c>
      <c r="G216" s="128">
        <v>56.568</v>
      </c>
      <c r="H216" s="133">
        <v>56.54</v>
      </c>
      <c r="I216" s="197">
        <f t="shared" si="161"/>
        <v>0.0279999999999987</v>
      </c>
      <c r="J216" s="115" t="str">
        <f t="shared" si="159"/>
        <v>11R22.5-16PR-AD737</v>
      </c>
      <c r="K216" s="193"/>
      <c r="L216" s="193"/>
      <c r="M216" s="193"/>
      <c r="N216" s="193"/>
      <c r="O216" s="193"/>
      <c r="P216" s="193"/>
      <c r="Q216" s="193"/>
      <c r="R216" s="193"/>
      <c r="S216" s="113" t="str">
        <f t="shared" si="156"/>
        <v/>
      </c>
      <c r="T216" s="193"/>
      <c r="U216" s="193"/>
      <c r="V216" s="193"/>
      <c r="W216" s="193"/>
      <c r="X216" s="193"/>
      <c r="Y216" s="193"/>
      <c r="Z216" s="193"/>
      <c r="AA216" s="193"/>
      <c r="AB216" s="113" t="str">
        <f t="shared" si="152"/>
        <v/>
      </c>
      <c r="AC216" s="193"/>
      <c r="AD216" s="193"/>
      <c r="AE216" s="193"/>
      <c r="AF216" s="193"/>
      <c r="AG216" s="193"/>
      <c r="AH216" s="193"/>
      <c r="AI216" s="193"/>
      <c r="AK216" s="113" t="str">
        <f t="shared" si="157"/>
        <v/>
      </c>
      <c r="BB216" s="113" t="str">
        <f t="shared" si="158"/>
        <v/>
      </c>
    </row>
    <row r="217" spans="2:54">
      <c r="B217" s="119" t="s">
        <v>1633</v>
      </c>
      <c r="C217" s="120" t="s">
        <v>1074</v>
      </c>
      <c r="D217" s="120" t="s">
        <v>1827</v>
      </c>
      <c r="E217" s="125" t="s">
        <v>1828</v>
      </c>
      <c r="F217" s="195">
        <f t="shared" si="162"/>
        <v>59.02</v>
      </c>
      <c r="G217" s="128">
        <v>58.635</v>
      </c>
      <c r="H217" s="133">
        <v>58.61</v>
      </c>
      <c r="I217" s="197">
        <f t="shared" si="161"/>
        <v>0.0249999999999986</v>
      </c>
      <c r="J217" s="115" t="str">
        <f t="shared" si="159"/>
        <v>11R22.5-16PR-AD778</v>
      </c>
      <c r="K217" s="193"/>
      <c r="L217" s="193"/>
      <c r="M217" s="193"/>
      <c r="N217" s="193"/>
      <c r="O217" s="193"/>
      <c r="P217" s="193"/>
      <c r="Q217" s="193"/>
      <c r="R217" s="193"/>
      <c r="S217" s="113" t="str">
        <f t="shared" si="156"/>
        <v/>
      </c>
      <c r="T217" s="193"/>
      <c r="U217" s="193"/>
      <c r="V217" s="193"/>
      <c r="W217" s="193"/>
      <c r="X217" s="193"/>
      <c r="Y217" s="193"/>
      <c r="Z217" s="193"/>
      <c r="AA217" s="193"/>
      <c r="AB217" s="113" t="str">
        <f t="shared" si="152"/>
        <v/>
      </c>
      <c r="AC217" s="193"/>
      <c r="AD217" s="193"/>
      <c r="AE217" s="193"/>
      <c r="AF217" s="193"/>
      <c r="AG217" s="193"/>
      <c r="AH217" s="193"/>
      <c r="AI217" s="193"/>
      <c r="AK217" s="113" t="str">
        <f t="shared" si="157"/>
        <v/>
      </c>
      <c r="BB217" s="113" t="str">
        <f t="shared" si="158"/>
        <v/>
      </c>
    </row>
    <row r="218" spans="2:54">
      <c r="B218" s="119" t="s">
        <v>1633</v>
      </c>
      <c r="C218" s="120" t="s">
        <v>1074</v>
      </c>
      <c r="D218" s="120" t="s">
        <v>1829</v>
      </c>
      <c r="E218" s="125" t="s">
        <v>1830</v>
      </c>
      <c r="F218" s="195">
        <f t="shared" si="162"/>
        <v>58.772</v>
      </c>
      <c r="G218" s="128">
        <v>58.387</v>
      </c>
      <c r="H218" s="133">
        <v>58.32</v>
      </c>
      <c r="I218" s="197">
        <f t="shared" si="161"/>
        <v>0.0670000000000002</v>
      </c>
      <c r="J218" s="115" t="str">
        <f t="shared" si="159"/>
        <v>11R22.5-16PR-AD759</v>
      </c>
      <c r="K218" s="193"/>
      <c r="L218" s="193"/>
      <c r="M218" s="193"/>
      <c r="N218" s="193"/>
      <c r="O218" s="193"/>
      <c r="P218" s="193"/>
      <c r="Q218" s="193"/>
      <c r="R218" s="193"/>
      <c r="S218" s="113" t="str">
        <f t="shared" si="156"/>
        <v/>
      </c>
      <c r="T218" s="193"/>
      <c r="U218" s="193"/>
      <c r="V218" s="193"/>
      <c r="W218" s="193"/>
      <c r="X218" s="193"/>
      <c r="Y218" s="193"/>
      <c r="Z218" s="193"/>
      <c r="AA218" s="193"/>
      <c r="AB218" s="113" t="str">
        <f t="shared" si="152"/>
        <v/>
      </c>
      <c r="AK218" s="113" t="str">
        <f t="shared" si="157"/>
        <v/>
      </c>
      <c r="BB218" s="113" t="str">
        <f t="shared" si="158"/>
        <v/>
      </c>
    </row>
    <row r="219" spans="2:54">
      <c r="B219" s="119" t="s">
        <v>1633</v>
      </c>
      <c r="C219" s="120" t="s">
        <v>1074</v>
      </c>
      <c r="D219" s="120" t="s">
        <v>1831</v>
      </c>
      <c r="E219" s="125" t="s">
        <v>1830</v>
      </c>
      <c r="F219" s="195">
        <f t="shared" si="162"/>
        <v>58.772</v>
      </c>
      <c r="G219" s="128">
        <v>58.387</v>
      </c>
      <c r="H219" s="133">
        <v>58.32</v>
      </c>
      <c r="I219" s="197">
        <f t="shared" si="161"/>
        <v>0.0670000000000002</v>
      </c>
      <c r="J219" s="115" t="str">
        <f t="shared" si="159"/>
        <v>11R22.5-16PR-CM996+</v>
      </c>
      <c r="K219" s="193"/>
      <c r="L219" s="193"/>
      <c r="M219" s="193"/>
      <c r="N219" s="193"/>
      <c r="O219" s="193"/>
      <c r="P219" s="193"/>
      <c r="Q219" s="193"/>
      <c r="R219" s="193"/>
      <c r="S219" s="113" t="str">
        <f t="shared" si="156"/>
        <v/>
      </c>
      <c r="T219" s="193"/>
      <c r="U219" s="193"/>
      <c r="V219" s="193"/>
      <c r="W219" s="193"/>
      <c r="X219" s="193"/>
      <c r="Y219" s="193"/>
      <c r="Z219" s="193"/>
      <c r="AA219" s="193"/>
      <c r="AB219" s="113" t="str">
        <f t="shared" si="152"/>
        <v/>
      </c>
      <c r="AK219" s="113" t="str">
        <f t="shared" si="157"/>
        <v/>
      </c>
      <c r="BB219" s="113" t="str">
        <f t="shared" si="158"/>
        <v/>
      </c>
    </row>
    <row r="220" ht="13.8" customHeight="1" spans="2:54">
      <c r="B220" s="119" t="s">
        <v>1633</v>
      </c>
      <c r="C220" s="120" t="s">
        <v>1074</v>
      </c>
      <c r="D220" s="120" t="s">
        <v>1832</v>
      </c>
      <c r="E220" s="125" t="s">
        <v>1830</v>
      </c>
      <c r="F220" s="195">
        <f t="shared" si="162"/>
        <v>58.772</v>
      </c>
      <c r="G220" s="128">
        <v>58.387</v>
      </c>
      <c r="H220" s="133">
        <v>58.32</v>
      </c>
      <c r="I220" s="197">
        <f t="shared" si="161"/>
        <v>0.0670000000000002</v>
      </c>
      <c r="J220" s="115" t="str">
        <f t="shared" si="159"/>
        <v>11R22.5-16PR-RLINE-D II</v>
      </c>
      <c r="K220" s="193"/>
      <c r="L220" s="193"/>
      <c r="M220" s="193"/>
      <c r="N220" s="193"/>
      <c r="O220" s="193"/>
      <c r="P220" s="193"/>
      <c r="Q220" s="193"/>
      <c r="R220" s="193"/>
      <c r="S220" s="113" t="str">
        <f t="shared" si="156"/>
        <v/>
      </c>
      <c r="T220" s="193"/>
      <c r="U220" s="193"/>
      <c r="V220" s="193"/>
      <c r="W220" s="193"/>
      <c r="X220" s="193"/>
      <c r="Y220" s="193"/>
      <c r="Z220" s="193"/>
      <c r="AA220" s="193"/>
      <c r="AB220" s="113" t="str">
        <f t="shared" si="152"/>
        <v/>
      </c>
      <c r="AK220" s="113" t="str">
        <f t="shared" si="157"/>
        <v/>
      </c>
      <c r="BB220" s="113" t="str">
        <f t="shared" si="158"/>
        <v/>
      </c>
    </row>
    <row r="221" ht="13.8" customHeight="1" spans="2:54">
      <c r="B221" s="119" t="s">
        <v>1633</v>
      </c>
      <c r="C221" s="120" t="s">
        <v>1074</v>
      </c>
      <c r="D221" s="120" t="s">
        <v>1833</v>
      </c>
      <c r="E221" s="125" t="s">
        <v>1834</v>
      </c>
      <c r="F221" s="195">
        <f t="shared" si="162"/>
        <v>54.783</v>
      </c>
      <c r="G221" s="128">
        <v>54.398</v>
      </c>
      <c r="H221" s="133">
        <v>54.47</v>
      </c>
      <c r="I221" s="197">
        <f t="shared" si="161"/>
        <v>-0.0719999999999956</v>
      </c>
      <c r="J221" s="115" t="str">
        <f t="shared" si="159"/>
        <v>11R22.5-16PR-AS600+</v>
      </c>
      <c r="K221" s="193"/>
      <c r="L221" s="193"/>
      <c r="M221" s="193"/>
      <c r="N221" s="193"/>
      <c r="O221" s="193"/>
      <c r="P221" s="193"/>
      <c r="Q221" s="193"/>
      <c r="R221" s="193"/>
      <c r="S221" s="113" t="str">
        <f t="shared" si="156"/>
        <v/>
      </c>
      <c r="T221" s="193"/>
      <c r="U221" s="193"/>
      <c r="V221" s="193"/>
      <c r="W221" s="193"/>
      <c r="X221" s="193"/>
      <c r="Y221" s="193"/>
      <c r="Z221" s="193"/>
      <c r="AA221" s="193"/>
      <c r="AB221" s="113" t="str">
        <f t="shared" si="152"/>
        <v/>
      </c>
      <c r="AK221" s="113" t="str">
        <f t="shared" si="157"/>
        <v/>
      </c>
      <c r="BB221" s="113" t="str">
        <f t="shared" si="158"/>
        <v/>
      </c>
    </row>
    <row r="222" ht="13.8" customHeight="1" spans="2:54">
      <c r="B222" s="119" t="s">
        <v>1633</v>
      </c>
      <c r="C222" s="120" t="s">
        <v>1074</v>
      </c>
      <c r="D222" s="120" t="s">
        <v>1835</v>
      </c>
      <c r="E222" s="125" t="s">
        <v>1834</v>
      </c>
      <c r="F222" s="195">
        <f t="shared" si="162"/>
        <v>54.783</v>
      </c>
      <c r="G222" s="128">
        <v>54.398</v>
      </c>
      <c r="H222" s="133">
        <v>54.47</v>
      </c>
      <c r="I222" s="197">
        <f t="shared" si="161"/>
        <v>-0.0719999999999956</v>
      </c>
      <c r="J222" s="115" t="str">
        <f t="shared" si="159"/>
        <v>11R22.5-16PR-CR989+</v>
      </c>
      <c r="K222" s="193"/>
      <c r="L222" s="193"/>
      <c r="M222" s="193"/>
      <c r="N222" s="193"/>
      <c r="O222" s="193"/>
      <c r="P222" s="193"/>
      <c r="Q222" s="193"/>
      <c r="R222" s="193"/>
      <c r="S222" s="113" t="str">
        <f t="shared" si="156"/>
        <v/>
      </c>
      <c r="T222" s="193"/>
      <c r="U222" s="193"/>
      <c r="V222" s="193"/>
      <c r="W222" s="193"/>
      <c r="X222" s="193"/>
      <c r="Y222" s="193"/>
      <c r="Z222" s="193"/>
      <c r="AA222" s="193"/>
      <c r="AB222" s="113" t="str">
        <f t="shared" si="152"/>
        <v/>
      </c>
      <c r="BB222" s="113" t="str">
        <f t="shared" si="158"/>
        <v/>
      </c>
    </row>
    <row r="223" spans="2:54">
      <c r="B223" s="119" t="s">
        <v>1633</v>
      </c>
      <c r="C223" s="120" t="s">
        <v>1074</v>
      </c>
      <c r="D223" s="120" t="s">
        <v>1836</v>
      </c>
      <c r="E223" s="125" t="s">
        <v>1834</v>
      </c>
      <c r="F223" s="195">
        <f t="shared" si="162"/>
        <v>54.783</v>
      </c>
      <c r="G223" s="128">
        <v>54.398</v>
      </c>
      <c r="H223" s="133">
        <v>54.47</v>
      </c>
      <c r="I223" s="197">
        <f t="shared" si="161"/>
        <v>-0.0719999999999956</v>
      </c>
      <c r="J223" s="115" t="str">
        <f t="shared" si="159"/>
        <v>11R22.5-16PR-RLINE-S1</v>
      </c>
      <c r="K223" s="193"/>
      <c r="L223" s="193"/>
      <c r="M223" s="193"/>
      <c r="N223" s="193"/>
      <c r="O223" s="193"/>
      <c r="P223" s="193"/>
      <c r="Q223" s="193"/>
      <c r="R223" s="193"/>
      <c r="S223" s="113" t="str">
        <f t="shared" si="156"/>
        <v/>
      </c>
      <c r="T223" s="193"/>
      <c r="U223" s="193"/>
      <c r="V223" s="193"/>
      <c r="W223" s="193"/>
      <c r="X223" s="193"/>
      <c r="Y223" s="193"/>
      <c r="Z223" s="193"/>
      <c r="AA223" s="193"/>
      <c r="AB223" s="113" t="str">
        <f t="shared" si="152"/>
        <v/>
      </c>
      <c r="BB223" s="113" t="str">
        <f t="shared" si="158"/>
        <v/>
      </c>
    </row>
    <row r="224" spans="2:54">
      <c r="B224" s="119" t="s">
        <v>1633</v>
      </c>
      <c r="C224" s="120" t="s">
        <v>1074</v>
      </c>
      <c r="D224" s="120" t="s">
        <v>1837</v>
      </c>
      <c r="E224" s="125" t="s">
        <v>1834</v>
      </c>
      <c r="F224" s="195">
        <f t="shared" si="162"/>
        <v>54.783</v>
      </c>
      <c r="G224" s="128">
        <v>54.398</v>
      </c>
      <c r="H224" s="133">
        <v>54.47</v>
      </c>
      <c r="I224" s="197">
        <f t="shared" si="161"/>
        <v>-0.0719999999999956</v>
      </c>
      <c r="J224" s="115" t="str">
        <f t="shared" si="159"/>
        <v>11R22.5-16PR-STEALTH S01</v>
      </c>
      <c r="K224" s="193"/>
      <c r="L224" s="193"/>
      <c r="M224" s="193"/>
      <c r="N224" s="193"/>
      <c r="O224" s="193"/>
      <c r="P224" s="193"/>
      <c r="Q224" s="193"/>
      <c r="R224" s="193"/>
      <c r="S224" s="113" t="str">
        <f t="shared" si="156"/>
        <v/>
      </c>
      <c r="T224" s="193"/>
      <c r="U224" s="193"/>
      <c r="V224" s="193"/>
      <c r="W224" s="193"/>
      <c r="X224" s="193"/>
      <c r="Y224" s="193"/>
      <c r="Z224" s="193"/>
      <c r="AA224" s="193"/>
      <c r="AB224" s="113" t="str">
        <f t="shared" si="152"/>
        <v/>
      </c>
      <c r="BB224" s="113" t="str">
        <f t="shared" si="158"/>
        <v/>
      </c>
    </row>
    <row r="225" ht="13.8" customHeight="1" spans="2:54">
      <c r="B225" s="119" t="s">
        <v>1633</v>
      </c>
      <c r="C225" s="120" t="s">
        <v>1074</v>
      </c>
      <c r="D225" s="120" t="s">
        <v>1096</v>
      </c>
      <c r="E225" s="125" t="s">
        <v>1838</v>
      </c>
      <c r="F225" s="195">
        <f t="shared" si="162"/>
        <v>63.689</v>
      </c>
      <c r="G225" s="128">
        <v>63.304</v>
      </c>
      <c r="H225" s="133">
        <v>63.28</v>
      </c>
      <c r="I225" s="197">
        <f t="shared" si="161"/>
        <v>0.0240000000000009</v>
      </c>
      <c r="J225" s="115" t="str">
        <f t="shared" si="159"/>
        <v>11R22.5-16PR-CB972</v>
      </c>
      <c r="K225" s="193"/>
      <c r="L225" s="193"/>
      <c r="M225" s="193"/>
      <c r="N225" s="193"/>
      <c r="O225" s="193"/>
      <c r="P225" s="193"/>
      <c r="Q225" s="193"/>
      <c r="R225" s="193"/>
      <c r="S225" s="113" t="str">
        <f t="shared" si="156"/>
        <v/>
      </c>
      <c r="T225" s="193"/>
      <c r="U225" s="193"/>
      <c r="V225" s="193"/>
      <c r="W225" s="193"/>
      <c r="X225" s="193"/>
      <c r="Y225" s="193"/>
      <c r="Z225" s="193"/>
      <c r="AA225" s="193"/>
      <c r="AB225" s="113" t="str">
        <f t="shared" si="152"/>
        <v/>
      </c>
      <c r="BB225" s="113" t="str">
        <f t="shared" si="158"/>
        <v/>
      </c>
    </row>
    <row r="226" ht="13.8" customHeight="1" spans="2:54">
      <c r="B226" s="119" t="s">
        <v>1633</v>
      </c>
      <c r="C226" s="120" t="s">
        <v>1074</v>
      </c>
      <c r="D226" s="120" t="s">
        <v>1839</v>
      </c>
      <c r="E226" s="125" t="s">
        <v>1838</v>
      </c>
      <c r="F226" s="195">
        <f t="shared" si="162"/>
        <v>63.689</v>
      </c>
      <c r="G226" s="128">
        <v>63.304</v>
      </c>
      <c r="H226" s="133">
        <v>63.28</v>
      </c>
      <c r="I226" s="197">
        <f t="shared" si="161"/>
        <v>0.0240000000000009</v>
      </c>
      <c r="J226" s="115" t="str">
        <f t="shared" si="159"/>
        <v>11R22.5-16PR-RLINE-M3</v>
      </c>
      <c r="K226" s="193"/>
      <c r="L226" s="193"/>
      <c r="M226" s="193"/>
      <c r="N226" s="193"/>
      <c r="O226" s="193"/>
      <c r="P226" s="193"/>
      <c r="Q226" s="193"/>
      <c r="R226" s="193"/>
      <c r="S226" s="113" t="str">
        <f t="shared" si="156"/>
        <v/>
      </c>
      <c r="T226" s="193"/>
      <c r="U226" s="193"/>
      <c r="V226" s="193"/>
      <c r="W226" s="193"/>
      <c r="X226" s="193"/>
      <c r="Y226" s="193"/>
      <c r="Z226" s="193"/>
      <c r="AA226" s="193"/>
      <c r="AB226" s="113" t="str">
        <f t="shared" si="152"/>
        <v/>
      </c>
      <c r="BB226" s="113" t="str">
        <f t="shared" si="158"/>
        <v/>
      </c>
    </row>
    <row r="227" ht="13.8" customHeight="1" spans="2:54">
      <c r="B227" s="119" t="s">
        <v>1633</v>
      </c>
      <c r="C227" s="120" t="s">
        <v>1074</v>
      </c>
      <c r="D227" s="120" t="s">
        <v>1840</v>
      </c>
      <c r="E227" s="125" t="s">
        <v>1841</v>
      </c>
      <c r="F227" s="195">
        <f t="shared" si="162"/>
        <v>55.313</v>
      </c>
      <c r="G227" s="128">
        <v>54.928</v>
      </c>
      <c r="H227" s="133">
        <v>54.87</v>
      </c>
      <c r="I227" s="197">
        <f t="shared" si="161"/>
        <v>0.0579999999999998</v>
      </c>
      <c r="J227" s="115" t="str">
        <f t="shared" si="159"/>
        <v>11R22.5-16PR-CM983</v>
      </c>
      <c r="K227" s="193"/>
      <c r="L227" s="193"/>
      <c r="M227" s="193"/>
      <c r="N227" s="193"/>
      <c r="O227" s="193"/>
      <c r="P227" s="193"/>
      <c r="Q227" s="193"/>
      <c r="R227" s="193"/>
      <c r="S227" s="113" t="str">
        <f t="shared" si="156"/>
        <v/>
      </c>
      <c r="T227" s="193"/>
      <c r="U227" s="193"/>
      <c r="V227" s="193"/>
      <c r="W227" s="193"/>
      <c r="X227" s="193"/>
      <c r="Y227" s="193"/>
      <c r="Z227" s="193"/>
      <c r="AA227" s="193"/>
      <c r="AB227" s="113" t="str">
        <f t="shared" si="152"/>
        <v/>
      </c>
      <c r="BB227" s="113" t="str">
        <f t="shared" si="158"/>
        <v/>
      </c>
    </row>
    <row r="228" spans="2:54">
      <c r="B228" s="119" t="s">
        <v>1633</v>
      </c>
      <c r="C228" s="120" t="s">
        <v>1074</v>
      </c>
      <c r="D228" s="120" t="s">
        <v>1842</v>
      </c>
      <c r="E228" s="125" t="s">
        <v>1843</v>
      </c>
      <c r="F228" s="195">
        <f t="shared" si="162"/>
        <v>56.818</v>
      </c>
      <c r="G228" s="128">
        <v>56.433</v>
      </c>
      <c r="H228" s="133">
        <v>56.5118</v>
      </c>
      <c r="I228" s="197">
        <f t="shared" si="161"/>
        <v>-0.0788000000000011</v>
      </c>
      <c r="J228" s="115" t="str">
        <f t="shared" si="159"/>
        <v>11R22.5-16PR-I-52A</v>
      </c>
      <c r="K228" s="193"/>
      <c r="L228" s="193"/>
      <c r="M228" s="193"/>
      <c r="N228" s="193"/>
      <c r="O228" s="193"/>
      <c r="P228" s="193"/>
      <c r="Q228" s="193"/>
      <c r="R228" s="193"/>
      <c r="S228" s="113" t="str">
        <f t="shared" si="156"/>
        <v/>
      </c>
      <c r="T228" s="193"/>
      <c r="U228" s="193"/>
      <c r="V228" s="193"/>
      <c r="W228" s="193"/>
      <c r="X228" s="193"/>
      <c r="Y228" s="193"/>
      <c r="Z228" s="193"/>
      <c r="AA228" s="193"/>
      <c r="AB228" s="113" t="str">
        <f t="shared" si="152"/>
        <v/>
      </c>
      <c r="BB228" s="113" t="str">
        <f t="shared" si="158"/>
        <v/>
      </c>
    </row>
    <row r="229" spans="2:54">
      <c r="B229" s="119" t="s">
        <v>1633</v>
      </c>
      <c r="C229" s="120" t="s">
        <v>1074</v>
      </c>
      <c r="D229" s="120" t="s">
        <v>1844</v>
      </c>
      <c r="E229" s="125" t="s">
        <v>1845</v>
      </c>
      <c r="F229" s="195">
        <f t="shared" si="162"/>
        <v>57.146</v>
      </c>
      <c r="G229" s="128">
        <v>56.761</v>
      </c>
      <c r="H229" s="133">
        <v>56.7278</v>
      </c>
      <c r="I229" s="197">
        <f t="shared" si="161"/>
        <v>0.0332000000000008</v>
      </c>
      <c r="J229" s="115" t="str">
        <f t="shared" si="159"/>
        <v>11R22.5-16PR-I-31M</v>
      </c>
      <c r="K229" s="193"/>
      <c r="L229" s="193"/>
      <c r="M229" s="193"/>
      <c r="N229" s="193"/>
      <c r="O229" s="193"/>
      <c r="P229" s="193"/>
      <c r="Q229" s="193"/>
      <c r="R229" s="193"/>
      <c r="S229" s="113" t="str">
        <f t="shared" si="156"/>
        <v/>
      </c>
      <c r="T229" s="193"/>
      <c r="U229" s="193"/>
      <c r="V229" s="193"/>
      <c r="W229" s="193"/>
      <c r="X229" s="193"/>
      <c r="Y229" s="193"/>
      <c r="Z229" s="193"/>
      <c r="AA229" s="193"/>
      <c r="AB229" s="113" t="str">
        <f t="shared" si="152"/>
        <v/>
      </c>
      <c r="BB229" s="113" t="str">
        <f t="shared" si="158"/>
        <v/>
      </c>
    </row>
    <row r="230" spans="2:54">
      <c r="B230" s="119" t="s">
        <v>1633</v>
      </c>
      <c r="C230" s="120" t="s">
        <v>1074</v>
      </c>
      <c r="D230" s="120" t="s">
        <v>1846</v>
      </c>
      <c r="E230" s="125" t="s">
        <v>1847</v>
      </c>
      <c r="F230" s="195">
        <f t="shared" si="162"/>
        <v>58.894</v>
      </c>
      <c r="G230" s="128">
        <v>58.509</v>
      </c>
      <c r="H230" s="133">
        <v>58.2489</v>
      </c>
      <c r="I230" s="197">
        <f t="shared" si="161"/>
        <v>0.260100000000001</v>
      </c>
      <c r="J230" s="115" t="str">
        <f t="shared" si="159"/>
        <v>11R22.5-16PR-I-28D</v>
      </c>
      <c r="K230" s="193"/>
      <c r="L230" s="193"/>
      <c r="M230" s="193"/>
      <c r="N230" s="193"/>
      <c r="O230" s="193"/>
      <c r="P230" s="193"/>
      <c r="Q230" s="193"/>
      <c r="R230" s="193"/>
      <c r="S230" s="113" t="str">
        <f t="shared" si="156"/>
        <v/>
      </c>
      <c r="T230" s="193"/>
      <c r="U230" s="193"/>
      <c r="V230" s="193"/>
      <c r="W230" s="193"/>
      <c r="X230" s="193"/>
      <c r="Y230" s="193"/>
      <c r="Z230" s="193"/>
      <c r="AA230" s="193"/>
      <c r="AB230" s="113" t="str">
        <f t="shared" si="152"/>
        <v/>
      </c>
      <c r="BB230" s="113" t="str">
        <f t="shared" si="158"/>
        <v/>
      </c>
    </row>
    <row r="231" ht="13.8" customHeight="1" spans="2:54">
      <c r="B231" s="119" t="s">
        <v>1633</v>
      </c>
      <c r="C231" s="120" t="s">
        <v>1074</v>
      </c>
      <c r="D231" s="120" t="s">
        <v>1848</v>
      </c>
      <c r="E231" s="125" t="s">
        <v>1847</v>
      </c>
      <c r="F231" s="195">
        <f t="shared" si="162"/>
        <v>58.894</v>
      </c>
      <c r="G231" s="128">
        <v>58.509</v>
      </c>
      <c r="H231" s="133">
        <v>58.2489</v>
      </c>
      <c r="I231" s="197">
        <f t="shared" si="161"/>
        <v>0.260100000000001</v>
      </c>
      <c r="J231" s="115" t="str">
        <f t="shared" si="159"/>
        <v>11R22.5-16PR-DOMINATE D01</v>
      </c>
      <c r="K231" s="193"/>
      <c r="L231" s="193"/>
      <c r="M231" s="193"/>
      <c r="N231" s="193"/>
      <c r="O231" s="193"/>
      <c r="P231" s="193"/>
      <c r="Q231" s="193"/>
      <c r="R231" s="193"/>
      <c r="S231" s="113" t="str">
        <f t="shared" si="156"/>
        <v/>
      </c>
      <c r="T231" s="193"/>
      <c r="U231" s="193"/>
      <c r="V231" s="193"/>
      <c r="W231" s="193"/>
      <c r="X231" s="193"/>
      <c r="Y231" s="193"/>
      <c r="Z231" s="193"/>
      <c r="AA231" s="193"/>
      <c r="AB231" s="113" t="str">
        <f t="shared" si="152"/>
        <v/>
      </c>
      <c r="BB231" s="113" t="str">
        <f t="shared" si="158"/>
        <v/>
      </c>
    </row>
    <row r="232" ht="13.8" customHeight="1" spans="2:54">
      <c r="B232" s="119" t="s">
        <v>1633</v>
      </c>
      <c r="C232" s="120" t="s">
        <v>1074</v>
      </c>
      <c r="D232" s="120" t="s">
        <v>1849</v>
      </c>
      <c r="E232" s="125" t="s">
        <v>1850</v>
      </c>
      <c r="F232" s="195">
        <f t="shared" si="162"/>
        <v>57.262</v>
      </c>
      <c r="G232" s="128">
        <v>56.877</v>
      </c>
      <c r="H232" s="133">
        <v>56.8434</v>
      </c>
      <c r="I232" s="197">
        <f t="shared" si="161"/>
        <v>0.0335999999999999</v>
      </c>
      <c r="J232" s="115" t="str">
        <f t="shared" si="159"/>
        <v>11R22.5-16PR-I-37D</v>
      </c>
      <c r="K232" s="193"/>
      <c r="L232" s="193"/>
      <c r="M232" s="193"/>
      <c r="N232" s="193"/>
      <c r="O232" s="193"/>
      <c r="P232" s="193"/>
      <c r="Q232" s="193"/>
      <c r="R232" s="193"/>
      <c r="S232" s="113" t="str">
        <f t="shared" si="156"/>
        <v/>
      </c>
      <c r="T232" s="193"/>
      <c r="U232" s="193"/>
      <c r="V232" s="193"/>
      <c r="W232" s="193"/>
      <c r="X232" s="193"/>
      <c r="Y232" s="193"/>
      <c r="Z232" s="193"/>
      <c r="AA232" s="193"/>
      <c r="AB232" s="113" t="str">
        <f t="shared" si="152"/>
        <v/>
      </c>
      <c r="BB232" s="113" t="str">
        <f t="shared" si="158"/>
        <v/>
      </c>
    </row>
    <row r="233" spans="2:54">
      <c r="B233" s="119" t="s">
        <v>1633</v>
      </c>
      <c r="C233" s="120" t="s">
        <v>1074</v>
      </c>
      <c r="D233" s="120" t="s">
        <v>1851</v>
      </c>
      <c r="E233" s="125" t="s">
        <v>1852</v>
      </c>
      <c r="F233" s="195">
        <f t="shared" ref="F233:F243" si="163">G233-2.78+3.17</f>
        <v>53.214</v>
      </c>
      <c r="G233" s="128">
        <v>52.824</v>
      </c>
      <c r="H233" s="133">
        <v>52.79</v>
      </c>
      <c r="I233" s="197">
        <f t="shared" si="161"/>
        <v>0.0339999999999989</v>
      </c>
      <c r="J233" s="115" t="str">
        <f t="shared" si="159"/>
        <v>11R22.5-16PR-CR926D</v>
      </c>
      <c r="K233" s="193"/>
      <c r="L233" s="193"/>
      <c r="M233" s="193"/>
      <c r="N233" s="193"/>
      <c r="O233" s="193"/>
      <c r="P233" s="193"/>
      <c r="Q233" s="193"/>
      <c r="R233" s="193"/>
      <c r="S233" s="113" t="str">
        <f t="shared" si="156"/>
        <v/>
      </c>
      <c r="T233" s="193"/>
      <c r="U233" s="193"/>
      <c r="V233" s="193"/>
      <c r="W233" s="193"/>
      <c r="X233" s="193"/>
      <c r="Y233" s="193"/>
      <c r="Z233" s="193"/>
      <c r="AA233" s="193"/>
      <c r="AB233" s="113" t="str">
        <f t="shared" si="152"/>
        <v/>
      </c>
      <c r="BB233" s="113" t="str">
        <f t="shared" si="158"/>
        <v/>
      </c>
    </row>
    <row r="234" ht="13.8" customHeight="1" spans="2:54">
      <c r="B234" s="119" t="s">
        <v>1633</v>
      </c>
      <c r="C234" s="120" t="s">
        <v>1074</v>
      </c>
      <c r="D234" s="120" t="s">
        <v>1853</v>
      </c>
      <c r="E234" s="125" t="s">
        <v>1852</v>
      </c>
      <c r="F234" s="195">
        <f t="shared" si="163"/>
        <v>53.214</v>
      </c>
      <c r="G234" s="128">
        <v>52.824</v>
      </c>
      <c r="H234" s="133">
        <v>52.79</v>
      </c>
      <c r="I234" s="197">
        <f t="shared" si="161"/>
        <v>0.0339999999999989</v>
      </c>
      <c r="J234" s="115" t="str">
        <f t="shared" si="159"/>
        <v>11R22.5-16PR-RLINE-M1</v>
      </c>
      <c r="K234" s="193"/>
      <c r="L234" s="193"/>
      <c r="M234" s="193"/>
      <c r="N234" s="193"/>
      <c r="O234" s="193"/>
      <c r="P234" s="193"/>
      <c r="Q234" s="193"/>
      <c r="R234" s="193"/>
      <c r="S234" s="113" t="str">
        <f t="shared" si="156"/>
        <v/>
      </c>
      <c r="T234" s="193"/>
      <c r="U234" s="193"/>
      <c r="V234" s="193"/>
      <c r="W234" s="193"/>
      <c r="X234" s="193"/>
      <c r="Y234" s="193"/>
      <c r="Z234" s="193"/>
      <c r="AA234" s="193"/>
      <c r="AB234" s="113" t="str">
        <f t="shared" si="152"/>
        <v/>
      </c>
      <c r="BB234" s="113" t="str">
        <f t="shared" si="158"/>
        <v/>
      </c>
    </row>
    <row r="235" spans="2:54">
      <c r="B235" s="119" t="s">
        <v>1633</v>
      </c>
      <c r="C235" s="120" t="s">
        <v>1074</v>
      </c>
      <c r="D235" s="120" t="s">
        <v>1854</v>
      </c>
      <c r="E235" s="125" t="s">
        <v>1852</v>
      </c>
      <c r="F235" s="195">
        <f t="shared" si="163"/>
        <v>53.214</v>
      </c>
      <c r="G235" s="128">
        <v>52.824</v>
      </c>
      <c r="H235" s="133">
        <v>52.79</v>
      </c>
      <c r="I235" s="197">
        <f t="shared" si="161"/>
        <v>0.0339999999999989</v>
      </c>
      <c r="J235" s="115" t="str">
        <f t="shared" si="159"/>
        <v>11R22.5-16PR-CONQUER C01</v>
      </c>
      <c r="K235" s="193"/>
      <c r="L235" s="193"/>
      <c r="M235" s="193"/>
      <c r="N235" s="193"/>
      <c r="O235" s="193"/>
      <c r="P235" s="193"/>
      <c r="Q235" s="193"/>
      <c r="R235" s="193"/>
      <c r="S235" s="113" t="str">
        <f t="shared" si="156"/>
        <v/>
      </c>
      <c r="T235" s="193"/>
      <c r="U235" s="193"/>
      <c r="V235" s="193"/>
      <c r="W235" s="193"/>
      <c r="X235" s="193"/>
      <c r="Y235" s="193"/>
      <c r="Z235" s="193"/>
      <c r="AA235" s="193"/>
      <c r="AB235" s="113" t="str">
        <f t="shared" si="152"/>
        <v/>
      </c>
      <c r="BB235" s="113" t="str">
        <f t="shared" si="158"/>
        <v/>
      </c>
    </row>
    <row r="236" spans="2:54">
      <c r="B236" s="119" t="s">
        <v>1633</v>
      </c>
      <c r="C236" s="120" t="s">
        <v>1074</v>
      </c>
      <c r="D236" s="120" t="s">
        <v>1855</v>
      </c>
      <c r="E236" s="125" t="s">
        <v>1856</v>
      </c>
      <c r="F236" s="195">
        <f t="shared" si="163"/>
        <v>60.714</v>
      </c>
      <c r="G236" s="128">
        <v>60.324</v>
      </c>
      <c r="H236" s="133">
        <v>60.23</v>
      </c>
      <c r="I236" s="197">
        <f t="shared" si="161"/>
        <v>0.0940000000000012</v>
      </c>
      <c r="J236" s="115" t="str">
        <f t="shared" si="159"/>
        <v>11R22.5-16PR-H-MD</v>
      </c>
      <c r="K236" s="193"/>
      <c r="L236" s="193"/>
      <c r="M236" s="193"/>
      <c r="N236" s="193"/>
      <c r="O236" s="193"/>
      <c r="P236" s="193"/>
      <c r="Q236" s="193"/>
      <c r="R236" s="193"/>
      <c r="S236" s="113" t="str">
        <f t="shared" si="156"/>
        <v/>
      </c>
      <c r="T236" s="193"/>
      <c r="U236" s="193"/>
      <c r="V236" s="193"/>
      <c r="W236" s="193"/>
      <c r="X236" s="193"/>
      <c r="Y236" s="193"/>
      <c r="Z236" s="193"/>
      <c r="AA236" s="193"/>
      <c r="AB236" s="113" t="str">
        <f t="shared" si="152"/>
        <v/>
      </c>
      <c r="BB236" s="113" t="str">
        <f t="shared" si="158"/>
        <v/>
      </c>
    </row>
    <row r="237" ht="13.8" customHeight="1" spans="2:54">
      <c r="B237" s="119" t="s">
        <v>1633</v>
      </c>
      <c r="C237" s="120" t="s">
        <v>1074</v>
      </c>
      <c r="D237" s="120" t="s">
        <v>1857</v>
      </c>
      <c r="E237" s="125" t="s">
        <v>1858</v>
      </c>
      <c r="F237" s="195">
        <f t="shared" si="163"/>
        <v>51.424</v>
      </c>
      <c r="G237" s="128">
        <v>51.034</v>
      </c>
      <c r="H237" s="133">
        <v>50.93</v>
      </c>
      <c r="I237" s="197">
        <f t="shared" si="161"/>
        <v>0.103999999999999</v>
      </c>
      <c r="J237" s="115" t="str">
        <f t="shared" si="159"/>
        <v>11R22.5-16PR-H-RA</v>
      </c>
      <c r="K237" s="193"/>
      <c r="L237" s="193"/>
      <c r="M237" s="193"/>
      <c r="N237" s="193"/>
      <c r="O237" s="193"/>
      <c r="P237" s="193"/>
      <c r="Q237" s="193"/>
      <c r="R237" s="193"/>
      <c r="S237" s="113" t="str">
        <f t="shared" si="156"/>
        <v/>
      </c>
      <c r="T237" s="193"/>
      <c r="U237" s="193"/>
      <c r="V237" s="193"/>
      <c r="W237" s="193"/>
      <c r="X237" s="193"/>
      <c r="Y237" s="193"/>
      <c r="Z237" s="193"/>
      <c r="AA237" s="193"/>
      <c r="AB237" s="113" t="str">
        <f t="shared" si="152"/>
        <v/>
      </c>
      <c r="BB237" s="113" t="str">
        <f t="shared" si="158"/>
        <v/>
      </c>
    </row>
    <row r="238" spans="2:54">
      <c r="B238" s="119" t="s">
        <v>1633</v>
      </c>
      <c r="C238" s="120" t="s">
        <v>958</v>
      </c>
      <c r="D238" s="120" t="s">
        <v>1859</v>
      </c>
      <c r="E238" s="125" t="s">
        <v>1860</v>
      </c>
      <c r="F238" s="195">
        <f t="shared" si="163"/>
        <v>49.465</v>
      </c>
      <c r="G238" s="128">
        <v>49.075</v>
      </c>
      <c r="H238" s="133">
        <v>48.94</v>
      </c>
      <c r="I238" s="197">
        <f t="shared" si="161"/>
        <v>0.135000000000005</v>
      </c>
      <c r="J238" s="115" t="str">
        <f t="shared" si="159"/>
        <v>11R22.5-14PR-H-TL</v>
      </c>
      <c r="K238" s="193"/>
      <c r="L238" s="193"/>
      <c r="M238" s="193"/>
      <c r="N238" s="193"/>
      <c r="O238" s="193"/>
      <c r="P238" s="193"/>
      <c r="Q238" s="193"/>
      <c r="R238" s="193"/>
      <c r="S238" s="113" t="str">
        <f t="shared" si="156"/>
        <v/>
      </c>
      <c r="T238" s="193"/>
      <c r="U238" s="193"/>
      <c r="V238" s="193"/>
      <c r="W238" s="193"/>
      <c r="X238" s="193"/>
      <c r="Y238" s="193"/>
      <c r="Z238" s="193"/>
      <c r="AA238" s="193"/>
      <c r="AB238" s="113" t="str">
        <f t="shared" si="152"/>
        <v/>
      </c>
      <c r="BB238" s="113" t="str">
        <f t="shared" si="158"/>
        <v/>
      </c>
    </row>
    <row r="239" ht="13.8" customHeight="1" spans="2:54">
      <c r="B239" s="119" t="s">
        <v>1633</v>
      </c>
      <c r="C239" s="120" t="s">
        <v>1092</v>
      </c>
      <c r="D239" s="120" t="s">
        <v>980</v>
      </c>
      <c r="E239" s="125" t="s">
        <v>1861</v>
      </c>
      <c r="F239" s="195">
        <f t="shared" si="163"/>
        <v>57.91</v>
      </c>
      <c r="G239" s="128">
        <v>57.52</v>
      </c>
      <c r="H239" s="133">
        <v>57.52</v>
      </c>
      <c r="I239" s="197">
        <f t="shared" si="161"/>
        <v>0</v>
      </c>
      <c r="J239" s="115" t="str">
        <f t="shared" si="159"/>
        <v>11R22.5-18PR-VAZ80</v>
      </c>
      <c r="K239" s="193"/>
      <c r="L239" s="193"/>
      <c r="M239" s="193"/>
      <c r="N239" s="193"/>
      <c r="O239" s="193"/>
      <c r="P239" s="193"/>
      <c r="Q239" s="193"/>
      <c r="R239" s="193"/>
      <c r="S239" s="113" t="str">
        <f t="shared" si="156"/>
        <v/>
      </c>
      <c r="T239" s="193"/>
      <c r="U239" s="193"/>
      <c r="V239" s="193"/>
      <c r="W239" s="193"/>
      <c r="X239" s="193"/>
      <c r="Y239" s="193"/>
      <c r="Z239" s="193"/>
      <c r="AA239" s="193"/>
      <c r="AB239" s="113" t="str">
        <f t="shared" si="152"/>
        <v/>
      </c>
      <c r="BB239" s="113" t="str">
        <f t="shared" si="158"/>
        <v/>
      </c>
    </row>
    <row r="240" ht="13.8" customHeight="1" spans="2:54">
      <c r="B240" s="119" t="s">
        <v>1633</v>
      </c>
      <c r="C240" s="120" t="s">
        <v>1092</v>
      </c>
      <c r="D240" s="120" t="s">
        <v>972</v>
      </c>
      <c r="E240" s="125" t="s">
        <v>1861</v>
      </c>
      <c r="F240" s="195">
        <f t="shared" si="163"/>
        <v>57.91</v>
      </c>
      <c r="G240" s="128">
        <v>57.52</v>
      </c>
      <c r="H240" s="133">
        <v>57.52</v>
      </c>
      <c r="I240" s="197">
        <f t="shared" si="161"/>
        <v>0</v>
      </c>
      <c r="J240" s="115" t="str">
        <f t="shared" si="159"/>
        <v>11R22.5-18PR-AZ850</v>
      </c>
      <c r="K240" s="193"/>
      <c r="L240" s="193"/>
      <c r="M240" s="193"/>
      <c r="N240" s="193"/>
      <c r="O240" s="193"/>
      <c r="P240" s="193"/>
      <c r="Q240" s="193"/>
      <c r="R240" s="193"/>
      <c r="S240" s="113" t="str">
        <f t="shared" si="156"/>
        <v/>
      </c>
      <c r="T240" s="193"/>
      <c r="U240" s="193"/>
      <c r="V240" s="193"/>
      <c r="W240" s="193"/>
      <c r="X240" s="193"/>
      <c r="Y240" s="193"/>
      <c r="Z240" s="193"/>
      <c r="AA240" s="193"/>
      <c r="AB240" s="113" t="str">
        <f t="shared" si="152"/>
        <v/>
      </c>
      <c r="BB240" s="113" t="str">
        <f t="shared" si="158"/>
        <v/>
      </c>
    </row>
    <row r="241" ht="13.8" customHeight="1" spans="2:54">
      <c r="B241" s="119" t="s">
        <v>1633</v>
      </c>
      <c r="C241" s="120" t="s">
        <v>1092</v>
      </c>
      <c r="D241" s="120" t="s">
        <v>1634</v>
      </c>
      <c r="E241" s="125" t="s">
        <v>1862</v>
      </c>
      <c r="F241" s="195">
        <f t="shared" si="163"/>
        <v>59.345</v>
      </c>
      <c r="G241" s="128">
        <v>58.955</v>
      </c>
      <c r="H241" s="133">
        <v>58.65</v>
      </c>
      <c r="I241" s="197">
        <f t="shared" si="161"/>
        <v>0.305</v>
      </c>
      <c r="J241" s="115" t="str">
        <f t="shared" si="159"/>
        <v>11R22.5-18PR-AS858</v>
      </c>
      <c r="K241" s="193"/>
      <c r="L241" s="193"/>
      <c r="M241" s="193"/>
      <c r="N241" s="193"/>
      <c r="O241" s="193"/>
      <c r="P241" s="193"/>
      <c r="Q241" s="193"/>
      <c r="R241" s="193"/>
      <c r="S241" s="113" t="str">
        <f t="shared" si="156"/>
        <v/>
      </c>
      <c r="T241" s="193"/>
      <c r="U241" s="193"/>
      <c r="V241" s="193"/>
      <c r="W241" s="193"/>
      <c r="X241" s="193"/>
      <c r="Y241" s="193"/>
      <c r="Z241" s="193"/>
      <c r="AA241" s="193"/>
      <c r="AB241" s="113" t="str">
        <f t="shared" si="152"/>
        <v/>
      </c>
      <c r="BB241" s="113" t="str">
        <f t="shared" si="158"/>
        <v/>
      </c>
    </row>
    <row r="242" ht="13.8" customHeight="1" spans="2:54">
      <c r="B242" s="119" t="s">
        <v>1633</v>
      </c>
      <c r="C242" s="120" t="s">
        <v>1092</v>
      </c>
      <c r="D242" s="121" t="s">
        <v>1638</v>
      </c>
      <c r="E242" s="125" t="s">
        <v>1862</v>
      </c>
      <c r="F242" s="196">
        <f t="shared" si="163"/>
        <v>59.345</v>
      </c>
      <c r="G242" s="128">
        <v>58.955</v>
      </c>
      <c r="H242" s="133">
        <v>58.65</v>
      </c>
      <c r="I242" s="197">
        <f t="shared" si="161"/>
        <v>0.305</v>
      </c>
      <c r="J242" s="115" t="str">
        <f t="shared" si="159"/>
        <v>11R22.5-18PR-AS868</v>
      </c>
      <c r="K242" s="193"/>
      <c r="L242" s="193"/>
      <c r="M242" s="193"/>
      <c r="N242" s="193"/>
      <c r="O242" s="193"/>
      <c r="P242" s="193"/>
      <c r="Q242" s="193"/>
      <c r="R242" s="193"/>
      <c r="S242" s="113" t="str">
        <f t="shared" si="156"/>
        <v/>
      </c>
      <c r="T242" s="193"/>
      <c r="U242" s="193"/>
      <c r="V242" s="193"/>
      <c r="W242" s="193"/>
      <c r="X242" s="193"/>
      <c r="Y242" s="193"/>
      <c r="Z242" s="193"/>
      <c r="AA242" s="193"/>
      <c r="AB242" s="113" t="str">
        <f t="shared" si="152"/>
        <v/>
      </c>
      <c r="BB242" s="113" t="str">
        <f t="shared" si="158"/>
        <v/>
      </c>
    </row>
    <row r="243" ht="13.8" customHeight="1" spans="2:54">
      <c r="B243" s="119" t="s">
        <v>1633</v>
      </c>
      <c r="C243" s="120" t="s">
        <v>1074</v>
      </c>
      <c r="D243" s="121" t="s">
        <v>1863</v>
      </c>
      <c r="E243" s="120" t="s">
        <v>1864</v>
      </c>
      <c r="F243" s="196">
        <f t="shared" si="163"/>
        <v>54.644</v>
      </c>
      <c r="G243" s="128">
        <v>54.254</v>
      </c>
      <c r="H243" s="133">
        <v>54.16</v>
      </c>
      <c r="I243" s="197">
        <f t="shared" si="161"/>
        <v>0.0940000000000012</v>
      </c>
      <c r="J243" s="115" t="str">
        <f t="shared" si="159"/>
        <v>11R22.5-16PR-H-RD</v>
      </c>
      <c r="K243" s="193"/>
      <c r="L243" s="193"/>
      <c r="M243" s="193"/>
      <c r="N243" s="193"/>
      <c r="O243" s="193"/>
      <c r="P243" s="193"/>
      <c r="Q243" s="193"/>
      <c r="R243" s="193"/>
      <c r="S243" s="113" t="str">
        <f t="shared" si="156"/>
        <v/>
      </c>
      <c r="T243" s="193"/>
      <c r="U243" s="193"/>
      <c r="V243" s="193"/>
      <c r="W243" s="193"/>
      <c r="X243" s="193"/>
      <c r="Y243" s="193"/>
      <c r="Z243" s="193"/>
      <c r="AA243" s="193"/>
      <c r="AB243" s="113" t="str">
        <f t="shared" si="152"/>
        <v/>
      </c>
      <c r="BB243" s="113" t="str">
        <f t="shared" si="158"/>
        <v/>
      </c>
    </row>
    <row r="244" ht="13.8" customHeight="1" spans="2:54">
      <c r="B244" s="119" t="s">
        <v>1633</v>
      </c>
      <c r="C244" s="120" t="s">
        <v>1074</v>
      </c>
      <c r="D244" s="121" t="s">
        <v>1450</v>
      </c>
      <c r="E244" s="120" t="s">
        <v>1865</v>
      </c>
      <c r="F244" s="196">
        <f>G244-2.82+3.22</f>
        <v>51.259</v>
      </c>
      <c r="G244" s="128">
        <v>50.859</v>
      </c>
      <c r="H244" s="133">
        <v>50.79</v>
      </c>
      <c r="I244" s="197">
        <f t="shared" si="161"/>
        <v>0.0690000000000026</v>
      </c>
      <c r="J244" s="115" t="str">
        <f t="shared" si="159"/>
        <v>11R22.5-16PR-AT196</v>
      </c>
      <c r="K244" s="193"/>
      <c r="L244" s="193"/>
      <c r="M244" s="193"/>
      <c r="N244" s="193"/>
      <c r="O244" s="193"/>
      <c r="P244" s="193"/>
      <c r="Q244" s="193"/>
      <c r="R244" s="193"/>
      <c r="S244" s="113" t="str">
        <f t="shared" si="156"/>
        <v/>
      </c>
      <c r="AB244" s="113" t="str">
        <f t="shared" si="152"/>
        <v/>
      </c>
      <c r="BB244" s="113" t="str">
        <f t="shared" si="158"/>
        <v/>
      </c>
    </row>
    <row r="245" ht="13.8" customHeight="1" spans="2:54">
      <c r="B245" s="119" t="s">
        <v>1633</v>
      </c>
      <c r="C245" s="120" t="s">
        <v>1074</v>
      </c>
      <c r="D245" s="121" t="s">
        <v>1490</v>
      </c>
      <c r="E245" s="120" t="s">
        <v>1866</v>
      </c>
      <c r="F245" s="196">
        <f>G245-2.82+3.22</f>
        <v>52.056</v>
      </c>
      <c r="G245" s="128">
        <v>51.656</v>
      </c>
      <c r="H245" s="133">
        <v>51.63</v>
      </c>
      <c r="I245" s="197">
        <f t="shared" si="161"/>
        <v>0.0259999999999962</v>
      </c>
      <c r="J245" s="115" t="str">
        <f t="shared" si="159"/>
        <v>11R22.5-16PR-AZ183</v>
      </c>
      <c r="K245" s="193"/>
      <c r="L245" s="193"/>
      <c r="M245" s="193"/>
      <c r="N245" s="193"/>
      <c r="O245" s="193"/>
      <c r="P245" s="193"/>
      <c r="Q245" s="193"/>
      <c r="R245" s="193"/>
      <c r="S245" s="113" t="str">
        <f t="shared" si="156"/>
        <v/>
      </c>
      <c r="AB245" s="113" t="str">
        <f t="shared" ref="AB245:AB308" si="164">_xlfn.TEXTJOIN("-",TRUE,T245,U245,V245)</f>
        <v/>
      </c>
      <c r="BB245" s="113" t="str">
        <f t="shared" si="158"/>
        <v/>
      </c>
    </row>
    <row r="246" ht="13.8" customHeight="1" spans="2:54">
      <c r="B246" s="119" t="s">
        <v>1633</v>
      </c>
      <c r="C246" s="120" t="s">
        <v>1074</v>
      </c>
      <c r="D246" s="121" t="s">
        <v>1867</v>
      </c>
      <c r="E246" s="120" t="s">
        <v>1868</v>
      </c>
      <c r="F246" s="196">
        <f>G246-3.43+3.82</f>
        <v>61.43</v>
      </c>
      <c r="G246" s="128">
        <v>61.04</v>
      </c>
      <c r="H246" s="133">
        <v>61.01</v>
      </c>
      <c r="I246" s="197">
        <f t="shared" si="161"/>
        <v>0.0300000000000011</v>
      </c>
      <c r="J246" s="115" t="str">
        <f t="shared" si="159"/>
        <v>11R22.5-16PR-X-Traveler SL91</v>
      </c>
      <c r="K246" s="193"/>
      <c r="L246" s="193"/>
      <c r="M246" s="193"/>
      <c r="N246" s="193"/>
      <c r="O246" s="193"/>
      <c r="P246" s="193"/>
      <c r="Q246" s="193"/>
      <c r="R246" s="193"/>
      <c r="S246" s="113" t="str">
        <f t="shared" si="156"/>
        <v/>
      </c>
      <c r="AB246" s="113" t="str">
        <f t="shared" si="164"/>
        <v/>
      </c>
      <c r="BB246" s="113" t="str">
        <f t="shared" si="158"/>
        <v/>
      </c>
    </row>
    <row r="247" ht="13.8" customHeight="1" spans="2:54">
      <c r="B247" s="119" t="s">
        <v>1633</v>
      </c>
      <c r="C247" s="120" t="s">
        <v>1074</v>
      </c>
      <c r="D247" s="121" t="s">
        <v>1734</v>
      </c>
      <c r="E247" s="120" t="s">
        <v>1869</v>
      </c>
      <c r="F247" s="196">
        <f>G247-2.78+3.17</f>
        <v>48.498</v>
      </c>
      <c r="G247" s="128">
        <v>48.108</v>
      </c>
      <c r="H247" s="133">
        <v>48.12</v>
      </c>
      <c r="I247" s="197">
        <f t="shared" si="161"/>
        <v>-0.0120000000000005</v>
      </c>
      <c r="J247" s="115" t="str">
        <f t="shared" si="159"/>
        <v>11R22.5-16PR-VT993</v>
      </c>
      <c r="K247" s="193"/>
      <c r="L247" s="193"/>
      <c r="M247" s="193"/>
      <c r="N247" s="193"/>
      <c r="O247" s="193"/>
      <c r="P247" s="193"/>
      <c r="Q247" s="193"/>
      <c r="R247" s="193"/>
      <c r="S247" s="113" t="str">
        <f t="shared" si="156"/>
        <v/>
      </c>
      <c r="AB247" s="113" t="str">
        <f t="shared" si="164"/>
        <v/>
      </c>
      <c r="BB247" s="113" t="str">
        <f t="shared" si="158"/>
        <v/>
      </c>
    </row>
    <row r="248" ht="13.8" customHeight="1" spans="2:54">
      <c r="B248" s="119" t="s">
        <v>1633</v>
      </c>
      <c r="C248" s="120" t="s">
        <v>1074</v>
      </c>
      <c r="D248" s="121" t="s">
        <v>1870</v>
      </c>
      <c r="E248" s="120" t="s">
        <v>1871</v>
      </c>
      <c r="F248" s="196">
        <f>G248-2.78+3.17</f>
        <v>58.766</v>
      </c>
      <c r="G248" s="128">
        <v>58.376</v>
      </c>
      <c r="H248" s="133">
        <v>58.29</v>
      </c>
      <c r="I248" s="197">
        <f t="shared" si="161"/>
        <v>0.0859999999999985</v>
      </c>
      <c r="J248" s="115" t="str">
        <f t="shared" si="159"/>
        <v>11R22.5-16PR-AD716+</v>
      </c>
      <c r="K248" s="193"/>
      <c r="L248" s="193"/>
      <c r="M248" s="193"/>
      <c r="N248" s="193"/>
      <c r="O248" s="193"/>
      <c r="P248" s="193"/>
      <c r="Q248" s="193"/>
      <c r="R248" s="193"/>
      <c r="S248" s="113" t="str">
        <f t="shared" si="156"/>
        <v/>
      </c>
      <c r="AB248" s="113" t="str">
        <f t="shared" si="164"/>
        <v/>
      </c>
      <c r="BB248" s="113" t="str">
        <f t="shared" si="158"/>
        <v/>
      </c>
    </row>
    <row r="249" ht="13.8" customHeight="1" spans="2:54">
      <c r="B249" s="206"/>
      <c r="C249" s="123"/>
      <c r="D249" s="123"/>
      <c r="E249" s="132"/>
      <c r="F249" s="130"/>
      <c r="G249" s="130"/>
      <c r="H249" s="137"/>
      <c r="I249" s="151"/>
      <c r="J249" s="115" t="str">
        <f t="shared" si="159"/>
        <v/>
      </c>
      <c r="K249" s="193"/>
      <c r="L249" s="193"/>
      <c r="M249" s="193"/>
      <c r="N249" s="193"/>
      <c r="O249" s="193"/>
      <c r="P249" s="193"/>
      <c r="Q249" s="193"/>
      <c r="R249" s="193"/>
      <c r="S249" s="113" t="str">
        <f t="shared" si="156"/>
        <v/>
      </c>
      <c r="AB249" s="113" t="str">
        <f t="shared" si="164"/>
        <v/>
      </c>
      <c r="BB249" s="113" t="str">
        <f t="shared" si="158"/>
        <v/>
      </c>
    </row>
    <row r="250" spans="2:54">
      <c r="B250" s="119" t="s">
        <v>1872</v>
      </c>
      <c r="C250" s="120" t="s">
        <v>1074</v>
      </c>
      <c r="D250" s="120" t="s">
        <v>1739</v>
      </c>
      <c r="E250" s="120" t="s">
        <v>1873</v>
      </c>
      <c r="F250" s="128">
        <f t="shared" ref="F250:F271" si="165">G250-3.042+3.472</f>
        <v>65.541</v>
      </c>
      <c r="G250" s="128">
        <v>65.111</v>
      </c>
      <c r="H250" s="133">
        <v>62.57</v>
      </c>
      <c r="I250" s="197">
        <f t="shared" ref="I250:I313" si="166">G250-H250</f>
        <v>2.541</v>
      </c>
      <c r="J250" s="115" t="str">
        <f t="shared" si="159"/>
        <v>11R24.5-16PR-ZM41</v>
      </c>
      <c r="K250" s="193"/>
      <c r="L250" s="193"/>
      <c r="M250" s="193"/>
      <c r="N250" s="193"/>
      <c r="O250" s="193"/>
      <c r="P250" s="193"/>
      <c r="Q250" s="193"/>
      <c r="R250" s="193"/>
      <c r="S250" s="113" t="str">
        <f t="shared" si="156"/>
        <v/>
      </c>
      <c r="AB250" s="113" t="str">
        <f t="shared" si="164"/>
        <v/>
      </c>
      <c r="BB250" s="113" t="str">
        <f t="shared" si="158"/>
        <v/>
      </c>
    </row>
    <row r="251" spans="2:54">
      <c r="B251" s="119" t="s">
        <v>1872</v>
      </c>
      <c r="C251" s="120" t="s">
        <v>1074</v>
      </c>
      <c r="D251" s="120" t="s">
        <v>1719</v>
      </c>
      <c r="E251" s="125" t="s">
        <v>1874</v>
      </c>
      <c r="F251" s="128">
        <f t="shared" si="165"/>
        <v>60.413</v>
      </c>
      <c r="G251" s="128">
        <v>59.983</v>
      </c>
      <c r="H251" s="133">
        <v>59.3876</v>
      </c>
      <c r="I251" s="197">
        <f t="shared" si="166"/>
        <v>0.595399999999998</v>
      </c>
      <c r="J251" s="115" t="str">
        <f t="shared" si="159"/>
        <v>11R24.5-16PR-W-Elite SL11</v>
      </c>
      <c r="K251" s="193"/>
      <c r="L251" s="193"/>
      <c r="M251" s="193"/>
      <c r="N251" s="193"/>
      <c r="O251" s="193"/>
      <c r="P251" s="193"/>
      <c r="Q251" s="193"/>
      <c r="R251" s="193"/>
      <c r="S251" s="113" t="str">
        <f t="shared" si="156"/>
        <v/>
      </c>
      <c r="AB251" s="113" t="str">
        <f t="shared" si="164"/>
        <v/>
      </c>
      <c r="BB251" s="113" t="str">
        <f t="shared" si="158"/>
        <v/>
      </c>
    </row>
    <row r="252" ht="13.8" customHeight="1" spans="2:54">
      <c r="B252" s="119" t="s">
        <v>1872</v>
      </c>
      <c r="C252" s="120" t="s">
        <v>1074</v>
      </c>
      <c r="D252" s="120" t="s">
        <v>1724</v>
      </c>
      <c r="E252" s="125" t="s">
        <v>1874</v>
      </c>
      <c r="F252" s="128">
        <f t="shared" si="165"/>
        <v>60.413</v>
      </c>
      <c r="G252" s="128">
        <v>59.983</v>
      </c>
      <c r="H252" s="133">
        <v>59.3876</v>
      </c>
      <c r="I252" s="197">
        <f t="shared" si="166"/>
        <v>0.595399999999998</v>
      </c>
      <c r="J252" s="115" t="str">
        <f t="shared" si="159"/>
        <v>11R24.5-16PR-VA996</v>
      </c>
      <c r="K252" s="193"/>
      <c r="L252" s="193"/>
      <c r="M252" s="193"/>
      <c r="N252" s="193"/>
      <c r="O252" s="193"/>
      <c r="P252" s="193"/>
      <c r="Q252" s="193"/>
      <c r="R252" s="193"/>
      <c r="S252" s="113" t="str">
        <f t="shared" si="156"/>
        <v/>
      </c>
      <c r="AB252" s="113" t="str">
        <f t="shared" si="164"/>
        <v/>
      </c>
      <c r="BB252" s="113" t="str">
        <f t="shared" si="158"/>
        <v/>
      </c>
    </row>
    <row r="253" ht="13.8" customHeight="1" spans="2:54">
      <c r="B253" s="119" t="s">
        <v>1872</v>
      </c>
      <c r="C253" s="120" t="s">
        <v>1074</v>
      </c>
      <c r="D253" s="120" t="s">
        <v>1729</v>
      </c>
      <c r="E253" s="125" t="s">
        <v>1874</v>
      </c>
      <c r="F253" s="128">
        <f t="shared" si="165"/>
        <v>60.413</v>
      </c>
      <c r="G253" s="128">
        <v>59.983</v>
      </c>
      <c r="H253" s="133">
        <v>59.3876</v>
      </c>
      <c r="I253" s="197">
        <f t="shared" si="166"/>
        <v>0.595399999999998</v>
      </c>
      <c r="J253" s="115" t="str">
        <f t="shared" si="159"/>
        <v>11R24.5-16PR-PS221</v>
      </c>
      <c r="K253" s="193"/>
      <c r="L253" s="193"/>
      <c r="M253" s="193"/>
      <c r="N253" s="193"/>
      <c r="O253" s="193"/>
      <c r="P253" s="193"/>
      <c r="Q253" s="193"/>
      <c r="R253" s="193"/>
      <c r="S253" s="113" t="str">
        <f t="shared" si="156"/>
        <v/>
      </c>
      <c r="AB253" s="113" t="str">
        <f t="shared" si="164"/>
        <v/>
      </c>
      <c r="BB253" s="113" t="str">
        <f t="shared" si="158"/>
        <v/>
      </c>
    </row>
    <row r="254" ht="13.8" customHeight="1" spans="2:54">
      <c r="B254" s="119" t="s">
        <v>1872</v>
      </c>
      <c r="C254" s="120" t="s">
        <v>1074</v>
      </c>
      <c r="D254" s="120" t="s">
        <v>1726</v>
      </c>
      <c r="E254" s="125" t="s">
        <v>1874</v>
      </c>
      <c r="F254" s="128">
        <f t="shared" si="165"/>
        <v>60.413</v>
      </c>
      <c r="G254" s="128">
        <v>59.983</v>
      </c>
      <c r="H254" s="133">
        <v>59.3876</v>
      </c>
      <c r="I254" s="197">
        <f t="shared" si="166"/>
        <v>0.595399999999998</v>
      </c>
      <c r="J254" s="115" t="str">
        <f t="shared" si="159"/>
        <v>11R24.5-16PR-AS200</v>
      </c>
      <c r="K254" s="193"/>
      <c r="L254" s="193"/>
      <c r="M254" s="193"/>
      <c r="N254" s="193"/>
      <c r="O254" s="193"/>
      <c r="P254" s="193"/>
      <c r="Q254" s="193"/>
      <c r="R254" s="193"/>
      <c r="S254" s="113" t="str">
        <f t="shared" si="156"/>
        <v/>
      </c>
      <c r="AB254" s="113" t="str">
        <f t="shared" si="164"/>
        <v/>
      </c>
      <c r="BB254" s="113" t="str">
        <f t="shared" si="158"/>
        <v/>
      </c>
    </row>
    <row r="255" spans="2:54">
      <c r="B255" s="119" t="s">
        <v>1872</v>
      </c>
      <c r="C255" s="120" t="s">
        <v>1074</v>
      </c>
      <c r="D255" s="120" t="s">
        <v>1737</v>
      </c>
      <c r="E255" s="120" t="s">
        <v>1875</v>
      </c>
      <c r="F255" s="128">
        <f t="shared" si="165"/>
        <v>61.812</v>
      </c>
      <c r="G255" s="128">
        <v>61.382</v>
      </c>
      <c r="H255" s="133">
        <v>61.4342</v>
      </c>
      <c r="I255" s="197">
        <f t="shared" si="166"/>
        <v>-0.0521999999999991</v>
      </c>
      <c r="J255" s="115" t="str">
        <f t="shared" si="159"/>
        <v>11R24.5-16PR-ZA12</v>
      </c>
      <c r="K255" s="193"/>
      <c r="L255" s="193"/>
      <c r="M255" s="193"/>
      <c r="N255" s="193"/>
      <c r="O255" s="193"/>
      <c r="P255" s="193"/>
      <c r="Q255" s="193"/>
      <c r="R255" s="193"/>
      <c r="S255" s="113" t="str">
        <f t="shared" si="156"/>
        <v/>
      </c>
      <c r="AB255" s="113" t="str">
        <f t="shared" si="164"/>
        <v/>
      </c>
      <c r="BB255" s="113" t="str">
        <f t="shared" si="158"/>
        <v/>
      </c>
    </row>
    <row r="256" spans="2:54">
      <c r="B256" s="119" t="s">
        <v>1872</v>
      </c>
      <c r="C256" s="120" t="s">
        <v>1074</v>
      </c>
      <c r="D256" s="120" t="s">
        <v>1703</v>
      </c>
      <c r="E256" s="120" t="s">
        <v>1876</v>
      </c>
      <c r="F256" s="128">
        <f t="shared" si="165"/>
        <v>68.135</v>
      </c>
      <c r="G256" s="128">
        <v>67.705</v>
      </c>
      <c r="H256" s="133">
        <v>66.5661</v>
      </c>
      <c r="I256" s="197">
        <f t="shared" si="166"/>
        <v>1.13889999999999</v>
      </c>
      <c r="J256" s="115" t="str">
        <f t="shared" si="159"/>
        <v>11R24.5-16PR-DL21</v>
      </c>
      <c r="K256" s="193"/>
      <c r="L256" s="193"/>
      <c r="M256" s="193"/>
      <c r="N256" s="193"/>
      <c r="O256" s="193"/>
      <c r="P256" s="193"/>
      <c r="Q256" s="193"/>
      <c r="R256" s="193"/>
      <c r="S256" s="113" t="str">
        <f t="shared" si="156"/>
        <v/>
      </c>
      <c r="AB256" s="113" t="str">
        <f t="shared" si="164"/>
        <v/>
      </c>
      <c r="BB256" s="113" t="str">
        <f t="shared" si="158"/>
        <v/>
      </c>
    </row>
    <row r="257" ht="27.6" customHeight="1" spans="2:54">
      <c r="B257" s="119" t="s">
        <v>1872</v>
      </c>
      <c r="C257" s="120" t="s">
        <v>1074</v>
      </c>
      <c r="D257" s="120" t="s">
        <v>1877</v>
      </c>
      <c r="E257" s="125" t="s">
        <v>1878</v>
      </c>
      <c r="F257" s="128">
        <f t="shared" si="165"/>
        <v>65.667</v>
      </c>
      <c r="G257" s="128">
        <v>65.237</v>
      </c>
      <c r="H257" s="133">
        <v>64.9421</v>
      </c>
      <c r="I257" s="197">
        <f t="shared" si="166"/>
        <v>0.294899999999998</v>
      </c>
      <c r="J257" s="115" t="str">
        <f t="shared" si="159"/>
        <v>11R24.5-16PR-DL22</v>
      </c>
      <c r="K257" s="193"/>
      <c r="L257" s="193"/>
      <c r="M257" s="193"/>
      <c r="N257" s="193"/>
      <c r="O257" s="193"/>
      <c r="P257" s="193"/>
      <c r="Q257" s="193"/>
      <c r="R257" s="193"/>
      <c r="S257" s="113" t="str">
        <f t="shared" si="156"/>
        <v/>
      </c>
      <c r="AB257" s="113" t="str">
        <f t="shared" si="164"/>
        <v/>
      </c>
      <c r="BB257" s="113" t="str">
        <f t="shared" si="158"/>
        <v/>
      </c>
    </row>
    <row r="258" ht="13.8" customHeight="1" spans="2:54">
      <c r="B258" s="119" t="s">
        <v>1872</v>
      </c>
      <c r="C258" s="120" t="s">
        <v>1074</v>
      </c>
      <c r="D258" s="120" t="s">
        <v>1879</v>
      </c>
      <c r="E258" s="125" t="s">
        <v>1878</v>
      </c>
      <c r="F258" s="128">
        <f t="shared" si="165"/>
        <v>65.667</v>
      </c>
      <c r="G258" s="128">
        <v>65.237</v>
      </c>
      <c r="H258" s="133">
        <v>64.9421</v>
      </c>
      <c r="I258" s="197">
        <f t="shared" si="166"/>
        <v>0.294899999999998</v>
      </c>
      <c r="J258" s="115" t="str">
        <f t="shared" si="159"/>
        <v>11R24.5-16PR-DA23</v>
      </c>
      <c r="K258" s="193"/>
      <c r="L258" s="193"/>
      <c r="M258" s="193"/>
      <c r="N258" s="193"/>
      <c r="O258" s="193"/>
      <c r="P258" s="193"/>
      <c r="Q258" s="193"/>
      <c r="R258" s="193"/>
      <c r="S258" s="113" t="str">
        <f t="shared" si="156"/>
        <v/>
      </c>
      <c r="AB258" s="113" t="str">
        <f t="shared" si="164"/>
        <v/>
      </c>
      <c r="BB258" s="113" t="str">
        <f t="shared" si="158"/>
        <v/>
      </c>
    </row>
    <row r="259" spans="2:54">
      <c r="B259" s="119" t="s">
        <v>1872</v>
      </c>
      <c r="C259" s="120" t="s">
        <v>1074</v>
      </c>
      <c r="D259" s="120" t="s">
        <v>1718</v>
      </c>
      <c r="E259" s="125" t="s">
        <v>1878</v>
      </c>
      <c r="F259" s="128">
        <f t="shared" si="165"/>
        <v>65.667</v>
      </c>
      <c r="G259" s="128">
        <v>65.237</v>
      </c>
      <c r="H259" s="133">
        <v>64.9421</v>
      </c>
      <c r="I259" s="197">
        <f t="shared" si="166"/>
        <v>0.294899999999998</v>
      </c>
      <c r="J259" s="115" t="str">
        <f t="shared" si="159"/>
        <v>11R24.5-16PR-PD211</v>
      </c>
      <c r="K259" s="193"/>
      <c r="L259" s="193"/>
      <c r="M259" s="193"/>
      <c r="N259" s="193"/>
      <c r="O259" s="193"/>
      <c r="P259" s="193"/>
      <c r="Q259" s="193"/>
      <c r="R259" s="193"/>
      <c r="S259" s="113" t="str">
        <f t="shared" si="156"/>
        <v/>
      </c>
      <c r="AB259" s="113" t="str">
        <f t="shared" si="164"/>
        <v/>
      </c>
      <c r="BB259" s="113" t="str">
        <f t="shared" si="158"/>
        <v/>
      </c>
    </row>
    <row r="260" ht="13.8" customHeight="1" spans="2:54">
      <c r="B260" s="119" t="s">
        <v>1872</v>
      </c>
      <c r="C260" s="120" t="s">
        <v>1074</v>
      </c>
      <c r="D260" s="120" t="s">
        <v>1714</v>
      </c>
      <c r="E260" s="125" t="s">
        <v>1878</v>
      </c>
      <c r="F260" s="128">
        <f t="shared" si="165"/>
        <v>65.667</v>
      </c>
      <c r="G260" s="128">
        <v>65.237</v>
      </c>
      <c r="H260" s="133">
        <v>64.9421</v>
      </c>
      <c r="I260" s="197">
        <f t="shared" si="166"/>
        <v>0.294899999999998</v>
      </c>
      <c r="J260" s="115" t="str">
        <f t="shared" si="159"/>
        <v>11R24.5-16PR-AD600</v>
      </c>
      <c r="K260" s="193"/>
      <c r="L260" s="193"/>
      <c r="M260" s="193"/>
      <c r="N260" s="193"/>
      <c r="O260" s="193"/>
      <c r="P260" s="193"/>
      <c r="Q260" s="193"/>
      <c r="R260" s="193"/>
      <c r="S260" s="113" t="str">
        <f t="shared" si="156"/>
        <v/>
      </c>
      <c r="AB260" s="113" t="str">
        <f t="shared" si="164"/>
        <v/>
      </c>
      <c r="BB260" s="113" t="str">
        <f t="shared" si="158"/>
        <v/>
      </c>
    </row>
    <row r="261" ht="13.8" customHeight="1" spans="2:54">
      <c r="B261" s="119" t="s">
        <v>1872</v>
      </c>
      <c r="C261" s="120" t="s">
        <v>1074</v>
      </c>
      <c r="D261" s="120" t="s">
        <v>1742</v>
      </c>
      <c r="E261" s="120" t="s">
        <v>1880</v>
      </c>
      <c r="F261" s="128">
        <f t="shared" si="165"/>
        <v>56.959</v>
      </c>
      <c r="G261" s="128">
        <v>56.529</v>
      </c>
      <c r="H261" s="133">
        <v>56.42</v>
      </c>
      <c r="I261" s="197">
        <f t="shared" si="166"/>
        <v>0.109000000000002</v>
      </c>
      <c r="J261" s="115" t="str">
        <f t="shared" si="159"/>
        <v>11R24.5-16PR-I-19A</v>
      </c>
      <c r="K261" s="193"/>
      <c r="L261" s="193"/>
      <c r="M261" s="193"/>
      <c r="N261" s="193"/>
      <c r="O261" s="193"/>
      <c r="P261" s="193"/>
      <c r="Q261" s="193"/>
      <c r="R261" s="193"/>
      <c r="S261" s="113" t="str">
        <f t="shared" ref="S261:S324" si="167">_xlfn.TEXTJOIN("-",TRUE,K261,L261,M261)</f>
        <v/>
      </c>
      <c r="AB261" s="113" t="str">
        <f t="shared" si="164"/>
        <v/>
      </c>
      <c r="BB261" s="113" t="str">
        <f t="shared" ref="BB261:BB324" si="168">_xlfn.TEXTJOIN("-",TRUE,AU261,AW261)</f>
        <v/>
      </c>
    </row>
    <row r="262" spans="2:54">
      <c r="B262" s="119" t="s">
        <v>1872</v>
      </c>
      <c r="C262" s="120" t="s">
        <v>1074</v>
      </c>
      <c r="D262" s="120" t="s">
        <v>1745</v>
      </c>
      <c r="E262" s="120" t="s">
        <v>1880</v>
      </c>
      <c r="F262" s="128">
        <f t="shared" si="165"/>
        <v>56.959</v>
      </c>
      <c r="G262" s="128">
        <v>56.529</v>
      </c>
      <c r="H262" s="133">
        <v>56.42</v>
      </c>
      <c r="I262" s="197">
        <f t="shared" si="166"/>
        <v>0.109000000000002</v>
      </c>
      <c r="J262" s="115" t="str">
        <f t="shared" si="159"/>
        <v>11R24.5-16PR-I-61S</v>
      </c>
      <c r="K262" s="193"/>
      <c r="L262" s="193"/>
      <c r="M262" s="193"/>
      <c r="N262" s="193"/>
      <c r="O262" s="193"/>
      <c r="P262" s="193"/>
      <c r="Q262" s="193"/>
      <c r="R262" s="193"/>
      <c r="S262" s="113" t="str">
        <f t="shared" si="167"/>
        <v/>
      </c>
      <c r="AB262" s="113" t="str">
        <f t="shared" si="164"/>
        <v/>
      </c>
      <c r="BB262" s="113" t="str">
        <f t="shared" si="168"/>
        <v/>
      </c>
    </row>
    <row r="263" ht="13.8" customHeight="1" spans="2:54">
      <c r="B263" s="119" t="s">
        <v>1872</v>
      </c>
      <c r="C263" s="120" t="s">
        <v>1074</v>
      </c>
      <c r="D263" s="120" t="s">
        <v>1687</v>
      </c>
      <c r="E263" s="120" t="s">
        <v>1881</v>
      </c>
      <c r="F263" s="128">
        <f t="shared" si="165"/>
        <v>55.455</v>
      </c>
      <c r="G263" s="128">
        <v>55.025</v>
      </c>
      <c r="H263" s="133">
        <v>54.9461</v>
      </c>
      <c r="I263" s="197">
        <f t="shared" si="166"/>
        <v>0.0788999999999973</v>
      </c>
      <c r="J263" s="115" t="str">
        <f t="shared" si="159"/>
        <v>11R24.5-16PR-AT563</v>
      </c>
      <c r="K263" s="193"/>
      <c r="L263" s="193"/>
      <c r="M263" s="193"/>
      <c r="N263" s="193"/>
      <c r="O263" s="193"/>
      <c r="P263" s="193"/>
      <c r="Q263" s="193"/>
      <c r="R263" s="193"/>
      <c r="S263" s="113" t="str">
        <f t="shared" si="167"/>
        <v/>
      </c>
      <c r="AB263" s="113" t="str">
        <f t="shared" si="164"/>
        <v/>
      </c>
      <c r="BB263" s="113" t="str">
        <f t="shared" si="168"/>
        <v/>
      </c>
    </row>
    <row r="264" ht="13.8" customHeight="1" spans="2:54">
      <c r="B264" s="119" t="s">
        <v>1872</v>
      </c>
      <c r="C264" s="120" t="s">
        <v>1074</v>
      </c>
      <c r="D264" s="120" t="s">
        <v>1746</v>
      </c>
      <c r="E264" s="120" t="s">
        <v>1882</v>
      </c>
      <c r="F264" s="128">
        <f t="shared" si="165"/>
        <v>59.86</v>
      </c>
      <c r="G264" s="128">
        <v>59.43</v>
      </c>
      <c r="H264" s="133">
        <v>60.1356</v>
      </c>
      <c r="I264" s="197">
        <f t="shared" si="166"/>
        <v>-0.705599999999997</v>
      </c>
      <c r="J264" s="115" t="str">
        <f t="shared" si="159"/>
        <v>11R24.5-16PR-CM980</v>
      </c>
      <c r="K264" s="193"/>
      <c r="L264" s="193"/>
      <c r="M264" s="193"/>
      <c r="N264" s="193"/>
      <c r="O264" s="193"/>
      <c r="P264" s="193"/>
      <c r="Q264" s="193"/>
      <c r="R264" s="193"/>
      <c r="S264" s="113" t="str">
        <f t="shared" si="167"/>
        <v/>
      </c>
      <c r="AB264" s="113" t="str">
        <f t="shared" si="164"/>
        <v/>
      </c>
      <c r="BB264" s="113" t="str">
        <f t="shared" si="168"/>
        <v/>
      </c>
    </row>
    <row r="265" spans="2:54">
      <c r="B265" s="119" t="s">
        <v>1872</v>
      </c>
      <c r="C265" s="120" t="s">
        <v>1074</v>
      </c>
      <c r="D265" s="120" t="s">
        <v>1751</v>
      </c>
      <c r="E265" s="120" t="s">
        <v>1883</v>
      </c>
      <c r="F265" s="128">
        <f t="shared" si="165"/>
        <v>56.422</v>
      </c>
      <c r="G265" s="128">
        <v>55.992</v>
      </c>
      <c r="H265" s="133">
        <v>55.9075</v>
      </c>
      <c r="I265" s="197">
        <f t="shared" si="166"/>
        <v>0.0844999999999985</v>
      </c>
      <c r="J265" s="115" t="str">
        <f t="shared" ref="J265:J328" si="169">_xlfn.TEXTJOIN("-",TRUE,B265,C265,D265)</f>
        <v>11R24.5-16PR-CR960A</v>
      </c>
      <c r="K265" s="193"/>
      <c r="L265" s="193"/>
      <c r="M265" s="193"/>
      <c r="N265" s="193"/>
      <c r="O265" s="193"/>
      <c r="P265" s="193"/>
      <c r="Q265" s="193"/>
      <c r="R265" s="193"/>
      <c r="S265" s="113" t="str">
        <f t="shared" si="167"/>
        <v/>
      </c>
      <c r="AB265" s="113" t="str">
        <f t="shared" si="164"/>
        <v/>
      </c>
      <c r="BB265" s="113" t="str">
        <f t="shared" si="168"/>
        <v/>
      </c>
    </row>
    <row r="266" spans="2:54">
      <c r="B266" s="119" t="s">
        <v>1872</v>
      </c>
      <c r="C266" s="120" t="s">
        <v>1074</v>
      </c>
      <c r="D266" s="120" t="s">
        <v>1755</v>
      </c>
      <c r="E266" s="120" t="s">
        <v>1883</v>
      </c>
      <c r="F266" s="128">
        <f t="shared" si="165"/>
        <v>56.422</v>
      </c>
      <c r="G266" s="128">
        <v>55.992</v>
      </c>
      <c r="H266" s="133">
        <v>55.9075</v>
      </c>
      <c r="I266" s="197">
        <f t="shared" si="166"/>
        <v>0.0844999999999985</v>
      </c>
      <c r="J266" s="115" t="str">
        <f t="shared" si="169"/>
        <v>11R24.5-16PR-RLINE-A1</v>
      </c>
      <c r="K266" s="193"/>
      <c r="L266" s="193"/>
      <c r="M266" s="193"/>
      <c r="N266" s="193"/>
      <c r="O266" s="193"/>
      <c r="P266" s="193"/>
      <c r="Q266" s="193"/>
      <c r="R266" s="193"/>
      <c r="S266" s="113" t="str">
        <f t="shared" si="167"/>
        <v/>
      </c>
      <c r="AB266" s="113" t="str">
        <f t="shared" si="164"/>
        <v/>
      </c>
      <c r="BB266" s="113" t="str">
        <f t="shared" si="168"/>
        <v/>
      </c>
    </row>
    <row r="267" ht="13.8" customHeight="1" spans="2:54">
      <c r="B267" s="119" t="s">
        <v>1872</v>
      </c>
      <c r="C267" s="120" t="s">
        <v>1074</v>
      </c>
      <c r="D267" s="120" t="s">
        <v>1697</v>
      </c>
      <c r="E267" s="120" t="s">
        <v>1884</v>
      </c>
      <c r="F267" s="128">
        <f t="shared" si="165"/>
        <v>66.015</v>
      </c>
      <c r="G267" s="128">
        <v>65.585</v>
      </c>
      <c r="H267" s="133">
        <v>64.8583</v>
      </c>
      <c r="I267" s="197">
        <f t="shared" si="166"/>
        <v>0.726699999999994</v>
      </c>
      <c r="J267" s="115" t="str">
        <f t="shared" si="169"/>
        <v>11R24.5-16PR-VXD932</v>
      </c>
      <c r="K267" s="193"/>
      <c r="L267" s="193"/>
      <c r="M267" s="193"/>
      <c r="N267" s="193"/>
      <c r="O267" s="193"/>
      <c r="P267" s="193"/>
      <c r="Q267" s="193"/>
      <c r="R267" s="193"/>
      <c r="S267" s="113" t="str">
        <f t="shared" si="167"/>
        <v/>
      </c>
      <c r="AB267" s="113" t="str">
        <f t="shared" si="164"/>
        <v/>
      </c>
      <c r="BB267" s="113" t="str">
        <f t="shared" si="168"/>
        <v/>
      </c>
    </row>
    <row r="268" ht="13.8" customHeight="1" spans="2:54">
      <c r="B268" s="119" t="s">
        <v>1872</v>
      </c>
      <c r="C268" s="120" t="s">
        <v>1074</v>
      </c>
      <c r="D268" s="120" t="s">
        <v>1756</v>
      </c>
      <c r="E268" s="120" t="s">
        <v>1885</v>
      </c>
      <c r="F268" s="128">
        <f t="shared" si="165"/>
        <v>66.778</v>
      </c>
      <c r="G268" s="128">
        <v>66.348</v>
      </c>
      <c r="H268" s="133">
        <v>65.0427</v>
      </c>
      <c r="I268" s="197">
        <f t="shared" si="166"/>
        <v>1.3053</v>
      </c>
      <c r="J268" s="115" t="str">
        <f t="shared" si="169"/>
        <v>11R24.5-16PR-VD998</v>
      </c>
      <c r="K268" s="193"/>
      <c r="L268" s="193"/>
      <c r="M268" s="193"/>
      <c r="N268" s="193"/>
      <c r="O268" s="193"/>
      <c r="P268" s="193"/>
      <c r="Q268" s="193"/>
      <c r="R268" s="193"/>
      <c r="S268" s="113" t="str">
        <f t="shared" si="167"/>
        <v/>
      </c>
      <c r="AB268" s="113" t="str">
        <f t="shared" si="164"/>
        <v/>
      </c>
      <c r="BB268" s="113" t="str">
        <f t="shared" si="168"/>
        <v/>
      </c>
    </row>
    <row r="269" spans="2:54">
      <c r="B269" s="119" t="s">
        <v>1872</v>
      </c>
      <c r="C269" s="120" t="s">
        <v>1074</v>
      </c>
      <c r="D269" s="120" t="s">
        <v>1760</v>
      </c>
      <c r="E269" s="120" t="s">
        <v>1885</v>
      </c>
      <c r="F269" s="128">
        <f t="shared" si="165"/>
        <v>66.778</v>
      </c>
      <c r="G269" s="128">
        <v>66.348</v>
      </c>
      <c r="H269" s="133">
        <v>65.0427</v>
      </c>
      <c r="I269" s="197">
        <f t="shared" si="166"/>
        <v>1.3053</v>
      </c>
      <c r="J269" s="115" t="str">
        <f t="shared" si="169"/>
        <v>11R24.5-16PR-VD908</v>
      </c>
      <c r="K269" s="193"/>
      <c r="L269" s="193"/>
      <c r="M269" s="193"/>
      <c r="N269" s="193"/>
      <c r="O269" s="193"/>
      <c r="P269" s="193"/>
      <c r="Q269" s="193"/>
      <c r="R269" s="193"/>
      <c r="S269" s="113" t="str">
        <f t="shared" si="167"/>
        <v/>
      </c>
      <c r="AB269" s="113" t="str">
        <f t="shared" si="164"/>
        <v/>
      </c>
      <c r="BB269" s="113" t="str">
        <f t="shared" si="168"/>
        <v/>
      </c>
    </row>
    <row r="270" spans="2:54">
      <c r="B270" s="119" t="s">
        <v>1872</v>
      </c>
      <c r="C270" s="120" t="s">
        <v>1074</v>
      </c>
      <c r="D270" s="120" t="s">
        <v>1761</v>
      </c>
      <c r="E270" s="120" t="s">
        <v>1886</v>
      </c>
      <c r="F270" s="128">
        <f t="shared" si="165"/>
        <v>61.625</v>
      </c>
      <c r="G270" s="128">
        <v>61.195</v>
      </c>
      <c r="H270" s="133">
        <v>61.1145</v>
      </c>
      <c r="I270" s="197">
        <f t="shared" si="166"/>
        <v>0.0805000000000007</v>
      </c>
      <c r="J270" s="115" t="str">
        <f t="shared" si="169"/>
        <v>11R24.5-16PR-VA991</v>
      </c>
      <c r="K270" s="193"/>
      <c r="L270" s="193"/>
      <c r="M270" s="193"/>
      <c r="N270" s="193"/>
      <c r="O270" s="193"/>
      <c r="P270" s="193"/>
      <c r="Q270" s="193"/>
      <c r="R270" s="193"/>
      <c r="S270" s="113" t="str">
        <f t="shared" si="167"/>
        <v/>
      </c>
      <c r="AB270" s="113" t="str">
        <f t="shared" si="164"/>
        <v/>
      </c>
      <c r="BB270" s="113" t="str">
        <f t="shared" si="168"/>
        <v/>
      </c>
    </row>
    <row r="271" spans="2:54">
      <c r="B271" s="119" t="s">
        <v>1872</v>
      </c>
      <c r="C271" s="120" t="s">
        <v>1074</v>
      </c>
      <c r="D271" s="120" t="s">
        <v>1765</v>
      </c>
      <c r="E271" s="120" t="s">
        <v>1887</v>
      </c>
      <c r="F271" s="128">
        <f t="shared" si="165"/>
        <v>64.354</v>
      </c>
      <c r="G271" s="128">
        <v>63.924</v>
      </c>
      <c r="H271" s="133">
        <v>63.8425</v>
      </c>
      <c r="I271" s="197">
        <f t="shared" si="166"/>
        <v>0.0814999999999984</v>
      </c>
      <c r="J271" s="115" t="str">
        <f t="shared" si="169"/>
        <v>11R24.5-16PR-VDM924</v>
      </c>
      <c r="K271" s="193"/>
      <c r="L271" s="193"/>
      <c r="M271" s="193"/>
      <c r="N271" s="193"/>
      <c r="O271" s="193"/>
      <c r="P271" s="193"/>
      <c r="Q271" s="193"/>
      <c r="R271" s="193"/>
      <c r="S271" s="113" t="str">
        <f t="shared" si="167"/>
        <v/>
      </c>
      <c r="AB271" s="113" t="str">
        <f t="shared" si="164"/>
        <v/>
      </c>
      <c r="BB271" s="113" t="str">
        <f t="shared" si="168"/>
        <v/>
      </c>
    </row>
    <row r="272" spans="2:54">
      <c r="B272" s="119" t="s">
        <v>1872</v>
      </c>
      <c r="C272" s="120" t="s">
        <v>1074</v>
      </c>
      <c r="D272" s="120" t="s">
        <v>1793</v>
      </c>
      <c r="E272" s="125" t="s">
        <v>1888</v>
      </c>
      <c r="F272" s="128">
        <f t="shared" ref="F272:F275" si="170">G272-3.091+3.528</f>
        <v>55.014</v>
      </c>
      <c r="G272" s="128">
        <v>54.577</v>
      </c>
      <c r="H272" s="133">
        <v>54.4218</v>
      </c>
      <c r="I272" s="197">
        <f t="shared" si="166"/>
        <v>0.155200000000001</v>
      </c>
      <c r="J272" s="115" t="str">
        <f t="shared" si="169"/>
        <v>11R24.5-16PR-AT167</v>
      </c>
      <c r="K272" s="193"/>
      <c r="L272" s="193"/>
      <c r="M272" s="193"/>
      <c r="N272" s="193"/>
      <c r="O272" s="193"/>
      <c r="P272" s="193"/>
      <c r="Q272" s="193"/>
      <c r="R272" s="193"/>
      <c r="S272" s="113" t="str">
        <f t="shared" si="167"/>
        <v/>
      </c>
      <c r="AB272" s="113" t="str">
        <f t="shared" si="164"/>
        <v/>
      </c>
      <c r="BB272" s="113" t="str">
        <f t="shared" si="168"/>
        <v/>
      </c>
    </row>
    <row r="273" ht="13.8" customHeight="1" spans="2:54">
      <c r="B273" s="119" t="s">
        <v>1872</v>
      </c>
      <c r="C273" s="120" t="s">
        <v>1074</v>
      </c>
      <c r="D273" s="120" t="s">
        <v>1791</v>
      </c>
      <c r="E273" s="125" t="s">
        <v>1888</v>
      </c>
      <c r="F273" s="128">
        <f t="shared" si="170"/>
        <v>55.014</v>
      </c>
      <c r="G273" s="128">
        <v>54.577</v>
      </c>
      <c r="H273" s="133">
        <v>54.4218</v>
      </c>
      <c r="I273" s="197">
        <f t="shared" si="166"/>
        <v>0.155200000000001</v>
      </c>
      <c r="J273" s="115" t="str">
        <f t="shared" si="169"/>
        <v>11R24.5-16PR-AT194</v>
      </c>
      <c r="K273" s="193"/>
      <c r="L273" s="193"/>
      <c r="M273" s="193"/>
      <c r="N273" s="193"/>
      <c r="O273" s="193"/>
      <c r="P273" s="193"/>
      <c r="Q273" s="193"/>
      <c r="R273" s="193"/>
      <c r="S273" s="113" t="str">
        <f t="shared" si="167"/>
        <v/>
      </c>
      <c r="AB273" s="113" t="str">
        <f t="shared" si="164"/>
        <v/>
      </c>
      <c r="BB273" s="113" t="str">
        <f t="shared" si="168"/>
        <v/>
      </c>
    </row>
    <row r="274" spans="2:54">
      <c r="B274" s="119" t="s">
        <v>1872</v>
      </c>
      <c r="C274" s="120" t="s">
        <v>1074</v>
      </c>
      <c r="D274" s="120" t="s">
        <v>1796</v>
      </c>
      <c r="E274" s="125" t="s">
        <v>1888</v>
      </c>
      <c r="F274" s="128">
        <f t="shared" si="170"/>
        <v>55.014</v>
      </c>
      <c r="G274" s="128">
        <v>54.577</v>
      </c>
      <c r="H274" s="133">
        <v>54.4218</v>
      </c>
      <c r="I274" s="197">
        <f t="shared" si="166"/>
        <v>0.155200000000001</v>
      </c>
      <c r="J274" s="115" t="str">
        <f t="shared" si="169"/>
        <v>11R24.5-16PR-HF1 PlusX</v>
      </c>
      <c r="K274" s="193"/>
      <c r="L274" s="193"/>
      <c r="M274" s="193"/>
      <c r="N274" s="193"/>
      <c r="O274" s="193"/>
      <c r="P274" s="193"/>
      <c r="Q274" s="193"/>
      <c r="R274" s="193"/>
      <c r="S274" s="113" t="str">
        <f t="shared" si="167"/>
        <v/>
      </c>
      <c r="AB274" s="113" t="str">
        <f t="shared" si="164"/>
        <v/>
      </c>
      <c r="BB274" s="113" t="str">
        <f t="shared" si="168"/>
        <v/>
      </c>
    </row>
    <row r="275" ht="13.8" customHeight="1" spans="2:54">
      <c r="B275" s="119" t="s">
        <v>1872</v>
      </c>
      <c r="C275" s="120" t="s">
        <v>1074</v>
      </c>
      <c r="D275" s="120" t="s">
        <v>1797</v>
      </c>
      <c r="E275" s="125" t="s">
        <v>1888</v>
      </c>
      <c r="F275" s="128">
        <f t="shared" si="170"/>
        <v>55.014</v>
      </c>
      <c r="G275" s="128">
        <v>54.577</v>
      </c>
      <c r="H275" s="133">
        <v>54.4218</v>
      </c>
      <c r="I275" s="197">
        <f t="shared" si="166"/>
        <v>0.155200000000001</v>
      </c>
      <c r="J275" s="115" t="str">
        <f t="shared" si="169"/>
        <v>11R24.5-16PR-KOBE APM</v>
      </c>
      <c r="K275" s="193"/>
      <c r="L275" s="193"/>
      <c r="M275" s="193"/>
      <c r="N275" s="193"/>
      <c r="O275" s="193"/>
      <c r="P275" s="193"/>
      <c r="Q275" s="193"/>
      <c r="R275" s="193"/>
      <c r="S275" s="113" t="str">
        <f t="shared" si="167"/>
        <v/>
      </c>
      <c r="AB275" s="113" t="str">
        <f t="shared" si="164"/>
        <v/>
      </c>
      <c r="BB275" s="113" t="str">
        <f t="shared" si="168"/>
        <v/>
      </c>
    </row>
    <row r="276" ht="13.8" customHeight="1" spans="2:54">
      <c r="B276" s="119" t="s">
        <v>1872</v>
      </c>
      <c r="C276" s="120" t="s">
        <v>1074</v>
      </c>
      <c r="D276" s="120" t="s">
        <v>1782</v>
      </c>
      <c r="E276" s="120" t="s">
        <v>1889</v>
      </c>
      <c r="F276" s="128">
        <f t="shared" ref="F276:F278" si="171">G276-3.042+3.472</f>
        <v>56.139</v>
      </c>
      <c r="G276" s="128">
        <v>55.709</v>
      </c>
      <c r="H276" s="133">
        <v>55.6021</v>
      </c>
      <c r="I276" s="197">
        <f t="shared" si="166"/>
        <v>0.106900000000003</v>
      </c>
      <c r="J276" s="115" t="str">
        <f t="shared" si="169"/>
        <v>11R24.5-16PR-AS600</v>
      </c>
      <c r="K276" s="193"/>
      <c r="L276" s="193"/>
      <c r="M276" s="193"/>
      <c r="N276" s="193"/>
      <c r="O276" s="193"/>
      <c r="P276" s="193"/>
      <c r="Q276" s="193"/>
      <c r="R276" s="193"/>
      <c r="S276" s="113" t="str">
        <f t="shared" si="167"/>
        <v/>
      </c>
      <c r="AB276" s="113" t="str">
        <f t="shared" si="164"/>
        <v/>
      </c>
      <c r="BB276" s="113" t="str">
        <f t="shared" si="168"/>
        <v/>
      </c>
    </row>
    <row r="277" spans="2:54">
      <c r="B277" s="119" t="s">
        <v>1872</v>
      </c>
      <c r="C277" s="120" t="s">
        <v>1074</v>
      </c>
      <c r="D277" s="120" t="s">
        <v>1767</v>
      </c>
      <c r="E277" s="120" t="s">
        <v>1890</v>
      </c>
      <c r="F277" s="128">
        <f t="shared" si="171"/>
        <v>61.229</v>
      </c>
      <c r="G277" s="128">
        <v>60.799</v>
      </c>
      <c r="H277" s="133">
        <v>60.7188</v>
      </c>
      <c r="I277" s="197">
        <f t="shared" si="166"/>
        <v>0.0801999999999978</v>
      </c>
      <c r="J277" s="115" t="str">
        <f t="shared" si="169"/>
        <v>11R24.5-16PR-AD721</v>
      </c>
      <c r="K277" s="193"/>
      <c r="L277" s="193"/>
      <c r="M277" s="193"/>
      <c r="N277" s="193"/>
      <c r="O277" s="193"/>
      <c r="P277" s="193"/>
      <c r="Q277" s="193"/>
      <c r="R277" s="193"/>
      <c r="S277" s="113" t="str">
        <f t="shared" si="167"/>
        <v/>
      </c>
      <c r="AB277" s="113" t="str">
        <f t="shared" si="164"/>
        <v/>
      </c>
      <c r="BB277" s="113" t="str">
        <f t="shared" si="168"/>
        <v/>
      </c>
    </row>
    <row r="278" spans="2:54">
      <c r="B278" s="119" t="s">
        <v>1872</v>
      </c>
      <c r="C278" s="120" t="s">
        <v>1074</v>
      </c>
      <c r="D278" s="120" t="s">
        <v>1771</v>
      </c>
      <c r="E278" s="120" t="s">
        <v>1890</v>
      </c>
      <c r="F278" s="128">
        <f t="shared" si="171"/>
        <v>61.229</v>
      </c>
      <c r="G278" s="128">
        <v>60.799</v>
      </c>
      <c r="H278" s="133">
        <v>60.7188</v>
      </c>
      <c r="I278" s="197">
        <f t="shared" si="166"/>
        <v>0.0801999999999978</v>
      </c>
      <c r="J278" s="115" t="str">
        <f t="shared" si="169"/>
        <v>11R24.5-16PR-HD2 Plus</v>
      </c>
      <c r="K278" s="193"/>
      <c r="L278" s="193"/>
      <c r="M278" s="193"/>
      <c r="N278" s="193"/>
      <c r="O278" s="193"/>
      <c r="P278" s="193"/>
      <c r="Q278" s="193"/>
      <c r="R278" s="193"/>
      <c r="S278" s="113" t="str">
        <f t="shared" si="167"/>
        <v/>
      </c>
      <c r="AB278" s="113" t="str">
        <f t="shared" si="164"/>
        <v/>
      </c>
      <c r="BB278" s="113" t="str">
        <f t="shared" si="168"/>
        <v/>
      </c>
    </row>
    <row r="279" spans="2:54">
      <c r="B279" s="119" t="s">
        <v>1872</v>
      </c>
      <c r="C279" s="120" t="s">
        <v>1074</v>
      </c>
      <c r="D279" s="120" t="s">
        <v>1812</v>
      </c>
      <c r="E279" s="125" t="s">
        <v>1891</v>
      </c>
      <c r="F279" s="128">
        <f t="shared" ref="F279:F286" si="172">G279-3.091+3.528</f>
        <v>59</v>
      </c>
      <c r="G279" s="128">
        <v>58.563</v>
      </c>
      <c r="H279" s="133">
        <v>58.4068</v>
      </c>
      <c r="I279" s="197">
        <f t="shared" si="166"/>
        <v>0.156200000000005</v>
      </c>
      <c r="J279" s="115" t="str">
        <f t="shared" si="169"/>
        <v>11R24.5-16PR-AD178</v>
      </c>
      <c r="K279" s="193"/>
      <c r="L279" s="193"/>
      <c r="M279" s="193"/>
      <c r="N279" s="193"/>
      <c r="O279" s="193"/>
      <c r="P279" s="193"/>
      <c r="Q279" s="193"/>
      <c r="R279" s="193"/>
      <c r="S279" s="113" t="str">
        <f t="shared" si="167"/>
        <v/>
      </c>
      <c r="AB279" s="113" t="str">
        <f t="shared" si="164"/>
        <v/>
      </c>
      <c r="BB279" s="113" t="str">
        <f t="shared" si="168"/>
        <v/>
      </c>
    </row>
    <row r="280" ht="13.8" customHeight="1" spans="2:54">
      <c r="B280" s="119" t="s">
        <v>1872</v>
      </c>
      <c r="C280" s="120" t="s">
        <v>1074</v>
      </c>
      <c r="D280" s="120" t="s">
        <v>1815</v>
      </c>
      <c r="E280" s="125" t="s">
        <v>1891</v>
      </c>
      <c r="F280" s="128">
        <f t="shared" si="172"/>
        <v>59</v>
      </c>
      <c r="G280" s="128">
        <v>58.563</v>
      </c>
      <c r="H280" s="133">
        <v>58.4068</v>
      </c>
      <c r="I280" s="197">
        <f t="shared" si="166"/>
        <v>0.156200000000005</v>
      </c>
      <c r="J280" s="115" t="str">
        <f t="shared" si="169"/>
        <v>11R24.5-16PR-AD196</v>
      </c>
      <c r="K280" s="193"/>
      <c r="L280" s="193"/>
      <c r="M280" s="193"/>
      <c r="N280" s="193"/>
      <c r="O280" s="193"/>
      <c r="P280" s="193"/>
      <c r="Q280" s="193"/>
      <c r="R280" s="193"/>
      <c r="S280" s="113" t="str">
        <f t="shared" si="167"/>
        <v/>
      </c>
      <c r="AB280" s="113" t="str">
        <f t="shared" si="164"/>
        <v/>
      </c>
      <c r="BB280" s="113" t="str">
        <f t="shared" si="168"/>
        <v/>
      </c>
    </row>
    <row r="281" ht="13.8" customHeight="1" spans="2:54">
      <c r="B281" s="119" t="s">
        <v>1872</v>
      </c>
      <c r="C281" s="120" t="s">
        <v>1074</v>
      </c>
      <c r="D281" s="120" t="s">
        <v>1814</v>
      </c>
      <c r="E281" s="125" t="s">
        <v>1891</v>
      </c>
      <c r="F281" s="128">
        <f t="shared" si="172"/>
        <v>59</v>
      </c>
      <c r="G281" s="128">
        <v>58.563</v>
      </c>
      <c r="H281" s="133">
        <v>58.4068</v>
      </c>
      <c r="I281" s="197">
        <f t="shared" si="166"/>
        <v>0.156200000000005</v>
      </c>
      <c r="J281" s="115" t="str">
        <f t="shared" si="169"/>
        <v>11R24.5-16PR-HD1 PlusX</v>
      </c>
      <c r="K281" s="193"/>
      <c r="L281" s="193"/>
      <c r="M281" s="193"/>
      <c r="N281" s="193"/>
      <c r="O281" s="193"/>
      <c r="P281" s="193"/>
      <c r="Q281" s="193"/>
      <c r="R281" s="193"/>
      <c r="S281" s="113" t="str">
        <f t="shared" si="167"/>
        <v/>
      </c>
      <c r="AB281" s="113" t="str">
        <f t="shared" si="164"/>
        <v/>
      </c>
      <c r="BB281" s="113" t="str">
        <f t="shared" si="168"/>
        <v/>
      </c>
    </row>
    <row r="282" spans="2:54">
      <c r="B282" s="119" t="s">
        <v>1872</v>
      </c>
      <c r="C282" s="120" t="s">
        <v>1074</v>
      </c>
      <c r="D282" s="120" t="s">
        <v>1816</v>
      </c>
      <c r="E282" s="125" t="s">
        <v>1891</v>
      </c>
      <c r="F282" s="128">
        <f t="shared" si="172"/>
        <v>59</v>
      </c>
      <c r="G282" s="128">
        <v>58.563</v>
      </c>
      <c r="H282" s="133">
        <v>58.4068</v>
      </c>
      <c r="I282" s="197">
        <f t="shared" si="166"/>
        <v>0.156200000000005</v>
      </c>
      <c r="J282" s="115" t="str">
        <f t="shared" si="169"/>
        <v>11R24.5-16PR-KOBE DPM</v>
      </c>
      <c r="K282" s="193"/>
      <c r="L282" s="193"/>
      <c r="M282" s="193"/>
      <c r="N282" s="193"/>
      <c r="O282" s="193"/>
      <c r="P282" s="193"/>
      <c r="Q282" s="193"/>
      <c r="R282" s="193"/>
      <c r="S282" s="113" t="str">
        <f t="shared" si="167"/>
        <v/>
      </c>
      <c r="AB282" s="113" t="str">
        <f t="shared" si="164"/>
        <v/>
      </c>
      <c r="BB282" s="113" t="str">
        <f t="shared" si="168"/>
        <v/>
      </c>
    </row>
    <row r="283" spans="2:54">
      <c r="B283" s="119" t="s">
        <v>1872</v>
      </c>
      <c r="C283" s="120" t="s">
        <v>1074</v>
      </c>
      <c r="D283" s="120" t="s">
        <v>1786</v>
      </c>
      <c r="E283" s="120" t="s">
        <v>1892</v>
      </c>
      <c r="F283" s="128">
        <f t="shared" si="172"/>
        <v>56.891</v>
      </c>
      <c r="G283" s="128">
        <v>56.454</v>
      </c>
      <c r="H283" s="133">
        <v>56.2978</v>
      </c>
      <c r="I283" s="197">
        <f t="shared" si="166"/>
        <v>0.156199999999998</v>
      </c>
      <c r="J283" s="115" t="str">
        <f t="shared" si="169"/>
        <v>11R24.5-16PR-AZ126T+</v>
      </c>
      <c r="K283" s="193"/>
      <c r="L283" s="193"/>
      <c r="M283" s="193"/>
      <c r="N283" s="193"/>
      <c r="O283" s="193"/>
      <c r="P283" s="193"/>
      <c r="Q283" s="193"/>
      <c r="R283" s="193"/>
      <c r="S283" s="113" t="str">
        <f t="shared" si="167"/>
        <v/>
      </c>
      <c r="AB283" s="113" t="str">
        <f t="shared" si="164"/>
        <v/>
      </c>
      <c r="BB283" s="113" t="str">
        <f t="shared" si="168"/>
        <v/>
      </c>
    </row>
    <row r="284" ht="13.8" customHeight="1" spans="2:54">
      <c r="B284" s="119" t="s">
        <v>1872</v>
      </c>
      <c r="C284" s="120" t="s">
        <v>1074</v>
      </c>
      <c r="D284" s="120" t="s">
        <v>1788</v>
      </c>
      <c r="E284" s="120" t="s">
        <v>1892</v>
      </c>
      <c r="F284" s="128">
        <f t="shared" si="172"/>
        <v>56.891</v>
      </c>
      <c r="G284" s="128">
        <v>56.454</v>
      </c>
      <c r="H284" s="133">
        <v>56.2978</v>
      </c>
      <c r="I284" s="197">
        <f t="shared" si="166"/>
        <v>0.156199999999998</v>
      </c>
      <c r="J284" s="115" t="str">
        <f t="shared" si="169"/>
        <v>11R24.5-16PR-HCC1 PlusX</v>
      </c>
      <c r="K284" s="193"/>
      <c r="L284" s="193"/>
      <c r="M284" s="193"/>
      <c r="N284" s="193"/>
      <c r="O284" s="193"/>
      <c r="P284" s="193"/>
      <c r="Q284" s="193"/>
      <c r="R284" s="193"/>
      <c r="S284" s="113" t="str">
        <f t="shared" si="167"/>
        <v/>
      </c>
      <c r="AB284" s="113" t="str">
        <f t="shared" si="164"/>
        <v/>
      </c>
      <c r="BB284" s="113" t="str">
        <f t="shared" si="168"/>
        <v/>
      </c>
    </row>
    <row r="285" spans="2:54">
      <c r="B285" s="119" t="s">
        <v>1872</v>
      </c>
      <c r="C285" s="120" t="s">
        <v>1074</v>
      </c>
      <c r="D285" s="120" t="s">
        <v>1818</v>
      </c>
      <c r="E285" s="120" t="s">
        <v>1893</v>
      </c>
      <c r="F285" s="128">
        <f t="shared" si="172"/>
        <v>58.464</v>
      </c>
      <c r="G285" s="128">
        <v>58.027</v>
      </c>
      <c r="H285" s="133">
        <v>57.8712</v>
      </c>
      <c r="I285" s="197">
        <f t="shared" si="166"/>
        <v>0.155799999999999</v>
      </c>
      <c r="J285" s="115" t="str">
        <f t="shared" si="169"/>
        <v>11R24.5-16PR-AD184</v>
      </c>
      <c r="K285" s="193"/>
      <c r="L285" s="193"/>
      <c r="M285" s="193"/>
      <c r="N285" s="193"/>
      <c r="O285" s="193"/>
      <c r="P285" s="193"/>
      <c r="Q285" s="193"/>
      <c r="R285" s="193"/>
      <c r="S285" s="113" t="str">
        <f t="shared" si="167"/>
        <v/>
      </c>
      <c r="AB285" s="113" t="str">
        <f t="shared" si="164"/>
        <v/>
      </c>
      <c r="BB285" s="113" t="str">
        <f t="shared" si="168"/>
        <v/>
      </c>
    </row>
    <row r="286" spans="2:54">
      <c r="B286" s="119" t="s">
        <v>1872</v>
      </c>
      <c r="C286" s="120" t="s">
        <v>1074</v>
      </c>
      <c r="D286" s="120" t="s">
        <v>1820</v>
      </c>
      <c r="E286" s="120" t="s">
        <v>1893</v>
      </c>
      <c r="F286" s="128">
        <f t="shared" si="172"/>
        <v>58.464</v>
      </c>
      <c r="G286" s="128">
        <v>58.027</v>
      </c>
      <c r="H286" s="133">
        <v>57.8712</v>
      </c>
      <c r="I286" s="197">
        <f t="shared" si="166"/>
        <v>0.155799999999999</v>
      </c>
      <c r="J286" s="115" t="str">
        <f t="shared" si="169"/>
        <v>11R24.5-16PR-HD2 PlusX</v>
      </c>
      <c r="K286" s="193"/>
      <c r="L286" s="193"/>
      <c r="M286" s="193"/>
      <c r="N286" s="193"/>
      <c r="O286" s="193"/>
      <c r="P286" s="193"/>
      <c r="Q286" s="193"/>
      <c r="R286" s="193"/>
      <c r="S286" s="113" t="str">
        <f t="shared" si="167"/>
        <v/>
      </c>
      <c r="AB286" s="113" t="str">
        <f t="shared" si="164"/>
        <v/>
      </c>
      <c r="BB286" s="113" t="str">
        <f t="shared" si="168"/>
        <v/>
      </c>
    </row>
    <row r="287" ht="13.8" customHeight="1" spans="2:54">
      <c r="B287" s="119" t="s">
        <v>1872</v>
      </c>
      <c r="C287" s="120" t="s">
        <v>1074</v>
      </c>
      <c r="D287" s="120" t="s">
        <v>1772</v>
      </c>
      <c r="E287" s="120" t="s">
        <v>1894</v>
      </c>
      <c r="F287" s="128">
        <f t="shared" ref="F287:F295" si="173">G287-3.042+3.472</f>
        <v>61.361</v>
      </c>
      <c r="G287" s="128">
        <v>60.931</v>
      </c>
      <c r="H287" s="133">
        <v>60.8248</v>
      </c>
      <c r="I287" s="197">
        <f t="shared" si="166"/>
        <v>0.106199999999994</v>
      </c>
      <c r="J287" s="115" t="str">
        <f t="shared" si="169"/>
        <v>11R24.5-16PR-AZ692</v>
      </c>
      <c r="K287" s="193"/>
      <c r="L287" s="193"/>
      <c r="M287" s="193"/>
      <c r="N287" s="193"/>
      <c r="O287" s="193"/>
      <c r="P287" s="193"/>
      <c r="Q287" s="193"/>
      <c r="R287" s="193"/>
      <c r="S287" s="113" t="str">
        <f t="shared" si="167"/>
        <v/>
      </c>
      <c r="AB287" s="113" t="str">
        <f t="shared" si="164"/>
        <v/>
      </c>
      <c r="BB287" s="113" t="str">
        <f t="shared" si="168"/>
        <v/>
      </c>
    </row>
    <row r="288" ht="13.8" customHeight="1" spans="2:54">
      <c r="B288" s="119" t="s">
        <v>1872</v>
      </c>
      <c r="C288" s="120" t="s">
        <v>1074</v>
      </c>
      <c r="D288" s="120" t="s">
        <v>1823</v>
      </c>
      <c r="E288" s="120" t="s">
        <v>1895</v>
      </c>
      <c r="F288" s="128">
        <f t="shared" si="173"/>
        <v>59.71</v>
      </c>
      <c r="G288" s="128">
        <v>59.28</v>
      </c>
      <c r="H288" s="133">
        <v>59.1728</v>
      </c>
      <c r="I288" s="197">
        <f t="shared" si="166"/>
        <v>0.107199999999999</v>
      </c>
      <c r="J288" s="115" t="str">
        <f t="shared" si="169"/>
        <v>11R24.5-16PR-AS673</v>
      </c>
      <c r="K288" s="193"/>
      <c r="L288" s="193"/>
      <c r="M288" s="193"/>
      <c r="N288" s="193"/>
      <c r="O288" s="193"/>
      <c r="P288" s="193"/>
      <c r="Q288" s="193"/>
      <c r="R288" s="193"/>
      <c r="S288" s="113" t="str">
        <f t="shared" si="167"/>
        <v/>
      </c>
      <c r="AB288" s="113" t="str">
        <f t="shared" si="164"/>
        <v/>
      </c>
      <c r="BB288" s="113" t="str">
        <f t="shared" si="168"/>
        <v/>
      </c>
    </row>
    <row r="289" spans="2:54">
      <c r="B289" s="119" t="s">
        <v>1872</v>
      </c>
      <c r="C289" s="120" t="s">
        <v>1074</v>
      </c>
      <c r="D289" s="120" t="s">
        <v>1665</v>
      </c>
      <c r="E289" s="120" t="s">
        <v>1896</v>
      </c>
      <c r="F289" s="128">
        <f t="shared" si="173"/>
        <v>60.484</v>
      </c>
      <c r="G289" s="128">
        <v>60.054</v>
      </c>
      <c r="H289" s="133">
        <v>59.65</v>
      </c>
      <c r="I289" s="197">
        <f t="shared" si="166"/>
        <v>0.404000000000003</v>
      </c>
      <c r="J289" s="115" t="str">
        <f t="shared" si="169"/>
        <v>11R24.5-16PR-AD716</v>
      </c>
      <c r="K289" s="193"/>
      <c r="L289" s="193"/>
      <c r="M289" s="193"/>
      <c r="N289" s="193"/>
      <c r="O289" s="193"/>
      <c r="P289" s="193"/>
      <c r="Q289" s="193"/>
      <c r="R289" s="193"/>
      <c r="S289" s="113" t="str">
        <f t="shared" si="167"/>
        <v/>
      </c>
      <c r="AB289" s="113" t="str">
        <f t="shared" si="164"/>
        <v/>
      </c>
      <c r="BB289" s="113" t="str">
        <f t="shared" si="168"/>
        <v/>
      </c>
    </row>
    <row r="290" spans="2:54">
      <c r="B290" s="119" t="s">
        <v>1872</v>
      </c>
      <c r="C290" s="120" t="s">
        <v>1074</v>
      </c>
      <c r="D290" s="120" t="s">
        <v>1671</v>
      </c>
      <c r="E290" s="120" t="s">
        <v>1896</v>
      </c>
      <c r="F290" s="128">
        <f t="shared" si="173"/>
        <v>60.484</v>
      </c>
      <c r="G290" s="128">
        <v>60.054</v>
      </c>
      <c r="H290" s="133">
        <v>59.65</v>
      </c>
      <c r="I290" s="197">
        <f t="shared" si="166"/>
        <v>0.404000000000003</v>
      </c>
      <c r="J290" s="115" t="str">
        <f t="shared" si="169"/>
        <v>11R24.5-16PR-HD1 Plus</v>
      </c>
      <c r="K290" s="193"/>
      <c r="L290" s="193"/>
      <c r="M290" s="193"/>
      <c r="N290" s="193"/>
      <c r="O290" s="193"/>
      <c r="P290" s="193"/>
      <c r="Q290" s="193"/>
      <c r="R290" s="193"/>
      <c r="S290" s="113" t="str">
        <f t="shared" si="167"/>
        <v/>
      </c>
      <c r="AB290" s="113" t="str">
        <f t="shared" si="164"/>
        <v/>
      </c>
      <c r="BB290" s="113" t="str">
        <f t="shared" si="168"/>
        <v/>
      </c>
    </row>
    <row r="291" spans="2:54">
      <c r="B291" s="119" t="s">
        <v>1872</v>
      </c>
      <c r="C291" s="120" t="s">
        <v>1074</v>
      </c>
      <c r="D291" s="120" t="s">
        <v>1676</v>
      </c>
      <c r="E291" s="120" t="s">
        <v>1896</v>
      </c>
      <c r="F291" s="128">
        <f t="shared" si="173"/>
        <v>60.484</v>
      </c>
      <c r="G291" s="128">
        <v>60.054</v>
      </c>
      <c r="H291" s="133">
        <v>59.65</v>
      </c>
      <c r="I291" s="197">
        <f t="shared" si="166"/>
        <v>0.404000000000003</v>
      </c>
      <c r="J291" s="115" t="str">
        <f t="shared" si="169"/>
        <v>11R24.5-16PR-CM996</v>
      </c>
      <c r="K291" s="193"/>
      <c r="L291" s="193"/>
      <c r="M291" s="193"/>
      <c r="N291" s="193"/>
      <c r="O291" s="193"/>
      <c r="P291" s="193"/>
      <c r="Q291" s="193"/>
      <c r="R291" s="193"/>
      <c r="S291" s="113" t="str">
        <f t="shared" si="167"/>
        <v/>
      </c>
      <c r="AB291" s="113" t="str">
        <f t="shared" si="164"/>
        <v/>
      </c>
      <c r="BB291" s="113" t="str">
        <f t="shared" si="168"/>
        <v/>
      </c>
    </row>
    <row r="292" ht="13.8" customHeight="1" spans="2:54">
      <c r="B292" s="119" t="s">
        <v>1872</v>
      </c>
      <c r="C292" s="120" t="s">
        <v>1074</v>
      </c>
      <c r="D292" s="120" t="s">
        <v>1776</v>
      </c>
      <c r="E292" s="120" t="s">
        <v>1897</v>
      </c>
      <c r="F292" s="128">
        <f t="shared" si="173"/>
        <v>56.44</v>
      </c>
      <c r="G292" s="128">
        <v>56.01</v>
      </c>
      <c r="H292" s="133">
        <v>55.5835</v>
      </c>
      <c r="I292" s="197">
        <f t="shared" si="166"/>
        <v>0.426499999999997</v>
      </c>
      <c r="J292" s="115" t="str">
        <f t="shared" si="169"/>
        <v>11R24.5-16PR-AZ599</v>
      </c>
      <c r="K292" s="193"/>
      <c r="L292" s="193"/>
      <c r="M292" s="193"/>
      <c r="N292" s="193"/>
      <c r="O292" s="193"/>
      <c r="P292" s="193"/>
      <c r="Q292" s="193"/>
      <c r="R292" s="193"/>
      <c r="S292" s="113" t="str">
        <f t="shared" si="167"/>
        <v/>
      </c>
      <c r="AB292" s="113" t="str">
        <f t="shared" si="164"/>
        <v/>
      </c>
      <c r="BB292" s="113" t="str">
        <f t="shared" si="168"/>
        <v/>
      </c>
    </row>
    <row r="293" ht="13.8" customHeight="1" spans="2:54">
      <c r="B293" s="119" t="s">
        <v>1872</v>
      </c>
      <c r="C293" s="120" t="s">
        <v>1074</v>
      </c>
      <c r="D293" s="120" t="s">
        <v>1781</v>
      </c>
      <c r="E293" s="120" t="s">
        <v>1897</v>
      </c>
      <c r="F293" s="128">
        <f t="shared" si="173"/>
        <v>56.44</v>
      </c>
      <c r="G293" s="128">
        <v>56.01</v>
      </c>
      <c r="H293" s="133">
        <v>55.5835</v>
      </c>
      <c r="I293" s="197">
        <f t="shared" si="166"/>
        <v>0.426499999999997</v>
      </c>
      <c r="J293" s="115" t="str">
        <f t="shared" si="169"/>
        <v>11R24.5-16PR-HF1 Plus</v>
      </c>
      <c r="K293" s="193"/>
      <c r="L293" s="193"/>
      <c r="M293" s="193"/>
      <c r="N293" s="193"/>
      <c r="O293" s="193"/>
      <c r="P293" s="193"/>
      <c r="Q293" s="193"/>
      <c r="R293" s="193"/>
      <c r="S293" s="113" t="str">
        <f t="shared" si="167"/>
        <v/>
      </c>
      <c r="AB293" s="113" t="str">
        <f t="shared" si="164"/>
        <v/>
      </c>
      <c r="BB293" s="113" t="str">
        <f t="shared" si="168"/>
        <v/>
      </c>
    </row>
    <row r="294" ht="13.8" customHeight="1" spans="2:54">
      <c r="B294" s="119" t="s">
        <v>1872</v>
      </c>
      <c r="C294" s="120" t="s">
        <v>1074</v>
      </c>
      <c r="D294" s="120" t="s">
        <v>1802</v>
      </c>
      <c r="E294" s="125" t="s">
        <v>1898</v>
      </c>
      <c r="F294" s="128">
        <f t="shared" si="173"/>
        <v>58.361</v>
      </c>
      <c r="G294" s="128">
        <v>57.931</v>
      </c>
      <c r="H294" s="133">
        <v>57.9733</v>
      </c>
      <c r="I294" s="197">
        <f t="shared" si="166"/>
        <v>-0.0423000000000044</v>
      </c>
      <c r="J294" s="115" t="str">
        <f t="shared" si="169"/>
        <v>11R24.5-16PR-AZ579</v>
      </c>
      <c r="K294" s="193"/>
      <c r="L294" s="193"/>
      <c r="M294" s="193"/>
      <c r="N294" s="193"/>
      <c r="O294" s="193"/>
      <c r="P294" s="193"/>
      <c r="Q294" s="193"/>
      <c r="R294" s="193"/>
      <c r="S294" s="113" t="str">
        <f t="shared" si="167"/>
        <v/>
      </c>
      <c r="AB294" s="113" t="str">
        <f t="shared" si="164"/>
        <v/>
      </c>
      <c r="BB294" s="113" t="str">
        <f t="shared" si="168"/>
        <v/>
      </c>
    </row>
    <row r="295" ht="13.8" customHeight="1" spans="2:54">
      <c r="B295" s="119" t="s">
        <v>1872</v>
      </c>
      <c r="C295" s="120" t="s">
        <v>1074</v>
      </c>
      <c r="D295" s="120" t="s">
        <v>1805</v>
      </c>
      <c r="E295" s="125" t="s">
        <v>1898</v>
      </c>
      <c r="F295" s="128">
        <f t="shared" si="173"/>
        <v>58.361</v>
      </c>
      <c r="G295" s="128">
        <v>57.931</v>
      </c>
      <c r="H295" s="133">
        <v>57.9733</v>
      </c>
      <c r="I295" s="197">
        <f t="shared" si="166"/>
        <v>-0.0423000000000044</v>
      </c>
      <c r="J295" s="115" t="str">
        <f t="shared" si="169"/>
        <v>11R24.5-16PR-HCC1 Plus</v>
      </c>
      <c r="K295" s="193"/>
      <c r="L295" s="193"/>
      <c r="M295" s="193"/>
      <c r="N295" s="193"/>
      <c r="O295" s="193"/>
      <c r="P295" s="193"/>
      <c r="Q295" s="193"/>
      <c r="R295" s="193"/>
      <c r="S295" s="113" t="str">
        <f t="shared" si="167"/>
        <v/>
      </c>
      <c r="AB295" s="113" t="str">
        <f t="shared" si="164"/>
        <v/>
      </c>
      <c r="BB295" s="113" t="str">
        <f t="shared" si="168"/>
        <v/>
      </c>
    </row>
    <row r="296" spans="2:54">
      <c r="B296" s="119" t="s">
        <v>1872</v>
      </c>
      <c r="C296" s="120" t="s">
        <v>958</v>
      </c>
      <c r="D296" s="120" t="s">
        <v>1656</v>
      </c>
      <c r="E296" s="125" t="s">
        <v>1899</v>
      </c>
      <c r="F296" s="128">
        <f t="shared" ref="F296:F300" si="174">G296-3.046+3.468</f>
        <v>52.745</v>
      </c>
      <c r="G296" s="128">
        <v>52.323</v>
      </c>
      <c r="H296" s="133">
        <v>52.29</v>
      </c>
      <c r="I296" s="197">
        <f t="shared" si="166"/>
        <v>0.0330000000000013</v>
      </c>
      <c r="J296" s="115" t="str">
        <f t="shared" si="169"/>
        <v>11R24.5-14PR-I-48T</v>
      </c>
      <c r="K296" s="193"/>
      <c r="L296" s="193"/>
      <c r="M296" s="193"/>
      <c r="N296" s="193"/>
      <c r="O296" s="193"/>
      <c r="P296" s="193"/>
      <c r="Q296" s="193"/>
      <c r="R296" s="193"/>
      <c r="S296" s="113" t="str">
        <f t="shared" si="167"/>
        <v/>
      </c>
      <c r="AB296" s="113" t="str">
        <f t="shared" si="164"/>
        <v/>
      </c>
      <c r="BB296" s="113" t="str">
        <f t="shared" si="168"/>
        <v/>
      </c>
    </row>
    <row r="297" spans="2:54">
      <c r="B297" s="119" t="s">
        <v>1872</v>
      </c>
      <c r="C297" s="120" t="s">
        <v>1074</v>
      </c>
      <c r="D297" s="121" t="s">
        <v>1840</v>
      </c>
      <c r="E297" s="120" t="s">
        <v>1900</v>
      </c>
      <c r="F297" s="128">
        <f t="shared" si="174"/>
        <v>59.678</v>
      </c>
      <c r="G297" s="128">
        <v>59.256</v>
      </c>
      <c r="H297" s="133">
        <v>59.2262</v>
      </c>
      <c r="I297" s="197">
        <f t="shared" si="166"/>
        <v>0.0298000000000016</v>
      </c>
      <c r="J297" s="115" t="str">
        <f t="shared" si="169"/>
        <v>11R24.5-16PR-CM983</v>
      </c>
      <c r="K297" s="193"/>
      <c r="L297" s="193"/>
      <c r="M297" s="193"/>
      <c r="N297" s="193"/>
      <c r="O297" s="193"/>
      <c r="P297" s="193"/>
      <c r="Q297" s="193"/>
      <c r="R297" s="193"/>
      <c r="S297" s="113" t="str">
        <f t="shared" si="167"/>
        <v/>
      </c>
      <c r="AB297" s="113" t="str">
        <f t="shared" si="164"/>
        <v/>
      </c>
      <c r="BB297" s="113" t="str">
        <f t="shared" si="168"/>
        <v/>
      </c>
    </row>
    <row r="298" spans="2:54">
      <c r="B298" s="119" t="s">
        <v>1872</v>
      </c>
      <c r="C298" s="120" t="s">
        <v>1074</v>
      </c>
      <c r="D298" s="120" t="s">
        <v>1559</v>
      </c>
      <c r="E298" s="138" t="s">
        <v>1901</v>
      </c>
      <c r="F298" s="128">
        <f t="shared" si="174"/>
        <v>55.584</v>
      </c>
      <c r="G298" s="128">
        <v>55.162</v>
      </c>
      <c r="H298" s="133">
        <v>55.0954</v>
      </c>
      <c r="I298" s="197">
        <f t="shared" si="166"/>
        <v>0.0666000000000011</v>
      </c>
      <c r="J298" s="115" t="str">
        <f t="shared" si="169"/>
        <v>11R24.5-16PR-AS678</v>
      </c>
      <c r="K298" s="193"/>
      <c r="L298" s="193"/>
      <c r="M298" s="193"/>
      <c r="N298" s="193"/>
      <c r="O298" s="193"/>
      <c r="P298" s="193"/>
      <c r="Q298" s="193"/>
      <c r="R298" s="193"/>
      <c r="S298" s="113" t="str">
        <f t="shared" si="167"/>
        <v/>
      </c>
      <c r="AB298" s="113" t="str">
        <f t="shared" si="164"/>
        <v/>
      </c>
      <c r="BB298" s="113" t="str">
        <f t="shared" si="168"/>
        <v/>
      </c>
    </row>
    <row r="299" spans="2:54">
      <c r="B299" s="119" t="s">
        <v>1872</v>
      </c>
      <c r="C299" s="120" t="s">
        <v>1074</v>
      </c>
      <c r="D299" s="120" t="s">
        <v>1825</v>
      </c>
      <c r="E299" s="125" t="s">
        <v>1902</v>
      </c>
      <c r="F299" s="128">
        <f t="shared" si="174"/>
        <v>61.497</v>
      </c>
      <c r="G299" s="128">
        <v>61.075</v>
      </c>
      <c r="H299" s="133">
        <v>61.0536</v>
      </c>
      <c r="I299" s="197">
        <f t="shared" si="166"/>
        <v>0.0213999999999999</v>
      </c>
      <c r="J299" s="115" t="str">
        <f t="shared" si="169"/>
        <v>11R24.5-16PR-AD737</v>
      </c>
      <c r="K299" s="193"/>
      <c r="L299" s="193"/>
      <c r="M299" s="193"/>
      <c r="N299" s="193"/>
      <c r="O299" s="193"/>
      <c r="P299" s="193"/>
      <c r="Q299" s="193"/>
      <c r="R299" s="193"/>
      <c r="S299" s="113" t="str">
        <f t="shared" si="167"/>
        <v/>
      </c>
      <c r="AB299" s="113" t="str">
        <f t="shared" si="164"/>
        <v/>
      </c>
      <c r="BB299" s="113" t="str">
        <f t="shared" si="168"/>
        <v/>
      </c>
    </row>
    <row r="300" spans="2:54">
      <c r="B300" s="119" t="s">
        <v>1872</v>
      </c>
      <c r="C300" s="120" t="s">
        <v>1074</v>
      </c>
      <c r="D300" s="120" t="s">
        <v>1827</v>
      </c>
      <c r="E300" s="125" t="s">
        <v>1903</v>
      </c>
      <c r="F300" s="128">
        <f t="shared" si="174"/>
        <v>63.282</v>
      </c>
      <c r="G300" s="128">
        <v>62.86</v>
      </c>
      <c r="H300" s="133">
        <v>62.8299</v>
      </c>
      <c r="I300" s="197">
        <f t="shared" si="166"/>
        <v>0.0300999999999974</v>
      </c>
      <c r="J300" s="115" t="str">
        <f t="shared" si="169"/>
        <v>11R24.5-16PR-AD778</v>
      </c>
      <c r="K300" s="193"/>
      <c r="L300" s="193"/>
      <c r="M300" s="193"/>
      <c r="N300" s="193"/>
      <c r="O300" s="193"/>
      <c r="P300" s="193"/>
      <c r="Q300" s="193"/>
      <c r="R300" s="193"/>
      <c r="S300" s="113" t="str">
        <f t="shared" si="167"/>
        <v/>
      </c>
      <c r="AB300" s="113" t="str">
        <f t="shared" si="164"/>
        <v/>
      </c>
      <c r="BB300" s="113" t="str">
        <f t="shared" si="168"/>
        <v/>
      </c>
    </row>
    <row r="301" spans="2:54">
      <c r="B301" s="119" t="s">
        <v>1872</v>
      </c>
      <c r="C301" s="120" t="s">
        <v>1074</v>
      </c>
      <c r="D301" s="120" t="s">
        <v>1846</v>
      </c>
      <c r="E301" s="125" t="s">
        <v>1904</v>
      </c>
      <c r="F301" s="128">
        <f t="shared" ref="F301:F307" si="175">G301-3.05+3.47</f>
        <v>63.186</v>
      </c>
      <c r="G301" s="128">
        <v>62.766</v>
      </c>
      <c r="H301" s="133">
        <v>62.49</v>
      </c>
      <c r="I301" s="197">
        <f t="shared" si="166"/>
        <v>0.275999999999996</v>
      </c>
      <c r="J301" s="115" t="str">
        <f t="shared" si="169"/>
        <v>11R24.5-16PR-I-28D</v>
      </c>
      <c r="K301" s="193"/>
      <c r="L301" s="193"/>
      <c r="M301" s="193"/>
      <c r="N301" s="193"/>
      <c r="O301" s="193"/>
      <c r="P301" s="193"/>
      <c r="Q301" s="193"/>
      <c r="R301" s="193"/>
      <c r="S301" s="113" t="str">
        <f t="shared" si="167"/>
        <v/>
      </c>
      <c r="AB301" s="113" t="str">
        <f t="shared" si="164"/>
        <v/>
      </c>
      <c r="BB301" s="113" t="str">
        <f t="shared" si="168"/>
        <v/>
      </c>
    </row>
    <row r="302" spans="2:54">
      <c r="B302" s="119" t="s">
        <v>1872</v>
      </c>
      <c r="C302" s="120" t="s">
        <v>1074</v>
      </c>
      <c r="D302" s="120" t="s">
        <v>1848</v>
      </c>
      <c r="E302" s="125" t="s">
        <v>1904</v>
      </c>
      <c r="F302" s="128">
        <f t="shared" si="175"/>
        <v>63.186</v>
      </c>
      <c r="G302" s="128">
        <v>62.766</v>
      </c>
      <c r="H302" s="133">
        <v>62.49</v>
      </c>
      <c r="I302" s="197">
        <f t="shared" si="166"/>
        <v>0.275999999999996</v>
      </c>
      <c r="J302" s="115" t="str">
        <f t="shared" si="169"/>
        <v>11R24.5-16PR-DOMINATE D01</v>
      </c>
      <c r="K302" s="193"/>
      <c r="L302" s="193"/>
      <c r="M302" s="193"/>
      <c r="N302" s="193"/>
      <c r="O302" s="193"/>
      <c r="P302" s="193"/>
      <c r="Q302" s="193"/>
      <c r="R302" s="193"/>
      <c r="S302" s="113" t="str">
        <f t="shared" si="167"/>
        <v/>
      </c>
      <c r="AB302" s="113" t="str">
        <f t="shared" si="164"/>
        <v/>
      </c>
      <c r="BB302" s="113" t="str">
        <f t="shared" si="168"/>
        <v/>
      </c>
    </row>
    <row r="303" spans="2:54">
      <c r="B303" s="119" t="s">
        <v>1872</v>
      </c>
      <c r="C303" s="120" t="s">
        <v>1074</v>
      </c>
      <c r="D303" s="120" t="s">
        <v>1844</v>
      </c>
      <c r="E303" s="125" t="s">
        <v>1905</v>
      </c>
      <c r="F303" s="128">
        <f t="shared" si="175"/>
        <v>61.358</v>
      </c>
      <c r="G303" s="128">
        <v>60.938</v>
      </c>
      <c r="H303" s="133">
        <v>60.9</v>
      </c>
      <c r="I303" s="197">
        <f t="shared" si="166"/>
        <v>0.0380000000000038</v>
      </c>
      <c r="J303" s="115" t="str">
        <f t="shared" si="169"/>
        <v>11R24.5-16PR-I-31M</v>
      </c>
      <c r="K303" s="193"/>
      <c r="L303" s="193"/>
      <c r="M303" s="193"/>
      <c r="N303" s="193"/>
      <c r="O303" s="193"/>
      <c r="P303" s="193"/>
      <c r="Q303" s="193"/>
      <c r="R303" s="193"/>
      <c r="S303" s="113" t="str">
        <f t="shared" si="167"/>
        <v/>
      </c>
      <c r="AB303" s="113" t="str">
        <f t="shared" si="164"/>
        <v/>
      </c>
      <c r="BB303" s="113" t="str">
        <f t="shared" si="168"/>
        <v/>
      </c>
    </row>
    <row r="304" ht="13.8" customHeight="1" spans="2:54">
      <c r="B304" s="119" t="s">
        <v>1872</v>
      </c>
      <c r="C304" s="120" t="s">
        <v>1074</v>
      </c>
      <c r="D304" s="120" t="s">
        <v>1842</v>
      </c>
      <c r="E304" s="125" t="s">
        <v>1906</v>
      </c>
      <c r="F304" s="128">
        <f t="shared" si="175"/>
        <v>61.021</v>
      </c>
      <c r="G304" s="128">
        <v>60.601</v>
      </c>
      <c r="H304" s="133">
        <v>60.68</v>
      </c>
      <c r="I304" s="197">
        <f t="shared" si="166"/>
        <v>-0.0790000000000006</v>
      </c>
      <c r="J304" s="115" t="str">
        <f t="shared" si="169"/>
        <v>11R24.5-16PR-I-52A</v>
      </c>
      <c r="K304" s="193"/>
      <c r="L304" s="193"/>
      <c r="M304" s="193"/>
      <c r="N304" s="193"/>
      <c r="O304" s="193"/>
      <c r="P304" s="193"/>
      <c r="Q304" s="193"/>
      <c r="R304" s="193"/>
      <c r="S304" s="113" t="str">
        <f t="shared" si="167"/>
        <v/>
      </c>
      <c r="AB304" s="113" t="str">
        <f t="shared" si="164"/>
        <v/>
      </c>
      <c r="BB304" s="113" t="str">
        <f t="shared" si="168"/>
        <v/>
      </c>
    </row>
    <row r="305" ht="13.8" customHeight="1" spans="2:54">
      <c r="B305" s="119" t="s">
        <v>1872</v>
      </c>
      <c r="C305" s="120" t="s">
        <v>1074</v>
      </c>
      <c r="D305" s="120" t="s">
        <v>1849</v>
      </c>
      <c r="E305" s="125" t="s">
        <v>1907</v>
      </c>
      <c r="F305" s="128">
        <f t="shared" si="175"/>
        <v>61.478</v>
      </c>
      <c r="G305" s="128">
        <v>61.058</v>
      </c>
      <c r="H305" s="133">
        <v>61.02</v>
      </c>
      <c r="I305" s="197">
        <f t="shared" si="166"/>
        <v>0.0379999999999967</v>
      </c>
      <c r="J305" s="115" t="str">
        <f t="shared" si="169"/>
        <v>11R24.5-16PR-I-37D</v>
      </c>
      <c r="K305" s="193"/>
      <c r="L305" s="193"/>
      <c r="M305" s="193"/>
      <c r="N305" s="193"/>
      <c r="O305" s="193"/>
      <c r="P305" s="193"/>
      <c r="Q305" s="193"/>
      <c r="R305" s="193"/>
      <c r="S305" s="113" t="str">
        <f t="shared" si="167"/>
        <v/>
      </c>
      <c r="AB305" s="113" t="str">
        <f t="shared" si="164"/>
        <v/>
      </c>
      <c r="BB305" s="113" t="str">
        <f t="shared" si="168"/>
        <v/>
      </c>
    </row>
    <row r="306" spans="2:54">
      <c r="B306" s="119" t="s">
        <v>1872</v>
      </c>
      <c r="C306" s="120" t="s">
        <v>1074</v>
      </c>
      <c r="D306" s="120" t="s">
        <v>1851</v>
      </c>
      <c r="E306" s="125" t="s">
        <v>1908</v>
      </c>
      <c r="F306" s="128">
        <f t="shared" si="175"/>
        <v>57.37</v>
      </c>
      <c r="G306" s="128">
        <v>56.95</v>
      </c>
      <c r="H306" s="133">
        <v>56.91</v>
      </c>
      <c r="I306" s="197">
        <f t="shared" si="166"/>
        <v>0.0400000000000063</v>
      </c>
      <c r="J306" s="115" t="str">
        <f t="shared" si="169"/>
        <v>11R24.5-16PR-CR926D</v>
      </c>
      <c r="K306" s="193"/>
      <c r="L306" s="193"/>
      <c r="M306" s="193"/>
      <c r="N306" s="193"/>
      <c r="O306" s="193"/>
      <c r="P306" s="193"/>
      <c r="Q306" s="193"/>
      <c r="R306" s="193"/>
      <c r="S306" s="113" t="str">
        <f t="shared" si="167"/>
        <v/>
      </c>
      <c r="AB306" s="113" t="str">
        <f t="shared" si="164"/>
        <v/>
      </c>
      <c r="BB306" s="113" t="str">
        <f t="shared" si="168"/>
        <v/>
      </c>
    </row>
    <row r="307" spans="2:54">
      <c r="B307" s="119" t="s">
        <v>1872</v>
      </c>
      <c r="C307" s="120" t="s">
        <v>1074</v>
      </c>
      <c r="D307" s="120" t="s">
        <v>1853</v>
      </c>
      <c r="E307" s="125" t="s">
        <v>1908</v>
      </c>
      <c r="F307" s="128">
        <f t="shared" si="175"/>
        <v>57.37</v>
      </c>
      <c r="G307" s="128">
        <v>56.95</v>
      </c>
      <c r="H307" s="133">
        <v>56.91</v>
      </c>
      <c r="I307" s="197">
        <f t="shared" si="166"/>
        <v>0.0400000000000063</v>
      </c>
      <c r="J307" s="115" t="str">
        <f t="shared" si="169"/>
        <v>11R24.5-16PR-RLINE-M1</v>
      </c>
      <c r="K307" s="193"/>
      <c r="L307" s="193"/>
      <c r="M307" s="193"/>
      <c r="N307" s="193"/>
      <c r="O307" s="193"/>
      <c r="P307" s="193"/>
      <c r="Q307" s="193"/>
      <c r="R307" s="193"/>
      <c r="S307" s="113" t="str">
        <f t="shared" si="167"/>
        <v/>
      </c>
      <c r="AB307" s="113" t="str">
        <f t="shared" si="164"/>
        <v/>
      </c>
      <c r="BB307" s="113" t="str">
        <f t="shared" si="168"/>
        <v/>
      </c>
    </row>
    <row r="308" spans="2:54">
      <c r="B308" s="119" t="s">
        <v>1872</v>
      </c>
      <c r="C308" s="120" t="s">
        <v>1074</v>
      </c>
      <c r="D308" s="120" t="s">
        <v>1863</v>
      </c>
      <c r="E308" s="125" t="s">
        <v>1909</v>
      </c>
      <c r="F308" s="128">
        <f t="shared" ref="F308:F315" si="176">G308-3.04+3.47</f>
        <v>58.156</v>
      </c>
      <c r="G308" s="128">
        <v>57.726</v>
      </c>
      <c r="H308" s="133">
        <v>58.2</v>
      </c>
      <c r="I308" s="197">
        <f t="shared" si="166"/>
        <v>-0.474000000000004</v>
      </c>
      <c r="J308" s="115" t="str">
        <f t="shared" si="169"/>
        <v>11R24.5-16PR-H-RD</v>
      </c>
      <c r="K308" s="193"/>
      <c r="L308" s="193"/>
      <c r="M308" s="193"/>
      <c r="N308" s="193"/>
      <c r="O308" s="193"/>
      <c r="P308" s="193"/>
      <c r="Q308" s="193"/>
      <c r="R308" s="193"/>
      <c r="S308" s="113" t="str">
        <f t="shared" si="167"/>
        <v/>
      </c>
      <c r="AB308" s="113" t="str">
        <f t="shared" si="164"/>
        <v/>
      </c>
      <c r="BB308" s="113" t="str">
        <f t="shared" si="168"/>
        <v/>
      </c>
    </row>
    <row r="309" spans="2:54">
      <c r="B309" s="119" t="s">
        <v>1872</v>
      </c>
      <c r="C309" s="120" t="s">
        <v>1074</v>
      </c>
      <c r="D309" s="120" t="s">
        <v>1855</v>
      </c>
      <c r="E309" s="125" t="s">
        <v>1910</v>
      </c>
      <c r="F309" s="128">
        <f t="shared" si="176"/>
        <v>65.298</v>
      </c>
      <c r="G309" s="128">
        <v>64.868</v>
      </c>
      <c r="H309" s="133">
        <v>64.79</v>
      </c>
      <c r="I309" s="197">
        <f t="shared" si="166"/>
        <v>0.0779999999999887</v>
      </c>
      <c r="J309" s="115" t="str">
        <f t="shared" si="169"/>
        <v>11R24.5-16PR-H-MD</v>
      </c>
      <c r="K309" s="193"/>
      <c r="L309" s="193"/>
      <c r="M309" s="193"/>
      <c r="N309" s="193"/>
      <c r="O309" s="193"/>
      <c r="P309" s="193"/>
      <c r="Q309" s="193"/>
      <c r="R309" s="193"/>
      <c r="S309" s="113" t="str">
        <f t="shared" si="167"/>
        <v/>
      </c>
      <c r="AB309" s="113" t="str">
        <f>_xlfn.TEXTJOIN("-",TRUE,T309,U309,V309)</f>
        <v/>
      </c>
      <c r="BB309" s="113" t="str">
        <f t="shared" si="168"/>
        <v/>
      </c>
    </row>
    <row r="310" spans="2:54">
      <c r="B310" s="119" t="s">
        <v>1872</v>
      </c>
      <c r="C310" s="120" t="s">
        <v>958</v>
      </c>
      <c r="D310" s="120" t="s">
        <v>1859</v>
      </c>
      <c r="E310" s="125" t="s">
        <v>1911</v>
      </c>
      <c r="F310" s="128">
        <f t="shared" si="176"/>
        <v>53.658</v>
      </c>
      <c r="G310" s="128">
        <v>53.228</v>
      </c>
      <c r="H310" s="133">
        <v>53.12</v>
      </c>
      <c r="I310" s="197">
        <f t="shared" si="166"/>
        <v>0.108000000000004</v>
      </c>
      <c r="J310" s="115" t="str">
        <f t="shared" si="169"/>
        <v>11R24.5-14PR-H-TL</v>
      </c>
      <c r="K310" s="193"/>
      <c r="L310" s="193"/>
      <c r="M310" s="193"/>
      <c r="N310" s="193"/>
      <c r="O310" s="193"/>
      <c r="P310" s="193"/>
      <c r="Q310" s="193"/>
      <c r="R310" s="193"/>
      <c r="S310" s="113" t="str">
        <f t="shared" si="167"/>
        <v/>
      </c>
      <c r="AB310" s="113" t="str">
        <f t="shared" ref="AB310:AB373" si="177">_xlfn.TEXTJOIN("-",TRUE,T310,U310,V310)</f>
        <v/>
      </c>
      <c r="BB310" s="113" t="str">
        <f t="shared" si="168"/>
        <v/>
      </c>
    </row>
    <row r="311" spans="2:54">
      <c r="B311" s="119" t="s">
        <v>1872</v>
      </c>
      <c r="C311" s="120" t="s">
        <v>1074</v>
      </c>
      <c r="D311" s="120" t="s">
        <v>1833</v>
      </c>
      <c r="E311" s="125" t="s">
        <v>1912</v>
      </c>
      <c r="F311" s="128">
        <f t="shared" si="176"/>
        <v>59.038</v>
      </c>
      <c r="G311" s="128">
        <v>58.608</v>
      </c>
      <c r="H311" s="133">
        <v>58.55</v>
      </c>
      <c r="I311" s="197">
        <f t="shared" si="166"/>
        <v>0.0579999999999998</v>
      </c>
      <c r="J311" s="115" t="str">
        <f t="shared" si="169"/>
        <v>11R24.5-16PR-AS600+</v>
      </c>
      <c r="K311" s="193"/>
      <c r="L311" s="193"/>
      <c r="M311" s="193"/>
      <c r="N311" s="193"/>
      <c r="O311" s="193"/>
      <c r="P311" s="193"/>
      <c r="Q311" s="193"/>
      <c r="R311" s="193"/>
      <c r="S311" s="113" t="str">
        <f t="shared" si="167"/>
        <v/>
      </c>
      <c r="AB311" s="113" t="str">
        <f t="shared" si="177"/>
        <v/>
      </c>
      <c r="BB311" s="113" t="str">
        <f t="shared" si="168"/>
        <v/>
      </c>
    </row>
    <row r="312" spans="2:54">
      <c r="B312" s="119" t="s">
        <v>1872</v>
      </c>
      <c r="C312" s="120" t="s">
        <v>1074</v>
      </c>
      <c r="D312" s="120" t="s">
        <v>1913</v>
      </c>
      <c r="E312" s="125" t="s">
        <v>1912</v>
      </c>
      <c r="F312" s="128">
        <f t="shared" si="176"/>
        <v>59.038</v>
      </c>
      <c r="G312" s="128">
        <v>58.608</v>
      </c>
      <c r="H312" s="133">
        <v>58.55</v>
      </c>
      <c r="I312" s="197">
        <f t="shared" si="166"/>
        <v>0.0579999999999998</v>
      </c>
      <c r="J312" s="115" t="str">
        <f t="shared" si="169"/>
        <v>11R24.5-16PR-ASL01 EX</v>
      </c>
      <c r="K312" s="193"/>
      <c r="L312" s="193"/>
      <c r="M312" s="193"/>
      <c r="N312" s="193"/>
      <c r="O312" s="193"/>
      <c r="P312" s="193"/>
      <c r="Q312" s="193"/>
      <c r="R312" s="193"/>
      <c r="S312" s="113" t="str">
        <f t="shared" si="167"/>
        <v/>
      </c>
      <c r="AB312" s="113" t="str">
        <f t="shared" si="177"/>
        <v/>
      </c>
      <c r="BB312" s="113" t="str">
        <f t="shared" si="168"/>
        <v/>
      </c>
    </row>
    <row r="313" spans="2:54">
      <c r="B313" s="119" t="s">
        <v>1872</v>
      </c>
      <c r="C313" s="120" t="s">
        <v>1074</v>
      </c>
      <c r="D313" s="120" t="s">
        <v>1096</v>
      </c>
      <c r="E313" s="125" t="s">
        <v>1914</v>
      </c>
      <c r="F313" s="128">
        <f t="shared" si="176"/>
        <v>69.11</v>
      </c>
      <c r="G313" s="128">
        <v>68.68</v>
      </c>
      <c r="H313" s="133">
        <v>68.68</v>
      </c>
      <c r="I313" s="197">
        <f t="shared" si="166"/>
        <v>0</v>
      </c>
      <c r="J313" s="115" t="str">
        <f t="shared" si="169"/>
        <v>11R24.5-16PR-CB972</v>
      </c>
      <c r="K313" s="193"/>
      <c r="L313" s="193"/>
      <c r="M313" s="193"/>
      <c r="N313" s="193"/>
      <c r="O313" s="193"/>
      <c r="P313" s="193"/>
      <c r="Q313" s="193"/>
      <c r="R313" s="193"/>
      <c r="S313" s="113" t="str">
        <f t="shared" si="167"/>
        <v/>
      </c>
      <c r="AB313" s="113" t="str">
        <f t="shared" si="177"/>
        <v/>
      </c>
      <c r="BB313" s="113" t="str">
        <f t="shared" si="168"/>
        <v/>
      </c>
    </row>
    <row r="314" ht="13.8" customHeight="1" spans="2:54">
      <c r="B314" s="119" t="s">
        <v>1872</v>
      </c>
      <c r="C314" s="120" t="s">
        <v>1074</v>
      </c>
      <c r="D314" s="120" t="s">
        <v>1821</v>
      </c>
      <c r="E314" s="125" t="s">
        <v>1915</v>
      </c>
      <c r="F314" s="128">
        <f t="shared" si="176"/>
        <v>58.246</v>
      </c>
      <c r="G314" s="128">
        <v>57.816</v>
      </c>
      <c r="H314" s="133">
        <v>57.65</v>
      </c>
      <c r="I314" s="197">
        <f t="shared" ref="I314:I359" si="178">G314-H314</f>
        <v>0.166000000000004</v>
      </c>
      <c r="J314" s="115" t="str">
        <f t="shared" si="169"/>
        <v>11R24.5-16PR-AD757</v>
      </c>
      <c r="K314" s="193"/>
      <c r="L314" s="193"/>
      <c r="M314" s="193"/>
      <c r="N314" s="193"/>
      <c r="O314" s="193"/>
      <c r="P314" s="193"/>
      <c r="Q314" s="193"/>
      <c r="R314" s="193"/>
      <c r="S314" s="113" t="str">
        <f t="shared" si="167"/>
        <v/>
      </c>
      <c r="AB314" s="113" t="str">
        <f t="shared" si="177"/>
        <v/>
      </c>
      <c r="BB314" s="113" t="str">
        <f t="shared" si="168"/>
        <v/>
      </c>
    </row>
    <row r="315" ht="13.8" customHeight="1" spans="2:54">
      <c r="B315" s="119" t="s">
        <v>1872</v>
      </c>
      <c r="C315" s="120" t="s">
        <v>1074</v>
      </c>
      <c r="D315" s="120" t="s">
        <v>1829</v>
      </c>
      <c r="E315" s="125" t="s">
        <v>1916</v>
      </c>
      <c r="F315" s="128">
        <f t="shared" si="176"/>
        <v>63.498</v>
      </c>
      <c r="G315" s="128">
        <v>63.068</v>
      </c>
      <c r="H315" s="133">
        <v>63.01</v>
      </c>
      <c r="I315" s="197">
        <f t="shared" si="178"/>
        <v>0.0579999999999998</v>
      </c>
      <c r="J315" s="115" t="str">
        <f t="shared" si="169"/>
        <v>11R24.5-16PR-AD759</v>
      </c>
      <c r="K315" s="193"/>
      <c r="L315" s="193"/>
      <c r="M315" s="193"/>
      <c r="N315" s="193"/>
      <c r="O315" s="193"/>
      <c r="P315" s="193"/>
      <c r="Q315" s="193"/>
      <c r="R315" s="193"/>
      <c r="S315" s="113" t="str">
        <f t="shared" si="167"/>
        <v/>
      </c>
      <c r="AB315" s="113" t="str">
        <f t="shared" si="177"/>
        <v/>
      </c>
      <c r="BB315" s="113" t="str">
        <f t="shared" si="168"/>
        <v/>
      </c>
    </row>
    <row r="316" spans="2:54">
      <c r="B316" s="206"/>
      <c r="C316" s="123"/>
      <c r="D316" s="123"/>
      <c r="E316" s="123"/>
      <c r="F316" s="130"/>
      <c r="G316" s="130"/>
      <c r="H316" s="137"/>
      <c r="I316" s="151"/>
      <c r="J316" s="115" t="str">
        <f t="shared" si="169"/>
        <v/>
      </c>
      <c r="K316" s="193"/>
      <c r="L316" s="193"/>
      <c r="M316" s="193"/>
      <c r="N316" s="193"/>
      <c r="O316" s="193"/>
      <c r="P316" s="193"/>
      <c r="Q316" s="193"/>
      <c r="R316" s="193"/>
      <c r="S316" s="113" t="str">
        <f t="shared" si="167"/>
        <v/>
      </c>
      <c r="AB316" s="113" t="str">
        <f t="shared" si="177"/>
        <v/>
      </c>
      <c r="BB316" s="113" t="str">
        <f t="shared" si="168"/>
        <v/>
      </c>
    </row>
    <row r="317" spans="2:54">
      <c r="B317" s="148" t="s">
        <v>801</v>
      </c>
      <c r="C317" s="124" t="s">
        <v>1092</v>
      </c>
      <c r="D317" s="120" t="s">
        <v>1096</v>
      </c>
      <c r="E317" s="120" t="s">
        <v>1917</v>
      </c>
      <c r="F317" s="133">
        <f t="shared" ref="F317:F332" si="179">G317-4.327+5.012</f>
        <v>81.84</v>
      </c>
      <c r="G317" s="133">
        <v>81.155</v>
      </c>
      <c r="H317" s="128">
        <v>81.174</v>
      </c>
      <c r="I317" s="144">
        <f t="shared" si="178"/>
        <v>-0.0190000000000055</v>
      </c>
      <c r="J317" s="115" t="str">
        <f t="shared" si="169"/>
        <v>12.00R20-18PR-CB972</v>
      </c>
      <c r="K317" s="193"/>
      <c r="L317" s="193"/>
      <c r="M317" s="193"/>
      <c r="N317" s="193"/>
      <c r="O317" s="193"/>
      <c r="P317" s="193"/>
      <c r="Q317" s="193"/>
      <c r="R317" s="193"/>
      <c r="S317" s="113" t="str">
        <f t="shared" si="167"/>
        <v/>
      </c>
      <c r="AB317" s="113" t="str">
        <f t="shared" si="177"/>
        <v/>
      </c>
      <c r="BB317" s="113" t="str">
        <f t="shared" si="168"/>
        <v/>
      </c>
    </row>
    <row r="318" spans="2:54">
      <c r="B318" s="148" t="s">
        <v>801</v>
      </c>
      <c r="C318" s="124" t="s">
        <v>1092</v>
      </c>
      <c r="D318" s="120" t="s">
        <v>1370</v>
      </c>
      <c r="E318" s="120" t="s">
        <v>1917</v>
      </c>
      <c r="F318" s="133">
        <f t="shared" si="179"/>
        <v>81.84</v>
      </c>
      <c r="G318" s="133">
        <v>81.155</v>
      </c>
      <c r="H318" s="128">
        <v>81.174</v>
      </c>
      <c r="I318" s="144">
        <f t="shared" si="178"/>
        <v>-0.0190000000000055</v>
      </c>
      <c r="J318" s="115" t="str">
        <f t="shared" si="169"/>
        <v>12.00R20-18PR-TZ101</v>
      </c>
      <c r="K318" s="193"/>
      <c r="L318" s="193"/>
      <c r="M318" s="193"/>
      <c r="N318" s="193"/>
      <c r="O318" s="193"/>
      <c r="P318" s="193"/>
      <c r="Q318" s="193"/>
      <c r="R318" s="193"/>
      <c r="S318" s="113" t="str">
        <f t="shared" si="167"/>
        <v/>
      </c>
      <c r="AB318" s="113" t="str">
        <f t="shared" si="177"/>
        <v/>
      </c>
      <c r="BB318" s="113" t="str">
        <f t="shared" si="168"/>
        <v/>
      </c>
    </row>
    <row r="319" spans="2:54">
      <c r="B319" s="148" t="s">
        <v>801</v>
      </c>
      <c r="C319" s="124" t="s">
        <v>1092</v>
      </c>
      <c r="D319" s="120" t="s">
        <v>1380</v>
      </c>
      <c r="E319" s="120" t="s">
        <v>1917</v>
      </c>
      <c r="F319" s="133">
        <f t="shared" si="179"/>
        <v>81.84</v>
      </c>
      <c r="G319" s="133">
        <v>81.155</v>
      </c>
      <c r="H319" s="128">
        <v>81.174</v>
      </c>
      <c r="I319" s="144">
        <f t="shared" si="178"/>
        <v>-0.0190000000000055</v>
      </c>
      <c r="J319" s="115" t="str">
        <f t="shared" si="169"/>
        <v>12.00R20-18PR-MT100</v>
      </c>
      <c r="K319" s="193"/>
      <c r="L319" s="193"/>
      <c r="M319" s="193"/>
      <c r="N319" s="193"/>
      <c r="O319" s="193"/>
      <c r="P319" s="193"/>
      <c r="Q319" s="193"/>
      <c r="R319" s="193"/>
      <c r="S319" s="113" t="str">
        <f t="shared" si="167"/>
        <v/>
      </c>
      <c r="AB319" s="113" t="str">
        <f t="shared" si="177"/>
        <v/>
      </c>
      <c r="BB319" s="113" t="str">
        <f t="shared" si="168"/>
        <v/>
      </c>
    </row>
    <row r="320" spans="2:54">
      <c r="B320" s="148" t="s">
        <v>801</v>
      </c>
      <c r="C320" s="124" t="s">
        <v>1092</v>
      </c>
      <c r="D320" s="120" t="s">
        <v>1568</v>
      </c>
      <c r="E320" s="125" t="s">
        <v>1918</v>
      </c>
      <c r="F320" s="133">
        <f t="shared" si="179"/>
        <v>84.609</v>
      </c>
      <c r="G320" s="133">
        <v>83.924</v>
      </c>
      <c r="H320" s="128">
        <v>83.9433</v>
      </c>
      <c r="I320" s="144">
        <f t="shared" si="178"/>
        <v>-0.019299999999987</v>
      </c>
      <c r="J320" s="115" t="str">
        <f t="shared" si="169"/>
        <v>12.00R20-18PR-EZ336</v>
      </c>
      <c r="K320" s="193"/>
      <c r="L320" s="193"/>
      <c r="M320" s="193"/>
      <c r="N320" s="193"/>
      <c r="O320" s="193"/>
      <c r="P320" s="193"/>
      <c r="Q320" s="193"/>
      <c r="R320" s="193"/>
      <c r="S320" s="113" t="str">
        <f t="shared" si="167"/>
        <v/>
      </c>
      <c r="AB320" s="113" t="str">
        <f t="shared" si="177"/>
        <v/>
      </c>
      <c r="BB320" s="113" t="str">
        <f t="shared" si="168"/>
        <v/>
      </c>
    </row>
    <row r="321" spans="2:54">
      <c r="B321" s="148" t="s">
        <v>801</v>
      </c>
      <c r="C321" s="124" t="s">
        <v>1092</v>
      </c>
      <c r="D321" s="120" t="s">
        <v>1919</v>
      </c>
      <c r="E321" s="125" t="s">
        <v>1918</v>
      </c>
      <c r="F321" s="133">
        <f t="shared" si="179"/>
        <v>84.609</v>
      </c>
      <c r="G321" s="133">
        <v>83.924</v>
      </c>
      <c r="H321" s="128">
        <v>83.9433</v>
      </c>
      <c r="I321" s="144">
        <f t="shared" si="178"/>
        <v>-0.019299999999987</v>
      </c>
      <c r="J321" s="115" t="str">
        <f t="shared" si="169"/>
        <v>12.00R20-18PR-TZ304</v>
      </c>
      <c r="K321" s="193"/>
      <c r="L321" s="193"/>
      <c r="M321" s="193"/>
      <c r="N321" s="193"/>
      <c r="O321" s="193"/>
      <c r="P321" s="193"/>
      <c r="Q321" s="193"/>
      <c r="R321" s="193"/>
      <c r="S321" s="113" t="str">
        <f t="shared" si="167"/>
        <v/>
      </c>
      <c r="AB321" s="113" t="str">
        <f t="shared" si="177"/>
        <v/>
      </c>
      <c r="BB321" s="113" t="str">
        <f t="shared" si="168"/>
        <v/>
      </c>
    </row>
    <row r="322" ht="13.8" customHeight="1" spans="2:54">
      <c r="B322" s="148" t="s">
        <v>801</v>
      </c>
      <c r="C322" s="124" t="s">
        <v>1101</v>
      </c>
      <c r="D322" s="120" t="s">
        <v>1568</v>
      </c>
      <c r="E322" s="125" t="s">
        <v>1918</v>
      </c>
      <c r="F322" s="133">
        <f t="shared" si="179"/>
        <v>84.609</v>
      </c>
      <c r="G322" s="133">
        <v>83.924</v>
      </c>
      <c r="H322" s="128">
        <v>83.9433</v>
      </c>
      <c r="I322" s="144">
        <f t="shared" si="178"/>
        <v>-0.019299999999987</v>
      </c>
      <c r="J322" s="115" t="str">
        <f t="shared" si="169"/>
        <v>12.00R20-20PR-EZ336</v>
      </c>
      <c r="K322" s="193"/>
      <c r="L322" s="193"/>
      <c r="M322" s="193"/>
      <c r="N322" s="193"/>
      <c r="O322" s="193"/>
      <c r="P322" s="193"/>
      <c r="Q322" s="193"/>
      <c r="R322" s="193"/>
      <c r="S322" s="113" t="str">
        <f t="shared" si="167"/>
        <v/>
      </c>
      <c r="AB322" s="113" t="str">
        <f t="shared" si="177"/>
        <v/>
      </c>
      <c r="BB322" s="113" t="str">
        <f t="shared" si="168"/>
        <v/>
      </c>
    </row>
    <row r="323" ht="13.8" customHeight="1" spans="2:54">
      <c r="B323" s="148" t="s">
        <v>801</v>
      </c>
      <c r="C323" s="124" t="s">
        <v>1101</v>
      </c>
      <c r="D323" s="120" t="s">
        <v>1919</v>
      </c>
      <c r="E323" s="125" t="s">
        <v>1918</v>
      </c>
      <c r="F323" s="133">
        <f t="shared" si="179"/>
        <v>84.609</v>
      </c>
      <c r="G323" s="133">
        <v>83.924</v>
      </c>
      <c r="H323" s="128">
        <v>83.9433</v>
      </c>
      <c r="I323" s="144">
        <f t="shared" si="178"/>
        <v>-0.019299999999987</v>
      </c>
      <c r="J323" s="115" t="str">
        <f t="shared" si="169"/>
        <v>12.00R20-20PR-TZ304</v>
      </c>
      <c r="K323" s="193"/>
      <c r="L323" s="193"/>
      <c r="M323" s="193"/>
      <c r="N323" s="193"/>
      <c r="O323" s="193"/>
      <c r="P323" s="193"/>
      <c r="Q323" s="193"/>
      <c r="R323" s="193"/>
      <c r="S323" s="113" t="str">
        <f t="shared" si="167"/>
        <v/>
      </c>
      <c r="AB323" s="113" t="str">
        <f t="shared" si="177"/>
        <v/>
      </c>
      <c r="BB323" s="113" t="str">
        <f t="shared" si="168"/>
        <v/>
      </c>
    </row>
    <row r="324" spans="2:54">
      <c r="B324" s="148" t="s">
        <v>801</v>
      </c>
      <c r="C324" s="124" t="s">
        <v>1092</v>
      </c>
      <c r="D324" s="120" t="s">
        <v>1920</v>
      </c>
      <c r="E324" s="125" t="s">
        <v>1921</v>
      </c>
      <c r="F324" s="208">
        <f t="shared" si="179"/>
        <v>70.005</v>
      </c>
      <c r="G324" s="208">
        <v>69.32</v>
      </c>
      <c r="H324" s="128">
        <v>69.6353</v>
      </c>
      <c r="I324" s="144">
        <f t="shared" si="178"/>
        <v>-0.315300000000008</v>
      </c>
      <c r="J324" s="115" t="str">
        <f t="shared" si="169"/>
        <v>12.00R20-18PR-EZ345</v>
      </c>
      <c r="R324" s="193"/>
      <c r="S324" s="113" t="str">
        <f t="shared" si="167"/>
        <v/>
      </c>
      <c r="AB324" s="113" t="str">
        <f t="shared" si="177"/>
        <v/>
      </c>
      <c r="BB324" s="113" t="str">
        <f t="shared" si="168"/>
        <v/>
      </c>
    </row>
    <row r="325" ht="13.8" customHeight="1" spans="2:54">
      <c r="B325" s="148" t="s">
        <v>801</v>
      </c>
      <c r="C325" s="124" t="s">
        <v>1092</v>
      </c>
      <c r="D325" s="120" t="s">
        <v>1462</v>
      </c>
      <c r="E325" s="125" t="s">
        <v>1921</v>
      </c>
      <c r="F325" s="208">
        <f t="shared" si="179"/>
        <v>70.005</v>
      </c>
      <c r="G325" s="208">
        <v>69.32</v>
      </c>
      <c r="H325" s="128">
        <v>69.6353</v>
      </c>
      <c r="I325" s="144">
        <f t="shared" si="178"/>
        <v>-0.315300000000008</v>
      </c>
      <c r="J325" s="115" t="str">
        <f t="shared" si="169"/>
        <v>12.00R20-18PR-EZ175</v>
      </c>
      <c r="R325" s="193"/>
      <c r="S325" s="113" t="str">
        <f>_xlfn.TEXTJOIN("-",TRUE,K325,L325,M325)</f>
        <v/>
      </c>
      <c r="AB325" s="113" t="str">
        <f t="shared" si="177"/>
        <v/>
      </c>
      <c r="BB325" s="113" t="str">
        <f t="shared" ref="BB325:BB388" si="180">_xlfn.TEXTJOIN("-",TRUE,AU325,AW325)</f>
        <v/>
      </c>
    </row>
    <row r="326" ht="27.6" customHeight="1" spans="2:54">
      <c r="B326" s="148" t="s">
        <v>801</v>
      </c>
      <c r="C326" s="120" t="s">
        <v>1101</v>
      </c>
      <c r="D326" s="120" t="s">
        <v>1920</v>
      </c>
      <c r="E326" s="125" t="s">
        <v>1921</v>
      </c>
      <c r="F326" s="208">
        <f t="shared" si="179"/>
        <v>70.005</v>
      </c>
      <c r="G326" s="208">
        <v>69.32</v>
      </c>
      <c r="H326" s="128">
        <v>69.6353</v>
      </c>
      <c r="I326" s="144">
        <f t="shared" si="178"/>
        <v>-0.315300000000008</v>
      </c>
      <c r="J326" s="115" t="str">
        <f t="shared" si="169"/>
        <v>12.00R20-20PR-EZ345</v>
      </c>
      <c r="R326" s="193"/>
      <c r="S326" s="113" t="str">
        <f t="shared" ref="S326:S389" si="181">_xlfn.TEXTJOIN("-",TRUE,K326,L326,M326)</f>
        <v/>
      </c>
      <c r="AB326" s="113" t="str">
        <f t="shared" si="177"/>
        <v/>
      </c>
      <c r="BB326" s="113" t="str">
        <f t="shared" si="180"/>
        <v/>
      </c>
    </row>
    <row r="327" spans="2:54">
      <c r="B327" s="148" t="s">
        <v>801</v>
      </c>
      <c r="C327" s="120" t="s">
        <v>1101</v>
      </c>
      <c r="D327" s="120" t="s">
        <v>1462</v>
      </c>
      <c r="E327" s="125" t="s">
        <v>1921</v>
      </c>
      <c r="F327" s="208">
        <f t="shared" si="179"/>
        <v>70.005</v>
      </c>
      <c r="G327" s="208">
        <v>69.32</v>
      </c>
      <c r="H327" s="128">
        <v>69.6353</v>
      </c>
      <c r="I327" s="144">
        <f t="shared" si="178"/>
        <v>-0.315300000000008</v>
      </c>
      <c r="J327" s="115" t="str">
        <f t="shared" si="169"/>
        <v>12.00R20-20PR-EZ175</v>
      </c>
      <c r="R327" s="193"/>
      <c r="S327" s="113" t="str">
        <f t="shared" si="181"/>
        <v/>
      </c>
      <c r="AB327" s="113" t="str">
        <f t="shared" si="177"/>
        <v/>
      </c>
      <c r="BB327" s="113" t="str">
        <f t="shared" si="180"/>
        <v/>
      </c>
    </row>
    <row r="328" ht="13.8" customHeight="1" spans="2:54">
      <c r="B328" s="148" t="s">
        <v>801</v>
      </c>
      <c r="C328" s="120" t="s">
        <v>1092</v>
      </c>
      <c r="D328" s="120" t="s">
        <v>1922</v>
      </c>
      <c r="E328" s="125" t="s">
        <v>1923</v>
      </c>
      <c r="F328" s="133">
        <f t="shared" si="179"/>
        <v>96.072</v>
      </c>
      <c r="G328" s="133">
        <v>95.387</v>
      </c>
      <c r="H328" s="128">
        <v>93.9975</v>
      </c>
      <c r="I328" s="144">
        <f t="shared" si="178"/>
        <v>1.3895</v>
      </c>
      <c r="J328" s="115" t="str">
        <f t="shared" si="169"/>
        <v>12.00R20-18PR-EZ310</v>
      </c>
      <c r="R328" s="193"/>
      <c r="S328" s="113" t="str">
        <f t="shared" si="181"/>
        <v/>
      </c>
      <c r="AB328" s="113" t="str">
        <f t="shared" si="177"/>
        <v/>
      </c>
      <c r="BB328" s="113" t="str">
        <f t="shared" si="180"/>
        <v/>
      </c>
    </row>
    <row r="329" ht="27.6" customHeight="1" spans="2:54">
      <c r="B329" s="148" t="s">
        <v>801</v>
      </c>
      <c r="C329" s="120" t="s">
        <v>1092</v>
      </c>
      <c r="D329" s="120" t="s">
        <v>1924</v>
      </c>
      <c r="E329" s="125" t="s">
        <v>1923</v>
      </c>
      <c r="F329" s="133">
        <f t="shared" si="179"/>
        <v>96.072</v>
      </c>
      <c r="G329" s="133">
        <v>95.387</v>
      </c>
      <c r="H329" s="128">
        <v>93.9975</v>
      </c>
      <c r="I329" s="144">
        <f t="shared" si="178"/>
        <v>1.3895</v>
      </c>
      <c r="J329" s="115" t="str">
        <f>_xlfn.TEXTJOIN("-",TRUE,B329,C329,D329)</f>
        <v>12.00R20-18PR-EZ310 pro</v>
      </c>
      <c r="R329" s="193"/>
      <c r="S329" s="113" t="str">
        <f t="shared" si="181"/>
        <v/>
      </c>
      <c r="AB329" s="113" t="str">
        <f t="shared" si="177"/>
        <v/>
      </c>
      <c r="BB329" s="113" t="str">
        <f t="shared" si="180"/>
        <v/>
      </c>
    </row>
    <row r="330" spans="2:54">
      <c r="B330" s="148" t="s">
        <v>801</v>
      </c>
      <c r="C330" s="120" t="s">
        <v>1925</v>
      </c>
      <c r="D330" s="120" t="s">
        <v>1922</v>
      </c>
      <c r="E330" s="125" t="s">
        <v>1923</v>
      </c>
      <c r="F330" s="133">
        <f t="shared" si="179"/>
        <v>96.072</v>
      </c>
      <c r="G330" s="133">
        <v>95.387</v>
      </c>
      <c r="H330" s="128">
        <v>93.9975</v>
      </c>
      <c r="I330" s="144">
        <f t="shared" si="178"/>
        <v>1.3895</v>
      </c>
      <c r="J330" s="115" t="str">
        <f>_xlfn.TEXTJOIN("-",TRUE,B330,C330,D330)</f>
        <v>12.00R20-22PR-EZ310</v>
      </c>
      <c r="R330" s="193"/>
      <c r="S330" s="113" t="str">
        <f t="shared" si="181"/>
        <v/>
      </c>
      <c r="AB330" s="113" t="str">
        <f t="shared" si="177"/>
        <v/>
      </c>
      <c r="BB330" s="113" t="str">
        <f t="shared" si="180"/>
        <v/>
      </c>
    </row>
    <row r="331" ht="13.8" customHeight="1" spans="2:54">
      <c r="B331" s="148" t="s">
        <v>801</v>
      </c>
      <c r="C331" s="120" t="s">
        <v>1925</v>
      </c>
      <c r="D331" s="120" t="s">
        <v>1924</v>
      </c>
      <c r="E331" s="125" t="s">
        <v>1923</v>
      </c>
      <c r="F331" s="133">
        <f t="shared" si="179"/>
        <v>96.072</v>
      </c>
      <c r="G331" s="133">
        <v>95.387</v>
      </c>
      <c r="H331" s="128">
        <v>93.9975</v>
      </c>
      <c r="I331" s="144">
        <f t="shared" si="178"/>
        <v>1.3895</v>
      </c>
      <c r="J331" s="115" t="str">
        <f>_xlfn.TEXTJOIN("-",TRUE,B331,C331,D331)</f>
        <v>12.00R20-22PR-EZ310 pro</v>
      </c>
      <c r="R331" s="193"/>
      <c r="S331" s="113" t="str">
        <f t="shared" si="181"/>
        <v/>
      </c>
      <c r="AB331" s="113" t="str">
        <f t="shared" si="177"/>
        <v/>
      </c>
      <c r="BB331" s="113" t="str">
        <f t="shared" si="180"/>
        <v/>
      </c>
    </row>
    <row r="332" ht="27.6" customHeight="1" spans="2:54">
      <c r="B332" s="148" t="s">
        <v>801</v>
      </c>
      <c r="C332" s="120" t="s">
        <v>1092</v>
      </c>
      <c r="D332" s="120" t="s">
        <v>1926</v>
      </c>
      <c r="E332" s="120" t="s">
        <v>1927</v>
      </c>
      <c r="F332" s="133">
        <f t="shared" si="179"/>
        <v>86.635</v>
      </c>
      <c r="G332" s="133">
        <v>85.95</v>
      </c>
      <c r="H332" s="128">
        <v>85.953</v>
      </c>
      <c r="I332" s="144">
        <f t="shared" si="178"/>
        <v>-0.00300000000000011</v>
      </c>
      <c r="J332" s="115" t="str">
        <f t="shared" ref="J332:J395" si="182">_xlfn.TEXTJOIN("-",TRUE,B332,C332,D332)</f>
        <v>12.00R20-18PR-EZ535</v>
      </c>
      <c r="R332" s="193"/>
      <c r="S332" s="113" t="str">
        <f t="shared" si="181"/>
        <v/>
      </c>
      <c r="AB332" s="113" t="str">
        <f t="shared" si="177"/>
        <v/>
      </c>
      <c r="BB332" s="113" t="str">
        <f t="shared" si="180"/>
        <v/>
      </c>
    </row>
    <row r="333" spans="2:54">
      <c r="B333" s="148" t="s">
        <v>801</v>
      </c>
      <c r="C333" s="120" t="s">
        <v>1101</v>
      </c>
      <c r="D333" s="120" t="s">
        <v>1121</v>
      </c>
      <c r="E333" s="125" t="s">
        <v>1928</v>
      </c>
      <c r="F333" s="133">
        <f>G333-3.916+4.601</f>
        <v>88.322</v>
      </c>
      <c r="G333" s="133">
        <v>87.637</v>
      </c>
      <c r="H333" s="128">
        <v>87.81</v>
      </c>
      <c r="I333" s="144">
        <f t="shared" si="178"/>
        <v>-0.173000000000002</v>
      </c>
      <c r="J333" s="115" t="str">
        <f t="shared" si="182"/>
        <v>12.00R20-20PR-ETOD</v>
      </c>
      <c r="R333" s="193"/>
      <c r="S333" s="113" t="str">
        <f t="shared" si="181"/>
        <v/>
      </c>
      <c r="AB333" s="113" t="str">
        <f t="shared" si="177"/>
        <v/>
      </c>
      <c r="BB333" s="113" t="str">
        <f t="shared" si="180"/>
        <v/>
      </c>
    </row>
    <row r="334" ht="13.8" customHeight="1" spans="2:54">
      <c r="B334" s="148" t="s">
        <v>801</v>
      </c>
      <c r="C334" s="120" t="s">
        <v>1092</v>
      </c>
      <c r="D334" s="121" t="s">
        <v>1405</v>
      </c>
      <c r="E334" s="120" t="s">
        <v>1929</v>
      </c>
      <c r="F334" s="127">
        <f t="shared" ref="F334:F351" si="183">G334-4.327+5.012</f>
        <v>87.618</v>
      </c>
      <c r="G334" s="127">
        <v>86.933</v>
      </c>
      <c r="H334" s="128">
        <v>87.14</v>
      </c>
      <c r="I334" s="144">
        <f t="shared" si="178"/>
        <v>-0.206999999999994</v>
      </c>
      <c r="J334" s="115" t="str">
        <f t="shared" si="182"/>
        <v>12.00R20-18PR-CB332</v>
      </c>
      <c r="R334" s="193"/>
      <c r="S334" s="113" t="str">
        <f t="shared" si="181"/>
        <v/>
      </c>
      <c r="AB334" s="113" t="str">
        <f t="shared" si="177"/>
        <v/>
      </c>
      <c r="BB334" s="113" t="str">
        <f t="shared" si="180"/>
        <v/>
      </c>
    </row>
    <row r="335" ht="13.8" customHeight="1" spans="2:54">
      <c r="B335" s="148" t="s">
        <v>801</v>
      </c>
      <c r="C335" s="124" t="s">
        <v>1092</v>
      </c>
      <c r="D335" s="121" t="s">
        <v>1375</v>
      </c>
      <c r="E335" s="120" t="s">
        <v>1929</v>
      </c>
      <c r="F335" s="127">
        <f t="shared" si="183"/>
        <v>87.618</v>
      </c>
      <c r="G335" s="127">
        <v>86.933</v>
      </c>
      <c r="H335" s="128">
        <v>87.14</v>
      </c>
      <c r="I335" s="144">
        <f t="shared" si="178"/>
        <v>-0.206999999999994</v>
      </c>
      <c r="J335" s="115" t="str">
        <f t="shared" si="182"/>
        <v>12.00R20-18PR-CB919</v>
      </c>
      <c r="R335" s="193"/>
      <c r="S335" s="113" t="str">
        <f t="shared" si="181"/>
        <v/>
      </c>
      <c r="AB335" s="113" t="str">
        <f t="shared" si="177"/>
        <v/>
      </c>
      <c r="BB335" s="113" t="str">
        <f t="shared" si="180"/>
        <v/>
      </c>
    </row>
    <row r="336" spans="2:54">
      <c r="B336" s="148" t="s">
        <v>801</v>
      </c>
      <c r="C336" s="124" t="s">
        <v>1101</v>
      </c>
      <c r="D336" s="121" t="s">
        <v>1096</v>
      </c>
      <c r="E336" s="120" t="s">
        <v>1930</v>
      </c>
      <c r="F336" s="127">
        <f t="shared" si="183"/>
        <v>82.91</v>
      </c>
      <c r="G336" s="133">
        <v>82.225</v>
      </c>
      <c r="H336" s="128">
        <v>81.174</v>
      </c>
      <c r="I336" s="144">
        <f t="shared" si="178"/>
        <v>1.05099999999999</v>
      </c>
      <c r="J336" s="115" t="str">
        <f t="shared" si="182"/>
        <v>12.00R20-20PR-CB972</v>
      </c>
      <c r="R336" s="193"/>
      <c r="S336" s="113" t="str">
        <f t="shared" si="181"/>
        <v/>
      </c>
      <c r="AB336" s="113" t="str">
        <f t="shared" si="177"/>
        <v/>
      </c>
      <c r="BB336" s="113" t="str">
        <f t="shared" si="180"/>
        <v/>
      </c>
    </row>
    <row r="337" spans="2:54">
      <c r="B337" s="148" t="s">
        <v>801</v>
      </c>
      <c r="C337" s="124" t="s">
        <v>1101</v>
      </c>
      <c r="D337" s="121" t="s">
        <v>1370</v>
      </c>
      <c r="E337" s="120" t="s">
        <v>1930</v>
      </c>
      <c r="F337" s="127">
        <f t="shared" si="183"/>
        <v>82.91</v>
      </c>
      <c r="G337" s="133">
        <v>82.225</v>
      </c>
      <c r="H337" s="128">
        <v>81.174</v>
      </c>
      <c r="I337" s="144">
        <f t="shared" si="178"/>
        <v>1.05099999999999</v>
      </c>
      <c r="J337" s="115" t="str">
        <f t="shared" si="182"/>
        <v>12.00R20-20PR-TZ101</v>
      </c>
      <c r="R337" s="193"/>
      <c r="S337" s="113" t="str">
        <f t="shared" si="181"/>
        <v/>
      </c>
      <c r="AB337" s="113" t="str">
        <f t="shared" si="177"/>
        <v/>
      </c>
      <c r="BB337" s="113" t="str">
        <f t="shared" si="180"/>
        <v/>
      </c>
    </row>
    <row r="338" spans="2:54">
      <c r="B338" s="148" t="s">
        <v>801</v>
      </c>
      <c r="C338" s="124" t="s">
        <v>1101</v>
      </c>
      <c r="D338" s="120" t="s">
        <v>1380</v>
      </c>
      <c r="E338" s="120" t="s">
        <v>1930</v>
      </c>
      <c r="F338" s="127">
        <f t="shared" si="183"/>
        <v>82.91</v>
      </c>
      <c r="G338" s="133">
        <v>82.225</v>
      </c>
      <c r="H338" s="128">
        <v>81.174</v>
      </c>
      <c r="I338" s="144">
        <f t="shared" si="178"/>
        <v>1.05099999999999</v>
      </c>
      <c r="J338" s="115" t="str">
        <f t="shared" si="182"/>
        <v>12.00R20-20PR-MT100</v>
      </c>
      <c r="R338" s="193"/>
      <c r="S338" s="113" t="str">
        <f t="shared" si="181"/>
        <v/>
      </c>
      <c r="AB338" s="113" t="str">
        <f t="shared" si="177"/>
        <v/>
      </c>
      <c r="BB338" s="113" t="str">
        <f t="shared" si="180"/>
        <v/>
      </c>
    </row>
    <row r="339" spans="2:54">
      <c r="B339" s="148" t="s">
        <v>801</v>
      </c>
      <c r="C339" s="120" t="s">
        <v>1925</v>
      </c>
      <c r="D339" s="121" t="s">
        <v>1096</v>
      </c>
      <c r="E339" s="120" t="s">
        <v>1930</v>
      </c>
      <c r="F339" s="127">
        <f t="shared" si="183"/>
        <v>82.91</v>
      </c>
      <c r="G339" s="133">
        <v>82.225</v>
      </c>
      <c r="H339" s="128">
        <v>81.174</v>
      </c>
      <c r="I339" s="144">
        <f t="shared" si="178"/>
        <v>1.05099999999999</v>
      </c>
      <c r="J339" s="115" t="str">
        <f t="shared" si="182"/>
        <v>12.00R20-22PR-CB972</v>
      </c>
      <c r="R339" s="193"/>
      <c r="S339" s="113" t="str">
        <f t="shared" si="181"/>
        <v/>
      </c>
      <c r="AB339" s="113" t="str">
        <f t="shared" si="177"/>
        <v/>
      </c>
      <c r="BB339" s="113" t="str">
        <f t="shared" si="180"/>
        <v/>
      </c>
    </row>
    <row r="340" spans="2:54">
      <c r="B340" s="148" t="s">
        <v>801</v>
      </c>
      <c r="C340" s="120" t="s">
        <v>1925</v>
      </c>
      <c r="D340" s="121" t="s">
        <v>1370</v>
      </c>
      <c r="E340" s="120" t="s">
        <v>1930</v>
      </c>
      <c r="F340" s="127">
        <f t="shared" si="183"/>
        <v>82.91</v>
      </c>
      <c r="G340" s="133">
        <v>82.225</v>
      </c>
      <c r="H340" s="128">
        <v>81.174</v>
      </c>
      <c r="I340" s="144">
        <f t="shared" si="178"/>
        <v>1.05099999999999</v>
      </c>
      <c r="J340" s="115" t="str">
        <f t="shared" si="182"/>
        <v>12.00R20-22PR-TZ101</v>
      </c>
      <c r="R340" s="193"/>
      <c r="S340" s="113" t="str">
        <f t="shared" si="181"/>
        <v/>
      </c>
      <c r="AB340" s="113" t="str">
        <f t="shared" si="177"/>
        <v/>
      </c>
      <c r="BB340" s="113" t="str">
        <f t="shared" si="180"/>
        <v/>
      </c>
    </row>
    <row r="341" spans="2:54">
      <c r="B341" s="148" t="s">
        <v>801</v>
      </c>
      <c r="C341" s="124" t="s">
        <v>1925</v>
      </c>
      <c r="D341" s="120" t="s">
        <v>1380</v>
      </c>
      <c r="E341" s="120" t="s">
        <v>1930</v>
      </c>
      <c r="F341" s="127">
        <f t="shared" si="183"/>
        <v>82.91</v>
      </c>
      <c r="G341" s="133">
        <v>82.225</v>
      </c>
      <c r="H341" s="128">
        <v>81.174</v>
      </c>
      <c r="I341" s="144">
        <f t="shared" si="178"/>
        <v>1.05099999999999</v>
      </c>
      <c r="J341" s="115" t="str">
        <f t="shared" si="182"/>
        <v>12.00R20-22PR-MT100</v>
      </c>
      <c r="R341" s="193"/>
      <c r="S341" s="113" t="str">
        <f t="shared" si="181"/>
        <v/>
      </c>
      <c r="AB341" s="113" t="str">
        <f t="shared" si="177"/>
        <v/>
      </c>
      <c r="BB341" s="113" t="str">
        <f t="shared" si="180"/>
        <v/>
      </c>
    </row>
    <row r="342" spans="2:54">
      <c r="B342" s="148" t="s">
        <v>801</v>
      </c>
      <c r="C342" s="124" t="s">
        <v>1925</v>
      </c>
      <c r="D342" s="121" t="s">
        <v>1931</v>
      </c>
      <c r="E342" s="120" t="s">
        <v>1930</v>
      </c>
      <c r="F342" s="127">
        <f t="shared" si="183"/>
        <v>82.91</v>
      </c>
      <c r="G342" s="133">
        <v>82.225</v>
      </c>
      <c r="H342" s="128">
        <v>81.174</v>
      </c>
      <c r="I342" s="144">
        <f t="shared" si="178"/>
        <v>1.05099999999999</v>
      </c>
      <c r="J342" s="115" t="str">
        <f t="shared" si="182"/>
        <v>12.00R20-22PR-TRD-71</v>
      </c>
      <c r="R342" s="193"/>
      <c r="S342" s="113" t="str">
        <f t="shared" si="181"/>
        <v/>
      </c>
      <c r="AB342" s="113" t="str">
        <f t="shared" si="177"/>
        <v/>
      </c>
      <c r="BB342" s="113" t="str">
        <f t="shared" si="180"/>
        <v/>
      </c>
    </row>
    <row r="343" spans="2:54">
      <c r="B343" s="180" t="s">
        <v>801</v>
      </c>
      <c r="C343" s="120" t="s">
        <v>1925</v>
      </c>
      <c r="D343" s="121" t="s">
        <v>1405</v>
      </c>
      <c r="E343" s="147" t="s">
        <v>1932</v>
      </c>
      <c r="F343" s="133">
        <f t="shared" si="183"/>
        <v>87.439</v>
      </c>
      <c r="G343" s="127">
        <v>86.754</v>
      </c>
      <c r="H343" s="128">
        <v>86.7752</v>
      </c>
      <c r="I343" s="144">
        <f t="shared" si="178"/>
        <v>-0.0211999999999932</v>
      </c>
      <c r="J343" s="115" t="str">
        <f t="shared" si="182"/>
        <v>12.00R20-22PR-CB332</v>
      </c>
      <c r="R343" s="193"/>
      <c r="S343" s="113" t="str">
        <f t="shared" si="181"/>
        <v/>
      </c>
      <c r="AB343" s="113" t="str">
        <f t="shared" si="177"/>
        <v/>
      </c>
      <c r="BB343" s="113" t="str">
        <f t="shared" si="180"/>
        <v/>
      </c>
    </row>
    <row r="344" spans="2:54">
      <c r="B344" s="148" t="s">
        <v>801</v>
      </c>
      <c r="C344" s="120" t="s">
        <v>1925</v>
      </c>
      <c r="D344" s="120" t="s">
        <v>1375</v>
      </c>
      <c r="E344" s="138" t="s">
        <v>1932</v>
      </c>
      <c r="F344" s="133">
        <f t="shared" si="183"/>
        <v>87.439</v>
      </c>
      <c r="G344" s="127">
        <v>86.754</v>
      </c>
      <c r="H344" s="128">
        <v>86.7752</v>
      </c>
      <c r="I344" s="144">
        <f t="shared" si="178"/>
        <v>-0.0211999999999932</v>
      </c>
      <c r="J344" s="115" t="str">
        <f t="shared" si="182"/>
        <v>12.00R20-22PR-CB919</v>
      </c>
      <c r="R344" s="193"/>
      <c r="S344" s="113" t="str">
        <f t="shared" si="181"/>
        <v/>
      </c>
      <c r="AB344" s="113" t="str">
        <f t="shared" si="177"/>
        <v/>
      </c>
      <c r="BB344" s="113" t="str">
        <f t="shared" si="180"/>
        <v/>
      </c>
    </row>
    <row r="345" spans="2:54">
      <c r="B345" s="148" t="s">
        <v>801</v>
      </c>
      <c r="C345" s="120" t="s">
        <v>1101</v>
      </c>
      <c r="D345" s="121" t="s">
        <v>972</v>
      </c>
      <c r="E345" s="120" t="s">
        <v>1933</v>
      </c>
      <c r="F345" s="127">
        <f t="shared" si="183"/>
        <v>82.083</v>
      </c>
      <c r="G345" s="127">
        <v>81.398</v>
      </c>
      <c r="H345" s="128">
        <v>81.2783</v>
      </c>
      <c r="I345" s="144">
        <f t="shared" si="178"/>
        <v>0.119699999999995</v>
      </c>
      <c r="J345" s="115" t="str">
        <f t="shared" si="182"/>
        <v>12.00R20-20PR-AZ850</v>
      </c>
      <c r="R345" s="193"/>
      <c r="S345" s="113" t="str">
        <f t="shared" si="181"/>
        <v/>
      </c>
      <c r="AB345" s="113" t="str">
        <f t="shared" si="177"/>
        <v/>
      </c>
      <c r="BB345" s="113" t="str">
        <f t="shared" si="180"/>
        <v/>
      </c>
    </row>
    <row r="346" spans="2:54">
      <c r="B346" s="148" t="s">
        <v>801</v>
      </c>
      <c r="C346" s="120" t="s">
        <v>1101</v>
      </c>
      <c r="D346" s="121" t="s">
        <v>1176</v>
      </c>
      <c r="E346" s="120" t="s">
        <v>1934</v>
      </c>
      <c r="F346" s="127">
        <f t="shared" si="183"/>
        <v>84.839</v>
      </c>
      <c r="G346" s="127">
        <v>84.154</v>
      </c>
      <c r="H346" s="128">
        <v>84.1747</v>
      </c>
      <c r="I346" s="144">
        <f t="shared" si="178"/>
        <v>-0.020700000000005</v>
      </c>
      <c r="J346" s="115" t="str">
        <f t="shared" si="182"/>
        <v>12.00R20-20PR-EZ865</v>
      </c>
      <c r="R346" s="193"/>
      <c r="S346" s="113" t="str">
        <f t="shared" si="181"/>
        <v/>
      </c>
      <c r="AB346" s="113" t="str">
        <f t="shared" si="177"/>
        <v/>
      </c>
      <c r="BB346" s="113" t="str">
        <f t="shared" si="180"/>
        <v/>
      </c>
    </row>
    <row r="347" ht="13.8" customHeight="1" spans="2:54">
      <c r="B347" s="148" t="s">
        <v>801</v>
      </c>
      <c r="C347" s="120" t="s">
        <v>1101</v>
      </c>
      <c r="D347" s="121" t="s">
        <v>1244</v>
      </c>
      <c r="E347" s="120" t="s">
        <v>1935</v>
      </c>
      <c r="F347" s="127">
        <f t="shared" si="183"/>
        <v>84.997</v>
      </c>
      <c r="G347" s="127">
        <v>84.312</v>
      </c>
      <c r="H347" s="128">
        <v>84.3311</v>
      </c>
      <c r="I347" s="144">
        <f t="shared" si="178"/>
        <v>-0.0191000000000088</v>
      </c>
      <c r="J347" s="115" t="str">
        <f t="shared" si="182"/>
        <v>12.00R20-20PR-EZ867</v>
      </c>
      <c r="R347" s="193"/>
      <c r="S347" s="113" t="str">
        <f t="shared" si="181"/>
        <v/>
      </c>
      <c r="AB347" s="113" t="str">
        <f t="shared" si="177"/>
        <v/>
      </c>
      <c r="BB347" s="113" t="str">
        <f t="shared" si="180"/>
        <v/>
      </c>
    </row>
    <row r="348" ht="13.8" customHeight="1" spans="2:54">
      <c r="B348" s="148" t="s">
        <v>801</v>
      </c>
      <c r="C348" s="120" t="s">
        <v>1101</v>
      </c>
      <c r="D348" s="121" t="s">
        <v>1936</v>
      </c>
      <c r="E348" s="125" t="s">
        <v>1937</v>
      </c>
      <c r="F348" s="127">
        <f t="shared" si="183"/>
        <v>70.803</v>
      </c>
      <c r="G348" s="127">
        <v>70.118</v>
      </c>
      <c r="H348" s="128">
        <v>68.5578</v>
      </c>
      <c r="I348" s="144">
        <f t="shared" si="178"/>
        <v>1.56019999999999</v>
      </c>
      <c r="J348" s="115" t="str">
        <f t="shared" si="182"/>
        <v>12.00R20-20PR-EZ309</v>
      </c>
      <c r="R348" s="193"/>
      <c r="S348" s="113" t="str">
        <f t="shared" si="181"/>
        <v/>
      </c>
      <c r="AB348" s="113" t="str">
        <f t="shared" si="177"/>
        <v/>
      </c>
      <c r="BB348" s="113" t="str">
        <f t="shared" si="180"/>
        <v/>
      </c>
    </row>
    <row r="349" spans="2:54">
      <c r="B349" s="148" t="s">
        <v>801</v>
      </c>
      <c r="C349" s="120" t="s">
        <v>1101</v>
      </c>
      <c r="D349" s="121" t="s">
        <v>1938</v>
      </c>
      <c r="E349" s="120" t="s">
        <v>1937</v>
      </c>
      <c r="F349" s="127">
        <f t="shared" si="183"/>
        <v>70.803</v>
      </c>
      <c r="G349" s="127">
        <v>70.118</v>
      </c>
      <c r="H349" s="128">
        <v>68.5578</v>
      </c>
      <c r="I349" s="144">
        <f t="shared" si="178"/>
        <v>1.56019999999999</v>
      </c>
      <c r="J349" s="115" t="str">
        <f t="shared" si="182"/>
        <v>12.00R20-20PR-XC809</v>
      </c>
      <c r="R349" s="193"/>
      <c r="S349" s="113" t="str">
        <f t="shared" si="181"/>
        <v/>
      </c>
      <c r="AB349" s="113" t="str">
        <f t="shared" si="177"/>
        <v/>
      </c>
      <c r="BB349" s="113" t="str">
        <f t="shared" si="180"/>
        <v/>
      </c>
    </row>
    <row r="350" ht="13.8" customHeight="1" spans="2:54">
      <c r="B350" s="148" t="s">
        <v>801</v>
      </c>
      <c r="C350" s="120" t="s">
        <v>1925</v>
      </c>
      <c r="D350" s="121" t="s">
        <v>1936</v>
      </c>
      <c r="E350" s="138" t="s">
        <v>1937</v>
      </c>
      <c r="F350" s="127">
        <f t="shared" si="183"/>
        <v>70.803</v>
      </c>
      <c r="G350" s="127">
        <v>70.118</v>
      </c>
      <c r="H350" s="128">
        <v>68.5578</v>
      </c>
      <c r="I350" s="144">
        <f t="shared" si="178"/>
        <v>1.56019999999999</v>
      </c>
      <c r="J350" s="115" t="str">
        <f t="shared" si="182"/>
        <v>12.00R20-22PR-EZ309</v>
      </c>
      <c r="R350" s="193"/>
      <c r="S350" s="113" t="str">
        <f t="shared" si="181"/>
        <v/>
      </c>
      <c r="AB350" s="113" t="str">
        <f t="shared" si="177"/>
        <v/>
      </c>
      <c r="BB350" s="113" t="str">
        <f t="shared" si="180"/>
        <v/>
      </c>
    </row>
    <row r="351" ht="27.6" customHeight="1" spans="2:54">
      <c r="B351" s="148" t="s">
        <v>801</v>
      </c>
      <c r="C351" s="120" t="s">
        <v>1925</v>
      </c>
      <c r="D351" s="121" t="s">
        <v>1938</v>
      </c>
      <c r="E351" s="120" t="s">
        <v>1937</v>
      </c>
      <c r="F351" s="127">
        <f t="shared" si="183"/>
        <v>70.803</v>
      </c>
      <c r="G351" s="127">
        <v>70.118</v>
      </c>
      <c r="H351" s="128">
        <v>68.5578</v>
      </c>
      <c r="I351" s="144">
        <f t="shared" si="178"/>
        <v>1.56019999999999</v>
      </c>
      <c r="J351" s="115" t="str">
        <f t="shared" si="182"/>
        <v>12.00R20-22PR-XC809</v>
      </c>
      <c r="R351" s="193"/>
      <c r="S351" s="113" t="str">
        <f t="shared" si="181"/>
        <v/>
      </c>
      <c r="AB351" s="113" t="str">
        <f t="shared" si="177"/>
        <v/>
      </c>
      <c r="BB351" s="113" t="str">
        <f t="shared" si="180"/>
        <v/>
      </c>
    </row>
    <row r="352" spans="2:54">
      <c r="B352" s="148" t="s">
        <v>801</v>
      </c>
      <c r="C352" s="120" t="s">
        <v>1092</v>
      </c>
      <c r="D352" s="121" t="s">
        <v>1391</v>
      </c>
      <c r="E352" s="147" t="s">
        <v>1939</v>
      </c>
      <c r="F352" s="127">
        <f>G352-4.331+5.015</f>
        <v>86.58</v>
      </c>
      <c r="G352" s="127">
        <v>85.896</v>
      </c>
      <c r="H352" s="128">
        <v>85.92</v>
      </c>
      <c r="I352" s="144">
        <f t="shared" si="178"/>
        <v>-0.0240000000000009</v>
      </c>
      <c r="J352" s="115" t="str">
        <f t="shared" si="182"/>
        <v>12.00R20-18PR-CB905</v>
      </c>
      <c r="R352" s="193"/>
      <c r="S352" s="113" t="str">
        <f t="shared" si="181"/>
        <v/>
      </c>
      <c r="AB352" s="113" t="str">
        <f t="shared" si="177"/>
        <v/>
      </c>
      <c r="BB352" s="113" t="str">
        <f t="shared" si="180"/>
        <v/>
      </c>
    </row>
    <row r="353" spans="2:54">
      <c r="B353" s="148" t="s">
        <v>801</v>
      </c>
      <c r="C353" s="120" t="s">
        <v>1101</v>
      </c>
      <c r="D353" s="121" t="s">
        <v>1940</v>
      </c>
      <c r="E353" s="147" t="s">
        <v>1941</v>
      </c>
      <c r="F353" s="127">
        <f t="shared" ref="F353:F359" si="184">G353-4.33+5.01</f>
        <v>98.89</v>
      </c>
      <c r="G353" s="127">
        <v>98.21</v>
      </c>
      <c r="H353" s="128">
        <v>98.16</v>
      </c>
      <c r="I353" s="144">
        <f t="shared" si="178"/>
        <v>0.0499999999999972</v>
      </c>
      <c r="J353" s="115" t="str">
        <f t="shared" si="182"/>
        <v>12.00R20-20PR-Xz380A</v>
      </c>
      <c r="R353" s="193"/>
      <c r="S353" s="113" t="str">
        <f t="shared" si="181"/>
        <v/>
      </c>
      <c r="AB353" s="113" t="str">
        <f t="shared" si="177"/>
        <v/>
      </c>
      <c r="BB353" s="113" t="str">
        <f t="shared" si="180"/>
        <v/>
      </c>
    </row>
    <row r="354" spans="2:54">
      <c r="B354" s="148" t="s">
        <v>801</v>
      </c>
      <c r="C354" s="120" t="s">
        <v>1101</v>
      </c>
      <c r="D354" s="121" t="s">
        <v>1405</v>
      </c>
      <c r="E354" s="120" t="s">
        <v>1942</v>
      </c>
      <c r="F354" s="127">
        <f t="shared" si="184"/>
        <v>89.07</v>
      </c>
      <c r="G354" s="127">
        <v>88.39</v>
      </c>
      <c r="H354" s="128">
        <v>88.41</v>
      </c>
      <c r="I354" s="144">
        <f t="shared" si="178"/>
        <v>-0.019999999999996</v>
      </c>
      <c r="J354" s="115" t="str">
        <f t="shared" si="182"/>
        <v>12.00R20-20PR-CB332</v>
      </c>
      <c r="R354" s="193"/>
      <c r="S354" s="113" t="str">
        <f t="shared" si="181"/>
        <v/>
      </c>
      <c r="AB354" s="113" t="str">
        <f t="shared" si="177"/>
        <v/>
      </c>
      <c r="BB354" s="113" t="str">
        <f t="shared" si="180"/>
        <v/>
      </c>
    </row>
    <row r="355" spans="2:54">
      <c r="B355" s="148" t="s">
        <v>801</v>
      </c>
      <c r="C355" s="120" t="s">
        <v>1101</v>
      </c>
      <c r="D355" s="121" t="s">
        <v>1375</v>
      </c>
      <c r="E355" s="120" t="s">
        <v>1942</v>
      </c>
      <c r="F355" s="127">
        <f t="shared" si="184"/>
        <v>89.07</v>
      </c>
      <c r="G355" s="127">
        <v>88.39</v>
      </c>
      <c r="H355" s="128">
        <v>88.41</v>
      </c>
      <c r="I355" s="144">
        <f t="shared" si="178"/>
        <v>-0.019999999999996</v>
      </c>
      <c r="J355" s="115" t="str">
        <f t="shared" si="182"/>
        <v>12.00R20-20PR-CB919</v>
      </c>
      <c r="R355" s="193"/>
      <c r="S355" s="113" t="str">
        <f t="shared" si="181"/>
        <v/>
      </c>
      <c r="AB355" s="113" t="str">
        <f t="shared" si="177"/>
        <v/>
      </c>
      <c r="BB355" s="113" t="str">
        <f t="shared" si="180"/>
        <v/>
      </c>
    </row>
    <row r="356" ht="13.8" customHeight="1" spans="2:54">
      <c r="B356" s="148" t="s">
        <v>801</v>
      </c>
      <c r="C356" s="120" t="s">
        <v>1925</v>
      </c>
      <c r="D356" s="121" t="s">
        <v>972</v>
      </c>
      <c r="E356" s="120" t="s">
        <v>1943</v>
      </c>
      <c r="F356" s="127">
        <f t="shared" si="184"/>
        <v>83.61</v>
      </c>
      <c r="G356" s="127">
        <v>82.93</v>
      </c>
      <c r="H356" s="128">
        <v>82.94</v>
      </c>
      <c r="I356" s="144">
        <f t="shared" si="178"/>
        <v>-0.00999999999999091</v>
      </c>
      <c r="J356" s="115" t="str">
        <f t="shared" si="182"/>
        <v>12.00R20-22PR-AZ850</v>
      </c>
      <c r="R356" s="193"/>
      <c r="S356" s="113" t="str">
        <f t="shared" si="181"/>
        <v/>
      </c>
      <c r="AB356" s="113" t="str">
        <f t="shared" si="177"/>
        <v/>
      </c>
      <c r="BB356" s="113" t="str">
        <f t="shared" si="180"/>
        <v/>
      </c>
    </row>
    <row r="357" ht="13.8" customHeight="1" spans="2:54">
      <c r="B357" s="148" t="s">
        <v>801</v>
      </c>
      <c r="C357" s="120" t="s">
        <v>1925</v>
      </c>
      <c r="D357" s="121" t="s">
        <v>1244</v>
      </c>
      <c r="E357" s="120" t="s">
        <v>1944</v>
      </c>
      <c r="F357" s="127">
        <f t="shared" si="184"/>
        <v>86.7</v>
      </c>
      <c r="G357" s="127">
        <v>86.02</v>
      </c>
      <c r="H357" s="128">
        <v>86.02</v>
      </c>
      <c r="I357" s="144">
        <f t="shared" si="178"/>
        <v>0</v>
      </c>
      <c r="J357" s="115" t="str">
        <f t="shared" si="182"/>
        <v>12.00R20-22PR-EZ867</v>
      </c>
      <c r="R357" s="193"/>
      <c r="S357" s="113" t="str">
        <f t="shared" si="181"/>
        <v/>
      </c>
      <c r="AB357" s="113" t="str">
        <f t="shared" si="177"/>
        <v/>
      </c>
      <c r="BB357" s="113" t="str">
        <f t="shared" si="180"/>
        <v/>
      </c>
    </row>
    <row r="358" spans="2:54">
      <c r="B358" s="148" t="s">
        <v>801</v>
      </c>
      <c r="C358" s="120" t="s">
        <v>1925</v>
      </c>
      <c r="D358" s="121" t="s">
        <v>1940</v>
      </c>
      <c r="E358" s="120" t="s">
        <v>1945</v>
      </c>
      <c r="F358" s="127">
        <f t="shared" si="184"/>
        <v>99.88</v>
      </c>
      <c r="G358" s="127">
        <v>99.2</v>
      </c>
      <c r="H358" s="128">
        <v>99.14</v>
      </c>
      <c r="I358" s="144">
        <f t="shared" si="178"/>
        <v>0.0600000000000023</v>
      </c>
      <c r="J358" s="115" t="str">
        <f t="shared" si="182"/>
        <v>12.00R20-22PR-Xz380A</v>
      </c>
      <c r="R358" s="193"/>
      <c r="S358" s="113" t="str">
        <f t="shared" si="181"/>
        <v/>
      </c>
      <c r="AB358" s="113" t="str">
        <f t="shared" si="177"/>
        <v/>
      </c>
      <c r="BB358" s="113" t="str">
        <f t="shared" si="180"/>
        <v/>
      </c>
    </row>
    <row r="359" ht="13.8" customHeight="1" spans="2:54">
      <c r="B359" s="148" t="s">
        <v>801</v>
      </c>
      <c r="C359" s="120" t="s">
        <v>1101</v>
      </c>
      <c r="D359" s="121" t="s">
        <v>1408</v>
      </c>
      <c r="E359" s="120" t="s">
        <v>1946</v>
      </c>
      <c r="F359" s="127">
        <f t="shared" si="184"/>
        <v>85.365</v>
      </c>
      <c r="G359" s="127">
        <v>84.685</v>
      </c>
      <c r="H359" s="128">
        <v>84.7</v>
      </c>
      <c r="I359" s="144">
        <f t="shared" si="178"/>
        <v>-0.0150000000000006</v>
      </c>
      <c r="J359" s="115" t="str">
        <f t="shared" si="182"/>
        <v>12.00R20-20PR-EZ835</v>
      </c>
      <c r="R359" s="193"/>
      <c r="S359" s="113" t="str">
        <f t="shared" si="181"/>
        <v/>
      </c>
      <c r="AB359" s="113" t="str">
        <f t="shared" si="177"/>
        <v/>
      </c>
      <c r="BB359" s="113" t="str">
        <f t="shared" si="180"/>
        <v/>
      </c>
    </row>
    <row r="360" ht="13.8" customHeight="1" spans="2:54">
      <c r="B360" s="122"/>
      <c r="C360" s="207"/>
      <c r="D360" s="123"/>
      <c r="E360" s="132"/>
      <c r="F360" s="130"/>
      <c r="G360" s="130"/>
      <c r="H360" s="139"/>
      <c r="I360" s="151"/>
      <c r="J360" s="115" t="str">
        <f t="shared" si="182"/>
        <v/>
      </c>
      <c r="R360" s="193"/>
      <c r="S360" s="113" t="str">
        <f t="shared" si="181"/>
        <v/>
      </c>
      <c r="AB360" s="113" t="str">
        <f t="shared" si="177"/>
        <v/>
      </c>
      <c r="BB360" s="113" t="str">
        <f t="shared" si="180"/>
        <v/>
      </c>
    </row>
    <row r="361" spans="2:54">
      <c r="B361" s="148" t="s">
        <v>1947</v>
      </c>
      <c r="C361" s="120" t="s">
        <v>1092</v>
      </c>
      <c r="D361" s="120" t="s">
        <v>1249</v>
      </c>
      <c r="E361" s="125" t="s">
        <v>1948</v>
      </c>
      <c r="F361" s="127" t="s">
        <v>66</v>
      </c>
      <c r="G361" s="127">
        <v>70.657</v>
      </c>
      <c r="H361" s="128">
        <v>70.67</v>
      </c>
      <c r="I361" s="144">
        <f t="shared" ref="I361:I378" si="185">G361-H361</f>
        <v>-0.0130000000000052</v>
      </c>
      <c r="J361" s="115" t="str">
        <f t="shared" si="182"/>
        <v>12R22.5-18PR-VEZ87</v>
      </c>
      <c r="R361" s="193"/>
      <c r="S361" s="113" t="str">
        <f t="shared" si="181"/>
        <v/>
      </c>
      <c r="AB361" s="113" t="str">
        <f t="shared" si="177"/>
        <v/>
      </c>
      <c r="BB361" s="113" t="str">
        <f t="shared" si="180"/>
        <v/>
      </c>
    </row>
    <row r="362" spans="2:54">
      <c r="B362" s="148" t="s">
        <v>1947</v>
      </c>
      <c r="C362" s="120" t="s">
        <v>1092</v>
      </c>
      <c r="D362" s="120" t="s">
        <v>1244</v>
      </c>
      <c r="E362" s="125" t="s">
        <v>1948</v>
      </c>
      <c r="F362" s="133" t="s">
        <v>66</v>
      </c>
      <c r="G362" s="127">
        <v>70.657</v>
      </c>
      <c r="H362" s="128">
        <v>70.67</v>
      </c>
      <c r="I362" s="144">
        <f t="shared" si="185"/>
        <v>-0.0130000000000052</v>
      </c>
      <c r="J362" s="115" t="str">
        <f t="shared" si="182"/>
        <v>12R22.5-18PR-EZ867</v>
      </c>
      <c r="R362" s="193"/>
      <c r="S362" s="113" t="str">
        <f t="shared" si="181"/>
        <v/>
      </c>
      <c r="AB362" s="113" t="str">
        <f t="shared" si="177"/>
        <v/>
      </c>
      <c r="BB362" s="113" t="str">
        <f t="shared" si="180"/>
        <v/>
      </c>
    </row>
    <row r="363" spans="2:54">
      <c r="B363" s="148" t="s">
        <v>1947</v>
      </c>
      <c r="C363" s="120" t="s">
        <v>1101</v>
      </c>
      <c r="D363" s="120" t="s">
        <v>1249</v>
      </c>
      <c r="E363" s="125" t="s">
        <v>1948</v>
      </c>
      <c r="F363" s="127" t="s">
        <v>66</v>
      </c>
      <c r="G363" s="127">
        <v>70.657</v>
      </c>
      <c r="H363" s="128">
        <v>70.96</v>
      </c>
      <c r="I363" s="144">
        <f t="shared" si="185"/>
        <v>-0.302999999999997</v>
      </c>
      <c r="J363" s="115" t="str">
        <f t="shared" si="182"/>
        <v>12R22.5-20PR-VEZ87</v>
      </c>
      <c r="R363" s="193"/>
      <c r="S363" s="113" t="str">
        <f t="shared" si="181"/>
        <v/>
      </c>
      <c r="AB363" s="113" t="str">
        <f t="shared" si="177"/>
        <v/>
      </c>
      <c r="BB363" s="113" t="str">
        <f t="shared" si="180"/>
        <v/>
      </c>
    </row>
    <row r="364" spans="2:54">
      <c r="B364" s="148" t="s">
        <v>1947</v>
      </c>
      <c r="C364" s="120" t="s">
        <v>1101</v>
      </c>
      <c r="D364" s="120" t="s">
        <v>1244</v>
      </c>
      <c r="E364" s="125" t="s">
        <v>1948</v>
      </c>
      <c r="F364" s="133" t="s">
        <v>66</v>
      </c>
      <c r="G364" s="127">
        <v>70.657</v>
      </c>
      <c r="H364" s="128">
        <v>70.96</v>
      </c>
      <c r="I364" s="144">
        <f t="shared" si="185"/>
        <v>-0.302999999999997</v>
      </c>
      <c r="J364" s="115" t="str">
        <f t="shared" si="182"/>
        <v>12R22.5-20PR-EZ867</v>
      </c>
      <c r="R364" s="193"/>
      <c r="S364" s="113" t="str">
        <f t="shared" si="181"/>
        <v/>
      </c>
      <c r="AB364" s="113" t="str">
        <f t="shared" si="177"/>
        <v/>
      </c>
      <c r="BB364" s="113" t="str">
        <f t="shared" si="180"/>
        <v/>
      </c>
    </row>
    <row r="365" spans="2:54">
      <c r="B365" s="148" t="s">
        <v>1947</v>
      </c>
      <c r="C365" s="120" t="s">
        <v>1092</v>
      </c>
      <c r="D365" s="120" t="s">
        <v>1949</v>
      </c>
      <c r="E365" s="125" t="s">
        <v>1950</v>
      </c>
      <c r="F365" s="133" t="s">
        <v>66</v>
      </c>
      <c r="G365" s="133">
        <v>74.73</v>
      </c>
      <c r="H365" s="128">
        <v>75.18</v>
      </c>
      <c r="I365" s="144">
        <f t="shared" si="185"/>
        <v>-0.450000000000003</v>
      </c>
      <c r="J365" s="115" t="str">
        <f t="shared" si="182"/>
        <v>12R22.5-18PR-VEZ80</v>
      </c>
      <c r="R365" s="193"/>
      <c r="S365" s="113" t="str">
        <f t="shared" si="181"/>
        <v/>
      </c>
      <c r="AB365" s="113" t="str">
        <f t="shared" si="177"/>
        <v/>
      </c>
      <c r="BB365" s="113" t="str">
        <f t="shared" si="180"/>
        <v/>
      </c>
    </row>
    <row r="366" spans="2:54">
      <c r="B366" s="148" t="s">
        <v>1947</v>
      </c>
      <c r="C366" s="120" t="s">
        <v>1092</v>
      </c>
      <c r="D366" s="120" t="s">
        <v>1610</v>
      </c>
      <c r="E366" s="125" t="s">
        <v>1950</v>
      </c>
      <c r="F366" s="133" t="s">
        <v>66</v>
      </c>
      <c r="G366" s="133">
        <v>74.73</v>
      </c>
      <c r="H366" s="128">
        <v>75.18</v>
      </c>
      <c r="I366" s="144">
        <f t="shared" si="185"/>
        <v>-0.450000000000003</v>
      </c>
      <c r="J366" s="115" t="str">
        <f t="shared" si="182"/>
        <v>12R22.5-18PR-EZ870</v>
      </c>
      <c r="R366" s="193"/>
      <c r="S366" s="113" t="str">
        <f t="shared" si="181"/>
        <v/>
      </c>
      <c r="AB366" s="113" t="str">
        <f t="shared" si="177"/>
        <v/>
      </c>
      <c r="BB366" s="113" t="str">
        <f t="shared" si="180"/>
        <v/>
      </c>
    </row>
    <row r="367" spans="2:54">
      <c r="B367" s="148" t="s">
        <v>1947</v>
      </c>
      <c r="C367" s="120" t="s">
        <v>1101</v>
      </c>
      <c r="D367" s="120" t="s">
        <v>1949</v>
      </c>
      <c r="E367" s="125" t="s">
        <v>1950</v>
      </c>
      <c r="F367" s="133" t="s">
        <v>66</v>
      </c>
      <c r="G367" s="133">
        <v>74.73</v>
      </c>
      <c r="H367" s="128">
        <v>76.22</v>
      </c>
      <c r="I367" s="144">
        <f t="shared" si="185"/>
        <v>-1.48999999999999</v>
      </c>
      <c r="J367" s="115" t="str">
        <f t="shared" si="182"/>
        <v>12R22.5-20PR-VEZ80</v>
      </c>
      <c r="R367" s="193"/>
      <c r="S367" s="113" t="str">
        <f t="shared" si="181"/>
        <v/>
      </c>
      <c r="AB367" s="113" t="str">
        <f t="shared" si="177"/>
        <v/>
      </c>
      <c r="BB367" s="113" t="str">
        <f t="shared" si="180"/>
        <v/>
      </c>
    </row>
    <row r="368" ht="13.8" customHeight="1" spans="2:54">
      <c r="B368" s="148" t="s">
        <v>1947</v>
      </c>
      <c r="C368" s="120" t="s">
        <v>1101</v>
      </c>
      <c r="D368" s="120" t="s">
        <v>1610</v>
      </c>
      <c r="E368" s="125" t="s">
        <v>1950</v>
      </c>
      <c r="F368" s="133" t="s">
        <v>66</v>
      </c>
      <c r="G368" s="133">
        <v>74.73</v>
      </c>
      <c r="H368" s="128">
        <v>76.22</v>
      </c>
      <c r="I368" s="144">
        <f t="shared" si="185"/>
        <v>-1.48999999999999</v>
      </c>
      <c r="J368" s="115" t="str">
        <f t="shared" si="182"/>
        <v>12R22.5-20PR-EZ870</v>
      </c>
      <c r="R368" s="193"/>
      <c r="S368" s="113" t="str">
        <f t="shared" si="181"/>
        <v/>
      </c>
      <c r="AB368" s="113" t="str">
        <f t="shared" si="177"/>
        <v/>
      </c>
      <c r="BB368" s="113" t="str">
        <f t="shared" si="180"/>
        <v/>
      </c>
    </row>
    <row r="369" ht="13.8" customHeight="1" spans="2:54">
      <c r="B369" s="148" t="s">
        <v>1947</v>
      </c>
      <c r="C369" s="120" t="s">
        <v>1092</v>
      </c>
      <c r="D369" s="120" t="s">
        <v>1457</v>
      </c>
      <c r="E369" s="125" t="s">
        <v>1951</v>
      </c>
      <c r="F369" s="133">
        <f>G369-2.73+3.84</f>
        <v>62.66</v>
      </c>
      <c r="G369" s="133">
        <v>61.55</v>
      </c>
      <c r="H369" s="128">
        <v>61.56</v>
      </c>
      <c r="I369" s="144">
        <f t="shared" si="185"/>
        <v>-0.0100000000000051</v>
      </c>
      <c r="J369" s="115" t="str">
        <f t="shared" si="182"/>
        <v>12R22.5-18PR-I-181</v>
      </c>
      <c r="R369" s="193"/>
      <c r="S369" s="113" t="str">
        <f t="shared" si="181"/>
        <v/>
      </c>
      <c r="AB369" s="113" t="str">
        <f t="shared" si="177"/>
        <v/>
      </c>
      <c r="BB369" s="113" t="str">
        <f t="shared" si="180"/>
        <v/>
      </c>
    </row>
    <row r="370" spans="2:54">
      <c r="B370" s="148" t="s">
        <v>1947</v>
      </c>
      <c r="C370" s="120" t="s">
        <v>1092</v>
      </c>
      <c r="D370" s="120" t="s">
        <v>1855</v>
      </c>
      <c r="E370" s="125" t="s">
        <v>1952</v>
      </c>
      <c r="F370" s="133" t="s">
        <v>66</v>
      </c>
      <c r="G370" s="133">
        <v>68.133</v>
      </c>
      <c r="H370" s="128">
        <v>68.44</v>
      </c>
      <c r="I370" s="144">
        <f t="shared" si="185"/>
        <v>-0.307000000000002</v>
      </c>
      <c r="J370" s="115" t="str">
        <f t="shared" si="182"/>
        <v>12R22.5-18PR-H-MD</v>
      </c>
      <c r="R370" s="193"/>
      <c r="S370" s="113" t="str">
        <f t="shared" si="181"/>
        <v/>
      </c>
      <c r="AB370" s="113" t="str">
        <f t="shared" si="177"/>
        <v/>
      </c>
      <c r="BB370" s="113" t="str">
        <f t="shared" si="180"/>
        <v/>
      </c>
    </row>
    <row r="371" spans="2:54">
      <c r="B371" s="148" t="s">
        <v>1947</v>
      </c>
      <c r="C371" s="120" t="s">
        <v>1092</v>
      </c>
      <c r="D371" s="120" t="s">
        <v>980</v>
      </c>
      <c r="E371" s="120" t="s">
        <v>1953</v>
      </c>
      <c r="F371" s="133" t="s">
        <v>66</v>
      </c>
      <c r="G371" s="133">
        <v>68.568</v>
      </c>
      <c r="H371" s="128">
        <v>68.91</v>
      </c>
      <c r="I371" s="144">
        <f t="shared" si="185"/>
        <v>-0.341999999999999</v>
      </c>
      <c r="J371" s="115" t="str">
        <f t="shared" si="182"/>
        <v>12R22.5-18PR-VAZ80</v>
      </c>
      <c r="R371" s="193"/>
      <c r="S371" s="113" t="str">
        <f t="shared" si="181"/>
        <v/>
      </c>
      <c r="AB371" s="113" t="str">
        <f t="shared" si="177"/>
        <v/>
      </c>
      <c r="BB371" s="113" t="str">
        <f t="shared" si="180"/>
        <v/>
      </c>
    </row>
    <row r="372" spans="2:54">
      <c r="B372" s="148" t="s">
        <v>1947</v>
      </c>
      <c r="C372" s="120" t="s">
        <v>1092</v>
      </c>
      <c r="D372" s="120" t="s">
        <v>1954</v>
      </c>
      <c r="E372" s="120" t="s">
        <v>1953</v>
      </c>
      <c r="F372" s="133" t="s">
        <v>66</v>
      </c>
      <c r="G372" s="133">
        <v>68.568</v>
      </c>
      <c r="H372" s="128">
        <v>68.91</v>
      </c>
      <c r="I372" s="144">
        <f t="shared" si="185"/>
        <v>-0.341999999999999</v>
      </c>
      <c r="J372" s="115" t="str">
        <f t="shared" si="182"/>
        <v>12R22.5-18PR-AZ850M</v>
      </c>
      <c r="R372" s="193"/>
      <c r="S372" s="113" t="str">
        <f t="shared" si="181"/>
        <v/>
      </c>
      <c r="AB372" s="113" t="str">
        <f t="shared" si="177"/>
        <v/>
      </c>
      <c r="BB372" s="113" t="str">
        <f t="shared" si="180"/>
        <v/>
      </c>
    </row>
    <row r="373" spans="2:54">
      <c r="B373" s="148" t="s">
        <v>1947</v>
      </c>
      <c r="C373" s="120" t="s">
        <v>1092</v>
      </c>
      <c r="D373" s="121" t="s">
        <v>972</v>
      </c>
      <c r="E373" s="120" t="s">
        <v>1953</v>
      </c>
      <c r="F373" s="127" t="s">
        <v>66</v>
      </c>
      <c r="G373" s="133">
        <v>68.568</v>
      </c>
      <c r="H373" s="128">
        <v>68.91</v>
      </c>
      <c r="I373" s="144">
        <f t="shared" si="185"/>
        <v>-0.341999999999999</v>
      </c>
      <c r="J373" s="115" t="str">
        <f t="shared" si="182"/>
        <v>12R22.5-18PR-AZ850</v>
      </c>
      <c r="R373" s="193"/>
      <c r="S373" s="113" t="str">
        <f t="shared" si="181"/>
        <v/>
      </c>
      <c r="AB373" s="113" t="str">
        <f t="shared" si="177"/>
        <v/>
      </c>
      <c r="BB373" s="113" t="str">
        <f t="shared" si="180"/>
        <v/>
      </c>
    </row>
    <row r="374" ht="13.8" customHeight="1" spans="2:54">
      <c r="B374" s="148" t="s">
        <v>1947</v>
      </c>
      <c r="C374" s="120" t="s">
        <v>1101</v>
      </c>
      <c r="D374" s="120" t="s">
        <v>980</v>
      </c>
      <c r="E374" s="120" t="s">
        <v>1953</v>
      </c>
      <c r="F374" s="133" t="s">
        <v>66</v>
      </c>
      <c r="G374" s="133">
        <v>68.568</v>
      </c>
      <c r="H374" s="128">
        <v>68.91</v>
      </c>
      <c r="I374" s="144">
        <f t="shared" si="185"/>
        <v>-0.341999999999999</v>
      </c>
      <c r="J374" s="115" t="str">
        <f t="shared" si="182"/>
        <v>12R22.5-20PR-VAZ80</v>
      </c>
      <c r="R374" s="193"/>
      <c r="S374" s="113" t="str">
        <f t="shared" si="181"/>
        <v/>
      </c>
      <c r="AB374" s="113" t="str">
        <f t="shared" ref="AB374:AB376" si="186">_xlfn.TEXTJOIN("-",TRUE,T374,U374,V374)</f>
        <v/>
      </c>
      <c r="BB374" s="113" t="str">
        <f t="shared" si="180"/>
        <v/>
      </c>
    </row>
    <row r="375" ht="13.8" customHeight="1" spans="2:54">
      <c r="B375" s="148" t="s">
        <v>1947</v>
      </c>
      <c r="C375" s="120" t="s">
        <v>1101</v>
      </c>
      <c r="D375" s="120" t="s">
        <v>1954</v>
      </c>
      <c r="E375" s="120" t="s">
        <v>1953</v>
      </c>
      <c r="F375" s="133" t="s">
        <v>66</v>
      </c>
      <c r="G375" s="133">
        <v>68.568</v>
      </c>
      <c r="H375" s="128">
        <v>68.91</v>
      </c>
      <c r="I375" s="144">
        <f t="shared" si="185"/>
        <v>-0.341999999999999</v>
      </c>
      <c r="J375" s="115" t="str">
        <f t="shared" si="182"/>
        <v>12R22.5-20PR-AZ850M</v>
      </c>
      <c r="R375" s="193"/>
      <c r="S375" s="113" t="str">
        <f t="shared" si="181"/>
        <v/>
      </c>
      <c r="AB375" s="113" t="str">
        <f t="shared" si="186"/>
        <v/>
      </c>
      <c r="BB375" s="113" t="str">
        <f t="shared" si="180"/>
        <v/>
      </c>
    </row>
    <row r="376" ht="13.8" customHeight="1" spans="2:54">
      <c r="B376" s="148" t="s">
        <v>1947</v>
      </c>
      <c r="C376" s="120" t="s">
        <v>1101</v>
      </c>
      <c r="D376" s="121" t="s">
        <v>972</v>
      </c>
      <c r="E376" s="120" t="s">
        <v>1953</v>
      </c>
      <c r="F376" s="127" t="s">
        <v>66</v>
      </c>
      <c r="G376" s="133">
        <v>68.568</v>
      </c>
      <c r="H376" s="128">
        <v>68.91</v>
      </c>
      <c r="I376" s="144">
        <f t="shared" si="185"/>
        <v>-0.341999999999999</v>
      </c>
      <c r="J376" s="115" t="str">
        <f t="shared" si="182"/>
        <v>12R22.5-20PR-AZ850</v>
      </c>
      <c r="R376" s="193"/>
      <c r="S376" s="113" t="str">
        <f t="shared" si="181"/>
        <v/>
      </c>
      <c r="AB376" s="113" t="str">
        <f t="shared" si="186"/>
        <v/>
      </c>
      <c r="BB376" s="113" t="str">
        <f t="shared" si="180"/>
        <v/>
      </c>
    </row>
    <row r="377" spans="2:54">
      <c r="B377" s="148" t="s">
        <v>1947</v>
      </c>
      <c r="C377" s="120" t="s">
        <v>1101</v>
      </c>
      <c r="D377" s="121" t="s">
        <v>1955</v>
      </c>
      <c r="E377" s="120" t="s">
        <v>1956</v>
      </c>
      <c r="F377" s="127" t="s">
        <v>66</v>
      </c>
      <c r="G377" s="133">
        <v>71.02</v>
      </c>
      <c r="H377" s="128">
        <v>71.14</v>
      </c>
      <c r="I377" s="144">
        <f t="shared" si="185"/>
        <v>-0.120000000000005</v>
      </c>
      <c r="J377" s="115" t="str">
        <f t="shared" si="182"/>
        <v>12R22.5-20PR-AS898H</v>
      </c>
      <c r="R377" s="193"/>
      <c r="S377" s="113" t="str">
        <f t="shared" si="181"/>
        <v/>
      </c>
      <c r="AB377" s="113" t="str">
        <f t="shared" ref="AB377:AB436" si="187">_xlfn.TEXTJOIN("-",TRUE,T377,U377,V377)</f>
        <v/>
      </c>
      <c r="BB377" s="113" t="str">
        <f t="shared" si="180"/>
        <v/>
      </c>
    </row>
    <row r="378" spans="2:54">
      <c r="B378" s="148" t="s">
        <v>1947</v>
      </c>
      <c r="C378" s="120" t="s">
        <v>1101</v>
      </c>
      <c r="D378" s="121" t="s">
        <v>1957</v>
      </c>
      <c r="E378" s="120" t="s">
        <v>1956</v>
      </c>
      <c r="F378" s="127" t="s">
        <v>66</v>
      </c>
      <c r="G378" s="133">
        <v>71.02</v>
      </c>
      <c r="H378" s="128">
        <v>71.14</v>
      </c>
      <c r="I378" s="144">
        <f t="shared" si="185"/>
        <v>-0.120000000000005</v>
      </c>
      <c r="J378" s="115" t="str">
        <f t="shared" si="182"/>
        <v>12R22.5-20PR-VAS88</v>
      </c>
      <c r="R378" s="193"/>
      <c r="S378" s="113" t="str">
        <f t="shared" si="181"/>
        <v/>
      </c>
      <c r="AB378" s="113" t="str">
        <f t="shared" si="187"/>
        <v/>
      </c>
      <c r="BB378" s="113" t="str">
        <f t="shared" si="180"/>
        <v/>
      </c>
    </row>
    <row r="379" spans="2:54">
      <c r="B379" s="122"/>
      <c r="C379" s="207"/>
      <c r="D379" s="123"/>
      <c r="E379" s="132"/>
      <c r="F379" s="130"/>
      <c r="G379" s="130"/>
      <c r="H379" s="139"/>
      <c r="I379" s="151"/>
      <c r="J379" s="115" t="str">
        <f t="shared" si="182"/>
        <v/>
      </c>
      <c r="R379" s="193"/>
      <c r="S379" s="113" t="str">
        <f t="shared" si="181"/>
        <v/>
      </c>
      <c r="AB379" s="113" t="str">
        <f t="shared" si="187"/>
        <v/>
      </c>
      <c r="BB379" s="113" t="str">
        <f t="shared" si="180"/>
        <v/>
      </c>
    </row>
    <row r="380" spans="2:54">
      <c r="B380" s="180" t="s">
        <v>798</v>
      </c>
      <c r="C380" s="124" t="s">
        <v>1101</v>
      </c>
      <c r="D380" s="120" t="s">
        <v>1958</v>
      </c>
      <c r="E380" s="125" t="s">
        <v>1959</v>
      </c>
      <c r="F380" s="133">
        <f t="shared" ref="F380:F392" si="188">G380-5.518+6.019</f>
        <v>93.061</v>
      </c>
      <c r="G380" s="133">
        <v>92.56</v>
      </c>
      <c r="H380" s="128">
        <v>91.8856</v>
      </c>
      <c r="I380" s="144">
        <f t="shared" ref="I380:I402" si="189">G380-H380</f>
        <v>0.674400000000006</v>
      </c>
      <c r="J380" s="115" t="str">
        <f t="shared" si="182"/>
        <v>12.00R24-20PR-CB972E</v>
      </c>
      <c r="R380" s="193"/>
      <c r="S380" s="113" t="str">
        <f t="shared" si="181"/>
        <v/>
      </c>
      <c r="AB380" s="113" t="str">
        <f t="shared" si="187"/>
        <v/>
      </c>
      <c r="BB380" s="113" t="str">
        <f t="shared" si="180"/>
        <v/>
      </c>
    </row>
    <row r="381" spans="2:54">
      <c r="B381" s="148" t="s">
        <v>798</v>
      </c>
      <c r="C381" s="124" t="s">
        <v>1101</v>
      </c>
      <c r="D381" s="120" t="s">
        <v>1375</v>
      </c>
      <c r="E381" s="125" t="s">
        <v>1959</v>
      </c>
      <c r="F381" s="133">
        <f t="shared" si="188"/>
        <v>93.061</v>
      </c>
      <c r="G381" s="133">
        <v>92.56</v>
      </c>
      <c r="H381" s="128">
        <v>91.5512</v>
      </c>
      <c r="I381" s="144">
        <f t="shared" si="189"/>
        <v>1.00880000000001</v>
      </c>
      <c r="J381" s="115" t="str">
        <f t="shared" si="182"/>
        <v>12.00R24-20PR-CB919</v>
      </c>
      <c r="R381" s="193"/>
      <c r="S381" s="113" t="str">
        <f t="shared" si="181"/>
        <v/>
      </c>
      <c r="AB381" s="113" t="str">
        <f t="shared" si="187"/>
        <v/>
      </c>
      <c r="BB381" s="113" t="str">
        <f t="shared" si="180"/>
        <v/>
      </c>
    </row>
    <row r="382" spans="2:54">
      <c r="B382" s="148" t="s">
        <v>798</v>
      </c>
      <c r="C382" s="124" t="s">
        <v>1101</v>
      </c>
      <c r="D382" s="120" t="s">
        <v>1960</v>
      </c>
      <c r="E382" s="125" t="s">
        <v>1959</v>
      </c>
      <c r="F382" s="133">
        <f t="shared" si="188"/>
        <v>93.061</v>
      </c>
      <c r="G382" s="133">
        <v>92.56</v>
      </c>
      <c r="H382" s="128">
        <v>91.8856</v>
      </c>
      <c r="I382" s="144">
        <f t="shared" si="189"/>
        <v>0.674400000000006</v>
      </c>
      <c r="J382" s="115" t="str">
        <f t="shared" si="182"/>
        <v>12.00R24-20PR-MT100 MAX</v>
      </c>
      <c r="R382" s="193"/>
      <c r="S382" s="113" t="str">
        <f t="shared" si="181"/>
        <v/>
      </c>
      <c r="AB382" s="113" t="str">
        <f t="shared" si="187"/>
        <v/>
      </c>
      <c r="BB382" s="113" t="str">
        <f t="shared" si="180"/>
        <v/>
      </c>
    </row>
    <row r="383" spans="2:54">
      <c r="B383" s="148" t="s">
        <v>798</v>
      </c>
      <c r="C383" s="124" t="s">
        <v>1101</v>
      </c>
      <c r="D383" s="120" t="s">
        <v>1961</v>
      </c>
      <c r="E383" s="125" t="s">
        <v>1959</v>
      </c>
      <c r="F383" s="133">
        <f t="shared" si="188"/>
        <v>93.061</v>
      </c>
      <c r="G383" s="133">
        <v>92.56</v>
      </c>
      <c r="H383" s="128">
        <v>91.8856</v>
      </c>
      <c r="I383" s="144">
        <f t="shared" si="189"/>
        <v>0.674400000000006</v>
      </c>
      <c r="J383" s="115" t="str">
        <f t="shared" si="182"/>
        <v>12.00R24-20PR-TZ101 PRO</v>
      </c>
      <c r="R383" s="193"/>
      <c r="S383" s="113" t="str">
        <f t="shared" si="181"/>
        <v/>
      </c>
      <c r="AB383" s="113" t="str">
        <f t="shared" si="187"/>
        <v/>
      </c>
      <c r="BB383" s="113" t="str">
        <f t="shared" si="180"/>
        <v/>
      </c>
    </row>
    <row r="384" ht="13.8" customHeight="1" spans="2:54">
      <c r="B384" s="148" t="s">
        <v>798</v>
      </c>
      <c r="C384" s="124" t="s">
        <v>1101</v>
      </c>
      <c r="D384" s="120" t="s">
        <v>1405</v>
      </c>
      <c r="E384" s="120" t="s">
        <v>1962</v>
      </c>
      <c r="F384" s="133">
        <f t="shared" si="188"/>
        <v>92.164</v>
      </c>
      <c r="G384" s="133">
        <v>91.663</v>
      </c>
      <c r="H384" s="128">
        <v>90.9904</v>
      </c>
      <c r="I384" s="144">
        <f t="shared" si="189"/>
        <v>0.672600000000003</v>
      </c>
      <c r="J384" s="115" t="str">
        <f t="shared" si="182"/>
        <v>12.00R24-20PR-CB332</v>
      </c>
      <c r="R384" s="193"/>
      <c r="S384" s="113" t="str">
        <f t="shared" si="181"/>
        <v/>
      </c>
      <c r="AB384" s="113" t="str">
        <f t="shared" si="187"/>
        <v/>
      </c>
      <c r="BB384" s="113" t="str">
        <f t="shared" si="180"/>
        <v/>
      </c>
    </row>
    <row r="385" ht="13.8" customHeight="1" spans="2:54">
      <c r="B385" s="148" t="s">
        <v>798</v>
      </c>
      <c r="C385" s="124" t="s">
        <v>1101</v>
      </c>
      <c r="D385" s="120" t="s">
        <v>1568</v>
      </c>
      <c r="E385" s="120" t="s">
        <v>1963</v>
      </c>
      <c r="F385" s="133">
        <f t="shared" si="188"/>
        <v>91.796</v>
      </c>
      <c r="G385" s="133">
        <v>91.295</v>
      </c>
      <c r="H385" s="128">
        <v>90.6214</v>
      </c>
      <c r="I385" s="144">
        <f t="shared" si="189"/>
        <v>0.673600000000008</v>
      </c>
      <c r="J385" s="115" t="str">
        <f t="shared" si="182"/>
        <v>12.00R24-20PR-EZ336</v>
      </c>
      <c r="R385" s="193"/>
      <c r="S385" s="113" t="str">
        <f t="shared" si="181"/>
        <v/>
      </c>
      <c r="AB385" s="113" t="str">
        <f t="shared" si="187"/>
        <v/>
      </c>
      <c r="BB385" s="113" t="str">
        <f t="shared" si="180"/>
        <v/>
      </c>
    </row>
    <row r="386" ht="13.8" customHeight="1" spans="2:54">
      <c r="B386" s="148" t="s">
        <v>798</v>
      </c>
      <c r="C386" s="124" t="s">
        <v>1101</v>
      </c>
      <c r="D386" s="120" t="s">
        <v>1919</v>
      </c>
      <c r="E386" s="120" t="s">
        <v>1963</v>
      </c>
      <c r="F386" s="133">
        <f t="shared" si="188"/>
        <v>91.796</v>
      </c>
      <c r="G386" s="133">
        <v>91.295</v>
      </c>
      <c r="H386" s="128">
        <v>90.6214</v>
      </c>
      <c r="I386" s="144">
        <f t="shared" si="189"/>
        <v>0.673600000000008</v>
      </c>
      <c r="J386" s="115" t="str">
        <f t="shared" si="182"/>
        <v>12.00R24-20PR-TZ304</v>
      </c>
      <c r="R386" s="193"/>
      <c r="S386" s="113" t="str">
        <f t="shared" si="181"/>
        <v/>
      </c>
      <c r="AB386" s="113" t="str">
        <f t="shared" si="187"/>
        <v/>
      </c>
      <c r="BB386" s="113" t="str">
        <f t="shared" si="180"/>
        <v/>
      </c>
    </row>
    <row r="387" ht="13.8" customHeight="1" spans="2:54">
      <c r="B387" s="148" t="s">
        <v>798</v>
      </c>
      <c r="C387" s="124" t="s">
        <v>1101</v>
      </c>
      <c r="D387" s="120" t="s">
        <v>1964</v>
      </c>
      <c r="E387" s="120" t="s">
        <v>1963</v>
      </c>
      <c r="F387" s="133">
        <f t="shared" si="188"/>
        <v>91.796</v>
      </c>
      <c r="G387" s="133">
        <v>91.295</v>
      </c>
      <c r="H387" s="128">
        <v>90.6214</v>
      </c>
      <c r="I387" s="144">
        <f t="shared" si="189"/>
        <v>0.673600000000008</v>
      </c>
      <c r="J387" s="115" t="str">
        <f t="shared" si="182"/>
        <v>12.00R24-20PR-XC819</v>
      </c>
      <c r="R387" s="193"/>
      <c r="S387" s="113" t="str">
        <f t="shared" si="181"/>
        <v/>
      </c>
      <c r="AB387" s="113" t="str">
        <f t="shared" si="187"/>
        <v/>
      </c>
      <c r="BB387" s="113" t="str">
        <f t="shared" si="180"/>
        <v/>
      </c>
    </row>
    <row r="388" ht="13.8" customHeight="1" spans="2:54">
      <c r="B388" s="148" t="s">
        <v>798</v>
      </c>
      <c r="C388" s="124" t="s">
        <v>1584</v>
      </c>
      <c r="D388" s="120" t="s">
        <v>1964</v>
      </c>
      <c r="E388" s="120" t="s">
        <v>1963</v>
      </c>
      <c r="F388" s="133">
        <f t="shared" si="188"/>
        <v>91.796</v>
      </c>
      <c r="G388" s="133">
        <v>91.295</v>
      </c>
      <c r="H388" s="128">
        <v>90.6214</v>
      </c>
      <c r="I388" s="144">
        <f t="shared" si="189"/>
        <v>0.673600000000008</v>
      </c>
      <c r="J388" s="115" t="str">
        <f t="shared" si="182"/>
        <v>12.00R24-24PR-XC819</v>
      </c>
      <c r="R388" s="193"/>
      <c r="S388" s="113" t="str">
        <f t="shared" si="181"/>
        <v/>
      </c>
      <c r="AB388" s="113" t="str">
        <f t="shared" si="187"/>
        <v/>
      </c>
      <c r="BB388" s="113" t="str">
        <f t="shared" si="180"/>
        <v/>
      </c>
    </row>
    <row r="389" ht="13.8" customHeight="1" spans="2:54">
      <c r="B389" s="148" t="s">
        <v>798</v>
      </c>
      <c r="C389" s="124" t="s">
        <v>1101</v>
      </c>
      <c r="D389" s="120" t="s">
        <v>1096</v>
      </c>
      <c r="E389" s="120" t="s">
        <v>1965</v>
      </c>
      <c r="F389" s="133">
        <f t="shared" si="188"/>
        <v>83.189</v>
      </c>
      <c r="G389" s="133">
        <v>82.688</v>
      </c>
      <c r="H389" s="128">
        <v>84.0286</v>
      </c>
      <c r="I389" s="144">
        <f t="shared" si="189"/>
        <v>-1.34059999999999</v>
      </c>
      <c r="J389" s="115" t="str">
        <f t="shared" si="182"/>
        <v>12.00R24-20PR-CB972</v>
      </c>
      <c r="R389" s="193"/>
      <c r="S389" s="113" t="str">
        <f t="shared" si="181"/>
        <v/>
      </c>
      <c r="AB389" s="113" t="str">
        <f t="shared" si="187"/>
        <v/>
      </c>
      <c r="BB389" s="113" t="str">
        <f t="shared" ref="BB389:BB452" si="190">_xlfn.TEXTJOIN("-",TRUE,AU389,AW389)</f>
        <v/>
      </c>
    </row>
    <row r="390" spans="2:54">
      <c r="B390" s="148" t="s">
        <v>798</v>
      </c>
      <c r="C390" s="124" t="s">
        <v>1101</v>
      </c>
      <c r="D390" s="120" t="s">
        <v>1370</v>
      </c>
      <c r="E390" s="120" t="s">
        <v>1965</v>
      </c>
      <c r="F390" s="133">
        <f t="shared" si="188"/>
        <v>83.189</v>
      </c>
      <c r="G390" s="133">
        <v>82.688</v>
      </c>
      <c r="H390" s="128">
        <v>84.0286</v>
      </c>
      <c r="I390" s="144">
        <f t="shared" si="189"/>
        <v>-1.34059999999999</v>
      </c>
      <c r="J390" s="115" t="str">
        <f t="shared" si="182"/>
        <v>12.00R24-20PR-TZ101</v>
      </c>
      <c r="R390" s="193"/>
      <c r="S390" s="113" t="str">
        <f t="shared" ref="S390:S435" si="191">_xlfn.TEXTJOIN("-",TRUE,K390,L390,M390)</f>
        <v/>
      </c>
      <c r="AB390" s="113" t="str">
        <f t="shared" si="187"/>
        <v/>
      </c>
      <c r="BB390" s="113" t="str">
        <f t="shared" si="190"/>
        <v/>
      </c>
    </row>
    <row r="391" spans="2:54">
      <c r="B391" s="148" t="s">
        <v>798</v>
      </c>
      <c r="C391" s="124" t="s">
        <v>1101</v>
      </c>
      <c r="D391" s="120" t="s">
        <v>1966</v>
      </c>
      <c r="E391" s="120" t="s">
        <v>1967</v>
      </c>
      <c r="F391" s="133">
        <f t="shared" si="188"/>
        <v>100.393</v>
      </c>
      <c r="G391" s="133">
        <v>99.892</v>
      </c>
      <c r="H391" s="128">
        <v>99.2258</v>
      </c>
      <c r="I391" s="144">
        <f t="shared" si="189"/>
        <v>0.666199999999989</v>
      </c>
      <c r="J391" s="115" t="str">
        <f t="shared" si="182"/>
        <v>12.00R24-20PR-ETOT</v>
      </c>
      <c r="R391" s="193"/>
      <c r="S391" s="113" t="str">
        <f t="shared" si="191"/>
        <v/>
      </c>
      <c r="AB391" s="113" t="str">
        <f t="shared" si="187"/>
        <v/>
      </c>
      <c r="BB391" s="113" t="str">
        <f t="shared" si="190"/>
        <v/>
      </c>
    </row>
    <row r="392" spans="2:54">
      <c r="B392" s="148" t="s">
        <v>798</v>
      </c>
      <c r="C392" s="124" t="s">
        <v>1101</v>
      </c>
      <c r="D392" s="120" t="s">
        <v>1968</v>
      </c>
      <c r="E392" s="120" t="s">
        <v>1967</v>
      </c>
      <c r="F392" s="133">
        <f t="shared" si="188"/>
        <v>100.393</v>
      </c>
      <c r="G392" s="133">
        <v>99.892</v>
      </c>
      <c r="H392" s="128">
        <v>99.2258</v>
      </c>
      <c r="I392" s="144">
        <f t="shared" si="189"/>
        <v>0.666199999999989</v>
      </c>
      <c r="J392" s="115" t="str">
        <f t="shared" si="182"/>
        <v>12.00R24-20PR-AM4S.Q678</v>
      </c>
      <c r="R392" s="193"/>
      <c r="S392" s="113" t="str">
        <f t="shared" si="191"/>
        <v/>
      </c>
      <c r="AB392" s="113" t="str">
        <f t="shared" si="187"/>
        <v/>
      </c>
      <c r="BB392" s="113" t="str">
        <f t="shared" si="190"/>
        <v/>
      </c>
    </row>
    <row r="393" spans="2:54">
      <c r="B393" s="148" t="s">
        <v>798</v>
      </c>
      <c r="C393" s="124" t="s">
        <v>1101</v>
      </c>
      <c r="D393" s="120" t="s">
        <v>1936</v>
      </c>
      <c r="E393" s="125" t="s">
        <v>1969</v>
      </c>
      <c r="F393" s="133">
        <f t="shared" ref="F393:F402" si="192">G393-5.515+6.024</f>
        <v>80.923</v>
      </c>
      <c r="G393" s="133">
        <v>80.414</v>
      </c>
      <c r="H393" s="128">
        <v>79.46</v>
      </c>
      <c r="I393" s="144">
        <f t="shared" si="189"/>
        <v>0.954000000000008</v>
      </c>
      <c r="J393" s="115" t="str">
        <f t="shared" si="182"/>
        <v>12.00R24-20PR-EZ309</v>
      </c>
      <c r="R393" s="193"/>
      <c r="S393" s="113" t="str">
        <f t="shared" si="191"/>
        <v/>
      </c>
      <c r="AB393" s="113" t="str">
        <f t="shared" si="187"/>
        <v/>
      </c>
      <c r="BB393" s="113" t="str">
        <f t="shared" si="190"/>
        <v/>
      </c>
    </row>
    <row r="394" spans="2:54">
      <c r="B394" s="148" t="s">
        <v>798</v>
      </c>
      <c r="C394" s="124" t="s">
        <v>1101</v>
      </c>
      <c r="D394" s="120" t="s">
        <v>1938</v>
      </c>
      <c r="E394" s="125" t="s">
        <v>1969</v>
      </c>
      <c r="F394" s="133">
        <f t="shared" si="192"/>
        <v>80.923</v>
      </c>
      <c r="G394" s="133">
        <v>80.414</v>
      </c>
      <c r="H394" s="128">
        <v>79.46</v>
      </c>
      <c r="I394" s="144">
        <f t="shared" si="189"/>
        <v>0.954000000000008</v>
      </c>
      <c r="J394" s="115" t="str">
        <f t="shared" si="182"/>
        <v>12.00R24-20PR-XC809</v>
      </c>
      <c r="R394" s="193"/>
      <c r="S394" s="113" t="str">
        <f t="shared" si="191"/>
        <v/>
      </c>
      <c r="AB394" s="113" t="str">
        <f t="shared" si="187"/>
        <v/>
      </c>
      <c r="BB394" s="113" t="str">
        <f t="shared" si="190"/>
        <v/>
      </c>
    </row>
    <row r="395" spans="2:54">
      <c r="B395" s="148" t="s">
        <v>798</v>
      </c>
      <c r="C395" s="124" t="s">
        <v>1925</v>
      </c>
      <c r="D395" s="120" t="s">
        <v>1936</v>
      </c>
      <c r="E395" s="125" t="s">
        <v>1969</v>
      </c>
      <c r="F395" s="133">
        <f t="shared" si="192"/>
        <v>80.923</v>
      </c>
      <c r="G395" s="133">
        <v>80.414</v>
      </c>
      <c r="H395" s="128">
        <v>79.46</v>
      </c>
      <c r="I395" s="144">
        <f t="shared" si="189"/>
        <v>0.954000000000008</v>
      </c>
      <c r="J395" s="115" t="str">
        <f t="shared" si="182"/>
        <v>12.00R24-22PR-EZ309</v>
      </c>
      <c r="R395" s="193"/>
      <c r="S395" s="113" t="str">
        <f t="shared" si="191"/>
        <v/>
      </c>
      <c r="AB395" s="113" t="str">
        <f t="shared" si="187"/>
        <v/>
      </c>
      <c r="BB395" s="113" t="str">
        <f t="shared" si="190"/>
        <v/>
      </c>
    </row>
    <row r="396" spans="2:54">
      <c r="B396" s="148" t="s">
        <v>798</v>
      </c>
      <c r="C396" s="124" t="s">
        <v>1925</v>
      </c>
      <c r="D396" s="120" t="s">
        <v>1938</v>
      </c>
      <c r="E396" s="125" t="s">
        <v>1969</v>
      </c>
      <c r="F396" s="133">
        <f t="shared" si="192"/>
        <v>80.923</v>
      </c>
      <c r="G396" s="133">
        <v>80.414</v>
      </c>
      <c r="H396" s="128">
        <v>79.46</v>
      </c>
      <c r="I396" s="144">
        <f t="shared" si="189"/>
        <v>0.954000000000008</v>
      </c>
      <c r="J396" s="115" t="str">
        <f t="shared" ref="J396:J459" si="193">_xlfn.TEXTJOIN("-",TRUE,B396,C396,D396)</f>
        <v>12.00R24-22PR-XC809</v>
      </c>
      <c r="R396" s="193"/>
      <c r="S396" s="113" t="str">
        <f t="shared" si="191"/>
        <v/>
      </c>
      <c r="AB396" s="113" t="str">
        <f t="shared" si="187"/>
        <v/>
      </c>
      <c r="BB396" s="113" t="str">
        <f t="shared" si="190"/>
        <v/>
      </c>
    </row>
    <row r="397" spans="2:54">
      <c r="B397" s="148" t="s">
        <v>798</v>
      </c>
      <c r="C397" s="124" t="s">
        <v>1584</v>
      </c>
      <c r="D397" s="120" t="s">
        <v>1936</v>
      </c>
      <c r="E397" s="125" t="s">
        <v>1969</v>
      </c>
      <c r="F397" s="133">
        <f t="shared" si="192"/>
        <v>80.923</v>
      </c>
      <c r="G397" s="133">
        <v>80.414</v>
      </c>
      <c r="H397" s="128">
        <v>79.46</v>
      </c>
      <c r="I397" s="144">
        <f t="shared" si="189"/>
        <v>0.954000000000008</v>
      </c>
      <c r="J397" s="115" t="str">
        <f t="shared" si="193"/>
        <v>12.00R24-24PR-EZ309</v>
      </c>
      <c r="R397" s="193"/>
      <c r="S397" s="113" t="str">
        <f t="shared" si="191"/>
        <v/>
      </c>
      <c r="AB397" s="113" t="str">
        <f t="shared" si="187"/>
        <v/>
      </c>
      <c r="BB397" s="113" t="str">
        <f t="shared" si="190"/>
        <v/>
      </c>
    </row>
    <row r="398" ht="13.8" customHeight="1" spans="2:54">
      <c r="B398" s="148" t="s">
        <v>798</v>
      </c>
      <c r="C398" s="124" t="s">
        <v>1584</v>
      </c>
      <c r="D398" s="120" t="s">
        <v>1938</v>
      </c>
      <c r="E398" s="125" t="s">
        <v>1969</v>
      </c>
      <c r="F398" s="133">
        <f t="shared" si="192"/>
        <v>80.923</v>
      </c>
      <c r="G398" s="133">
        <v>80.414</v>
      </c>
      <c r="H398" s="128">
        <v>79.46</v>
      </c>
      <c r="I398" s="144">
        <f t="shared" si="189"/>
        <v>0.954000000000008</v>
      </c>
      <c r="J398" s="115" t="str">
        <f t="shared" si="193"/>
        <v>12.00R24-24PR-XC809</v>
      </c>
      <c r="R398" s="193"/>
      <c r="S398" s="113" t="str">
        <f t="shared" si="191"/>
        <v/>
      </c>
      <c r="AB398" s="113" t="str">
        <f t="shared" si="187"/>
        <v/>
      </c>
      <c r="BB398" s="113" t="str">
        <f t="shared" si="190"/>
        <v/>
      </c>
    </row>
    <row r="399" ht="13.8" customHeight="1" spans="2:54">
      <c r="B399" s="148" t="s">
        <v>798</v>
      </c>
      <c r="C399" s="124" t="s">
        <v>1101</v>
      </c>
      <c r="D399" s="120" t="s">
        <v>1462</v>
      </c>
      <c r="E399" s="125" t="s">
        <v>1970</v>
      </c>
      <c r="F399" s="133">
        <f t="shared" si="192"/>
        <v>80.578</v>
      </c>
      <c r="G399" s="133">
        <v>80.069</v>
      </c>
      <c r="H399" s="128">
        <v>80.01</v>
      </c>
      <c r="I399" s="144">
        <f t="shared" si="189"/>
        <v>0.0589999999999975</v>
      </c>
      <c r="J399" s="115" t="str">
        <f t="shared" si="193"/>
        <v>12.00R24-20PR-EZ175</v>
      </c>
      <c r="R399" s="193"/>
      <c r="S399" s="113" t="str">
        <f t="shared" si="191"/>
        <v/>
      </c>
      <c r="AB399" s="113" t="str">
        <f t="shared" si="187"/>
        <v/>
      </c>
      <c r="BB399" s="113" t="str">
        <f t="shared" si="190"/>
        <v/>
      </c>
    </row>
    <row r="400" ht="13.8" customHeight="1" spans="2:54">
      <c r="B400" s="148" t="s">
        <v>798</v>
      </c>
      <c r="C400" s="124" t="s">
        <v>1101</v>
      </c>
      <c r="D400" s="120" t="s">
        <v>1920</v>
      </c>
      <c r="E400" s="125" t="s">
        <v>1970</v>
      </c>
      <c r="F400" s="133">
        <f t="shared" si="192"/>
        <v>80.578</v>
      </c>
      <c r="G400" s="133">
        <v>80.069</v>
      </c>
      <c r="H400" s="128">
        <v>80.01</v>
      </c>
      <c r="I400" s="144">
        <f t="shared" si="189"/>
        <v>0.0589999999999975</v>
      </c>
      <c r="J400" s="115" t="str">
        <f t="shared" si="193"/>
        <v>12.00R24-20PR-EZ345</v>
      </c>
      <c r="R400" s="193"/>
      <c r="S400" s="113" t="str">
        <f t="shared" si="191"/>
        <v/>
      </c>
      <c r="AB400" s="113" t="str">
        <f t="shared" si="187"/>
        <v/>
      </c>
      <c r="BB400" s="113" t="str">
        <f t="shared" si="190"/>
        <v/>
      </c>
    </row>
    <row r="401" ht="13.8" customHeight="1" spans="2:54">
      <c r="B401" s="148" t="s">
        <v>798</v>
      </c>
      <c r="C401" s="124" t="s">
        <v>1101</v>
      </c>
      <c r="D401" s="120" t="s">
        <v>1971</v>
      </c>
      <c r="E401" s="125" t="s">
        <v>1970</v>
      </c>
      <c r="F401" s="133">
        <f t="shared" si="192"/>
        <v>80.578</v>
      </c>
      <c r="G401" s="133">
        <v>80.069</v>
      </c>
      <c r="H401" s="128">
        <v>80.01</v>
      </c>
      <c r="I401" s="144">
        <f t="shared" si="189"/>
        <v>0.0589999999999975</v>
      </c>
      <c r="J401" s="115" t="str">
        <f t="shared" si="193"/>
        <v>12.00R24-20PR-XC878</v>
      </c>
      <c r="R401" s="193"/>
      <c r="S401" s="113" t="str">
        <f t="shared" si="191"/>
        <v/>
      </c>
      <c r="AB401" s="113" t="str">
        <f t="shared" si="187"/>
        <v/>
      </c>
      <c r="BB401" s="113" t="str">
        <f t="shared" si="190"/>
        <v/>
      </c>
    </row>
    <row r="402" spans="2:54">
      <c r="B402" s="148" t="s">
        <v>798</v>
      </c>
      <c r="C402" s="124" t="s">
        <v>1101</v>
      </c>
      <c r="D402" s="120" t="s">
        <v>1972</v>
      </c>
      <c r="E402" s="125" t="s">
        <v>1973</v>
      </c>
      <c r="F402" s="133">
        <f t="shared" si="192"/>
        <v>78.363</v>
      </c>
      <c r="G402" s="133">
        <v>77.854</v>
      </c>
      <c r="H402" s="128">
        <v>77.7649</v>
      </c>
      <c r="I402" s="144">
        <f t="shared" si="189"/>
        <v>0.089100000000002</v>
      </c>
      <c r="J402" s="115" t="str">
        <f t="shared" si="193"/>
        <v>12.00R24-20PR-I-301</v>
      </c>
      <c r="R402" s="193"/>
      <c r="S402" s="113" t="str">
        <f t="shared" si="191"/>
        <v/>
      </c>
      <c r="AB402" s="113" t="str">
        <f t="shared" si="187"/>
        <v/>
      </c>
      <c r="BB402" s="113" t="str">
        <f t="shared" si="190"/>
        <v/>
      </c>
    </row>
    <row r="403" ht="13.8" customHeight="1" spans="2:54">
      <c r="B403" s="206"/>
      <c r="C403" s="123"/>
      <c r="D403" s="123"/>
      <c r="E403" s="186"/>
      <c r="F403" s="130"/>
      <c r="G403" s="130"/>
      <c r="H403" s="139"/>
      <c r="I403" s="151"/>
      <c r="J403" s="115" t="str">
        <f t="shared" si="193"/>
        <v/>
      </c>
      <c r="R403" s="193"/>
      <c r="S403" s="113" t="str">
        <f t="shared" si="191"/>
        <v/>
      </c>
      <c r="AB403" s="113" t="str">
        <f t="shared" si="187"/>
        <v/>
      </c>
      <c r="BB403" s="113" t="str">
        <f t="shared" si="190"/>
        <v/>
      </c>
    </row>
    <row r="404" ht="13.8" customHeight="1" spans="2:54">
      <c r="B404" s="148" t="s">
        <v>1974</v>
      </c>
      <c r="C404" s="124" t="s">
        <v>1074</v>
      </c>
      <c r="D404" s="121" t="s">
        <v>1742</v>
      </c>
      <c r="E404" s="120" t="s">
        <v>1975</v>
      </c>
      <c r="F404" s="127">
        <f t="shared" ref="F404:F424" si="194">G404-1.325+1.623</f>
        <v>26.225</v>
      </c>
      <c r="G404" s="133">
        <v>25.927</v>
      </c>
      <c r="H404" s="128">
        <v>25.8464</v>
      </c>
      <c r="I404" s="144">
        <f t="shared" ref="I404:I424" si="195">G404-H404</f>
        <v>0.0806000000000004</v>
      </c>
      <c r="J404" s="115" t="str">
        <f t="shared" si="193"/>
        <v>215/75R17.5-16PR-I-19A</v>
      </c>
      <c r="R404" s="193"/>
      <c r="S404" s="113" t="str">
        <f t="shared" si="191"/>
        <v/>
      </c>
      <c r="AB404" s="113" t="str">
        <f t="shared" si="187"/>
        <v/>
      </c>
      <c r="BB404" s="113" t="str">
        <f t="shared" si="190"/>
        <v/>
      </c>
    </row>
    <row r="405" ht="13.8" customHeight="1" spans="2:54">
      <c r="B405" s="148" t="s">
        <v>1974</v>
      </c>
      <c r="C405" s="124" t="s">
        <v>1074</v>
      </c>
      <c r="D405" s="120" t="s">
        <v>1823</v>
      </c>
      <c r="E405" s="138" t="s">
        <v>1975</v>
      </c>
      <c r="F405" s="127">
        <f t="shared" si="194"/>
        <v>26.225</v>
      </c>
      <c r="G405" s="133">
        <v>25.927</v>
      </c>
      <c r="H405" s="128">
        <v>25.8464</v>
      </c>
      <c r="I405" s="144">
        <f t="shared" si="195"/>
        <v>0.0806000000000004</v>
      </c>
      <c r="J405" s="115" t="str">
        <f t="shared" si="193"/>
        <v>215/75R17.5-16PR-AS673</v>
      </c>
      <c r="R405" s="193"/>
      <c r="S405" s="113" t="str">
        <f t="shared" si="191"/>
        <v/>
      </c>
      <c r="AB405" s="113" t="str">
        <f t="shared" si="187"/>
        <v/>
      </c>
      <c r="BB405" s="113" t="str">
        <f t="shared" si="190"/>
        <v/>
      </c>
    </row>
    <row r="406" ht="27.6" customHeight="1" spans="2:54">
      <c r="B406" s="148" t="s">
        <v>1974</v>
      </c>
      <c r="C406" s="124" t="s">
        <v>1074</v>
      </c>
      <c r="D406" s="121" t="s">
        <v>1751</v>
      </c>
      <c r="E406" s="125" t="s">
        <v>1976</v>
      </c>
      <c r="F406" s="127">
        <f t="shared" si="194"/>
        <v>24.884</v>
      </c>
      <c r="G406" s="160">
        <v>24.586</v>
      </c>
      <c r="H406" s="134">
        <v>24.6362</v>
      </c>
      <c r="I406" s="144">
        <f t="shared" si="195"/>
        <v>-0.0502000000000002</v>
      </c>
      <c r="J406" s="115" t="str">
        <f t="shared" si="193"/>
        <v>215/75R17.5-16PR-CR960A</v>
      </c>
      <c r="R406" s="193"/>
      <c r="S406" s="113" t="str">
        <f t="shared" si="191"/>
        <v/>
      </c>
      <c r="AB406" s="113" t="str">
        <f t="shared" si="187"/>
        <v/>
      </c>
      <c r="BB406" s="113" t="str">
        <f t="shared" si="190"/>
        <v/>
      </c>
    </row>
    <row r="407" spans="2:54">
      <c r="B407" s="148" t="s">
        <v>1974</v>
      </c>
      <c r="C407" s="124" t="s">
        <v>1074</v>
      </c>
      <c r="D407" s="121" t="s">
        <v>1857</v>
      </c>
      <c r="E407" s="120" t="s">
        <v>1976</v>
      </c>
      <c r="F407" s="127">
        <f t="shared" si="194"/>
        <v>24.884</v>
      </c>
      <c r="G407" s="160">
        <v>24.586</v>
      </c>
      <c r="H407" s="133">
        <v>24.6362</v>
      </c>
      <c r="I407" s="144">
        <f t="shared" si="195"/>
        <v>-0.0502000000000002</v>
      </c>
      <c r="J407" s="115" t="str">
        <f t="shared" si="193"/>
        <v>215/75R17.5-16PR-H-RA</v>
      </c>
      <c r="R407" s="193"/>
      <c r="S407" s="113" t="str">
        <f t="shared" si="191"/>
        <v/>
      </c>
      <c r="AB407" s="113" t="str">
        <f t="shared" si="187"/>
        <v/>
      </c>
      <c r="BB407" s="113" t="str">
        <f t="shared" si="190"/>
        <v/>
      </c>
    </row>
    <row r="408" spans="2:54">
      <c r="B408" s="148" t="s">
        <v>1974</v>
      </c>
      <c r="C408" s="124" t="s">
        <v>1074</v>
      </c>
      <c r="D408" s="121" t="s">
        <v>1755</v>
      </c>
      <c r="E408" s="120" t="s">
        <v>1976</v>
      </c>
      <c r="F408" s="127">
        <f t="shared" si="194"/>
        <v>24.884</v>
      </c>
      <c r="G408" s="160">
        <v>24.586</v>
      </c>
      <c r="H408" s="133">
        <v>24.6362</v>
      </c>
      <c r="I408" s="144">
        <f t="shared" si="195"/>
        <v>-0.0502000000000002</v>
      </c>
      <c r="J408" s="115" t="str">
        <f t="shared" si="193"/>
        <v>215/75R17.5-16PR-RLINE-A1</v>
      </c>
      <c r="R408" s="193"/>
      <c r="S408" s="113" t="str">
        <f t="shared" si="191"/>
        <v/>
      </c>
      <c r="AB408" s="113" t="str">
        <f t="shared" si="187"/>
        <v/>
      </c>
      <c r="BB408" s="113" t="str">
        <f t="shared" si="190"/>
        <v/>
      </c>
    </row>
    <row r="409" ht="13.8" customHeight="1" spans="2:54">
      <c r="B409" s="148" t="s">
        <v>1974</v>
      </c>
      <c r="C409" s="124" t="s">
        <v>1074</v>
      </c>
      <c r="D409" s="120" t="s">
        <v>1977</v>
      </c>
      <c r="E409" s="138" t="s">
        <v>1978</v>
      </c>
      <c r="F409" s="185">
        <f t="shared" si="194"/>
        <v>27.075</v>
      </c>
      <c r="G409" s="133">
        <v>26.777</v>
      </c>
      <c r="H409" s="196">
        <v>26.9043</v>
      </c>
      <c r="I409" s="144">
        <f t="shared" si="195"/>
        <v>-0.127299999999998</v>
      </c>
      <c r="J409" s="115" t="str">
        <f t="shared" si="193"/>
        <v>215/75R17.5-16PR-VA933</v>
      </c>
      <c r="R409" s="193"/>
      <c r="S409" s="113" t="str">
        <f t="shared" si="191"/>
        <v/>
      </c>
      <c r="AB409" s="113" t="str">
        <f t="shared" si="187"/>
        <v/>
      </c>
      <c r="BB409" s="113" t="str">
        <f t="shared" si="190"/>
        <v/>
      </c>
    </row>
    <row r="410" ht="13.8" customHeight="1" spans="2:54">
      <c r="B410" s="148" t="s">
        <v>1974</v>
      </c>
      <c r="C410" s="124" t="s">
        <v>1074</v>
      </c>
      <c r="D410" s="120" t="s">
        <v>1979</v>
      </c>
      <c r="E410" s="125" t="s">
        <v>1978</v>
      </c>
      <c r="F410" s="127">
        <f t="shared" si="194"/>
        <v>27.075</v>
      </c>
      <c r="G410" s="133">
        <v>26.777</v>
      </c>
      <c r="H410" s="128">
        <v>26.9043</v>
      </c>
      <c r="I410" s="144">
        <f t="shared" si="195"/>
        <v>-0.127299999999998</v>
      </c>
      <c r="J410" s="115" t="str">
        <f t="shared" si="193"/>
        <v>215/75R17.5-16PR-ZA15</v>
      </c>
      <c r="R410" s="193"/>
      <c r="S410" s="113" t="str">
        <f t="shared" si="191"/>
        <v/>
      </c>
      <c r="AB410" s="113" t="str">
        <f t="shared" si="187"/>
        <v/>
      </c>
      <c r="BB410" s="113" t="str">
        <f t="shared" si="190"/>
        <v/>
      </c>
    </row>
    <row r="411" spans="2:54">
      <c r="B411" s="148" t="s">
        <v>1974</v>
      </c>
      <c r="C411" s="124" t="s">
        <v>1092</v>
      </c>
      <c r="D411" s="121" t="s">
        <v>1977</v>
      </c>
      <c r="E411" s="120" t="s">
        <v>1978</v>
      </c>
      <c r="F411" s="127">
        <f t="shared" si="194"/>
        <v>27.075</v>
      </c>
      <c r="G411" s="133">
        <v>26.777</v>
      </c>
      <c r="H411" s="128">
        <v>26.9043</v>
      </c>
      <c r="I411" s="144">
        <f t="shared" si="195"/>
        <v>-0.127299999999998</v>
      </c>
      <c r="J411" s="115" t="str">
        <f t="shared" si="193"/>
        <v>215/75R17.5-18PR-VA933</v>
      </c>
      <c r="R411" s="193"/>
      <c r="S411" s="113" t="str">
        <f t="shared" si="191"/>
        <v/>
      </c>
      <c r="AB411" s="113" t="str">
        <f t="shared" si="187"/>
        <v/>
      </c>
      <c r="BB411" s="113" t="str">
        <f t="shared" si="190"/>
        <v/>
      </c>
    </row>
    <row r="412" spans="2:54">
      <c r="B412" s="148" t="s">
        <v>1974</v>
      </c>
      <c r="C412" s="124" t="s">
        <v>1092</v>
      </c>
      <c r="D412" s="120" t="s">
        <v>1979</v>
      </c>
      <c r="E412" s="138" t="s">
        <v>1978</v>
      </c>
      <c r="F412" s="127">
        <f t="shared" si="194"/>
        <v>27.075</v>
      </c>
      <c r="G412" s="133">
        <v>26.777</v>
      </c>
      <c r="H412" s="128">
        <v>26.9043</v>
      </c>
      <c r="I412" s="144">
        <f t="shared" si="195"/>
        <v>-0.127299999999998</v>
      </c>
      <c r="J412" s="115" t="str">
        <f t="shared" si="193"/>
        <v>215/75R17.5-18PR-ZA15</v>
      </c>
      <c r="R412" s="193"/>
      <c r="S412" s="113" t="str">
        <f t="shared" si="191"/>
        <v/>
      </c>
      <c r="AB412" s="113" t="str">
        <f t="shared" si="187"/>
        <v/>
      </c>
      <c r="BB412" s="113" t="str">
        <f t="shared" si="190"/>
        <v/>
      </c>
    </row>
    <row r="413" spans="2:54">
      <c r="B413" s="148" t="s">
        <v>1974</v>
      </c>
      <c r="C413" s="124" t="s">
        <v>1074</v>
      </c>
      <c r="D413" s="121" t="s">
        <v>1776</v>
      </c>
      <c r="E413" s="120" t="s">
        <v>1980</v>
      </c>
      <c r="F413" s="127">
        <f t="shared" si="194"/>
        <v>25.821</v>
      </c>
      <c r="G413" s="133">
        <v>25.523</v>
      </c>
      <c r="H413" s="128">
        <v>25.5734</v>
      </c>
      <c r="I413" s="144">
        <f t="shared" si="195"/>
        <v>-0.0503999999999998</v>
      </c>
      <c r="J413" s="115" t="str">
        <f t="shared" si="193"/>
        <v>215/75R17.5-16PR-AZ599</v>
      </c>
      <c r="R413" s="193"/>
      <c r="S413" s="113" t="str">
        <f t="shared" si="191"/>
        <v/>
      </c>
      <c r="AB413" s="113" t="str">
        <f t="shared" si="187"/>
        <v/>
      </c>
      <c r="BB413" s="113" t="str">
        <f t="shared" si="190"/>
        <v/>
      </c>
    </row>
    <row r="414" ht="13.8" customHeight="1" spans="2:54">
      <c r="B414" s="148" t="s">
        <v>1974</v>
      </c>
      <c r="C414" s="124" t="s">
        <v>1074</v>
      </c>
      <c r="D414" s="120" t="s">
        <v>1981</v>
      </c>
      <c r="E414" s="120" t="s">
        <v>1980</v>
      </c>
      <c r="F414" s="127">
        <f t="shared" si="194"/>
        <v>25.821</v>
      </c>
      <c r="G414" s="133">
        <v>25.523</v>
      </c>
      <c r="H414" s="128">
        <v>25.5734</v>
      </c>
      <c r="I414" s="144">
        <f t="shared" si="195"/>
        <v>-0.0503999999999998</v>
      </c>
      <c r="J414" s="115" t="str">
        <f t="shared" si="193"/>
        <v>215/75R17.5-16PR-TF300</v>
      </c>
      <c r="R414" s="193"/>
      <c r="S414" s="113" t="str">
        <f t="shared" si="191"/>
        <v/>
      </c>
      <c r="AB414" s="113" t="str">
        <f t="shared" si="187"/>
        <v/>
      </c>
      <c r="BB414" s="113" t="str">
        <f t="shared" si="190"/>
        <v/>
      </c>
    </row>
    <row r="415" ht="13.8" customHeight="1" spans="2:54">
      <c r="B415" s="148" t="s">
        <v>1974</v>
      </c>
      <c r="C415" s="124" t="s">
        <v>1074</v>
      </c>
      <c r="D415" s="121" t="s">
        <v>1781</v>
      </c>
      <c r="E415" s="120" t="s">
        <v>1980</v>
      </c>
      <c r="F415" s="127">
        <f t="shared" si="194"/>
        <v>25.821</v>
      </c>
      <c r="G415" s="133">
        <v>25.523</v>
      </c>
      <c r="H415" s="128">
        <v>25.5734</v>
      </c>
      <c r="I415" s="144">
        <f t="shared" si="195"/>
        <v>-0.0503999999999998</v>
      </c>
      <c r="J415" s="115" t="str">
        <f t="shared" si="193"/>
        <v>215/75R17.5-16PR-HF1 Plus</v>
      </c>
      <c r="R415" s="193"/>
      <c r="S415" s="113" t="str">
        <f t="shared" si="191"/>
        <v/>
      </c>
      <c r="AB415" s="113" t="str">
        <f t="shared" si="187"/>
        <v/>
      </c>
      <c r="BB415" s="113" t="str">
        <f t="shared" si="190"/>
        <v/>
      </c>
    </row>
    <row r="416" spans="2:54">
      <c r="B416" s="148" t="s">
        <v>1974</v>
      </c>
      <c r="C416" s="124" t="s">
        <v>1074</v>
      </c>
      <c r="D416" s="121" t="s">
        <v>1778</v>
      </c>
      <c r="E416" s="120" t="s">
        <v>1980</v>
      </c>
      <c r="F416" s="127">
        <f t="shared" si="194"/>
        <v>25.821</v>
      </c>
      <c r="G416" s="133">
        <v>25.523</v>
      </c>
      <c r="H416" s="128">
        <v>25.5734</v>
      </c>
      <c r="I416" s="144">
        <f t="shared" si="195"/>
        <v>-0.0503999999999998</v>
      </c>
      <c r="J416" s="115" t="str">
        <f t="shared" si="193"/>
        <v>215/75R17.5-16PR-M-TRAC AP</v>
      </c>
      <c r="R416" s="193"/>
      <c r="S416" s="113" t="str">
        <f t="shared" si="191"/>
        <v/>
      </c>
      <c r="AB416" s="113" t="str">
        <f t="shared" si="187"/>
        <v/>
      </c>
      <c r="BB416" s="113" t="str">
        <f t="shared" si="190"/>
        <v/>
      </c>
    </row>
    <row r="417" ht="13.8" customHeight="1" spans="2:54">
      <c r="B417" s="148" t="s">
        <v>1974</v>
      </c>
      <c r="C417" s="124" t="s">
        <v>1074</v>
      </c>
      <c r="D417" s="121" t="s">
        <v>1982</v>
      </c>
      <c r="E417" s="120" t="s">
        <v>1980</v>
      </c>
      <c r="F417" s="127">
        <f t="shared" si="194"/>
        <v>25.821</v>
      </c>
      <c r="G417" s="133">
        <v>25.523</v>
      </c>
      <c r="H417" s="128">
        <v>25.5734</v>
      </c>
      <c r="I417" s="144">
        <f t="shared" si="195"/>
        <v>-0.0503999999999998</v>
      </c>
      <c r="J417" s="115" t="str">
        <f t="shared" si="193"/>
        <v>215/75R17.5-16PR-AP-7318</v>
      </c>
      <c r="R417" s="193"/>
      <c r="S417" s="113" t="str">
        <f t="shared" si="191"/>
        <v/>
      </c>
      <c r="AB417" s="113" t="str">
        <f t="shared" si="187"/>
        <v/>
      </c>
      <c r="BB417" s="113" t="str">
        <f t="shared" si="190"/>
        <v/>
      </c>
    </row>
    <row r="418" ht="27.6" customHeight="1" spans="2:54">
      <c r="B418" s="148" t="s">
        <v>1974</v>
      </c>
      <c r="C418" s="124" t="s">
        <v>1092</v>
      </c>
      <c r="D418" s="121" t="s">
        <v>1776</v>
      </c>
      <c r="E418" s="120" t="s">
        <v>1980</v>
      </c>
      <c r="F418" s="127">
        <f t="shared" si="194"/>
        <v>25.821</v>
      </c>
      <c r="G418" s="133">
        <v>25.523</v>
      </c>
      <c r="H418" s="128">
        <v>25.5734</v>
      </c>
      <c r="I418" s="144">
        <f t="shared" si="195"/>
        <v>-0.0503999999999998</v>
      </c>
      <c r="J418" s="115" t="str">
        <f t="shared" si="193"/>
        <v>215/75R17.5-18PR-AZ599</v>
      </c>
      <c r="R418" s="193"/>
      <c r="S418" s="113" t="str">
        <f t="shared" si="191"/>
        <v/>
      </c>
      <c r="AB418" s="113" t="str">
        <f t="shared" si="187"/>
        <v/>
      </c>
      <c r="BB418" s="113" t="str">
        <f t="shared" si="190"/>
        <v/>
      </c>
    </row>
    <row r="419" spans="2:54">
      <c r="B419" s="148" t="s">
        <v>1974</v>
      </c>
      <c r="C419" s="124" t="s">
        <v>1092</v>
      </c>
      <c r="D419" s="120" t="s">
        <v>1981</v>
      </c>
      <c r="E419" s="120" t="s">
        <v>1980</v>
      </c>
      <c r="F419" s="127">
        <f t="shared" si="194"/>
        <v>25.821</v>
      </c>
      <c r="G419" s="133">
        <v>25.523</v>
      </c>
      <c r="H419" s="128">
        <v>25.5734</v>
      </c>
      <c r="I419" s="144">
        <f t="shared" si="195"/>
        <v>-0.0503999999999998</v>
      </c>
      <c r="J419" s="115" t="str">
        <f t="shared" si="193"/>
        <v>215/75R17.5-18PR-TF300</v>
      </c>
      <c r="R419" s="193"/>
      <c r="S419" s="113" t="str">
        <f t="shared" si="191"/>
        <v/>
      </c>
      <c r="AB419" s="113" t="str">
        <f t="shared" si="187"/>
        <v/>
      </c>
      <c r="BB419" s="113" t="str">
        <f t="shared" si="190"/>
        <v/>
      </c>
    </row>
    <row r="420" ht="13.8" customHeight="1" spans="2:54">
      <c r="B420" s="148" t="s">
        <v>1974</v>
      </c>
      <c r="C420" s="124" t="s">
        <v>1092</v>
      </c>
      <c r="D420" s="121" t="s">
        <v>1781</v>
      </c>
      <c r="E420" s="120" t="s">
        <v>1980</v>
      </c>
      <c r="F420" s="127">
        <f t="shared" si="194"/>
        <v>25.821</v>
      </c>
      <c r="G420" s="133">
        <v>25.523</v>
      </c>
      <c r="H420" s="128">
        <v>25.5734</v>
      </c>
      <c r="I420" s="144">
        <f t="shared" si="195"/>
        <v>-0.0503999999999998</v>
      </c>
      <c r="J420" s="115" t="str">
        <f t="shared" si="193"/>
        <v>215/75R17.5-18PR-HF1 Plus</v>
      </c>
      <c r="R420" s="193"/>
      <c r="S420" s="113" t="str">
        <f t="shared" si="191"/>
        <v/>
      </c>
      <c r="AB420" s="113" t="str">
        <f t="shared" si="187"/>
        <v/>
      </c>
      <c r="BB420" s="113" t="str">
        <f t="shared" si="190"/>
        <v/>
      </c>
    </row>
    <row r="421" ht="27.6" customHeight="1" spans="2:54">
      <c r="B421" s="148" t="s">
        <v>1974</v>
      </c>
      <c r="C421" s="124" t="s">
        <v>1092</v>
      </c>
      <c r="D421" s="121" t="s">
        <v>1778</v>
      </c>
      <c r="E421" s="120" t="s">
        <v>1980</v>
      </c>
      <c r="F421" s="127">
        <f t="shared" si="194"/>
        <v>25.821</v>
      </c>
      <c r="G421" s="133">
        <v>25.523</v>
      </c>
      <c r="H421" s="128">
        <v>25.5734</v>
      </c>
      <c r="I421" s="144">
        <f t="shared" si="195"/>
        <v>-0.0503999999999998</v>
      </c>
      <c r="J421" s="115" t="str">
        <f t="shared" si="193"/>
        <v>215/75R17.5-18PR-M-TRAC AP</v>
      </c>
      <c r="R421" s="193"/>
      <c r="S421" s="113" t="str">
        <f t="shared" si="191"/>
        <v/>
      </c>
      <c r="AB421" s="113" t="str">
        <f t="shared" si="187"/>
        <v/>
      </c>
      <c r="BB421" s="113" t="str">
        <f t="shared" si="190"/>
        <v/>
      </c>
    </row>
    <row r="422" ht="13.8" customHeight="1" spans="2:54">
      <c r="B422" s="148" t="s">
        <v>1974</v>
      </c>
      <c r="C422" s="124" t="s">
        <v>1092</v>
      </c>
      <c r="D422" s="121" t="s">
        <v>1982</v>
      </c>
      <c r="E422" s="120" t="s">
        <v>1980</v>
      </c>
      <c r="F422" s="127">
        <f t="shared" si="194"/>
        <v>25.821</v>
      </c>
      <c r="G422" s="133">
        <v>25.523</v>
      </c>
      <c r="H422" s="128">
        <v>25.5734</v>
      </c>
      <c r="I422" s="144">
        <f t="shared" si="195"/>
        <v>-0.0503999999999998</v>
      </c>
      <c r="J422" s="115" t="str">
        <f t="shared" si="193"/>
        <v>215/75R17.5-18PR-AP-7318</v>
      </c>
      <c r="R422" s="193"/>
      <c r="S422" s="113" t="str">
        <f t="shared" si="191"/>
        <v/>
      </c>
      <c r="AB422" s="113" t="str">
        <f t="shared" si="187"/>
        <v/>
      </c>
      <c r="BB422" s="113" t="str">
        <f t="shared" si="190"/>
        <v/>
      </c>
    </row>
    <row r="423" ht="27.6" customHeight="1" spans="2:54">
      <c r="B423" s="148" t="s">
        <v>1974</v>
      </c>
      <c r="C423" s="124" t="s">
        <v>1074</v>
      </c>
      <c r="D423" s="120" t="s">
        <v>1983</v>
      </c>
      <c r="E423" s="125" t="s">
        <v>1984</v>
      </c>
      <c r="F423" s="127">
        <f t="shared" si="194"/>
        <v>25.74</v>
      </c>
      <c r="G423" s="133">
        <v>25.442</v>
      </c>
      <c r="H423" s="128">
        <v>25.4923</v>
      </c>
      <c r="I423" s="144">
        <f t="shared" si="195"/>
        <v>-0.0503</v>
      </c>
      <c r="J423" s="115" t="str">
        <f t="shared" si="193"/>
        <v>215/75R17.5-16PR-CM986</v>
      </c>
      <c r="R423" s="193"/>
      <c r="S423" s="113" t="str">
        <f t="shared" si="191"/>
        <v/>
      </c>
      <c r="AB423" s="113" t="str">
        <f t="shared" si="187"/>
        <v/>
      </c>
      <c r="BB423" s="113" t="str">
        <f t="shared" si="190"/>
        <v/>
      </c>
    </row>
    <row r="424" ht="13.8" customHeight="1" spans="2:54">
      <c r="B424" s="148" t="s">
        <v>1974</v>
      </c>
      <c r="C424" s="124" t="s">
        <v>1092</v>
      </c>
      <c r="D424" s="120" t="s">
        <v>1751</v>
      </c>
      <c r="E424" s="125" t="s">
        <v>1985</v>
      </c>
      <c r="F424" s="127">
        <f t="shared" si="194"/>
        <v>24.654</v>
      </c>
      <c r="G424" s="133">
        <v>24.356</v>
      </c>
      <c r="H424" s="128">
        <v>24.3273</v>
      </c>
      <c r="I424" s="144">
        <f t="shared" si="195"/>
        <v>0.0287000000000006</v>
      </c>
      <c r="J424" s="115" t="str">
        <f t="shared" si="193"/>
        <v>215/75R17.5-18PR-CR960A</v>
      </c>
      <c r="R424" s="193"/>
      <c r="S424" s="113" t="str">
        <f t="shared" si="191"/>
        <v/>
      </c>
      <c r="AB424" s="113" t="str">
        <f t="shared" si="187"/>
        <v/>
      </c>
      <c r="BB424" s="113" t="str">
        <f t="shared" si="190"/>
        <v/>
      </c>
    </row>
    <row r="425" ht="27.6" customHeight="1" spans="2:54">
      <c r="B425" s="206"/>
      <c r="C425" s="207"/>
      <c r="D425" s="123"/>
      <c r="E425" s="123"/>
      <c r="F425" s="130"/>
      <c r="G425" s="130"/>
      <c r="H425" s="131"/>
      <c r="I425" s="145"/>
      <c r="J425" s="115" t="str">
        <f t="shared" si="193"/>
        <v/>
      </c>
      <c r="R425" s="193"/>
      <c r="S425" s="113" t="str">
        <f t="shared" si="191"/>
        <v/>
      </c>
      <c r="AB425" s="113" t="str">
        <f t="shared" si="187"/>
        <v/>
      </c>
      <c r="BB425" s="113" t="str">
        <f t="shared" si="190"/>
        <v/>
      </c>
    </row>
    <row r="426" ht="13.8" customHeight="1" spans="2:54">
      <c r="B426" s="148" t="s">
        <v>1986</v>
      </c>
      <c r="C426" s="124" t="s">
        <v>958</v>
      </c>
      <c r="D426" s="120" t="s">
        <v>1776</v>
      </c>
      <c r="E426" s="125" t="s">
        <v>1987</v>
      </c>
      <c r="F426" s="133">
        <f t="shared" ref="F426:F448" si="196">G426-2.079+2.079</f>
        <v>29.461</v>
      </c>
      <c r="G426" s="133">
        <v>29.461</v>
      </c>
      <c r="H426" s="128">
        <v>29.3245</v>
      </c>
      <c r="I426" s="144">
        <f t="shared" ref="I426:I453" si="197">G426-H426</f>
        <v>0.136499999999998</v>
      </c>
      <c r="J426" s="115" t="str">
        <f t="shared" si="193"/>
        <v>225/70R19.5-14PR-AZ599</v>
      </c>
      <c r="R426" s="193"/>
      <c r="S426" s="113" t="str">
        <f t="shared" si="191"/>
        <v/>
      </c>
      <c r="AB426" s="113" t="str">
        <f t="shared" si="187"/>
        <v/>
      </c>
      <c r="BB426" s="113" t="str">
        <f t="shared" si="190"/>
        <v/>
      </c>
    </row>
    <row r="427" ht="13.8" customHeight="1" spans="2:54">
      <c r="B427" s="148" t="s">
        <v>1986</v>
      </c>
      <c r="C427" s="124" t="s">
        <v>958</v>
      </c>
      <c r="D427" s="120" t="s">
        <v>1742</v>
      </c>
      <c r="E427" s="125" t="s">
        <v>1987</v>
      </c>
      <c r="F427" s="133">
        <f t="shared" si="196"/>
        <v>29.461</v>
      </c>
      <c r="G427" s="133">
        <v>29.461</v>
      </c>
      <c r="H427" s="128">
        <v>29.3245</v>
      </c>
      <c r="I427" s="144">
        <f t="shared" si="197"/>
        <v>0.136499999999998</v>
      </c>
      <c r="J427" s="115" t="str">
        <f t="shared" si="193"/>
        <v>225/70R19.5-14PR-I-19A</v>
      </c>
      <c r="R427" s="193"/>
      <c r="S427" s="113" t="str">
        <f t="shared" si="191"/>
        <v/>
      </c>
      <c r="AB427" s="113" t="str">
        <f t="shared" si="187"/>
        <v/>
      </c>
      <c r="BB427" s="113" t="str">
        <f t="shared" si="190"/>
        <v/>
      </c>
    </row>
    <row r="428" ht="13.8" customHeight="1" spans="2:54">
      <c r="B428" s="148" t="s">
        <v>1986</v>
      </c>
      <c r="C428" s="124" t="s">
        <v>958</v>
      </c>
      <c r="D428" s="120" t="s">
        <v>1781</v>
      </c>
      <c r="E428" s="125" t="s">
        <v>1987</v>
      </c>
      <c r="F428" s="133">
        <f t="shared" si="196"/>
        <v>29.461</v>
      </c>
      <c r="G428" s="133">
        <v>29.461</v>
      </c>
      <c r="H428" s="128">
        <v>29.3245</v>
      </c>
      <c r="I428" s="144">
        <f t="shared" si="197"/>
        <v>0.136499999999998</v>
      </c>
      <c r="J428" s="115" t="str">
        <f t="shared" si="193"/>
        <v>225/70R19.5-14PR-HF1 Plus</v>
      </c>
      <c r="R428" s="193"/>
      <c r="S428" s="113" t="str">
        <f t="shared" si="191"/>
        <v/>
      </c>
      <c r="AB428" s="113" t="str">
        <f t="shared" si="187"/>
        <v/>
      </c>
      <c r="BB428" s="113" t="str">
        <f t="shared" si="190"/>
        <v/>
      </c>
    </row>
    <row r="429" ht="13.8" customHeight="1" spans="2:54">
      <c r="B429" s="148" t="s">
        <v>1986</v>
      </c>
      <c r="C429" s="124" t="s">
        <v>958</v>
      </c>
      <c r="D429" s="120" t="s">
        <v>1778</v>
      </c>
      <c r="E429" s="125" t="s">
        <v>1987</v>
      </c>
      <c r="F429" s="133">
        <f t="shared" si="196"/>
        <v>29.461</v>
      </c>
      <c r="G429" s="133">
        <v>29.461</v>
      </c>
      <c r="H429" s="128">
        <v>29.3245</v>
      </c>
      <c r="I429" s="144">
        <f t="shared" si="197"/>
        <v>0.136499999999998</v>
      </c>
      <c r="J429" s="115" t="str">
        <f t="shared" si="193"/>
        <v>225/70R19.5-14PR-M-TRAC AP</v>
      </c>
      <c r="R429" s="193"/>
      <c r="S429" s="113" t="str">
        <f t="shared" si="191"/>
        <v/>
      </c>
      <c r="AB429" s="113" t="str">
        <f t="shared" si="187"/>
        <v/>
      </c>
      <c r="BB429" s="113" t="str">
        <f t="shared" si="190"/>
        <v/>
      </c>
    </row>
    <row r="430" spans="2:54">
      <c r="B430" s="148" t="s">
        <v>1986</v>
      </c>
      <c r="C430" s="124" t="s">
        <v>958</v>
      </c>
      <c r="D430" s="120" t="s">
        <v>1982</v>
      </c>
      <c r="E430" s="125" t="s">
        <v>1987</v>
      </c>
      <c r="F430" s="133">
        <f t="shared" si="196"/>
        <v>29.461</v>
      </c>
      <c r="G430" s="133">
        <v>29.461</v>
      </c>
      <c r="H430" s="128">
        <v>29.3245</v>
      </c>
      <c r="I430" s="144">
        <f t="shared" si="197"/>
        <v>0.136499999999998</v>
      </c>
      <c r="J430" s="115" t="str">
        <f t="shared" si="193"/>
        <v>225/70R19.5-14PR-AP-7318</v>
      </c>
      <c r="R430" s="193"/>
      <c r="S430" s="113" t="str">
        <f t="shared" si="191"/>
        <v/>
      </c>
      <c r="AB430" s="113" t="str">
        <f t="shared" si="187"/>
        <v/>
      </c>
      <c r="BB430" s="113" t="str">
        <f t="shared" si="190"/>
        <v/>
      </c>
    </row>
    <row r="431" spans="2:54">
      <c r="B431" s="148" t="s">
        <v>1986</v>
      </c>
      <c r="C431" s="124" t="s">
        <v>958</v>
      </c>
      <c r="D431" s="120" t="s">
        <v>1983</v>
      </c>
      <c r="E431" s="120" t="s">
        <v>1988</v>
      </c>
      <c r="F431" s="133">
        <f t="shared" si="196"/>
        <v>29.876</v>
      </c>
      <c r="G431" s="133">
        <v>29.876</v>
      </c>
      <c r="H431" s="128">
        <v>29.9145</v>
      </c>
      <c r="I431" s="144">
        <f t="shared" si="197"/>
        <v>-0.0384999999999991</v>
      </c>
      <c r="J431" s="115" t="str">
        <f t="shared" si="193"/>
        <v>225/70R19.5-14PR-CM986</v>
      </c>
      <c r="R431" s="193"/>
      <c r="S431" s="113" t="str">
        <f t="shared" si="191"/>
        <v/>
      </c>
      <c r="AB431" s="113" t="str">
        <f t="shared" si="187"/>
        <v/>
      </c>
      <c r="BB431" s="113" t="str">
        <f t="shared" si="190"/>
        <v/>
      </c>
    </row>
    <row r="432" ht="13.8" customHeight="1" spans="2:54">
      <c r="B432" s="148" t="s">
        <v>1986</v>
      </c>
      <c r="C432" s="124" t="s">
        <v>958</v>
      </c>
      <c r="D432" s="120" t="s">
        <v>1751</v>
      </c>
      <c r="E432" s="125" t="s">
        <v>1989</v>
      </c>
      <c r="F432" s="133">
        <f t="shared" si="196"/>
        <v>28.93</v>
      </c>
      <c r="G432" s="133">
        <v>28.93</v>
      </c>
      <c r="H432" s="128">
        <v>28.9695</v>
      </c>
      <c r="I432" s="144">
        <f t="shared" si="197"/>
        <v>-0.0395000000000003</v>
      </c>
      <c r="J432" s="115" t="str">
        <f t="shared" si="193"/>
        <v>225/70R19.5-14PR-CR960A</v>
      </c>
      <c r="R432" s="193"/>
      <c r="S432" s="113" t="str">
        <f t="shared" si="191"/>
        <v/>
      </c>
      <c r="AB432" s="113" t="str">
        <f t="shared" si="187"/>
        <v/>
      </c>
      <c r="BB432" s="113" t="str">
        <f t="shared" si="190"/>
        <v/>
      </c>
    </row>
    <row r="433" ht="27.6" customHeight="1" spans="2:54">
      <c r="B433" s="148" t="s">
        <v>1986</v>
      </c>
      <c r="C433" s="124" t="s">
        <v>958</v>
      </c>
      <c r="D433" s="120" t="s">
        <v>1461</v>
      </c>
      <c r="E433" s="125" t="s">
        <v>1989</v>
      </c>
      <c r="F433" s="133">
        <f t="shared" si="196"/>
        <v>28.93</v>
      </c>
      <c r="G433" s="133">
        <v>28.93</v>
      </c>
      <c r="H433" s="128">
        <v>28.9695</v>
      </c>
      <c r="I433" s="144">
        <f t="shared" si="197"/>
        <v>-0.0395000000000003</v>
      </c>
      <c r="J433" s="115" t="str">
        <f t="shared" si="193"/>
        <v>225/70R19.5-14PR-CR976A</v>
      </c>
      <c r="N433" s="193"/>
      <c r="O433" s="193"/>
      <c r="P433" s="193"/>
      <c r="Q433" s="193"/>
      <c r="R433" s="193"/>
      <c r="S433" s="113" t="str">
        <f t="shared" si="191"/>
        <v/>
      </c>
      <c r="AB433" s="113" t="str">
        <f t="shared" si="187"/>
        <v/>
      </c>
      <c r="BB433" s="113" t="str">
        <f t="shared" si="190"/>
        <v/>
      </c>
    </row>
    <row r="434" spans="2:54">
      <c r="B434" s="148" t="s">
        <v>1986</v>
      </c>
      <c r="C434" s="124" t="s">
        <v>958</v>
      </c>
      <c r="D434" s="120" t="s">
        <v>1755</v>
      </c>
      <c r="E434" s="125" t="s">
        <v>1989</v>
      </c>
      <c r="F434" s="133">
        <f t="shared" si="196"/>
        <v>28.93</v>
      </c>
      <c r="G434" s="133">
        <v>28.93</v>
      </c>
      <c r="H434" s="128">
        <v>28.9695</v>
      </c>
      <c r="I434" s="144">
        <f t="shared" si="197"/>
        <v>-0.0395000000000003</v>
      </c>
      <c r="J434" s="115" t="str">
        <f t="shared" si="193"/>
        <v>225/70R19.5-14PR-RLINE-A1</v>
      </c>
      <c r="N434" s="193"/>
      <c r="O434" s="193"/>
      <c r="P434" s="193"/>
      <c r="Q434" s="193"/>
      <c r="R434" s="193"/>
      <c r="S434" s="113" t="str">
        <f t="shared" si="191"/>
        <v/>
      </c>
      <c r="AB434" s="113" t="str">
        <f t="shared" si="187"/>
        <v/>
      </c>
      <c r="BB434" s="113" t="str">
        <f t="shared" si="190"/>
        <v/>
      </c>
    </row>
    <row r="435" spans="2:54">
      <c r="B435" s="148" t="s">
        <v>1986</v>
      </c>
      <c r="C435" s="124" t="s">
        <v>958</v>
      </c>
      <c r="D435" s="120" t="s">
        <v>1990</v>
      </c>
      <c r="E435" s="120" t="s">
        <v>1991</v>
      </c>
      <c r="F435" s="133">
        <f t="shared" si="196"/>
        <v>31.18</v>
      </c>
      <c r="G435" s="133">
        <v>31.18</v>
      </c>
      <c r="H435" s="128">
        <v>31.2752</v>
      </c>
      <c r="I435" s="144">
        <f t="shared" si="197"/>
        <v>-0.0952000000000019</v>
      </c>
      <c r="J435" s="115" t="str">
        <f t="shared" si="193"/>
        <v>225/70R19.5-14PR-DA24</v>
      </c>
      <c r="K435" s="193"/>
      <c r="L435" s="193"/>
      <c r="M435" s="193"/>
      <c r="N435" s="193"/>
      <c r="O435" s="193"/>
      <c r="P435" s="193"/>
      <c r="Q435" s="193"/>
      <c r="R435" s="193"/>
      <c r="S435" s="113" t="str">
        <f t="shared" si="191"/>
        <v/>
      </c>
      <c r="AB435" s="113" t="str">
        <f t="shared" si="187"/>
        <v/>
      </c>
      <c r="BB435" s="113" t="str">
        <f t="shared" si="190"/>
        <v/>
      </c>
    </row>
    <row r="436" spans="2:54">
      <c r="B436" s="148" t="s">
        <v>1986</v>
      </c>
      <c r="C436" s="124" t="s">
        <v>958</v>
      </c>
      <c r="D436" s="120" t="s">
        <v>1979</v>
      </c>
      <c r="E436" s="125" t="s">
        <v>1992</v>
      </c>
      <c r="F436" s="133">
        <f t="shared" si="196"/>
        <v>30.81</v>
      </c>
      <c r="G436" s="133">
        <v>30.81</v>
      </c>
      <c r="H436" s="128">
        <v>30.9019</v>
      </c>
      <c r="I436" s="144">
        <f t="shared" si="197"/>
        <v>-0.0919000000000025</v>
      </c>
      <c r="J436" s="115" t="str">
        <f t="shared" si="193"/>
        <v>225/70R19.5-14PR-ZA15</v>
      </c>
      <c r="K436" s="193"/>
      <c r="L436" s="193"/>
      <c r="M436" s="193"/>
      <c r="N436" s="193"/>
      <c r="O436" s="193"/>
      <c r="P436" s="193"/>
      <c r="Q436" s="193"/>
      <c r="R436" s="193"/>
      <c r="AB436" s="113" t="str">
        <f t="shared" si="187"/>
        <v/>
      </c>
      <c r="BB436" s="113" t="str">
        <f t="shared" si="190"/>
        <v/>
      </c>
    </row>
    <row r="437" ht="13.8" customHeight="1" spans="2:54">
      <c r="B437" s="148" t="s">
        <v>1986</v>
      </c>
      <c r="C437" s="124" t="s">
        <v>958</v>
      </c>
      <c r="D437" s="120" t="s">
        <v>1977</v>
      </c>
      <c r="E437" s="125" t="s">
        <v>1992</v>
      </c>
      <c r="F437" s="133">
        <f t="shared" si="196"/>
        <v>30.81</v>
      </c>
      <c r="G437" s="133">
        <v>30.81</v>
      </c>
      <c r="H437" s="128">
        <v>30.9019</v>
      </c>
      <c r="I437" s="144">
        <f t="shared" si="197"/>
        <v>-0.0919000000000025</v>
      </c>
      <c r="J437" s="115" t="str">
        <f t="shared" si="193"/>
        <v>225/70R19.5-14PR-VA933</v>
      </c>
      <c r="K437" s="193"/>
      <c r="L437" s="193"/>
      <c r="M437" s="193"/>
      <c r="N437" s="193"/>
      <c r="O437" s="193"/>
      <c r="P437" s="193"/>
      <c r="Q437" s="193"/>
      <c r="R437" s="193"/>
      <c r="BB437" s="113" t="str">
        <f t="shared" si="190"/>
        <v/>
      </c>
    </row>
    <row r="438" ht="13.8" customHeight="1" spans="2:54">
      <c r="B438" s="148" t="s">
        <v>1986</v>
      </c>
      <c r="C438" s="124" t="s">
        <v>958</v>
      </c>
      <c r="D438" s="120" t="s">
        <v>1857</v>
      </c>
      <c r="E438" s="120" t="s">
        <v>1993</v>
      </c>
      <c r="F438" s="133">
        <f t="shared" si="196"/>
        <v>28.65</v>
      </c>
      <c r="G438" s="133">
        <v>28.65</v>
      </c>
      <c r="H438" s="128">
        <v>28.5645</v>
      </c>
      <c r="I438" s="144">
        <f t="shared" si="197"/>
        <v>0.0854999999999997</v>
      </c>
      <c r="J438" s="115" t="str">
        <f t="shared" si="193"/>
        <v>225/70R19.5-14PR-H-RA</v>
      </c>
      <c r="K438" s="193"/>
      <c r="L438" s="193"/>
      <c r="M438" s="193"/>
      <c r="N438" s="193"/>
      <c r="O438" s="193"/>
      <c r="P438" s="193"/>
      <c r="Q438" s="193"/>
      <c r="R438" s="193"/>
      <c r="BB438" s="113" t="str">
        <f t="shared" si="190"/>
        <v/>
      </c>
    </row>
    <row r="439" spans="2:54">
      <c r="B439" s="148" t="s">
        <v>1986</v>
      </c>
      <c r="C439" s="124" t="s">
        <v>958</v>
      </c>
      <c r="D439" s="120" t="s">
        <v>1849</v>
      </c>
      <c r="E439" s="120" t="s">
        <v>1994</v>
      </c>
      <c r="F439" s="133">
        <f t="shared" si="196"/>
        <v>30.652</v>
      </c>
      <c r="G439" s="133">
        <v>30.652</v>
      </c>
      <c r="H439" s="128">
        <v>30.4673</v>
      </c>
      <c r="I439" s="144">
        <f t="shared" si="197"/>
        <v>0.184699999999999</v>
      </c>
      <c r="J439" s="115" t="str">
        <f t="shared" si="193"/>
        <v>225/70R19.5-14PR-I-37D</v>
      </c>
      <c r="K439" s="193"/>
      <c r="L439" s="193"/>
      <c r="M439" s="193"/>
      <c r="N439" s="193"/>
      <c r="O439" s="193"/>
      <c r="P439" s="193"/>
      <c r="Q439" s="193"/>
      <c r="R439" s="193"/>
      <c r="BB439" s="113" t="str">
        <f t="shared" si="190"/>
        <v/>
      </c>
    </row>
    <row r="440" spans="2:54">
      <c r="B440" s="148" t="s">
        <v>1986</v>
      </c>
      <c r="C440" s="124" t="s">
        <v>958</v>
      </c>
      <c r="D440" s="120" t="s">
        <v>1995</v>
      </c>
      <c r="E440" s="125" t="s">
        <v>1996</v>
      </c>
      <c r="F440" s="133">
        <f t="shared" si="196"/>
        <v>30.845</v>
      </c>
      <c r="G440" s="133">
        <v>30.845</v>
      </c>
      <c r="H440" s="128">
        <v>30.8187</v>
      </c>
      <c r="I440" s="144">
        <f t="shared" si="197"/>
        <v>0.0262999999999991</v>
      </c>
      <c r="J440" s="115" t="str">
        <f t="shared" si="193"/>
        <v>225/70R19.5-14PR-AD717</v>
      </c>
      <c r="K440" s="193"/>
      <c r="L440" s="193"/>
      <c r="M440" s="193"/>
      <c r="N440" s="193"/>
      <c r="O440" s="193"/>
      <c r="P440" s="193"/>
      <c r="Q440" s="193"/>
      <c r="R440" s="193"/>
      <c r="BB440" s="113" t="str">
        <f t="shared" si="190"/>
        <v/>
      </c>
    </row>
    <row r="441" ht="13.8" customHeight="1" spans="2:54">
      <c r="B441" s="148" t="s">
        <v>1986</v>
      </c>
      <c r="C441" s="124" t="s">
        <v>958</v>
      </c>
      <c r="D441" s="120" t="s">
        <v>1997</v>
      </c>
      <c r="E441" s="125" t="s">
        <v>1996</v>
      </c>
      <c r="F441" s="133">
        <f t="shared" si="196"/>
        <v>30.845</v>
      </c>
      <c r="G441" s="133">
        <v>30.845</v>
      </c>
      <c r="H441" s="128">
        <v>30.8187</v>
      </c>
      <c r="I441" s="144">
        <f t="shared" si="197"/>
        <v>0.0262999999999991</v>
      </c>
      <c r="J441" s="115" t="str">
        <f t="shared" si="193"/>
        <v>225/70R19.5-14PR-AW717</v>
      </c>
      <c r="K441" s="193"/>
      <c r="L441" s="193"/>
      <c r="M441" s="193"/>
      <c r="N441" s="193"/>
      <c r="O441" s="193"/>
      <c r="P441" s="193"/>
      <c r="Q441" s="193"/>
      <c r="R441" s="193"/>
      <c r="BB441" s="113" t="str">
        <f t="shared" si="190"/>
        <v/>
      </c>
    </row>
    <row r="442" ht="13.8" customHeight="1" spans="2:54">
      <c r="B442" s="148" t="s">
        <v>1986</v>
      </c>
      <c r="C442" s="124" t="s">
        <v>958</v>
      </c>
      <c r="D442" s="120" t="s">
        <v>1998</v>
      </c>
      <c r="E442" s="125" t="s">
        <v>1996</v>
      </c>
      <c r="F442" s="133">
        <f t="shared" si="196"/>
        <v>30.845</v>
      </c>
      <c r="G442" s="133">
        <v>30.845</v>
      </c>
      <c r="H442" s="128">
        <v>30.8187</v>
      </c>
      <c r="I442" s="144">
        <f t="shared" si="197"/>
        <v>0.0262999999999991</v>
      </c>
      <c r="J442" s="115" t="str">
        <f t="shared" si="193"/>
        <v>225/70R19.5-14PR-M-TRAC HTD</v>
      </c>
      <c r="K442" s="193"/>
      <c r="L442" s="193"/>
      <c r="M442" s="193"/>
      <c r="N442" s="193"/>
      <c r="O442" s="193"/>
      <c r="P442" s="193"/>
      <c r="Q442" s="193"/>
      <c r="R442" s="193"/>
      <c r="BB442" s="113" t="str">
        <f t="shared" si="190"/>
        <v/>
      </c>
    </row>
    <row r="443" ht="13.8" customHeight="1" spans="2:54">
      <c r="B443" s="148" t="s">
        <v>1986</v>
      </c>
      <c r="C443" s="124" t="s">
        <v>958</v>
      </c>
      <c r="D443" s="120" t="s">
        <v>1999</v>
      </c>
      <c r="E443" s="125" t="s">
        <v>1996</v>
      </c>
      <c r="F443" s="133">
        <f t="shared" si="196"/>
        <v>30.845</v>
      </c>
      <c r="G443" s="133">
        <v>30.845</v>
      </c>
      <c r="H443" s="128">
        <v>30.8187</v>
      </c>
      <c r="I443" s="144">
        <f t="shared" si="197"/>
        <v>0.0262999999999991</v>
      </c>
      <c r="J443" s="115" t="str">
        <f t="shared" si="193"/>
        <v>225/70R19.5-14PR-HD3 Plus</v>
      </c>
      <c r="K443" s="193"/>
      <c r="L443" s="193"/>
      <c r="M443" s="193"/>
      <c r="N443" s="193"/>
      <c r="O443" s="193"/>
      <c r="P443" s="193"/>
      <c r="Q443" s="193"/>
      <c r="R443" s="193"/>
      <c r="BB443" s="113" t="str">
        <f t="shared" si="190"/>
        <v/>
      </c>
    </row>
    <row r="444" ht="13.8" customHeight="1" spans="2:54">
      <c r="B444" s="148" t="s">
        <v>1986</v>
      </c>
      <c r="C444" s="124" t="s">
        <v>958</v>
      </c>
      <c r="D444" s="120" t="s">
        <v>2000</v>
      </c>
      <c r="E444" s="125" t="s">
        <v>1996</v>
      </c>
      <c r="F444" s="133">
        <f t="shared" si="196"/>
        <v>30.845</v>
      </c>
      <c r="G444" s="133">
        <v>30.845</v>
      </c>
      <c r="H444" s="128">
        <v>30.8187</v>
      </c>
      <c r="I444" s="144">
        <f t="shared" si="197"/>
        <v>0.0262999999999991</v>
      </c>
      <c r="J444" s="115" t="str">
        <f t="shared" si="193"/>
        <v>225/70R19.5-14PR-DR-7318</v>
      </c>
      <c r="K444" s="193"/>
      <c r="L444" s="193"/>
      <c r="M444" s="193"/>
      <c r="N444" s="193"/>
      <c r="O444" s="193"/>
      <c r="P444" s="193"/>
      <c r="Q444" s="193"/>
      <c r="R444" s="193"/>
      <c r="BB444" s="113" t="str">
        <f t="shared" si="190"/>
        <v/>
      </c>
    </row>
    <row r="445" spans="2:54">
      <c r="B445" s="148" t="s">
        <v>1986</v>
      </c>
      <c r="C445" s="124" t="s">
        <v>958</v>
      </c>
      <c r="D445" s="120" t="s">
        <v>1827</v>
      </c>
      <c r="E445" s="120" t="s">
        <v>2001</v>
      </c>
      <c r="F445" s="133">
        <f t="shared" si="196"/>
        <v>30.29</v>
      </c>
      <c r="G445" s="133">
        <v>30.29</v>
      </c>
      <c r="H445" s="128">
        <v>30.3151</v>
      </c>
      <c r="I445" s="144">
        <f t="shared" si="197"/>
        <v>-0.0251000000000019</v>
      </c>
      <c r="J445" s="115" t="str">
        <f t="shared" si="193"/>
        <v>225/70R19.5-14PR-AD778</v>
      </c>
      <c r="K445" s="193"/>
      <c r="L445" s="193"/>
      <c r="M445" s="193"/>
      <c r="N445" s="193"/>
      <c r="O445" s="193"/>
      <c r="P445" s="193"/>
      <c r="Q445" s="193"/>
      <c r="R445" s="193"/>
      <c r="BB445" s="113" t="str">
        <f t="shared" si="190"/>
        <v/>
      </c>
    </row>
    <row r="446" spans="2:54">
      <c r="B446" s="148" t="s">
        <v>1986</v>
      </c>
      <c r="C446" s="124" t="s">
        <v>958</v>
      </c>
      <c r="D446" s="120" t="s">
        <v>1823</v>
      </c>
      <c r="E446" s="120" t="s">
        <v>2002</v>
      </c>
      <c r="F446" s="133">
        <f t="shared" si="196"/>
        <v>29.11</v>
      </c>
      <c r="G446" s="133">
        <v>29.11</v>
      </c>
      <c r="H446" s="128">
        <v>29.1356</v>
      </c>
      <c r="I446" s="144">
        <f t="shared" si="197"/>
        <v>-0.0256000000000007</v>
      </c>
      <c r="J446" s="115" t="str">
        <f t="shared" si="193"/>
        <v>225/70R19.5-14PR-AS673</v>
      </c>
      <c r="K446" s="193"/>
      <c r="L446" s="193"/>
      <c r="M446" s="193"/>
      <c r="N446" s="193"/>
      <c r="O446" s="193"/>
      <c r="P446" s="193"/>
      <c r="Q446" s="193"/>
      <c r="R446" s="193"/>
      <c r="BB446" s="113" t="str">
        <f t="shared" si="190"/>
        <v/>
      </c>
    </row>
    <row r="447" spans="2:54">
      <c r="B447" s="148" t="s">
        <v>1986</v>
      </c>
      <c r="C447" s="124" t="s">
        <v>958</v>
      </c>
      <c r="D447" s="120" t="s">
        <v>2003</v>
      </c>
      <c r="E447" s="120" t="s">
        <v>2004</v>
      </c>
      <c r="F447" s="133">
        <f t="shared" si="196"/>
        <v>29.768</v>
      </c>
      <c r="G447" s="133">
        <v>29.768</v>
      </c>
      <c r="H447" s="128">
        <v>29.79</v>
      </c>
      <c r="I447" s="144">
        <f t="shared" si="197"/>
        <v>-0.0219999999999985</v>
      </c>
      <c r="J447" s="115" t="str">
        <f t="shared" si="193"/>
        <v>225/70R19.5-14PR-I-208</v>
      </c>
      <c r="K447" s="193"/>
      <c r="L447" s="193"/>
      <c r="M447" s="193"/>
      <c r="N447" s="193"/>
      <c r="O447" s="193"/>
      <c r="P447" s="193"/>
      <c r="Q447" s="193"/>
      <c r="R447" s="193"/>
      <c r="BB447" s="113" t="str">
        <f t="shared" si="190"/>
        <v/>
      </c>
    </row>
    <row r="448" spans="2:54">
      <c r="B448" s="148" t="s">
        <v>1986</v>
      </c>
      <c r="C448" s="124" t="s">
        <v>958</v>
      </c>
      <c r="D448" s="120" t="s">
        <v>1840</v>
      </c>
      <c r="E448" s="120" t="s">
        <v>2004</v>
      </c>
      <c r="F448" s="133">
        <f t="shared" si="196"/>
        <v>29.768</v>
      </c>
      <c r="G448" s="133">
        <v>29.768</v>
      </c>
      <c r="H448" s="128">
        <v>29.79</v>
      </c>
      <c r="I448" s="144">
        <f t="shared" si="197"/>
        <v>-0.0219999999999985</v>
      </c>
      <c r="J448" s="115" t="str">
        <f t="shared" si="193"/>
        <v>225/70R19.5-14PR-CM983</v>
      </c>
      <c r="K448" s="193"/>
      <c r="L448" s="193"/>
      <c r="M448" s="193"/>
      <c r="N448" s="193"/>
      <c r="O448" s="193"/>
      <c r="P448" s="193"/>
      <c r="Q448" s="193"/>
      <c r="R448" s="193"/>
      <c r="BB448" s="113" t="str">
        <f t="shared" si="190"/>
        <v/>
      </c>
    </row>
    <row r="449" spans="2:54">
      <c r="B449" s="148" t="s">
        <v>1986</v>
      </c>
      <c r="C449" s="124" t="s">
        <v>958</v>
      </c>
      <c r="D449" s="120" t="s">
        <v>2005</v>
      </c>
      <c r="E449" s="120" t="s">
        <v>2006</v>
      </c>
      <c r="F449" s="133" t="s">
        <v>66</v>
      </c>
      <c r="G449" s="133">
        <v>31.03</v>
      </c>
      <c r="H449" s="128">
        <v>30.98</v>
      </c>
      <c r="I449" s="144">
        <f t="shared" si="197"/>
        <v>0.0500000000000007</v>
      </c>
      <c r="J449" s="115" t="str">
        <f t="shared" si="193"/>
        <v>225/70R19.5-14PR-VD935</v>
      </c>
      <c r="K449" s="193"/>
      <c r="L449" s="193"/>
      <c r="M449" s="193"/>
      <c r="N449" s="193"/>
      <c r="O449" s="193"/>
      <c r="P449" s="193"/>
      <c r="Q449" s="193"/>
      <c r="R449" s="193"/>
      <c r="BB449" s="113" t="str">
        <f t="shared" si="190"/>
        <v/>
      </c>
    </row>
    <row r="450" spans="2:54">
      <c r="B450" s="148" t="s">
        <v>1986</v>
      </c>
      <c r="C450" s="124" t="s">
        <v>958</v>
      </c>
      <c r="D450" s="120" t="s">
        <v>2007</v>
      </c>
      <c r="E450" s="120" t="s">
        <v>2008</v>
      </c>
      <c r="F450" s="133">
        <f t="shared" ref="F450:F453" si="198">G450-2.06+2.06</f>
        <v>31.04</v>
      </c>
      <c r="G450" s="133">
        <v>31.04</v>
      </c>
      <c r="H450" s="128">
        <v>31.01</v>
      </c>
      <c r="I450" s="144">
        <f t="shared" si="197"/>
        <v>0.0299999999999976</v>
      </c>
      <c r="J450" s="115" t="str">
        <f t="shared" si="193"/>
        <v>225/70R19.5-14PR-ECO-MILE RDW</v>
      </c>
      <c r="K450" s="193"/>
      <c r="L450" s="193"/>
      <c r="M450" s="193"/>
      <c r="N450" s="193"/>
      <c r="O450" s="193"/>
      <c r="P450" s="193"/>
      <c r="Q450" s="193"/>
      <c r="R450" s="193"/>
      <c r="BB450" s="113" t="str">
        <f t="shared" si="190"/>
        <v/>
      </c>
    </row>
    <row r="451" spans="2:54">
      <c r="B451" s="148" t="s">
        <v>1986</v>
      </c>
      <c r="C451" s="124" t="s">
        <v>958</v>
      </c>
      <c r="D451" s="120" t="s">
        <v>2009</v>
      </c>
      <c r="E451" s="120" t="s">
        <v>2008</v>
      </c>
      <c r="F451" s="133">
        <f t="shared" si="198"/>
        <v>31.04</v>
      </c>
      <c r="G451" s="133">
        <v>31.04</v>
      </c>
      <c r="H451" s="128">
        <v>31.01</v>
      </c>
      <c r="I451" s="144">
        <f t="shared" si="197"/>
        <v>0.0299999999999976</v>
      </c>
      <c r="J451" s="115" t="str">
        <f t="shared" si="193"/>
        <v>225/70R19.5-14PR-NS785</v>
      </c>
      <c r="K451" s="193"/>
      <c r="L451" s="193"/>
      <c r="M451" s="193"/>
      <c r="N451" s="193"/>
      <c r="O451" s="193"/>
      <c r="P451" s="193"/>
      <c r="Q451" s="193"/>
      <c r="R451" s="193"/>
      <c r="BB451" s="113" t="str">
        <f t="shared" si="190"/>
        <v/>
      </c>
    </row>
    <row r="452" spans="2:54">
      <c r="B452" s="148" t="s">
        <v>1986</v>
      </c>
      <c r="C452" s="124" t="s">
        <v>958</v>
      </c>
      <c r="D452" s="120" t="s">
        <v>2010</v>
      </c>
      <c r="E452" s="120" t="s">
        <v>2008</v>
      </c>
      <c r="F452" s="133">
        <f t="shared" si="198"/>
        <v>31.04</v>
      </c>
      <c r="G452" s="133">
        <v>31.04</v>
      </c>
      <c r="H452" s="128">
        <v>31.01</v>
      </c>
      <c r="I452" s="144">
        <f t="shared" si="197"/>
        <v>0.0299999999999976</v>
      </c>
      <c r="J452" s="115" t="str">
        <f t="shared" si="193"/>
        <v>225/70R19.5-14PR-AW785</v>
      </c>
      <c r="K452" s="193"/>
      <c r="L452" s="193"/>
      <c r="M452" s="193"/>
      <c r="N452" s="193"/>
      <c r="O452" s="193"/>
      <c r="P452" s="193"/>
      <c r="Q452" s="193"/>
      <c r="R452" s="193"/>
      <c r="BB452" s="113" t="str">
        <f t="shared" si="190"/>
        <v/>
      </c>
    </row>
    <row r="453" spans="2:54">
      <c r="B453" s="148" t="s">
        <v>1986</v>
      </c>
      <c r="C453" s="124" t="s">
        <v>958</v>
      </c>
      <c r="D453" s="120" t="s">
        <v>2011</v>
      </c>
      <c r="E453" s="120" t="s">
        <v>2008</v>
      </c>
      <c r="F453" s="133">
        <f t="shared" si="198"/>
        <v>31.04</v>
      </c>
      <c r="G453" s="133">
        <v>31.04</v>
      </c>
      <c r="H453" s="128">
        <v>31.01</v>
      </c>
      <c r="I453" s="144">
        <f t="shared" si="197"/>
        <v>0.0299999999999976</v>
      </c>
      <c r="J453" s="115" t="str">
        <f t="shared" si="193"/>
        <v>225/70R19.5-14PR-M-TRAC RDW</v>
      </c>
      <c r="K453" s="193"/>
      <c r="L453" s="193"/>
      <c r="M453" s="193"/>
      <c r="N453" s="193"/>
      <c r="O453" s="193"/>
      <c r="P453" s="193"/>
      <c r="Q453" s="193"/>
      <c r="R453" s="193"/>
      <c r="BB453" s="113" t="str">
        <f t="shared" ref="BB453:BB516" si="199">_xlfn.TEXTJOIN("-",TRUE,AU453,AW453)</f>
        <v/>
      </c>
    </row>
    <row r="454" spans="2:54">
      <c r="B454" s="206"/>
      <c r="C454" s="207"/>
      <c r="D454" s="123"/>
      <c r="E454" s="123"/>
      <c r="F454" s="130"/>
      <c r="G454" s="130"/>
      <c r="H454" s="131"/>
      <c r="I454" s="145"/>
      <c r="J454" s="115" t="str">
        <f t="shared" si="193"/>
        <v/>
      </c>
      <c r="K454" s="193"/>
      <c r="L454" s="193"/>
      <c r="M454" s="193"/>
      <c r="N454" s="193"/>
      <c r="O454" s="193"/>
      <c r="P454" s="193"/>
      <c r="Q454" s="193"/>
      <c r="R454" s="193"/>
      <c r="BB454" s="113" t="str">
        <f t="shared" si="199"/>
        <v/>
      </c>
    </row>
    <row r="455" spans="2:54">
      <c r="B455" s="148" t="s">
        <v>2012</v>
      </c>
      <c r="C455" s="124" t="s">
        <v>1074</v>
      </c>
      <c r="D455" s="120" t="s">
        <v>1751</v>
      </c>
      <c r="E455" s="125" t="s">
        <v>2013</v>
      </c>
      <c r="F455" s="133">
        <f t="shared" ref="F455:F476" si="200">G455-1.917+2.305</f>
        <v>29.876</v>
      </c>
      <c r="G455" s="133">
        <v>29.488</v>
      </c>
      <c r="H455" s="128">
        <v>29.4777</v>
      </c>
      <c r="I455" s="144">
        <f t="shared" ref="I455:I476" si="201">G455-H455</f>
        <v>0.0103000000000009</v>
      </c>
      <c r="J455" s="115" t="str">
        <f t="shared" si="193"/>
        <v>235/75R17.5-16PR-CR960A</v>
      </c>
      <c r="K455" s="193"/>
      <c r="L455" s="193"/>
      <c r="M455" s="193"/>
      <c r="N455" s="193"/>
      <c r="O455" s="193"/>
      <c r="P455" s="193"/>
      <c r="Q455" s="193"/>
      <c r="R455" s="193"/>
      <c r="BB455" s="113" t="str">
        <f t="shared" si="199"/>
        <v/>
      </c>
    </row>
    <row r="456" ht="13.8" customHeight="1" spans="2:54">
      <c r="B456" s="148" t="s">
        <v>2012</v>
      </c>
      <c r="C456" s="124" t="s">
        <v>1074</v>
      </c>
      <c r="D456" s="120" t="s">
        <v>2014</v>
      </c>
      <c r="E456" s="125" t="s">
        <v>2013</v>
      </c>
      <c r="F456" s="133">
        <f t="shared" si="200"/>
        <v>29.876</v>
      </c>
      <c r="G456" s="133">
        <v>29.488</v>
      </c>
      <c r="H456" s="128">
        <v>29.4777</v>
      </c>
      <c r="I456" s="144">
        <f t="shared" si="201"/>
        <v>0.0103000000000009</v>
      </c>
      <c r="J456" s="115" t="str">
        <f t="shared" si="193"/>
        <v>235/75R17.5-16PR-I-109</v>
      </c>
      <c r="K456" s="193"/>
      <c r="L456" s="193"/>
      <c r="M456" s="193"/>
      <c r="N456" s="193"/>
      <c r="O456" s="193"/>
      <c r="P456" s="193"/>
      <c r="Q456" s="193"/>
      <c r="R456" s="193"/>
      <c r="BB456" s="113" t="str">
        <f t="shared" si="199"/>
        <v/>
      </c>
    </row>
    <row r="457" ht="13.8" customHeight="1" spans="2:54">
      <c r="B457" s="148" t="s">
        <v>2012</v>
      </c>
      <c r="C457" s="124" t="s">
        <v>1074</v>
      </c>
      <c r="D457" s="120" t="s">
        <v>2015</v>
      </c>
      <c r="E457" s="125" t="s">
        <v>2013</v>
      </c>
      <c r="F457" s="133">
        <f t="shared" si="200"/>
        <v>29.876</v>
      </c>
      <c r="G457" s="133">
        <v>29.488</v>
      </c>
      <c r="H457" s="128">
        <v>29.4777</v>
      </c>
      <c r="I457" s="144">
        <f t="shared" si="201"/>
        <v>0.0103000000000009</v>
      </c>
      <c r="J457" s="115" t="str">
        <f t="shared" si="193"/>
        <v>235/75R17.5-16PR-MGM17</v>
      </c>
      <c r="K457" s="193"/>
      <c r="L457" s="193"/>
      <c r="M457" s="193"/>
      <c r="N457" s="193"/>
      <c r="O457" s="193"/>
      <c r="P457" s="193"/>
      <c r="Q457" s="193"/>
      <c r="R457" s="193"/>
      <c r="BB457" s="113" t="str">
        <f t="shared" si="199"/>
        <v/>
      </c>
    </row>
    <row r="458" spans="2:54">
      <c r="B458" s="148" t="s">
        <v>2012</v>
      </c>
      <c r="C458" s="124" t="s">
        <v>1074</v>
      </c>
      <c r="D458" s="120" t="s">
        <v>1823</v>
      </c>
      <c r="E458" s="125" t="s">
        <v>2013</v>
      </c>
      <c r="F458" s="133">
        <f t="shared" si="200"/>
        <v>29.876</v>
      </c>
      <c r="G458" s="133">
        <v>29.488</v>
      </c>
      <c r="H458" s="128">
        <v>29.4777</v>
      </c>
      <c r="I458" s="144">
        <f t="shared" si="201"/>
        <v>0.0103000000000009</v>
      </c>
      <c r="J458" s="115" t="str">
        <f t="shared" si="193"/>
        <v>235/75R17.5-16PR-AS673</v>
      </c>
      <c r="K458" s="193"/>
      <c r="L458" s="193"/>
      <c r="M458" s="193"/>
      <c r="N458" s="193"/>
      <c r="O458" s="193"/>
      <c r="P458" s="193"/>
      <c r="Q458" s="193"/>
      <c r="R458" s="193"/>
      <c r="BB458" s="113" t="str">
        <f t="shared" si="199"/>
        <v/>
      </c>
    </row>
    <row r="459" spans="2:54">
      <c r="B459" s="148" t="s">
        <v>2012</v>
      </c>
      <c r="C459" s="124" t="s">
        <v>1074</v>
      </c>
      <c r="D459" s="120" t="s">
        <v>1776</v>
      </c>
      <c r="E459" s="125" t="s">
        <v>2013</v>
      </c>
      <c r="F459" s="133">
        <f t="shared" si="200"/>
        <v>29.876</v>
      </c>
      <c r="G459" s="133">
        <v>29.488</v>
      </c>
      <c r="H459" s="128">
        <v>29.4777</v>
      </c>
      <c r="I459" s="144">
        <f t="shared" si="201"/>
        <v>0.0103000000000009</v>
      </c>
      <c r="J459" s="115" t="str">
        <f t="shared" si="193"/>
        <v>235/75R17.5-16PR-AZ599</v>
      </c>
      <c r="K459" s="193"/>
      <c r="L459" s="193"/>
      <c r="M459" s="193"/>
      <c r="N459" s="193"/>
      <c r="O459" s="193"/>
      <c r="P459" s="193"/>
      <c r="Q459" s="193"/>
      <c r="R459" s="193"/>
      <c r="BB459" s="113" t="str">
        <f t="shared" si="199"/>
        <v/>
      </c>
    </row>
    <row r="460" spans="2:54">
      <c r="B460" s="148" t="s">
        <v>2012</v>
      </c>
      <c r="C460" s="124" t="s">
        <v>1074</v>
      </c>
      <c r="D460" s="120" t="s">
        <v>1781</v>
      </c>
      <c r="E460" s="125" t="s">
        <v>2013</v>
      </c>
      <c r="F460" s="133">
        <f t="shared" si="200"/>
        <v>29.876</v>
      </c>
      <c r="G460" s="133">
        <v>29.488</v>
      </c>
      <c r="H460" s="128">
        <v>29.4777</v>
      </c>
      <c r="I460" s="144">
        <f t="shared" si="201"/>
        <v>0.0103000000000009</v>
      </c>
      <c r="J460" s="115" t="str">
        <f t="shared" ref="J460:J523" si="202">_xlfn.TEXTJOIN("-",TRUE,B460,C460,D460)</f>
        <v>235/75R17.5-16PR-HF1 Plus</v>
      </c>
      <c r="K460" s="193"/>
      <c r="L460" s="193"/>
      <c r="M460" s="193"/>
      <c r="N460" s="193"/>
      <c r="O460" s="193"/>
      <c r="P460" s="193"/>
      <c r="Q460" s="193"/>
      <c r="R460" s="193"/>
      <c r="BB460" s="113" t="str">
        <f t="shared" si="199"/>
        <v/>
      </c>
    </row>
    <row r="461" spans="2:54">
      <c r="B461" s="148" t="s">
        <v>2012</v>
      </c>
      <c r="C461" s="124" t="s">
        <v>1074</v>
      </c>
      <c r="D461" s="120" t="s">
        <v>1755</v>
      </c>
      <c r="E461" s="125" t="s">
        <v>2013</v>
      </c>
      <c r="F461" s="133">
        <f t="shared" si="200"/>
        <v>29.876</v>
      </c>
      <c r="G461" s="133">
        <v>29.488</v>
      </c>
      <c r="H461" s="128">
        <v>29.4777</v>
      </c>
      <c r="I461" s="144">
        <f t="shared" si="201"/>
        <v>0.0103000000000009</v>
      </c>
      <c r="J461" s="115" t="str">
        <f t="shared" si="202"/>
        <v>235/75R17.5-16PR-RLINE-A1</v>
      </c>
      <c r="K461" s="193"/>
      <c r="L461" s="193"/>
      <c r="M461" s="193"/>
      <c r="N461" s="193"/>
      <c r="O461" s="193"/>
      <c r="P461" s="193"/>
      <c r="Q461" s="193"/>
      <c r="R461" s="193"/>
      <c r="BB461" s="113" t="str">
        <f t="shared" si="199"/>
        <v/>
      </c>
    </row>
    <row r="462" spans="2:54">
      <c r="B462" s="148" t="s">
        <v>2012</v>
      </c>
      <c r="C462" s="124" t="s">
        <v>1074</v>
      </c>
      <c r="D462" s="120" t="s">
        <v>1857</v>
      </c>
      <c r="E462" s="125" t="s">
        <v>2013</v>
      </c>
      <c r="F462" s="133">
        <f t="shared" si="200"/>
        <v>29.876</v>
      </c>
      <c r="G462" s="133">
        <v>29.488</v>
      </c>
      <c r="H462" s="128">
        <v>29.4777</v>
      </c>
      <c r="I462" s="144">
        <f t="shared" si="201"/>
        <v>0.0103000000000009</v>
      </c>
      <c r="J462" s="115" t="str">
        <f t="shared" si="202"/>
        <v>235/75R17.5-16PR-H-RA</v>
      </c>
      <c r="K462" s="193"/>
      <c r="L462" s="193"/>
      <c r="M462" s="193"/>
      <c r="N462" s="193"/>
      <c r="O462" s="193"/>
      <c r="P462" s="193"/>
      <c r="Q462" s="193"/>
      <c r="R462" s="193"/>
      <c r="BB462" s="113" t="str">
        <f t="shared" si="199"/>
        <v/>
      </c>
    </row>
    <row r="463" spans="2:54">
      <c r="B463" s="148" t="s">
        <v>2012</v>
      </c>
      <c r="C463" s="124" t="s">
        <v>1074</v>
      </c>
      <c r="D463" s="120" t="s">
        <v>1982</v>
      </c>
      <c r="E463" s="125" t="s">
        <v>2013</v>
      </c>
      <c r="F463" s="133">
        <f t="shared" si="200"/>
        <v>29.876</v>
      </c>
      <c r="G463" s="133">
        <v>29.488</v>
      </c>
      <c r="H463" s="128">
        <v>29.4777</v>
      </c>
      <c r="I463" s="144">
        <f t="shared" si="201"/>
        <v>0.0103000000000009</v>
      </c>
      <c r="J463" s="115" t="str">
        <f t="shared" si="202"/>
        <v>235/75R17.5-16PR-AP-7318</v>
      </c>
      <c r="K463" s="193"/>
      <c r="L463" s="193"/>
      <c r="M463" s="193"/>
      <c r="N463" s="193"/>
      <c r="O463" s="193"/>
      <c r="P463" s="193"/>
      <c r="Q463" s="193"/>
      <c r="R463" s="193"/>
      <c r="BB463" s="113" t="str">
        <f t="shared" si="199"/>
        <v/>
      </c>
    </row>
    <row r="464" spans="2:54">
      <c r="B464" s="148" t="s">
        <v>2012</v>
      </c>
      <c r="C464" s="124" t="s">
        <v>1092</v>
      </c>
      <c r="D464" s="120" t="s">
        <v>1751</v>
      </c>
      <c r="E464" s="125" t="s">
        <v>2013</v>
      </c>
      <c r="F464" s="133">
        <f t="shared" si="200"/>
        <v>29.876</v>
      </c>
      <c r="G464" s="133">
        <v>29.488</v>
      </c>
      <c r="H464" s="128">
        <v>29.4777</v>
      </c>
      <c r="I464" s="144">
        <f t="shared" si="201"/>
        <v>0.0103000000000009</v>
      </c>
      <c r="J464" s="115" t="str">
        <f t="shared" si="202"/>
        <v>235/75R17.5-18PR-CR960A</v>
      </c>
      <c r="K464" s="193"/>
      <c r="L464" s="193"/>
      <c r="M464" s="193"/>
      <c r="N464" s="193"/>
      <c r="O464" s="193"/>
      <c r="P464" s="193"/>
      <c r="Q464" s="193"/>
      <c r="R464" s="193"/>
      <c r="BB464" s="113" t="str">
        <f t="shared" si="199"/>
        <v/>
      </c>
    </row>
    <row r="465" spans="2:54">
      <c r="B465" s="148" t="s">
        <v>2012</v>
      </c>
      <c r="C465" s="124" t="s">
        <v>1092</v>
      </c>
      <c r="D465" s="120" t="s">
        <v>2014</v>
      </c>
      <c r="E465" s="125" t="s">
        <v>2013</v>
      </c>
      <c r="F465" s="133">
        <f t="shared" si="200"/>
        <v>29.876</v>
      </c>
      <c r="G465" s="133">
        <v>29.488</v>
      </c>
      <c r="H465" s="128">
        <v>29.4777</v>
      </c>
      <c r="I465" s="144">
        <f t="shared" si="201"/>
        <v>0.0103000000000009</v>
      </c>
      <c r="J465" s="115" t="str">
        <f t="shared" si="202"/>
        <v>235/75R17.5-18PR-I-109</v>
      </c>
      <c r="K465" s="193"/>
      <c r="L465" s="193"/>
      <c r="M465" s="193"/>
      <c r="N465" s="193"/>
      <c r="O465" s="193"/>
      <c r="P465" s="193"/>
      <c r="Q465" s="193"/>
      <c r="R465" s="193"/>
      <c r="BB465" s="113" t="str">
        <f t="shared" si="199"/>
        <v/>
      </c>
    </row>
    <row r="466" spans="2:54">
      <c r="B466" s="148" t="s">
        <v>2012</v>
      </c>
      <c r="C466" s="124" t="s">
        <v>1092</v>
      </c>
      <c r="D466" s="120" t="s">
        <v>2015</v>
      </c>
      <c r="E466" s="125" t="s">
        <v>2013</v>
      </c>
      <c r="F466" s="133">
        <f t="shared" si="200"/>
        <v>29.876</v>
      </c>
      <c r="G466" s="133">
        <v>29.488</v>
      </c>
      <c r="H466" s="128">
        <v>29.4777</v>
      </c>
      <c r="I466" s="144">
        <f t="shared" si="201"/>
        <v>0.0103000000000009</v>
      </c>
      <c r="J466" s="115" t="str">
        <f t="shared" si="202"/>
        <v>235/75R17.5-18PR-MGM17</v>
      </c>
      <c r="K466" s="193"/>
      <c r="L466" s="193"/>
      <c r="M466" s="193"/>
      <c r="N466" s="193"/>
      <c r="O466" s="193"/>
      <c r="P466" s="193"/>
      <c r="Q466" s="193"/>
      <c r="R466" s="193"/>
      <c r="BB466" s="113" t="str">
        <f t="shared" si="199"/>
        <v/>
      </c>
    </row>
    <row r="467" spans="2:54">
      <c r="B467" s="148" t="s">
        <v>2012</v>
      </c>
      <c r="C467" s="124" t="s">
        <v>1092</v>
      </c>
      <c r="D467" s="120" t="s">
        <v>1823</v>
      </c>
      <c r="E467" s="125" t="s">
        <v>2013</v>
      </c>
      <c r="F467" s="133">
        <f t="shared" si="200"/>
        <v>29.876</v>
      </c>
      <c r="G467" s="133">
        <v>29.488</v>
      </c>
      <c r="H467" s="128">
        <v>29.4777</v>
      </c>
      <c r="I467" s="144">
        <f t="shared" si="201"/>
        <v>0.0103000000000009</v>
      </c>
      <c r="J467" s="115" t="str">
        <f t="shared" si="202"/>
        <v>235/75R17.5-18PR-AS673</v>
      </c>
      <c r="K467" s="193"/>
      <c r="L467" s="193"/>
      <c r="M467" s="193"/>
      <c r="N467" s="193"/>
      <c r="O467" s="193"/>
      <c r="P467" s="193"/>
      <c r="Q467" s="193"/>
      <c r="R467" s="193"/>
      <c r="BB467" s="113" t="str">
        <f t="shared" si="199"/>
        <v/>
      </c>
    </row>
    <row r="468" spans="2:54">
      <c r="B468" s="148" t="s">
        <v>2012</v>
      </c>
      <c r="C468" s="124" t="s">
        <v>1092</v>
      </c>
      <c r="D468" s="120" t="s">
        <v>1776</v>
      </c>
      <c r="E468" s="125" t="s">
        <v>2013</v>
      </c>
      <c r="F468" s="133">
        <f t="shared" si="200"/>
        <v>29.876</v>
      </c>
      <c r="G468" s="133">
        <v>29.488</v>
      </c>
      <c r="H468" s="128">
        <v>29.4777</v>
      </c>
      <c r="I468" s="144">
        <f t="shared" si="201"/>
        <v>0.0103000000000009</v>
      </c>
      <c r="J468" s="115" t="str">
        <f t="shared" si="202"/>
        <v>235/75R17.5-18PR-AZ599</v>
      </c>
      <c r="K468" s="193"/>
      <c r="L468" s="193"/>
      <c r="M468" s="193"/>
      <c r="N468" s="193"/>
      <c r="O468" s="193"/>
      <c r="P468" s="193"/>
      <c r="Q468" s="193"/>
      <c r="R468" s="193"/>
      <c r="BB468" s="113" t="str">
        <f t="shared" si="199"/>
        <v/>
      </c>
    </row>
    <row r="469" spans="2:54">
      <c r="B469" s="148" t="s">
        <v>2012</v>
      </c>
      <c r="C469" s="124" t="s">
        <v>1092</v>
      </c>
      <c r="D469" s="120" t="s">
        <v>1781</v>
      </c>
      <c r="E469" s="125" t="s">
        <v>2013</v>
      </c>
      <c r="F469" s="133">
        <f t="shared" si="200"/>
        <v>29.876</v>
      </c>
      <c r="G469" s="133">
        <v>29.488</v>
      </c>
      <c r="H469" s="128">
        <v>29.4777</v>
      </c>
      <c r="I469" s="144">
        <f t="shared" si="201"/>
        <v>0.0103000000000009</v>
      </c>
      <c r="J469" s="115" t="str">
        <f t="shared" si="202"/>
        <v>235/75R17.5-18PR-HF1 Plus</v>
      </c>
      <c r="K469" s="193"/>
      <c r="L469" s="193"/>
      <c r="M469" s="193"/>
      <c r="N469" s="193"/>
      <c r="O469" s="193"/>
      <c r="P469" s="193"/>
      <c r="Q469" s="193"/>
      <c r="R469" s="193"/>
      <c r="BB469" s="113" t="str">
        <f t="shared" si="199"/>
        <v/>
      </c>
    </row>
    <row r="470" ht="13.8" customHeight="1" spans="2:54">
      <c r="B470" s="148" t="s">
        <v>2012</v>
      </c>
      <c r="C470" s="124" t="s">
        <v>1092</v>
      </c>
      <c r="D470" s="120" t="s">
        <v>1755</v>
      </c>
      <c r="E470" s="125" t="s">
        <v>2013</v>
      </c>
      <c r="F470" s="133">
        <f t="shared" si="200"/>
        <v>29.876</v>
      </c>
      <c r="G470" s="133">
        <v>29.488</v>
      </c>
      <c r="H470" s="128">
        <v>29.4777</v>
      </c>
      <c r="I470" s="144">
        <f t="shared" si="201"/>
        <v>0.0103000000000009</v>
      </c>
      <c r="J470" s="115" t="str">
        <f t="shared" si="202"/>
        <v>235/75R17.5-18PR-RLINE-A1</v>
      </c>
      <c r="K470" s="193"/>
      <c r="L470" s="193"/>
      <c r="M470" s="193"/>
      <c r="N470" s="193"/>
      <c r="O470" s="193"/>
      <c r="P470" s="193"/>
      <c r="Q470" s="193"/>
      <c r="R470" s="193"/>
      <c r="BB470" s="113" t="str">
        <f t="shared" si="199"/>
        <v/>
      </c>
    </row>
    <row r="471" ht="13.8" customHeight="1" spans="2:54">
      <c r="B471" s="148" t="s">
        <v>2012</v>
      </c>
      <c r="C471" s="124" t="s">
        <v>1092</v>
      </c>
      <c r="D471" s="120" t="s">
        <v>1857</v>
      </c>
      <c r="E471" s="125" t="s">
        <v>2013</v>
      </c>
      <c r="F471" s="133">
        <f t="shared" si="200"/>
        <v>29.876</v>
      </c>
      <c r="G471" s="133">
        <v>29.488</v>
      </c>
      <c r="H471" s="128">
        <v>29.4777</v>
      </c>
      <c r="I471" s="144">
        <f t="shared" si="201"/>
        <v>0.0103000000000009</v>
      </c>
      <c r="J471" s="115" t="str">
        <f t="shared" si="202"/>
        <v>235/75R17.5-18PR-H-RA</v>
      </c>
      <c r="K471" s="193"/>
      <c r="L471" s="193"/>
      <c r="M471" s="193"/>
      <c r="N471" s="193"/>
      <c r="O471" s="193"/>
      <c r="P471" s="193"/>
      <c r="Q471" s="193"/>
      <c r="R471" s="193"/>
      <c r="BB471" s="113" t="str">
        <f t="shared" si="199"/>
        <v/>
      </c>
    </row>
    <row r="472" spans="2:54">
      <c r="B472" s="148" t="s">
        <v>2012</v>
      </c>
      <c r="C472" s="124" t="s">
        <v>1092</v>
      </c>
      <c r="D472" s="120" t="s">
        <v>1982</v>
      </c>
      <c r="E472" s="125" t="s">
        <v>2013</v>
      </c>
      <c r="F472" s="133">
        <f t="shared" si="200"/>
        <v>29.876</v>
      </c>
      <c r="G472" s="133">
        <v>29.488</v>
      </c>
      <c r="H472" s="128">
        <v>29.4777</v>
      </c>
      <c r="I472" s="144">
        <f t="shared" si="201"/>
        <v>0.0103000000000009</v>
      </c>
      <c r="J472" s="115" t="str">
        <f t="shared" si="202"/>
        <v>235/75R17.5-18PR-AP-7318</v>
      </c>
      <c r="K472" s="193"/>
      <c r="L472" s="193"/>
      <c r="M472" s="193"/>
      <c r="N472" s="193"/>
      <c r="O472" s="193"/>
      <c r="P472" s="193"/>
      <c r="Q472" s="193"/>
      <c r="R472" s="193"/>
      <c r="BB472" s="113" t="str">
        <f t="shared" si="199"/>
        <v/>
      </c>
    </row>
    <row r="473" spans="2:54">
      <c r="B473" s="148" t="s">
        <v>2012</v>
      </c>
      <c r="C473" s="124" t="s">
        <v>1092</v>
      </c>
      <c r="D473" s="120" t="s">
        <v>1979</v>
      </c>
      <c r="E473" s="125" t="s">
        <v>2016</v>
      </c>
      <c r="F473" s="133">
        <f t="shared" si="200"/>
        <v>31.292</v>
      </c>
      <c r="G473" s="133">
        <v>30.904</v>
      </c>
      <c r="H473" s="128">
        <v>30.8934</v>
      </c>
      <c r="I473" s="144">
        <f t="shared" si="201"/>
        <v>0.0106000000000002</v>
      </c>
      <c r="J473" s="115" t="str">
        <f t="shared" si="202"/>
        <v>235/75R17.5-18PR-ZA15</v>
      </c>
      <c r="K473" s="193"/>
      <c r="L473" s="193"/>
      <c r="M473" s="193"/>
      <c r="N473" s="193"/>
      <c r="O473" s="193"/>
      <c r="P473" s="193"/>
      <c r="Q473" s="193"/>
      <c r="R473" s="193"/>
      <c r="BB473" s="113" t="str">
        <f t="shared" si="199"/>
        <v/>
      </c>
    </row>
    <row r="474" spans="2:54">
      <c r="B474" s="148" t="s">
        <v>2012</v>
      </c>
      <c r="C474" s="124" t="s">
        <v>1092</v>
      </c>
      <c r="D474" s="120" t="s">
        <v>1977</v>
      </c>
      <c r="E474" s="125" t="s">
        <v>2016</v>
      </c>
      <c r="F474" s="133">
        <f t="shared" si="200"/>
        <v>31.292</v>
      </c>
      <c r="G474" s="133">
        <v>30.904</v>
      </c>
      <c r="H474" s="128">
        <v>30.8934</v>
      </c>
      <c r="I474" s="144">
        <f t="shared" si="201"/>
        <v>0.0106000000000002</v>
      </c>
      <c r="J474" s="115" t="str">
        <f t="shared" si="202"/>
        <v>235/75R17.5-18PR-VA933</v>
      </c>
      <c r="K474" s="193"/>
      <c r="L474" s="193"/>
      <c r="M474" s="193"/>
      <c r="N474" s="193"/>
      <c r="O474" s="193"/>
      <c r="P474" s="193"/>
      <c r="Q474" s="193"/>
      <c r="R474" s="193"/>
      <c r="BB474" s="113" t="str">
        <f t="shared" si="199"/>
        <v/>
      </c>
    </row>
    <row r="475" spans="2:54">
      <c r="B475" s="148" t="s">
        <v>2012</v>
      </c>
      <c r="C475" s="124" t="s">
        <v>1074</v>
      </c>
      <c r="D475" s="120" t="s">
        <v>1983</v>
      </c>
      <c r="E475" s="120" t="s">
        <v>2017</v>
      </c>
      <c r="F475" s="133">
        <f t="shared" si="200"/>
        <v>30.757</v>
      </c>
      <c r="G475" s="133">
        <v>30.369</v>
      </c>
      <c r="H475" s="128">
        <v>29.2884</v>
      </c>
      <c r="I475" s="144">
        <f t="shared" si="201"/>
        <v>1.0806</v>
      </c>
      <c r="J475" s="115" t="str">
        <f t="shared" si="202"/>
        <v>235/75R17.5-16PR-CM986</v>
      </c>
      <c r="K475" s="193"/>
      <c r="L475" s="193"/>
      <c r="M475" s="193"/>
      <c r="N475" s="193"/>
      <c r="O475" s="193"/>
      <c r="P475" s="193"/>
      <c r="Q475" s="193"/>
      <c r="R475" s="193"/>
      <c r="BB475" s="113" t="str">
        <f t="shared" si="199"/>
        <v/>
      </c>
    </row>
    <row r="476" spans="2:54">
      <c r="B476" s="148" t="s">
        <v>2012</v>
      </c>
      <c r="C476" s="124" t="s">
        <v>1092</v>
      </c>
      <c r="D476" s="120" t="s">
        <v>1742</v>
      </c>
      <c r="E476" s="120" t="s">
        <v>2018</v>
      </c>
      <c r="F476" s="133">
        <f t="shared" si="200"/>
        <v>30.02</v>
      </c>
      <c r="G476" s="133">
        <v>29.632</v>
      </c>
      <c r="H476" s="128">
        <v>29.5677</v>
      </c>
      <c r="I476" s="144">
        <f t="shared" si="201"/>
        <v>0.0643000000000029</v>
      </c>
      <c r="J476" s="115" t="str">
        <f t="shared" si="202"/>
        <v>235/75R17.5-18PR-I-19A</v>
      </c>
      <c r="K476" s="193"/>
      <c r="L476" s="193"/>
      <c r="M476" s="193"/>
      <c r="N476" s="193"/>
      <c r="O476" s="193"/>
      <c r="P476" s="193"/>
      <c r="Q476" s="193"/>
      <c r="R476" s="193"/>
      <c r="BB476" s="113" t="str">
        <f t="shared" si="199"/>
        <v/>
      </c>
    </row>
    <row r="477" ht="13.8" customHeight="1" spans="2:54">
      <c r="B477" s="206"/>
      <c r="C477" s="207"/>
      <c r="D477" s="123"/>
      <c r="E477" s="123"/>
      <c r="F477" s="130"/>
      <c r="G477" s="130"/>
      <c r="H477" s="131"/>
      <c r="I477" s="145"/>
      <c r="J477" s="115" t="str">
        <f t="shared" si="202"/>
        <v/>
      </c>
      <c r="K477" s="193"/>
      <c r="L477" s="193"/>
      <c r="M477" s="193"/>
      <c r="N477" s="193"/>
      <c r="O477" s="193"/>
      <c r="P477" s="193"/>
      <c r="Q477" s="193"/>
      <c r="R477" s="193"/>
      <c r="BB477" s="113" t="str">
        <f t="shared" si="199"/>
        <v/>
      </c>
    </row>
    <row r="478" ht="13.8" customHeight="1" spans="2:54">
      <c r="B478" s="148" t="s">
        <v>2019</v>
      </c>
      <c r="C478" s="124" t="s">
        <v>1092</v>
      </c>
      <c r="D478" s="120" t="s">
        <v>1776</v>
      </c>
      <c r="E478" s="120" t="s">
        <v>2020</v>
      </c>
      <c r="F478" s="133">
        <f t="shared" ref="F478:F480" si="203">G478-1.993+2.577</f>
        <v>35.034</v>
      </c>
      <c r="G478" s="133">
        <v>34.45</v>
      </c>
      <c r="H478" s="128">
        <v>34.0667</v>
      </c>
      <c r="I478" s="144">
        <f t="shared" ref="I478:I480" si="204">G478-H478</f>
        <v>0.383300000000006</v>
      </c>
      <c r="J478" s="115" t="str">
        <f t="shared" si="202"/>
        <v>245/70R17.5-18PR-AZ599</v>
      </c>
      <c r="K478" s="193"/>
      <c r="L478" s="193"/>
      <c r="M478" s="193"/>
      <c r="N478" s="193"/>
      <c r="O478" s="193"/>
      <c r="P478" s="193"/>
      <c r="Q478" s="193"/>
      <c r="R478" s="193"/>
      <c r="BB478" s="113" t="str">
        <f t="shared" si="199"/>
        <v/>
      </c>
    </row>
    <row r="479" spans="2:54">
      <c r="B479" s="148" t="s">
        <v>2019</v>
      </c>
      <c r="C479" s="124" t="s">
        <v>1092</v>
      </c>
      <c r="D479" s="120" t="s">
        <v>1982</v>
      </c>
      <c r="E479" s="120" t="s">
        <v>2020</v>
      </c>
      <c r="F479" s="133">
        <f t="shared" si="203"/>
        <v>35.034</v>
      </c>
      <c r="G479" s="133">
        <v>34.45</v>
      </c>
      <c r="H479" s="128">
        <v>34.0667</v>
      </c>
      <c r="I479" s="144">
        <f t="shared" si="204"/>
        <v>0.383300000000006</v>
      </c>
      <c r="J479" s="115" t="str">
        <f t="shared" si="202"/>
        <v>245/70R17.5-18PR-AP-7318</v>
      </c>
      <c r="K479" s="193"/>
      <c r="L479" s="193"/>
      <c r="M479" s="193"/>
      <c r="N479" s="193"/>
      <c r="O479" s="193"/>
      <c r="P479" s="193"/>
      <c r="Q479" s="193"/>
      <c r="R479" s="193"/>
      <c r="BB479" s="113" t="str">
        <f t="shared" si="199"/>
        <v/>
      </c>
    </row>
    <row r="480" spans="2:54">
      <c r="B480" s="148" t="s">
        <v>2019</v>
      </c>
      <c r="C480" s="124" t="s">
        <v>1092</v>
      </c>
      <c r="D480" s="120" t="s">
        <v>1742</v>
      </c>
      <c r="E480" s="120" t="s">
        <v>2021</v>
      </c>
      <c r="F480" s="133">
        <f t="shared" si="203"/>
        <v>33.959</v>
      </c>
      <c r="G480" s="133">
        <v>33.375</v>
      </c>
      <c r="H480" s="128">
        <v>33.3332</v>
      </c>
      <c r="I480" s="144">
        <f t="shared" si="204"/>
        <v>0.0418000000000021</v>
      </c>
      <c r="J480" s="115" t="str">
        <f t="shared" si="202"/>
        <v>245/70R17.5-18PR-I-19A</v>
      </c>
      <c r="K480" s="193"/>
      <c r="L480" s="193"/>
      <c r="M480" s="193"/>
      <c r="N480" s="193"/>
      <c r="O480" s="193"/>
      <c r="P480" s="193"/>
      <c r="Q480" s="193"/>
      <c r="R480" s="193"/>
      <c r="BB480" s="113" t="str">
        <f t="shared" si="199"/>
        <v/>
      </c>
    </row>
    <row r="481" spans="2:54">
      <c r="B481" s="206"/>
      <c r="C481" s="207"/>
      <c r="D481" s="123"/>
      <c r="E481" s="123"/>
      <c r="F481" s="130"/>
      <c r="G481" s="130"/>
      <c r="H481" s="131"/>
      <c r="I481" s="145"/>
      <c r="J481" s="115" t="str">
        <f t="shared" si="202"/>
        <v/>
      </c>
      <c r="K481" s="193"/>
      <c r="L481" s="193"/>
      <c r="M481" s="193"/>
      <c r="N481" s="193"/>
      <c r="O481" s="193"/>
      <c r="P481" s="193"/>
      <c r="Q481" s="193"/>
      <c r="R481" s="193"/>
      <c r="BB481" s="113" t="str">
        <f t="shared" si="199"/>
        <v/>
      </c>
    </row>
    <row r="482" spans="2:54">
      <c r="B482" s="148" t="s">
        <v>2022</v>
      </c>
      <c r="C482" s="124" t="s">
        <v>1074</v>
      </c>
      <c r="D482" s="120" t="s">
        <v>1990</v>
      </c>
      <c r="E482" s="120" t="s">
        <v>2023</v>
      </c>
      <c r="F482" s="133">
        <f t="shared" ref="F482:F496" si="205">G482-2.179+2.179</f>
        <v>35.995</v>
      </c>
      <c r="G482" s="133">
        <v>35.995</v>
      </c>
      <c r="H482" s="128">
        <v>36.0214</v>
      </c>
      <c r="I482" s="144">
        <f t="shared" ref="I482:I507" si="206">G482-H482</f>
        <v>-0.0264000000000024</v>
      </c>
      <c r="J482" s="115" t="str">
        <f t="shared" si="202"/>
        <v>245/70R19.5-16PR-DA24</v>
      </c>
      <c r="K482" s="193"/>
      <c r="L482" s="193"/>
      <c r="M482" s="193"/>
      <c r="N482" s="193"/>
      <c r="O482" s="193"/>
      <c r="P482" s="193"/>
      <c r="Q482" s="193"/>
      <c r="R482" s="193"/>
      <c r="BB482" s="113" t="str">
        <f t="shared" si="199"/>
        <v/>
      </c>
    </row>
    <row r="483" spans="2:54">
      <c r="B483" s="148" t="s">
        <v>2022</v>
      </c>
      <c r="C483" s="124" t="s">
        <v>1074</v>
      </c>
      <c r="D483" s="120" t="s">
        <v>1979</v>
      </c>
      <c r="E483" s="125" t="s">
        <v>2024</v>
      </c>
      <c r="F483" s="133">
        <f t="shared" si="205"/>
        <v>35.19</v>
      </c>
      <c r="G483" s="133">
        <v>35.19</v>
      </c>
      <c r="H483" s="128">
        <v>35.6114</v>
      </c>
      <c r="I483" s="144">
        <f t="shared" si="206"/>
        <v>-0.421400000000006</v>
      </c>
      <c r="J483" s="115" t="str">
        <f t="shared" si="202"/>
        <v>245/70R19.5-16PR-ZA15</v>
      </c>
      <c r="K483" s="193"/>
      <c r="L483" s="193"/>
      <c r="M483" s="193"/>
      <c r="N483" s="193"/>
      <c r="O483" s="193"/>
      <c r="P483" s="193"/>
      <c r="Q483" s="193"/>
      <c r="R483" s="193"/>
      <c r="BB483" s="113" t="str">
        <f t="shared" si="199"/>
        <v/>
      </c>
    </row>
    <row r="484" spans="2:54">
      <c r="B484" s="148" t="s">
        <v>2022</v>
      </c>
      <c r="C484" s="124" t="s">
        <v>1074</v>
      </c>
      <c r="D484" s="120" t="s">
        <v>1977</v>
      </c>
      <c r="E484" s="125" t="s">
        <v>2024</v>
      </c>
      <c r="F484" s="133">
        <f t="shared" si="205"/>
        <v>35.19</v>
      </c>
      <c r="G484" s="133">
        <v>35.19</v>
      </c>
      <c r="H484" s="128">
        <v>35.6114</v>
      </c>
      <c r="I484" s="144">
        <f t="shared" si="206"/>
        <v>-0.421400000000006</v>
      </c>
      <c r="J484" s="115" t="str">
        <f t="shared" si="202"/>
        <v>245/70R19.5-16PR-VA933</v>
      </c>
      <c r="K484" s="193"/>
      <c r="L484" s="193"/>
      <c r="M484" s="193"/>
      <c r="N484" s="193"/>
      <c r="O484" s="193"/>
      <c r="P484" s="193"/>
      <c r="Q484" s="193"/>
      <c r="R484" s="193"/>
      <c r="BB484" s="113" t="str">
        <f t="shared" si="199"/>
        <v/>
      </c>
    </row>
    <row r="485" spans="2:54">
      <c r="B485" s="148" t="s">
        <v>2022</v>
      </c>
      <c r="C485" s="124" t="s">
        <v>1074</v>
      </c>
      <c r="D485" s="120" t="s">
        <v>1983</v>
      </c>
      <c r="E485" s="120" t="s">
        <v>2025</v>
      </c>
      <c r="F485" s="133">
        <f t="shared" si="205"/>
        <v>34.33</v>
      </c>
      <c r="G485" s="133">
        <v>34.33</v>
      </c>
      <c r="H485" s="128">
        <v>34.3553</v>
      </c>
      <c r="I485" s="144">
        <f t="shared" si="206"/>
        <v>-0.0253000000000014</v>
      </c>
      <c r="J485" s="115" t="str">
        <f t="shared" si="202"/>
        <v>245/70R19.5-16PR-CM986</v>
      </c>
      <c r="K485" s="193"/>
      <c r="L485" s="193"/>
      <c r="M485" s="193"/>
      <c r="N485" s="193"/>
      <c r="O485" s="193"/>
      <c r="P485" s="193"/>
      <c r="Q485" s="193"/>
      <c r="R485" s="193"/>
      <c r="BB485" s="113" t="str">
        <f t="shared" si="199"/>
        <v/>
      </c>
    </row>
    <row r="486" spans="2:54">
      <c r="B486" s="148" t="s">
        <v>2022</v>
      </c>
      <c r="C486" s="124" t="s">
        <v>1074</v>
      </c>
      <c r="D486" s="120" t="s">
        <v>1742</v>
      </c>
      <c r="E486" s="120" t="s">
        <v>2026</v>
      </c>
      <c r="F486" s="133">
        <f t="shared" si="205"/>
        <v>35.258</v>
      </c>
      <c r="G486" s="133">
        <v>35.258</v>
      </c>
      <c r="H486" s="128">
        <v>35.1069</v>
      </c>
      <c r="I486" s="144">
        <f t="shared" si="206"/>
        <v>0.1511</v>
      </c>
      <c r="J486" s="115" t="str">
        <f t="shared" si="202"/>
        <v>245/70R19.5-16PR-I-19A</v>
      </c>
      <c r="K486" s="193"/>
      <c r="L486" s="193"/>
      <c r="M486" s="193"/>
      <c r="N486" s="193"/>
      <c r="O486" s="193"/>
      <c r="P486" s="193"/>
      <c r="Q486" s="193"/>
      <c r="R486" s="193"/>
      <c r="BB486" s="113" t="str">
        <f t="shared" si="199"/>
        <v/>
      </c>
    </row>
    <row r="487" spans="2:54">
      <c r="B487" s="148" t="s">
        <v>2022</v>
      </c>
      <c r="C487" s="124" t="s">
        <v>1074</v>
      </c>
      <c r="D487" s="120" t="s">
        <v>2005</v>
      </c>
      <c r="E487" s="125" t="s">
        <v>2027</v>
      </c>
      <c r="F487" s="133">
        <f t="shared" si="205"/>
        <v>35.724</v>
      </c>
      <c r="G487" s="133">
        <v>35.724</v>
      </c>
      <c r="H487" s="128">
        <v>35.7703</v>
      </c>
      <c r="I487" s="144">
        <f t="shared" si="206"/>
        <v>-0.0463000000000022</v>
      </c>
      <c r="J487" s="115" t="str">
        <f t="shared" si="202"/>
        <v>245/70R19.5-16PR-VD935</v>
      </c>
      <c r="K487" s="193"/>
      <c r="L487" s="193"/>
      <c r="M487" s="193"/>
      <c r="N487" s="193"/>
      <c r="O487" s="193"/>
      <c r="P487" s="193"/>
      <c r="Q487" s="193"/>
      <c r="R487" s="193"/>
      <c r="BB487" s="113" t="str">
        <f t="shared" si="199"/>
        <v/>
      </c>
    </row>
    <row r="488" ht="13.8" customHeight="1" spans="2:54">
      <c r="B488" s="148" t="s">
        <v>2022</v>
      </c>
      <c r="C488" s="124" t="s">
        <v>1074</v>
      </c>
      <c r="D488" s="121" t="s">
        <v>1776</v>
      </c>
      <c r="E488" s="125" t="s">
        <v>2028</v>
      </c>
      <c r="F488" s="133">
        <f t="shared" si="205"/>
        <v>35.03</v>
      </c>
      <c r="G488" s="133">
        <v>35.03</v>
      </c>
      <c r="H488" s="128">
        <v>35.0302</v>
      </c>
      <c r="I488" s="144">
        <f t="shared" si="206"/>
        <v>-0.000199999999999534</v>
      </c>
      <c r="J488" s="115" t="str">
        <f t="shared" si="202"/>
        <v>245/70R19.5-16PR-AZ599</v>
      </c>
      <c r="K488" s="193"/>
      <c r="L488" s="193"/>
      <c r="M488" s="193"/>
      <c r="N488" s="193"/>
      <c r="O488" s="193"/>
      <c r="P488" s="193"/>
      <c r="Q488" s="193"/>
      <c r="R488" s="193"/>
      <c r="BB488" s="113" t="str">
        <f t="shared" si="199"/>
        <v/>
      </c>
    </row>
    <row r="489" ht="13.8" customHeight="1" spans="2:54">
      <c r="B489" s="148" t="s">
        <v>2022</v>
      </c>
      <c r="C489" s="124" t="s">
        <v>1074</v>
      </c>
      <c r="D489" s="121" t="s">
        <v>1781</v>
      </c>
      <c r="E489" s="120" t="s">
        <v>2028</v>
      </c>
      <c r="F489" s="127">
        <f t="shared" si="205"/>
        <v>35.03</v>
      </c>
      <c r="G489" s="133">
        <v>35.03</v>
      </c>
      <c r="H489" s="128">
        <v>35.0302</v>
      </c>
      <c r="I489" s="144">
        <f t="shared" si="206"/>
        <v>-0.000199999999999534</v>
      </c>
      <c r="J489" s="115" t="str">
        <f t="shared" si="202"/>
        <v>245/70R19.5-16PR-HF1 Plus</v>
      </c>
      <c r="K489" s="193"/>
      <c r="L489" s="193"/>
      <c r="M489" s="193"/>
      <c r="N489" s="193"/>
      <c r="O489" s="193"/>
      <c r="P489" s="193"/>
      <c r="Q489" s="193"/>
      <c r="R489" s="193"/>
      <c r="BB489" s="113" t="str">
        <f t="shared" si="199"/>
        <v/>
      </c>
    </row>
    <row r="490" spans="2:54">
      <c r="B490" s="148" t="s">
        <v>2022</v>
      </c>
      <c r="C490" s="124" t="s">
        <v>1074</v>
      </c>
      <c r="D490" s="121" t="s">
        <v>1796</v>
      </c>
      <c r="E490" s="120" t="s">
        <v>2028</v>
      </c>
      <c r="F490" s="127">
        <f t="shared" si="205"/>
        <v>35.03</v>
      </c>
      <c r="G490" s="133">
        <v>35.03</v>
      </c>
      <c r="H490" s="128">
        <v>35.0302</v>
      </c>
      <c r="I490" s="144">
        <f t="shared" si="206"/>
        <v>-0.000199999999999534</v>
      </c>
      <c r="J490" s="115" t="str">
        <f t="shared" si="202"/>
        <v>245/70R19.5-16PR-HF1 PlusX</v>
      </c>
      <c r="K490" s="193"/>
      <c r="L490" s="193"/>
      <c r="M490" s="193"/>
      <c r="N490" s="193"/>
      <c r="O490" s="193"/>
      <c r="P490" s="193"/>
      <c r="Q490" s="193"/>
      <c r="R490" s="193"/>
      <c r="BB490" s="113" t="str">
        <f t="shared" si="199"/>
        <v/>
      </c>
    </row>
    <row r="491" spans="2:54">
      <c r="B491" s="148" t="s">
        <v>2022</v>
      </c>
      <c r="C491" s="124" t="s">
        <v>1074</v>
      </c>
      <c r="D491" s="120" t="s">
        <v>1982</v>
      </c>
      <c r="E491" s="138" t="s">
        <v>2028</v>
      </c>
      <c r="F491" s="127">
        <f t="shared" si="205"/>
        <v>35.03</v>
      </c>
      <c r="G491" s="133">
        <v>35.03</v>
      </c>
      <c r="H491" s="128">
        <v>35.0302</v>
      </c>
      <c r="I491" s="144">
        <f t="shared" si="206"/>
        <v>-0.000199999999999534</v>
      </c>
      <c r="J491" s="115" t="str">
        <f t="shared" si="202"/>
        <v>245/70R19.5-16PR-AP-7318</v>
      </c>
      <c r="K491" s="193"/>
      <c r="L491" s="193"/>
      <c r="M491" s="193"/>
      <c r="N491" s="193"/>
      <c r="O491" s="193"/>
      <c r="P491" s="193"/>
      <c r="Q491" s="193"/>
      <c r="R491" s="193"/>
      <c r="BB491" s="113" t="str">
        <f t="shared" si="199"/>
        <v/>
      </c>
    </row>
    <row r="492" spans="2:54">
      <c r="B492" s="148" t="s">
        <v>2022</v>
      </c>
      <c r="C492" s="124" t="s">
        <v>1074</v>
      </c>
      <c r="D492" s="120" t="s">
        <v>1995</v>
      </c>
      <c r="E492" s="125" t="s">
        <v>2029</v>
      </c>
      <c r="F492" s="133">
        <f t="shared" si="205"/>
        <v>35.701</v>
      </c>
      <c r="G492" s="133">
        <v>35.701</v>
      </c>
      <c r="H492" s="128">
        <v>35.6051</v>
      </c>
      <c r="I492" s="144">
        <f t="shared" si="206"/>
        <v>0.0959000000000003</v>
      </c>
      <c r="J492" s="115" t="str">
        <f t="shared" si="202"/>
        <v>245/70R19.5-16PR-AD717</v>
      </c>
      <c r="K492" s="193"/>
      <c r="L492" s="193"/>
      <c r="M492" s="193"/>
      <c r="N492" s="193"/>
      <c r="O492" s="193"/>
      <c r="P492" s="193"/>
      <c r="Q492" s="193"/>
      <c r="R492" s="193"/>
      <c r="BB492" s="113" t="str">
        <f t="shared" si="199"/>
        <v/>
      </c>
    </row>
    <row r="493" ht="13.8" customHeight="1" spans="2:54">
      <c r="B493" s="148" t="s">
        <v>2022</v>
      </c>
      <c r="C493" s="124" t="s">
        <v>1074</v>
      </c>
      <c r="D493" s="120" t="s">
        <v>1997</v>
      </c>
      <c r="E493" s="125" t="s">
        <v>2029</v>
      </c>
      <c r="F493" s="133">
        <f t="shared" si="205"/>
        <v>35.701</v>
      </c>
      <c r="G493" s="133">
        <v>35.701</v>
      </c>
      <c r="H493" s="128">
        <v>35.6051</v>
      </c>
      <c r="I493" s="144">
        <f t="shared" si="206"/>
        <v>0.0959000000000003</v>
      </c>
      <c r="J493" s="115" t="str">
        <f t="shared" si="202"/>
        <v>245/70R19.5-16PR-AW717</v>
      </c>
      <c r="K493" s="193"/>
      <c r="L493" s="193"/>
      <c r="M493" s="193"/>
      <c r="N493" s="193"/>
      <c r="O493" s="193"/>
      <c r="P493" s="193"/>
      <c r="Q493" s="193"/>
      <c r="R493" s="193"/>
      <c r="BB493" s="113" t="str">
        <f t="shared" si="199"/>
        <v/>
      </c>
    </row>
    <row r="494" ht="13.8" customHeight="1" spans="2:54">
      <c r="B494" s="148" t="s">
        <v>2022</v>
      </c>
      <c r="C494" s="124" t="s">
        <v>1074</v>
      </c>
      <c r="D494" s="120" t="s">
        <v>2000</v>
      </c>
      <c r="E494" s="125" t="s">
        <v>2029</v>
      </c>
      <c r="F494" s="133">
        <f t="shared" si="205"/>
        <v>35.701</v>
      </c>
      <c r="G494" s="133">
        <v>35.701</v>
      </c>
      <c r="H494" s="128">
        <v>35.6051</v>
      </c>
      <c r="I494" s="144">
        <f t="shared" si="206"/>
        <v>0.0959000000000003</v>
      </c>
      <c r="J494" s="115" t="str">
        <f t="shared" si="202"/>
        <v>245/70R19.5-16PR-DR-7318</v>
      </c>
      <c r="K494" s="193"/>
      <c r="L494" s="193"/>
      <c r="M494" s="193"/>
      <c r="N494" s="193"/>
      <c r="O494" s="193"/>
      <c r="P494" s="193"/>
      <c r="Q494" s="193"/>
      <c r="R494" s="193"/>
      <c r="BB494" s="113" t="str">
        <f t="shared" si="199"/>
        <v/>
      </c>
    </row>
    <row r="495" spans="2:54">
      <c r="B495" s="148" t="s">
        <v>2022</v>
      </c>
      <c r="C495" s="124" t="s">
        <v>1074</v>
      </c>
      <c r="D495" s="120" t="s">
        <v>1999</v>
      </c>
      <c r="E495" s="125" t="s">
        <v>2029</v>
      </c>
      <c r="F495" s="133">
        <f t="shared" si="205"/>
        <v>35.701</v>
      </c>
      <c r="G495" s="133">
        <v>35.701</v>
      </c>
      <c r="H495" s="128">
        <v>35.6051</v>
      </c>
      <c r="I495" s="144">
        <f t="shared" si="206"/>
        <v>0.0959000000000003</v>
      </c>
      <c r="J495" s="115" t="str">
        <f t="shared" si="202"/>
        <v>245/70R19.5-16PR-HD3 Plus</v>
      </c>
      <c r="K495" s="193"/>
      <c r="L495" s="193"/>
      <c r="M495" s="193"/>
      <c r="N495" s="193"/>
      <c r="O495" s="193"/>
      <c r="P495" s="193"/>
      <c r="Q495" s="193"/>
      <c r="R495" s="193"/>
      <c r="BB495" s="113" t="str">
        <f t="shared" si="199"/>
        <v/>
      </c>
    </row>
    <row r="496" spans="2:54">
      <c r="B496" s="148" t="s">
        <v>2022</v>
      </c>
      <c r="C496" s="124" t="s">
        <v>1074</v>
      </c>
      <c r="D496" s="120" t="s">
        <v>1849</v>
      </c>
      <c r="E496" s="120" t="s">
        <v>2030</v>
      </c>
      <c r="F496" s="133">
        <f t="shared" si="205"/>
        <v>35.983</v>
      </c>
      <c r="G496" s="133">
        <v>35.983</v>
      </c>
      <c r="H496" s="128">
        <v>35.8864</v>
      </c>
      <c r="I496" s="144">
        <f t="shared" si="206"/>
        <v>0.0965999999999951</v>
      </c>
      <c r="J496" s="115" t="str">
        <f t="shared" si="202"/>
        <v>245/70R19.5-16PR-I-37D</v>
      </c>
      <c r="K496" s="193"/>
      <c r="L496" s="193"/>
      <c r="M496" s="193"/>
      <c r="N496" s="193"/>
      <c r="O496" s="193"/>
      <c r="P496" s="193"/>
      <c r="Q496" s="193"/>
      <c r="R496" s="193"/>
      <c r="BB496" s="113" t="str">
        <f t="shared" si="199"/>
        <v/>
      </c>
    </row>
    <row r="497" spans="2:54">
      <c r="B497" s="148" t="s">
        <v>2022</v>
      </c>
      <c r="C497" s="124" t="s">
        <v>1092</v>
      </c>
      <c r="D497" s="120" t="s">
        <v>2031</v>
      </c>
      <c r="E497" s="120" t="s">
        <v>2032</v>
      </c>
      <c r="F497" s="133">
        <f t="shared" ref="F497:F507" si="207">G497-2.175+2.175</f>
        <v>35.847</v>
      </c>
      <c r="G497" s="133">
        <v>35.847</v>
      </c>
      <c r="H497" s="128">
        <v>35.75</v>
      </c>
      <c r="I497" s="144">
        <f t="shared" si="206"/>
        <v>0.0970000000000013</v>
      </c>
      <c r="J497" s="115" t="str">
        <f t="shared" si="202"/>
        <v>245/70R19.5-18PR-AT530</v>
      </c>
      <c r="K497" s="193"/>
      <c r="L497" s="193"/>
      <c r="M497" s="193"/>
      <c r="N497" s="193"/>
      <c r="O497" s="193"/>
      <c r="P497" s="193"/>
      <c r="Q497" s="193"/>
      <c r="R497" s="193"/>
      <c r="BB497" s="113" t="str">
        <f t="shared" si="199"/>
        <v/>
      </c>
    </row>
    <row r="498" spans="2:54">
      <c r="B498" s="148" t="s">
        <v>2022</v>
      </c>
      <c r="C498" s="124" t="s">
        <v>1074</v>
      </c>
      <c r="D498" s="120" t="s">
        <v>1751</v>
      </c>
      <c r="E498" s="120" t="s">
        <v>2033</v>
      </c>
      <c r="F498" s="133">
        <f t="shared" si="207"/>
        <v>33.848</v>
      </c>
      <c r="G498" s="133">
        <v>33.848</v>
      </c>
      <c r="H498" s="128">
        <v>33.8277</v>
      </c>
      <c r="I498" s="144">
        <f t="shared" si="206"/>
        <v>0.0202999999999989</v>
      </c>
      <c r="J498" s="115" t="str">
        <f t="shared" si="202"/>
        <v>245/70R19.5-16PR-CR960A</v>
      </c>
      <c r="K498" s="193"/>
      <c r="L498" s="193"/>
      <c r="M498" s="193"/>
      <c r="N498" s="193"/>
      <c r="O498" s="193"/>
      <c r="P498" s="193"/>
      <c r="Q498" s="193"/>
      <c r="R498" s="193"/>
      <c r="BB498" s="113" t="str">
        <f t="shared" si="199"/>
        <v/>
      </c>
    </row>
    <row r="499" ht="13.8" customHeight="1" spans="2:54">
      <c r="B499" s="148" t="s">
        <v>2022</v>
      </c>
      <c r="C499" s="124" t="s">
        <v>1074</v>
      </c>
      <c r="D499" s="120" t="s">
        <v>2014</v>
      </c>
      <c r="E499" s="120" t="s">
        <v>2033</v>
      </c>
      <c r="F499" s="133">
        <f t="shared" si="207"/>
        <v>33.848</v>
      </c>
      <c r="G499" s="133">
        <v>33.848</v>
      </c>
      <c r="H499" s="128">
        <v>33.8277</v>
      </c>
      <c r="I499" s="144">
        <f t="shared" si="206"/>
        <v>0.0202999999999989</v>
      </c>
      <c r="J499" s="115" t="str">
        <f t="shared" si="202"/>
        <v>245/70R19.5-16PR-I-109</v>
      </c>
      <c r="K499" s="193"/>
      <c r="L499" s="193"/>
      <c r="M499" s="193"/>
      <c r="N499" s="193"/>
      <c r="O499" s="193"/>
      <c r="P499" s="193"/>
      <c r="Q499" s="193"/>
      <c r="R499" s="193"/>
      <c r="BB499" s="113" t="str">
        <f t="shared" si="199"/>
        <v/>
      </c>
    </row>
    <row r="500" ht="13.8" customHeight="1" spans="2:54">
      <c r="B500" s="148" t="s">
        <v>2022</v>
      </c>
      <c r="C500" s="124" t="s">
        <v>1074</v>
      </c>
      <c r="D500" s="120" t="s">
        <v>1755</v>
      </c>
      <c r="E500" s="120" t="s">
        <v>2033</v>
      </c>
      <c r="F500" s="133">
        <f t="shared" si="207"/>
        <v>33.848</v>
      </c>
      <c r="G500" s="133">
        <v>33.848</v>
      </c>
      <c r="H500" s="128">
        <v>33.8277</v>
      </c>
      <c r="I500" s="144">
        <f t="shared" si="206"/>
        <v>0.0202999999999989</v>
      </c>
      <c r="J500" s="115" t="str">
        <f t="shared" si="202"/>
        <v>245/70R19.5-16PR-RLINE-A1</v>
      </c>
      <c r="K500" s="193"/>
      <c r="L500" s="193"/>
      <c r="M500" s="193"/>
      <c r="N500" s="193"/>
      <c r="O500" s="193"/>
      <c r="P500" s="193"/>
      <c r="Q500" s="193"/>
      <c r="R500" s="193"/>
      <c r="BB500" s="113" t="str">
        <f t="shared" si="199"/>
        <v/>
      </c>
    </row>
    <row r="501" spans="2:54">
      <c r="B501" s="148" t="s">
        <v>2022</v>
      </c>
      <c r="C501" s="124" t="s">
        <v>1074</v>
      </c>
      <c r="D501" s="120" t="s">
        <v>1823</v>
      </c>
      <c r="E501" s="120" t="s">
        <v>2034</v>
      </c>
      <c r="F501" s="133">
        <f t="shared" si="207"/>
        <v>34.531</v>
      </c>
      <c r="G501" s="133">
        <v>34.531</v>
      </c>
      <c r="H501" s="128">
        <v>34.2703</v>
      </c>
      <c r="I501" s="144">
        <f t="shared" si="206"/>
        <v>0.2607</v>
      </c>
      <c r="J501" s="115" t="str">
        <f t="shared" si="202"/>
        <v>245/70R19.5-16PR-AS673</v>
      </c>
      <c r="K501" s="193"/>
      <c r="L501" s="193"/>
      <c r="M501" s="193"/>
      <c r="N501" s="193"/>
      <c r="O501" s="193"/>
      <c r="P501" s="193"/>
      <c r="Q501" s="193"/>
      <c r="R501" s="193"/>
      <c r="BB501" s="113" t="str">
        <f t="shared" si="199"/>
        <v/>
      </c>
    </row>
    <row r="502" spans="2:54">
      <c r="B502" s="148" t="s">
        <v>2022</v>
      </c>
      <c r="C502" s="124" t="s">
        <v>958</v>
      </c>
      <c r="D502" s="120" t="s">
        <v>1857</v>
      </c>
      <c r="E502" s="120" t="s">
        <v>2035</v>
      </c>
      <c r="F502" s="133">
        <f t="shared" si="207"/>
        <v>33.523</v>
      </c>
      <c r="G502" s="133">
        <v>33.523</v>
      </c>
      <c r="H502" s="128">
        <v>33.2882</v>
      </c>
      <c r="I502" s="144">
        <f t="shared" si="206"/>
        <v>0.2348</v>
      </c>
      <c r="J502" s="115" t="str">
        <f t="shared" si="202"/>
        <v>245/70R19.5-14PR-H-RA</v>
      </c>
      <c r="K502" s="193"/>
      <c r="L502" s="193"/>
      <c r="M502" s="193"/>
      <c r="N502" s="193"/>
      <c r="O502" s="193"/>
      <c r="P502" s="193"/>
      <c r="Q502" s="193"/>
      <c r="R502" s="193"/>
      <c r="BB502" s="113" t="str">
        <f t="shared" si="199"/>
        <v/>
      </c>
    </row>
    <row r="503" spans="2:54">
      <c r="B503" s="148" t="s">
        <v>2022</v>
      </c>
      <c r="C503" s="124" t="s">
        <v>1074</v>
      </c>
      <c r="D503" s="120" t="s">
        <v>1827</v>
      </c>
      <c r="E503" s="120" t="s">
        <v>2036</v>
      </c>
      <c r="F503" s="133">
        <f t="shared" si="207"/>
        <v>35.464</v>
      </c>
      <c r="G503" s="133">
        <v>35.464</v>
      </c>
      <c r="H503" s="128">
        <v>35.443</v>
      </c>
      <c r="I503" s="144">
        <f t="shared" si="206"/>
        <v>0.0210000000000008</v>
      </c>
      <c r="J503" s="115" t="str">
        <f t="shared" si="202"/>
        <v>245/70R19.5-16PR-AD778</v>
      </c>
      <c r="K503" s="193"/>
      <c r="L503" s="193"/>
      <c r="M503" s="193"/>
      <c r="N503" s="193"/>
      <c r="O503" s="193"/>
      <c r="P503" s="193"/>
      <c r="Q503" s="193"/>
      <c r="R503" s="193"/>
      <c r="BB503" s="113" t="str">
        <f t="shared" si="199"/>
        <v/>
      </c>
    </row>
    <row r="504" spans="2:54">
      <c r="B504" s="148" t="s">
        <v>2022</v>
      </c>
      <c r="C504" s="124" t="s">
        <v>1074</v>
      </c>
      <c r="D504" s="120" t="s">
        <v>2007</v>
      </c>
      <c r="E504" s="120" t="s">
        <v>2037</v>
      </c>
      <c r="F504" s="133">
        <f t="shared" si="207"/>
        <v>38.911</v>
      </c>
      <c r="G504" s="133">
        <v>38.911</v>
      </c>
      <c r="H504" s="128">
        <v>38.77</v>
      </c>
      <c r="I504" s="144">
        <f t="shared" si="206"/>
        <v>0.140999999999998</v>
      </c>
      <c r="J504" s="115" t="str">
        <f t="shared" si="202"/>
        <v>245/70R19.5-16PR-ECO-MILE RDW</v>
      </c>
      <c r="K504" s="193"/>
      <c r="L504" s="193"/>
      <c r="M504" s="193"/>
      <c r="N504" s="193"/>
      <c r="O504" s="193"/>
      <c r="P504" s="193"/>
      <c r="Q504" s="193"/>
      <c r="R504" s="193"/>
      <c r="BB504" s="113" t="str">
        <f t="shared" si="199"/>
        <v/>
      </c>
    </row>
    <row r="505" spans="2:54">
      <c r="B505" s="148" t="s">
        <v>2022</v>
      </c>
      <c r="C505" s="124" t="s">
        <v>1074</v>
      </c>
      <c r="D505" s="120" t="s">
        <v>2009</v>
      </c>
      <c r="E505" s="120" t="s">
        <v>2037</v>
      </c>
      <c r="F505" s="133">
        <f t="shared" si="207"/>
        <v>38.911</v>
      </c>
      <c r="G505" s="133">
        <v>38.911</v>
      </c>
      <c r="H505" s="128">
        <v>38.77</v>
      </c>
      <c r="I505" s="144">
        <f t="shared" si="206"/>
        <v>0.140999999999998</v>
      </c>
      <c r="J505" s="115" t="str">
        <f t="shared" si="202"/>
        <v>245/70R19.5-16PR-NS785</v>
      </c>
      <c r="K505" s="193"/>
      <c r="L505" s="193"/>
      <c r="M505" s="193"/>
      <c r="N505" s="193"/>
      <c r="O505" s="193"/>
      <c r="P505" s="193"/>
      <c r="Q505" s="193"/>
      <c r="R505" s="193"/>
      <c r="BB505" s="113" t="str">
        <f t="shared" si="199"/>
        <v/>
      </c>
    </row>
    <row r="506" spans="2:54">
      <c r="B506" s="148" t="s">
        <v>2022</v>
      </c>
      <c r="C506" s="124" t="s">
        <v>1074</v>
      </c>
      <c r="D506" s="120" t="s">
        <v>2010</v>
      </c>
      <c r="E506" s="120" t="s">
        <v>2037</v>
      </c>
      <c r="F506" s="133">
        <f t="shared" si="207"/>
        <v>38.911</v>
      </c>
      <c r="G506" s="133">
        <v>38.911</v>
      </c>
      <c r="H506" s="128">
        <v>38.77</v>
      </c>
      <c r="I506" s="144">
        <f t="shared" si="206"/>
        <v>0.140999999999998</v>
      </c>
      <c r="J506" s="115" t="str">
        <f t="shared" si="202"/>
        <v>245/70R19.5-16PR-AW785</v>
      </c>
      <c r="K506" s="193"/>
      <c r="L506" s="193"/>
      <c r="M506" s="193"/>
      <c r="N506" s="193"/>
      <c r="O506" s="193"/>
      <c r="P506" s="193"/>
      <c r="Q506" s="193"/>
      <c r="R506" s="193"/>
      <c r="BB506" s="113" t="str">
        <f t="shared" si="199"/>
        <v/>
      </c>
    </row>
    <row r="507" spans="2:54">
      <c r="B507" s="148" t="s">
        <v>2022</v>
      </c>
      <c r="C507" s="124" t="s">
        <v>1074</v>
      </c>
      <c r="D507" s="120" t="s">
        <v>2011</v>
      </c>
      <c r="E507" s="120" t="s">
        <v>2037</v>
      </c>
      <c r="F507" s="133">
        <f t="shared" si="207"/>
        <v>38.911</v>
      </c>
      <c r="G507" s="133">
        <v>38.911</v>
      </c>
      <c r="H507" s="128">
        <v>38.77</v>
      </c>
      <c r="I507" s="144">
        <f t="shared" si="206"/>
        <v>0.140999999999998</v>
      </c>
      <c r="J507" s="115" t="str">
        <f t="shared" si="202"/>
        <v>245/70R19.5-16PR-M-TRAC RDW</v>
      </c>
      <c r="K507" s="193"/>
      <c r="L507" s="193"/>
      <c r="M507" s="193"/>
      <c r="N507" s="193"/>
      <c r="O507" s="193"/>
      <c r="P507" s="193"/>
      <c r="Q507" s="193"/>
      <c r="R507" s="193"/>
      <c r="BB507" s="113" t="str">
        <f t="shared" si="199"/>
        <v/>
      </c>
    </row>
    <row r="508" spans="2:54">
      <c r="B508" s="206"/>
      <c r="C508" s="207"/>
      <c r="D508" s="186"/>
      <c r="E508" s="123"/>
      <c r="F508" s="130"/>
      <c r="G508" s="130"/>
      <c r="H508" s="131"/>
      <c r="I508" s="145"/>
      <c r="J508" s="115" t="str">
        <f t="shared" si="202"/>
        <v/>
      </c>
      <c r="K508" s="193"/>
      <c r="L508" s="193"/>
      <c r="M508" s="193"/>
      <c r="N508" s="193"/>
      <c r="O508" s="193"/>
      <c r="P508" s="193"/>
      <c r="Q508" s="193"/>
      <c r="R508" s="193"/>
      <c r="BB508" s="113" t="str">
        <f t="shared" si="199"/>
        <v/>
      </c>
    </row>
    <row r="509" spans="2:54">
      <c r="B509" s="148" t="s">
        <v>2038</v>
      </c>
      <c r="C509" s="124" t="s">
        <v>958</v>
      </c>
      <c r="D509" s="120" t="s">
        <v>1857</v>
      </c>
      <c r="E509" s="120" t="s">
        <v>2039</v>
      </c>
      <c r="F509" s="133">
        <f>G509-2.08+2.98</f>
        <v>40.23</v>
      </c>
      <c r="G509" s="133">
        <v>39.33</v>
      </c>
      <c r="H509" s="128">
        <v>39.31</v>
      </c>
      <c r="I509" s="144">
        <f t="shared" ref="I509:I528" si="208">G509-H509</f>
        <v>0.019999999999996</v>
      </c>
      <c r="J509" s="115" t="str">
        <f t="shared" si="202"/>
        <v>245/75R22.5-14PR-H-RA</v>
      </c>
      <c r="K509" s="193"/>
      <c r="L509" s="193"/>
      <c r="M509" s="193"/>
      <c r="N509" s="193"/>
      <c r="O509" s="193"/>
      <c r="P509" s="193"/>
      <c r="Q509" s="193"/>
      <c r="R509" s="193"/>
      <c r="BB509" s="113" t="str">
        <f t="shared" si="199"/>
        <v/>
      </c>
    </row>
    <row r="510" spans="2:54">
      <c r="B510" s="206"/>
      <c r="C510" s="207"/>
      <c r="D510" s="186"/>
      <c r="E510" s="123"/>
      <c r="F510" s="130"/>
      <c r="G510" s="130"/>
      <c r="H510" s="131"/>
      <c r="I510" s="145"/>
      <c r="J510" s="115" t="str">
        <f t="shared" si="202"/>
        <v/>
      </c>
      <c r="K510" s="193"/>
      <c r="L510" s="193"/>
      <c r="M510" s="193"/>
      <c r="N510" s="193"/>
      <c r="O510" s="193"/>
      <c r="P510" s="193"/>
      <c r="Q510" s="193"/>
      <c r="R510" s="193"/>
      <c r="BB510" s="113" t="str">
        <f t="shared" si="199"/>
        <v/>
      </c>
    </row>
    <row r="511" spans="2:54">
      <c r="B511" s="119" t="s">
        <v>2040</v>
      </c>
      <c r="C511" s="209" t="s">
        <v>1074</v>
      </c>
      <c r="D511" s="120" t="s">
        <v>1461</v>
      </c>
      <c r="E511" s="124" t="s">
        <v>2041</v>
      </c>
      <c r="F511" s="133">
        <f t="shared" ref="F511:F526" si="209">G511-2.611+2.906</f>
        <v>41.79</v>
      </c>
      <c r="G511" s="133">
        <v>41.495</v>
      </c>
      <c r="H511" s="128">
        <v>41.4091</v>
      </c>
      <c r="I511" s="144">
        <f t="shared" si="208"/>
        <v>0.0858999999999952</v>
      </c>
      <c r="J511" s="115" t="str">
        <f t="shared" si="202"/>
        <v>255/70R22.5-16PR-CR976A</v>
      </c>
      <c r="K511" s="193"/>
      <c r="L511" s="193"/>
      <c r="M511" s="193"/>
      <c r="N511" s="193"/>
      <c r="O511" s="193"/>
      <c r="P511" s="193"/>
      <c r="Q511" s="193"/>
      <c r="R511" s="193"/>
      <c r="BB511" s="113" t="str">
        <f t="shared" si="199"/>
        <v/>
      </c>
    </row>
    <row r="512" spans="2:54">
      <c r="B512" s="119" t="s">
        <v>2040</v>
      </c>
      <c r="C512" s="209" t="s">
        <v>1074</v>
      </c>
      <c r="D512" s="120" t="s">
        <v>2042</v>
      </c>
      <c r="E512" s="124" t="s">
        <v>2041</v>
      </c>
      <c r="F512" s="133">
        <f t="shared" si="209"/>
        <v>41.79</v>
      </c>
      <c r="G512" s="133">
        <v>41.495</v>
      </c>
      <c r="H512" s="128">
        <v>41.4091</v>
      </c>
      <c r="I512" s="144">
        <f t="shared" si="208"/>
        <v>0.0858999999999952</v>
      </c>
      <c r="J512" s="115" t="str">
        <f t="shared" si="202"/>
        <v>255/70R22.5-16PR-RLINE-A2</v>
      </c>
      <c r="K512" s="193"/>
      <c r="L512" s="193"/>
      <c r="M512" s="193"/>
      <c r="N512" s="193"/>
      <c r="O512" s="193"/>
      <c r="P512" s="193"/>
      <c r="Q512" s="193"/>
      <c r="R512" s="193"/>
      <c r="BB512" s="113" t="str">
        <f t="shared" si="199"/>
        <v/>
      </c>
    </row>
    <row r="513" spans="2:54">
      <c r="B513" s="119" t="s">
        <v>2040</v>
      </c>
      <c r="C513" s="124" t="s">
        <v>1074</v>
      </c>
      <c r="D513" s="147" t="s">
        <v>1776</v>
      </c>
      <c r="E513" s="120" t="s">
        <v>2043</v>
      </c>
      <c r="F513" s="133">
        <f t="shared" si="209"/>
        <v>41.811</v>
      </c>
      <c r="G513" s="133">
        <v>41.516</v>
      </c>
      <c r="H513" s="128">
        <v>41.7773</v>
      </c>
      <c r="I513" s="144">
        <f t="shared" si="208"/>
        <v>-0.261299999999999</v>
      </c>
      <c r="J513" s="115" t="str">
        <f t="shared" si="202"/>
        <v>255/70R22.5-16PR-AZ599</v>
      </c>
      <c r="K513" s="193"/>
      <c r="L513" s="193"/>
      <c r="M513" s="193"/>
      <c r="N513" s="193"/>
      <c r="O513" s="193"/>
      <c r="P513" s="193"/>
      <c r="Q513" s="193"/>
      <c r="R513" s="193"/>
      <c r="BB513" s="113" t="str">
        <f t="shared" si="199"/>
        <v/>
      </c>
    </row>
    <row r="514" spans="2:54">
      <c r="B514" s="119" t="s">
        <v>2040</v>
      </c>
      <c r="C514" s="124" t="s">
        <v>1074</v>
      </c>
      <c r="D514" s="120" t="s">
        <v>1781</v>
      </c>
      <c r="E514" s="120" t="s">
        <v>2043</v>
      </c>
      <c r="F514" s="133">
        <f t="shared" si="209"/>
        <v>41.811</v>
      </c>
      <c r="G514" s="133">
        <v>41.516</v>
      </c>
      <c r="H514" s="128">
        <v>41.7773</v>
      </c>
      <c r="I514" s="144">
        <f t="shared" si="208"/>
        <v>-0.261299999999999</v>
      </c>
      <c r="J514" s="115" t="str">
        <f t="shared" si="202"/>
        <v>255/70R22.5-16PR-HF1 Plus</v>
      </c>
      <c r="K514" s="193"/>
      <c r="L514" s="193"/>
      <c r="M514" s="193"/>
      <c r="N514" s="193"/>
      <c r="O514" s="193"/>
      <c r="P514" s="193"/>
      <c r="Q514" s="193"/>
      <c r="R514" s="193"/>
      <c r="BB514" s="113" t="str">
        <f t="shared" si="199"/>
        <v/>
      </c>
    </row>
    <row r="515" spans="2:54">
      <c r="B515" s="119" t="s">
        <v>2040</v>
      </c>
      <c r="C515" s="124" t="s">
        <v>1074</v>
      </c>
      <c r="D515" s="120" t="s">
        <v>1559</v>
      </c>
      <c r="E515" s="120" t="s">
        <v>2043</v>
      </c>
      <c r="F515" s="133">
        <f t="shared" si="209"/>
        <v>41.811</v>
      </c>
      <c r="G515" s="133">
        <v>41.516</v>
      </c>
      <c r="H515" s="128">
        <v>41.7773</v>
      </c>
      <c r="I515" s="144">
        <f t="shared" si="208"/>
        <v>-0.261299999999999</v>
      </c>
      <c r="J515" s="115" t="str">
        <f t="shared" si="202"/>
        <v>255/70R22.5-16PR-AS678</v>
      </c>
      <c r="K515" s="193"/>
      <c r="L515" s="193"/>
      <c r="M515" s="193"/>
      <c r="N515" s="193"/>
      <c r="O515" s="193"/>
      <c r="P515" s="193"/>
      <c r="Q515" s="193"/>
      <c r="R515" s="193"/>
      <c r="BB515" s="113" t="str">
        <f t="shared" si="199"/>
        <v/>
      </c>
    </row>
    <row r="516" spans="2:54">
      <c r="B516" s="119" t="s">
        <v>2040</v>
      </c>
      <c r="C516" s="124" t="s">
        <v>1074</v>
      </c>
      <c r="D516" s="120" t="s">
        <v>1778</v>
      </c>
      <c r="E516" s="120" t="s">
        <v>2043</v>
      </c>
      <c r="F516" s="133">
        <f t="shared" si="209"/>
        <v>41.811</v>
      </c>
      <c r="G516" s="133">
        <v>41.516</v>
      </c>
      <c r="H516" s="128">
        <v>41.7773</v>
      </c>
      <c r="I516" s="144">
        <f t="shared" si="208"/>
        <v>-0.261299999999999</v>
      </c>
      <c r="J516" s="115" t="str">
        <f t="shared" si="202"/>
        <v>255/70R22.5-16PR-M-TRAC AP</v>
      </c>
      <c r="K516" s="193"/>
      <c r="L516" s="193"/>
      <c r="M516" s="193"/>
      <c r="N516" s="193"/>
      <c r="O516" s="193"/>
      <c r="P516" s="193"/>
      <c r="Q516" s="193"/>
      <c r="R516" s="193"/>
      <c r="BB516" s="113" t="str">
        <f t="shared" si="199"/>
        <v/>
      </c>
    </row>
    <row r="517" spans="2:54">
      <c r="B517" s="119" t="s">
        <v>2040</v>
      </c>
      <c r="C517" s="124" t="s">
        <v>1074</v>
      </c>
      <c r="D517" s="120" t="s">
        <v>1742</v>
      </c>
      <c r="E517" s="120" t="s">
        <v>2044</v>
      </c>
      <c r="F517" s="133">
        <f t="shared" si="209"/>
        <v>42.084</v>
      </c>
      <c r="G517" s="133">
        <v>41.789</v>
      </c>
      <c r="H517" s="128">
        <v>41.9658</v>
      </c>
      <c r="I517" s="144">
        <f t="shared" si="208"/>
        <v>-0.1768</v>
      </c>
      <c r="J517" s="115" t="str">
        <f t="shared" si="202"/>
        <v>255/70R22.5-16PR-I-19A</v>
      </c>
      <c r="K517" s="193"/>
      <c r="L517" s="193"/>
      <c r="M517" s="193"/>
      <c r="N517" s="193"/>
      <c r="O517" s="193"/>
      <c r="P517" s="193"/>
      <c r="Q517" s="193"/>
      <c r="R517" s="193"/>
      <c r="BB517" s="113" t="str">
        <f t="shared" ref="BB517:BB580" si="210">_xlfn.TEXTJOIN("-",TRUE,AU517,AW517)</f>
        <v/>
      </c>
    </row>
    <row r="518" spans="2:54">
      <c r="B518" s="119" t="s">
        <v>2040</v>
      </c>
      <c r="C518" s="124" t="s">
        <v>1074</v>
      </c>
      <c r="D518" s="120" t="s">
        <v>2045</v>
      </c>
      <c r="E518" s="125" t="s">
        <v>2046</v>
      </c>
      <c r="F518" s="133">
        <f t="shared" si="209"/>
        <v>43.3</v>
      </c>
      <c r="G518" s="133">
        <v>43.005</v>
      </c>
      <c r="H518" s="128">
        <v>43.09</v>
      </c>
      <c r="I518" s="144">
        <f t="shared" si="208"/>
        <v>-0.0850000000000009</v>
      </c>
      <c r="J518" s="115" t="str">
        <f t="shared" si="202"/>
        <v>255/70R22.5-16PR-AT557</v>
      </c>
      <c r="K518" s="193"/>
      <c r="L518" s="193"/>
      <c r="M518" s="193"/>
      <c r="N518" s="193"/>
      <c r="O518" s="193"/>
      <c r="P518" s="193"/>
      <c r="Q518" s="193"/>
      <c r="R518" s="193"/>
      <c r="BB518" s="113" t="str">
        <f t="shared" si="210"/>
        <v/>
      </c>
    </row>
    <row r="519" spans="2:54">
      <c r="B519" s="119" t="s">
        <v>2040</v>
      </c>
      <c r="C519" s="124" t="s">
        <v>1074</v>
      </c>
      <c r="D519" s="120" t="s">
        <v>1802</v>
      </c>
      <c r="E519" s="125" t="s">
        <v>2046</v>
      </c>
      <c r="F519" s="133">
        <f t="shared" si="209"/>
        <v>43.3</v>
      </c>
      <c r="G519" s="133">
        <v>43.005</v>
      </c>
      <c r="H519" s="128">
        <v>43.09</v>
      </c>
      <c r="I519" s="144">
        <f t="shared" si="208"/>
        <v>-0.0850000000000009</v>
      </c>
      <c r="J519" s="115" t="str">
        <f t="shared" si="202"/>
        <v>255/70R22.5-16PR-AZ579</v>
      </c>
      <c r="K519" s="193"/>
      <c r="L519" s="193"/>
      <c r="M519" s="193"/>
      <c r="N519" s="193"/>
      <c r="O519" s="193"/>
      <c r="P519" s="193"/>
      <c r="Q519" s="193"/>
      <c r="R519" s="193"/>
      <c r="BB519" s="113" t="str">
        <f t="shared" si="210"/>
        <v/>
      </c>
    </row>
    <row r="520" spans="2:54">
      <c r="B520" s="119" t="s">
        <v>2040</v>
      </c>
      <c r="C520" s="124" t="s">
        <v>1074</v>
      </c>
      <c r="D520" s="120" t="s">
        <v>2047</v>
      </c>
      <c r="E520" s="125" t="s">
        <v>2046</v>
      </c>
      <c r="F520" s="133">
        <f t="shared" si="209"/>
        <v>43.3</v>
      </c>
      <c r="G520" s="133">
        <v>43.005</v>
      </c>
      <c r="H520" s="128">
        <v>43.09</v>
      </c>
      <c r="I520" s="144">
        <f t="shared" si="208"/>
        <v>-0.0850000000000009</v>
      </c>
      <c r="J520" s="115" t="str">
        <f t="shared" si="202"/>
        <v>255/70R22.5-16PR-RLINE-M2</v>
      </c>
      <c r="K520" s="193"/>
      <c r="L520" s="193"/>
      <c r="M520" s="193"/>
      <c r="N520" s="193"/>
      <c r="O520" s="193"/>
      <c r="P520" s="193"/>
      <c r="Q520" s="193"/>
      <c r="R520" s="193"/>
      <c r="BB520" s="113" t="str">
        <f t="shared" si="210"/>
        <v/>
      </c>
    </row>
    <row r="521" spans="2:54">
      <c r="B521" s="119" t="s">
        <v>2040</v>
      </c>
      <c r="C521" s="124" t="s">
        <v>1074</v>
      </c>
      <c r="D521" s="120" t="s">
        <v>2048</v>
      </c>
      <c r="E521" s="125" t="s">
        <v>2046</v>
      </c>
      <c r="F521" s="133">
        <f t="shared" si="209"/>
        <v>43.3</v>
      </c>
      <c r="G521" s="133">
        <v>43.005</v>
      </c>
      <c r="H521" s="128">
        <v>43.09</v>
      </c>
      <c r="I521" s="144">
        <f t="shared" si="208"/>
        <v>-0.0850000000000009</v>
      </c>
      <c r="J521" s="115" t="str">
        <f t="shared" si="202"/>
        <v>255/70R22.5-16PR-AZM42</v>
      </c>
      <c r="K521" s="193"/>
      <c r="L521" s="193"/>
      <c r="M521" s="193"/>
      <c r="N521" s="193"/>
      <c r="O521" s="193"/>
      <c r="P521" s="193"/>
      <c r="Q521" s="193"/>
      <c r="R521" s="193"/>
      <c r="BB521" s="113" t="str">
        <f t="shared" si="210"/>
        <v/>
      </c>
    </row>
    <row r="522" spans="2:54">
      <c r="B522" s="119" t="s">
        <v>2040</v>
      </c>
      <c r="C522" s="124" t="s">
        <v>1074</v>
      </c>
      <c r="D522" s="120" t="s">
        <v>1772</v>
      </c>
      <c r="E522" s="120" t="s">
        <v>2049</v>
      </c>
      <c r="F522" s="133">
        <f t="shared" si="209"/>
        <v>42.158</v>
      </c>
      <c r="G522" s="133">
        <v>41.863</v>
      </c>
      <c r="H522" s="128">
        <v>41.8302</v>
      </c>
      <c r="I522" s="144">
        <f t="shared" si="208"/>
        <v>0.0328000000000017</v>
      </c>
      <c r="J522" s="115" t="str">
        <f t="shared" si="202"/>
        <v>255/70R22.5-16PR-AZ692</v>
      </c>
      <c r="K522" s="193"/>
      <c r="L522" s="193"/>
      <c r="M522" s="193"/>
      <c r="N522" s="193"/>
      <c r="O522" s="193"/>
      <c r="P522" s="193"/>
      <c r="Q522" s="193"/>
      <c r="R522" s="193"/>
      <c r="BB522" s="113" t="str">
        <f t="shared" si="210"/>
        <v/>
      </c>
    </row>
    <row r="523" spans="2:54">
      <c r="B523" s="119" t="s">
        <v>2040</v>
      </c>
      <c r="C523" s="124" t="s">
        <v>1074</v>
      </c>
      <c r="D523" s="120" t="s">
        <v>1851</v>
      </c>
      <c r="E523" s="120" t="s">
        <v>2050</v>
      </c>
      <c r="F523" s="133">
        <f t="shared" si="209"/>
        <v>42.8</v>
      </c>
      <c r="G523" s="133">
        <v>42.505</v>
      </c>
      <c r="H523" s="128">
        <v>42.4714</v>
      </c>
      <c r="I523" s="144">
        <f t="shared" si="208"/>
        <v>0.0335999999999999</v>
      </c>
      <c r="J523" s="115" t="str">
        <f t="shared" si="202"/>
        <v>255/70R22.5-16PR-CR926D</v>
      </c>
      <c r="K523" s="193"/>
      <c r="L523" s="193"/>
      <c r="M523" s="193"/>
      <c r="N523" s="193"/>
      <c r="O523" s="193"/>
      <c r="P523" s="193"/>
      <c r="Q523" s="193"/>
      <c r="R523" s="193"/>
      <c r="BB523" s="113" t="str">
        <f t="shared" si="210"/>
        <v/>
      </c>
    </row>
    <row r="524" spans="2:54">
      <c r="B524" s="119" t="s">
        <v>2040</v>
      </c>
      <c r="C524" s="124" t="s">
        <v>1074</v>
      </c>
      <c r="D524" s="120" t="s">
        <v>1857</v>
      </c>
      <c r="E524" s="120" t="s">
        <v>2051</v>
      </c>
      <c r="F524" s="133">
        <f t="shared" si="209"/>
        <v>41.673</v>
      </c>
      <c r="G524" s="133">
        <v>41.378</v>
      </c>
      <c r="H524" s="128">
        <v>41.3766</v>
      </c>
      <c r="I524" s="144">
        <f t="shared" si="208"/>
        <v>0.00139999999999674</v>
      </c>
      <c r="J524" s="115" t="str">
        <f t="shared" ref="J524:J587" si="211">_xlfn.TEXTJOIN("-",TRUE,B524,C524,D524)</f>
        <v>255/70R22.5-16PR-H-RA</v>
      </c>
      <c r="K524" s="193"/>
      <c r="L524" s="193"/>
      <c r="M524" s="193"/>
      <c r="N524" s="193"/>
      <c r="O524" s="193"/>
      <c r="P524" s="193"/>
      <c r="Q524" s="193"/>
      <c r="R524" s="193"/>
      <c r="BB524" s="113" t="str">
        <f t="shared" si="210"/>
        <v/>
      </c>
    </row>
    <row r="525" spans="2:54">
      <c r="B525" s="119" t="s">
        <v>2040</v>
      </c>
      <c r="C525" s="124" t="s">
        <v>1074</v>
      </c>
      <c r="D525" s="120" t="s">
        <v>1711</v>
      </c>
      <c r="E525" s="120" t="s">
        <v>2052</v>
      </c>
      <c r="F525" s="133">
        <f t="shared" si="209"/>
        <v>44.527</v>
      </c>
      <c r="G525" s="133">
        <v>44.232</v>
      </c>
      <c r="H525" s="128">
        <v>43.865</v>
      </c>
      <c r="I525" s="144">
        <f t="shared" si="208"/>
        <v>0.366999999999997</v>
      </c>
      <c r="J525" s="115" t="str">
        <f t="shared" si="211"/>
        <v>255/70R22.5-16PR-W-Elite DA23</v>
      </c>
      <c r="K525" s="193"/>
      <c r="L525" s="193"/>
      <c r="M525" s="193"/>
      <c r="N525" s="193"/>
      <c r="O525" s="193"/>
      <c r="P525" s="193"/>
      <c r="Q525" s="193"/>
      <c r="R525" s="193"/>
      <c r="BB525" s="113" t="str">
        <f t="shared" si="210"/>
        <v/>
      </c>
    </row>
    <row r="526" spans="2:54">
      <c r="B526" s="119" t="s">
        <v>2040</v>
      </c>
      <c r="C526" s="124" t="s">
        <v>1074</v>
      </c>
      <c r="D526" s="120" t="s">
        <v>2053</v>
      </c>
      <c r="E526" s="120" t="s">
        <v>2054</v>
      </c>
      <c r="F526" s="133">
        <f t="shared" si="209"/>
        <v>42.246</v>
      </c>
      <c r="G526" s="133">
        <v>41.951</v>
      </c>
      <c r="H526" s="128">
        <v>41.9175</v>
      </c>
      <c r="I526" s="144">
        <f t="shared" si="208"/>
        <v>0.0335000000000036</v>
      </c>
      <c r="J526" s="115" t="str">
        <f t="shared" si="211"/>
        <v>255/70R22.5-16PR-W-Elite ZA12</v>
      </c>
      <c r="K526" s="193"/>
      <c r="L526" s="193"/>
      <c r="M526" s="193"/>
      <c r="N526" s="193"/>
      <c r="O526" s="193"/>
      <c r="P526" s="193"/>
      <c r="Q526" s="193"/>
      <c r="R526" s="193"/>
      <c r="BB526" s="113" t="str">
        <f t="shared" si="210"/>
        <v/>
      </c>
    </row>
    <row r="527" spans="2:54">
      <c r="B527" s="119" t="s">
        <v>2040</v>
      </c>
      <c r="C527" s="124" t="s">
        <v>1074</v>
      </c>
      <c r="D527" s="120" t="s">
        <v>1724</v>
      </c>
      <c r="E527" s="120" t="s">
        <v>2055</v>
      </c>
      <c r="F527" s="133">
        <f>G527-2.46+2.91</f>
        <v>41.999</v>
      </c>
      <c r="G527" s="133">
        <v>41.549</v>
      </c>
      <c r="H527" s="128">
        <v>41.48</v>
      </c>
      <c r="I527" s="144">
        <f t="shared" si="208"/>
        <v>0.0690000000000026</v>
      </c>
      <c r="J527" s="115" t="str">
        <f t="shared" si="211"/>
        <v>255/70R22.5-16PR-VA996</v>
      </c>
      <c r="K527" s="193"/>
      <c r="L527" s="193"/>
      <c r="M527" s="193"/>
      <c r="N527" s="193"/>
      <c r="O527" s="193"/>
      <c r="P527" s="193"/>
      <c r="Q527" s="193"/>
      <c r="R527" s="193"/>
      <c r="BB527" s="113" t="str">
        <f t="shared" si="210"/>
        <v/>
      </c>
    </row>
    <row r="528" spans="2:54">
      <c r="B528" s="119" t="s">
        <v>2040</v>
      </c>
      <c r="C528" s="124" t="s">
        <v>1074</v>
      </c>
      <c r="D528" s="120" t="s">
        <v>1837</v>
      </c>
      <c r="E528" s="120" t="s">
        <v>2056</v>
      </c>
      <c r="F528" s="133">
        <f>G528-2.61+2.91</f>
        <v>42.593</v>
      </c>
      <c r="G528" s="133">
        <v>42.293</v>
      </c>
      <c r="H528" s="128">
        <v>42.26</v>
      </c>
      <c r="I528" s="144">
        <f t="shared" si="208"/>
        <v>0.0330000000000013</v>
      </c>
      <c r="J528" s="115" t="str">
        <f t="shared" si="211"/>
        <v>255/70R22.5-16PR-STEALTH S01</v>
      </c>
      <c r="K528" s="193"/>
      <c r="L528" s="193"/>
      <c r="M528" s="193"/>
      <c r="N528" s="193"/>
      <c r="O528" s="193"/>
      <c r="P528" s="193"/>
      <c r="Q528" s="193"/>
      <c r="R528" s="193"/>
      <c r="BB528" s="113" t="str">
        <f t="shared" si="210"/>
        <v/>
      </c>
    </row>
    <row r="529" spans="2:54">
      <c r="B529" s="122"/>
      <c r="C529" s="123"/>
      <c r="D529" s="123"/>
      <c r="E529" s="123"/>
      <c r="F529" s="130"/>
      <c r="G529" s="130"/>
      <c r="H529" s="139"/>
      <c r="I529" s="151"/>
      <c r="J529" s="115" t="str">
        <f t="shared" si="211"/>
        <v/>
      </c>
      <c r="K529" s="193"/>
      <c r="L529" s="193"/>
      <c r="M529" s="193"/>
      <c r="N529" s="193"/>
      <c r="O529" s="193"/>
      <c r="P529" s="193"/>
      <c r="Q529" s="193"/>
      <c r="R529" s="193"/>
      <c r="BB529" s="113" t="str">
        <f t="shared" si="210"/>
        <v/>
      </c>
    </row>
    <row r="530" spans="2:54">
      <c r="B530" s="119" t="s">
        <v>2057</v>
      </c>
      <c r="C530" s="120" t="s">
        <v>1092</v>
      </c>
      <c r="D530" s="120" t="s">
        <v>1990</v>
      </c>
      <c r="E530" s="120" t="s">
        <v>2058</v>
      </c>
      <c r="F530" s="133">
        <f t="shared" ref="F530:F533" si="212">G530-2.277+2.277</f>
        <v>40.603</v>
      </c>
      <c r="G530" s="133">
        <v>40.603</v>
      </c>
      <c r="H530" s="133">
        <v>40.5898</v>
      </c>
      <c r="I530" s="144">
        <f t="shared" ref="I530:I536" si="213">G530-H530</f>
        <v>0.0132000000000048</v>
      </c>
      <c r="J530" s="115" t="str">
        <f t="shared" si="211"/>
        <v>265/70R19.5-18PR-DA24</v>
      </c>
      <c r="K530" s="193"/>
      <c r="L530" s="193"/>
      <c r="M530" s="193"/>
      <c r="N530" s="193"/>
      <c r="O530" s="193"/>
      <c r="P530" s="193"/>
      <c r="Q530" s="193"/>
      <c r="R530" s="193"/>
      <c r="BB530" s="113" t="str">
        <f t="shared" si="210"/>
        <v/>
      </c>
    </row>
    <row r="531" spans="2:54">
      <c r="B531" s="119" t="s">
        <v>2057</v>
      </c>
      <c r="C531" s="120" t="s">
        <v>1092</v>
      </c>
      <c r="D531" s="120" t="s">
        <v>1979</v>
      </c>
      <c r="E531" s="125" t="s">
        <v>2059</v>
      </c>
      <c r="F531" s="133">
        <f t="shared" si="212"/>
        <v>39.536</v>
      </c>
      <c r="G531" s="133">
        <v>39.536</v>
      </c>
      <c r="H531" s="133">
        <v>39.5225</v>
      </c>
      <c r="I531" s="144">
        <f t="shared" si="213"/>
        <v>0.0135000000000005</v>
      </c>
      <c r="J531" s="115" t="str">
        <f t="shared" si="211"/>
        <v>265/70R19.5-18PR-ZA15</v>
      </c>
      <c r="K531" s="193"/>
      <c r="L531" s="193"/>
      <c r="M531" s="193"/>
      <c r="N531" s="193"/>
      <c r="O531" s="193"/>
      <c r="P531" s="193"/>
      <c r="Q531" s="193"/>
      <c r="R531" s="193"/>
      <c r="BB531" s="113" t="str">
        <f t="shared" si="210"/>
        <v/>
      </c>
    </row>
    <row r="532" spans="2:54">
      <c r="B532" s="119" t="s">
        <v>2057</v>
      </c>
      <c r="C532" s="120" t="s">
        <v>1092</v>
      </c>
      <c r="D532" s="120" t="s">
        <v>1977</v>
      </c>
      <c r="E532" s="125" t="s">
        <v>2059</v>
      </c>
      <c r="F532" s="133">
        <f t="shared" si="212"/>
        <v>39.536</v>
      </c>
      <c r="G532" s="133">
        <v>39.536</v>
      </c>
      <c r="H532" s="133">
        <v>39.5225</v>
      </c>
      <c r="I532" s="144">
        <f t="shared" si="213"/>
        <v>0.0135000000000005</v>
      </c>
      <c r="J532" s="115" t="str">
        <f t="shared" si="211"/>
        <v>265/70R19.5-18PR-VA933</v>
      </c>
      <c r="K532" s="193"/>
      <c r="L532" s="193"/>
      <c r="M532" s="193"/>
      <c r="N532" s="193"/>
      <c r="O532" s="193"/>
      <c r="P532" s="193"/>
      <c r="Q532" s="193"/>
      <c r="R532" s="193"/>
      <c r="BB532" s="113" t="str">
        <f t="shared" si="210"/>
        <v/>
      </c>
    </row>
    <row r="533" spans="2:54">
      <c r="B533" s="119" t="s">
        <v>2057</v>
      </c>
      <c r="C533" s="120" t="s">
        <v>1092</v>
      </c>
      <c r="D533" s="120" t="s">
        <v>2031</v>
      </c>
      <c r="E533" s="120" t="s">
        <v>2060</v>
      </c>
      <c r="F533" s="133">
        <f t="shared" si="212"/>
        <v>40.404</v>
      </c>
      <c r="G533" s="133">
        <v>40.404</v>
      </c>
      <c r="H533" s="133">
        <v>40.4</v>
      </c>
      <c r="I533" s="144">
        <f t="shared" si="213"/>
        <v>0.00400000000000489</v>
      </c>
      <c r="J533" s="115" t="str">
        <f t="shared" si="211"/>
        <v>265/70R19.5-18PR-AT530</v>
      </c>
      <c r="K533" s="193"/>
      <c r="L533" s="193"/>
      <c r="M533" s="193"/>
      <c r="N533" s="193"/>
      <c r="O533" s="193"/>
      <c r="P533" s="193"/>
      <c r="Q533" s="193"/>
      <c r="R533" s="193"/>
      <c r="BB533" s="113" t="str">
        <f t="shared" si="210"/>
        <v/>
      </c>
    </row>
    <row r="534" spans="2:54">
      <c r="B534" s="119" t="s">
        <v>2057</v>
      </c>
      <c r="C534" s="120" t="s">
        <v>1092</v>
      </c>
      <c r="D534" s="120" t="s">
        <v>1776</v>
      </c>
      <c r="E534" s="120" t="s">
        <v>2061</v>
      </c>
      <c r="F534" s="133">
        <f t="shared" ref="F534:F536" si="214">G534-2.26+2.26</f>
        <v>38.639</v>
      </c>
      <c r="G534" s="133">
        <v>38.639</v>
      </c>
      <c r="H534" s="133">
        <v>38.5855</v>
      </c>
      <c r="I534" s="144">
        <f t="shared" si="213"/>
        <v>0.0534999999999997</v>
      </c>
      <c r="J534" s="115" t="str">
        <f t="shared" si="211"/>
        <v>265/70R19.5-18PR-AZ599</v>
      </c>
      <c r="K534" s="193"/>
      <c r="L534" s="193"/>
      <c r="M534" s="193"/>
      <c r="N534" s="193"/>
      <c r="O534" s="193"/>
      <c r="P534" s="193"/>
      <c r="Q534" s="193"/>
      <c r="R534" s="193"/>
      <c r="BB534" s="113" t="str">
        <f t="shared" si="210"/>
        <v/>
      </c>
    </row>
    <row r="535" spans="2:54">
      <c r="B535" s="119" t="s">
        <v>2057</v>
      </c>
      <c r="C535" s="120" t="s">
        <v>1074</v>
      </c>
      <c r="D535" s="120" t="s">
        <v>1823</v>
      </c>
      <c r="E535" s="120" t="s">
        <v>2062</v>
      </c>
      <c r="F535" s="133">
        <f t="shared" si="214"/>
        <v>37.878</v>
      </c>
      <c r="G535" s="133">
        <v>37.878</v>
      </c>
      <c r="H535" s="133">
        <v>37.9206</v>
      </c>
      <c r="I535" s="144">
        <f t="shared" si="213"/>
        <v>-0.0426000000000002</v>
      </c>
      <c r="J535" s="115" t="str">
        <f t="shared" si="211"/>
        <v>265/70R19.5-16PR-AS673</v>
      </c>
      <c r="K535" s="193"/>
      <c r="L535" s="193"/>
      <c r="M535" s="193"/>
      <c r="N535" s="193"/>
      <c r="O535" s="193"/>
      <c r="P535" s="193"/>
      <c r="Q535" s="193"/>
      <c r="R535" s="193"/>
      <c r="BB535" s="113" t="str">
        <f t="shared" si="210"/>
        <v/>
      </c>
    </row>
    <row r="536" spans="2:54">
      <c r="B536" s="119" t="s">
        <v>2057</v>
      </c>
      <c r="C536" s="120" t="s">
        <v>1092</v>
      </c>
      <c r="D536" s="120" t="s">
        <v>1742</v>
      </c>
      <c r="E536" s="120" t="s">
        <v>2063</v>
      </c>
      <c r="F536" s="133">
        <f t="shared" si="214"/>
        <v>38.689</v>
      </c>
      <c r="G536" s="133">
        <v>38.689</v>
      </c>
      <c r="H536" s="133">
        <v>38.6496</v>
      </c>
      <c r="I536" s="144">
        <f t="shared" si="213"/>
        <v>0.0394000000000005</v>
      </c>
      <c r="J536" s="115" t="str">
        <f t="shared" si="211"/>
        <v>265/70R19.5-18PR-I-19A</v>
      </c>
      <c r="K536" s="193"/>
      <c r="L536" s="193"/>
      <c r="M536" s="193"/>
      <c r="N536" s="193"/>
      <c r="O536" s="193"/>
      <c r="P536" s="193"/>
      <c r="Q536" s="193"/>
      <c r="R536" s="193"/>
      <c r="BB536" s="113" t="str">
        <f t="shared" si="210"/>
        <v/>
      </c>
    </row>
    <row r="537" spans="2:54">
      <c r="B537" s="122"/>
      <c r="C537" s="123"/>
      <c r="D537" s="123"/>
      <c r="E537" s="123"/>
      <c r="F537" s="130"/>
      <c r="G537" s="130"/>
      <c r="H537" s="130"/>
      <c r="I537" s="145"/>
      <c r="J537" s="115" t="str">
        <f t="shared" si="211"/>
        <v/>
      </c>
      <c r="K537" s="193"/>
      <c r="L537" s="193"/>
      <c r="M537" s="193"/>
      <c r="N537" s="193"/>
      <c r="O537" s="193"/>
      <c r="P537" s="193"/>
      <c r="Q537" s="193"/>
      <c r="R537" s="210"/>
      <c r="BB537" s="113" t="str">
        <f t="shared" si="210"/>
        <v/>
      </c>
    </row>
    <row r="538" spans="2:54">
      <c r="B538" s="119" t="s">
        <v>2064</v>
      </c>
      <c r="C538" s="120" t="s">
        <v>1074</v>
      </c>
      <c r="D538" s="120" t="s">
        <v>1772</v>
      </c>
      <c r="E538" s="120" t="s">
        <v>2065</v>
      </c>
      <c r="F538" s="133">
        <f t="shared" ref="F538:F540" si="215">G538-2.252+2.717</f>
        <v>49.215</v>
      </c>
      <c r="G538" s="133">
        <v>48.75</v>
      </c>
      <c r="H538" s="133">
        <v>48.7272</v>
      </c>
      <c r="I538" s="144">
        <f t="shared" ref="I538:I545" si="216">G538-H538</f>
        <v>0.0227999999999966</v>
      </c>
      <c r="J538" s="115" t="str">
        <f t="shared" si="211"/>
        <v>275/70R22.5-16PR-AZ692</v>
      </c>
      <c r="K538" s="193"/>
      <c r="L538" s="193"/>
      <c r="M538" s="193"/>
      <c r="N538" s="193"/>
      <c r="O538" s="193"/>
      <c r="P538" s="193"/>
      <c r="Q538" s="193"/>
      <c r="R538" s="210"/>
      <c r="BB538" s="113" t="str">
        <f t="shared" si="210"/>
        <v/>
      </c>
    </row>
    <row r="539" spans="2:54">
      <c r="B539" s="119" t="s">
        <v>2064</v>
      </c>
      <c r="C539" s="120" t="s">
        <v>1074</v>
      </c>
      <c r="D539" s="120" t="s">
        <v>1823</v>
      </c>
      <c r="E539" s="120" t="s">
        <v>2066</v>
      </c>
      <c r="F539" s="133">
        <f t="shared" si="215"/>
        <v>48.421</v>
      </c>
      <c r="G539" s="133">
        <v>47.956</v>
      </c>
      <c r="H539" s="133">
        <v>47.9545</v>
      </c>
      <c r="I539" s="144">
        <f t="shared" si="216"/>
        <v>0.00150000000000006</v>
      </c>
      <c r="J539" s="115" t="str">
        <f t="shared" si="211"/>
        <v>275/70R22.5-16PR-AS673</v>
      </c>
      <c r="K539" s="193"/>
      <c r="L539" s="193"/>
      <c r="M539" s="193"/>
      <c r="N539" s="193"/>
      <c r="O539" s="193"/>
      <c r="P539" s="193"/>
      <c r="Q539" s="193"/>
      <c r="R539" s="210"/>
      <c r="BB539" s="113" t="str">
        <f t="shared" si="210"/>
        <v/>
      </c>
    </row>
    <row r="540" spans="2:54">
      <c r="B540" s="119" t="s">
        <v>2064</v>
      </c>
      <c r="C540" s="120" t="s">
        <v>1074</v>
      </c>
      <c r="D540" s="120" t="s">
        <v>2045</v>
      </c>
      <c r="E540" s="120" t="s">
        <v>2067</v>
      </c>
      <c r="F540" s="133">
        <f t="shared" si="215"/>
        <v>51.581</v>
      </c>
      <c r="G540" s="133">
        <v>51.116</v>
      </c>
      <c r="H540" s="133">
        <v>51.1334</v>
      </c>
      <c r="I540" s="144">
        <f t="shared" si="216"/>
        <v>-0.0174000000000021</v>
      </c>
      <c r="J540" s="115" t="str">
        <f t="shared" si="211"/>
        <v>275/70R22.5-16PR-AT557</v>
      </c>
      <c r="K540" s="193"/>
      <c r="L540" s="193"/>
      <c r="M540" s="193"/>
      <c r="N540" s="193"/>
      <c r="O540" s="193"/>
      <c r="P540" s="193"/>
      <c r="Q540" s="193"/>
      <c r="R540" s="210"/>
      <c r="BB540" s="113" t="str">
        <f t="shared" si="210"/>
        <v/>
      </c>
    </row>
    <row r="541" spans="2:54">
      <c r="B541" s="119" t="s">
        <v>2064</v>
      </c>
      <c r="C541" s="120" t="s">
        <v>1074</v>
      </c>
      <c r="D541" s="120" t="s">
        <v>1776</v>
      </c>
      <c r="E541" s="125" t="s">
        <v>2068</v>
      </c>
      <c r="F541" s="133">
        <f t="shared" ref="F541:F543" si="217">G541-2.245+2.714</f>
        <v>47.51</v>
      </c>
      <c r="G541" s="133">
        <v>47.041</v>
      </c>
      <c r="H541" s="133">
        <v>47.52</v>
      </c>
      <c r="I541" s="144">
        <f t="shared" si="216"/>
        <v>-0.479000000000006</v>
      </c>
      <c r="J541" s="115" t="str">
        <f t="shared" si="211"/>
        <v>275/70R22.5-16PR-AZ599</v>
      </c>
      <c r="K541" s="193"/>
      <c r="L541" s="193"/>
      <c r="M541" s="193"/>
      <c r="N541" s="193"/>
      <c r="O541" s="193"/>
      <c r="P541" s="193"/>
      <c r="Q541" s="193"/>
      <c r="R541" s="210"/>
      <c r="BB541" s="113" t="str">
        <f t="shared" si="210"/>
        <v/>
      </c>
    </row>
    <row r="542" spans="2:54">
      <c r="B542" s="119" t="s">
        <v>2064</v>
      </c>
      <c r="C542" s="120" t="s">
        <v>1074</v>
      </c>
      <c r="D542" s="120" t="s">
        <v>1781</v>
      </c>
      <c r="E542" s="125" t="s">
        <v>2068</v>
      </c>
      <c r="F542" s="133">
        <f t="shared" si="217"/>
        <v>47.51</v>
      </c>
      <c r="G542" s="133">
        <v>47.041</v>
      </c>
      <c r="H542" s="133">
        <v>47.52</v>
      </c>
      <c r="I542" s="144">
        <f t="shared" si="216"/>
        <v>-0.479000000000006</v>
      </c>
      <c r="J542" s="115" t="str">
        <f t="shared" si="211"/>
        <v>275/70R22.5-16PR-HF1 Plus</v>
      </c>
      <c r="K542" s="193"/>
      <c r="L542" s="193"/>
      <c r="M542" s="193"/>
      <c r="N542" s="193"/>
      <c r="O542" s="193"/>
      <c r="P542" s="193"/>
      <c r="Q542" s="193"/>
      <c r="R542" s="210"/>
      <c r="BB542" s="113" t="str">
        <f t="shared" si="210"/>
        <v/>
      </c>
    </row>
    <row r="543" spans="2:54">
      <c r="B543" s="119" t="s">
        <v>2064</v>
      </c>
      <c r="C543" s="120" t="s">
        <v>1092</v>
      </c>
      <c r="D543" s="120" t="s">
        <v>1742</v>
      </c>
      <c r="E543" s="125" t="s">
        <v>2069</v>
      </c>
      <c r="F543" s="133">
        <f t="shared" si="217"/>
        <v>49.399</v>
      </c>
      <c r="G543" s="133">
        <v>48.93</v>
      </c>
      <c r="H543" s="133">
        <v>49.34</v>
      </c>
      <c r="I543" s="144">
        <f t="shared" si="216"/>
        <v>-0.410000000000004</v>
      </c>
      <c r="J543" s="115" t="str">
        <f t="shared" si="211"/>
        <v>275/70R22.5-18PR-I-19A</v>
      </c>
      <c r="K543" s="193"/>
      <c r="L543" s="193"/>
      <c r="M543" s="193"/>
      <c r="N543" s="193"/>
      <c r="O543" s="193"/>
      <c r="P543" s="193"/>
      <c r="Q543" s="193"/>
      <c r="R543" s="210"/>
      <c r="BB543" s="113" t="str">
        <f t="shared" si="210"/>
        <v/>
      </c>
    </row>
    <row r="544" spans="2:54">
      <c r="B544" s="119" t="s">
        <v>2064</v>
      </c>
      <c r="C544" s="120" t="s">
        <v>1074</v>
      </c>
      <c r="D544" s="120" t="s">
        <v>1857</v>
      </c>
      <c r="E544" s="125" t="s">
        <v>2070</v>
      </c>
      <c r="F544" s="133">
        <f>G544-2.25+2.72</f>
        <v>47.935</v>
      </c>
      <c r="G544" s="133">
        <v>47.465</v>
      </c>
      <c r="H544" s="133">
        <v>47.89</v>
      </c>
      <c r="I544" s="144">
        <f t="shared" si="216"/>
        <v>-0.424999999999997</v>
      </c>
      <c r="J544" s="115" t="str">
        <f t="shared" si="211"/>
        <v>275/70R22.5-16PR-H-RA</v>
      </c>
      <c r="K544" s="193"/>
      <c r="L544" s="193"/>
      <c r="M544" s="193"/>
      <c r="N544" s="193"/>
      <c r="O544" s="193"/>
      <c r="P544" s="193"/>
      <c r="Q544" s="193"/>
      <c r="R544" s="210"/>
      <c r="BB544" s="113" t="str">
        <f t="shared" si="210"/>
        <v/>
      </c>
    </row>
    <row r="545" spans="2:54">
      <c r="B545" s="120" t="s">
        <v>2064</v>
      </c>
      <c r="C545" s="120" t="s">
        <v>1074</v>
      </c>
      <c r="D545" s="120" t="s">
        <v>1737</v>
      </c>
      <c r="E545" s="120" t="s">
        <v>2071</v>
      </c>
      <c r="F545" s="133">
        <f>G545-2.25+2.72</f>
        <v>49.59</v>
      </c>
      <c r="G545" s="133">
        <v>49.12</v>
      </c>
      <c r="H545" s="133">
        <v>49.11</v>
      </c>
      <c r="I545" s="133">
        <f t="shared" si="216"/>
        <v>0.00999999999999801</v>
      </c>
      <c r="J545" s="115" t="str">
        <f t="shared" si="211"/>
        <v>275/70R22.5-16PR-ZA12</v>
      </c>
      <c r="K545" s="193"/>
      <c r="L545" s="193"/>
      <c r="M545" s="193"/>
      <c r="N545" s="193"/>
      <c r="O545" s="193"/>
      <c r="P545" s="193"/>
      <c r="Q545" s="193"/>
      <c r="R545" s="210"/>
      <c r="BB545" s="113" t="str">
        <f t="shared" si="210"/>
        <v/>
      </c>
    </row>
    <row r="546" spans="2:54">
      <c r="B546" s="122"/>
      <c r="C546" s="123"/>
      <c r="D546" s="123"/>
      <c r="E546" s="186"/>
      <c r="F546" s="130"/>
      <c r="G546" s="130"/>
      <c r="H546" s="130"/>
      <c r="I546" s="145"/>
      <c r="J546" s="115" t="str">
        <f t="shared" si="211"/>
        <v/>
      </c>
      <c r="K546" s="193"/>
      <c r="L546" s="193"/>
      <c r="M546" s="193"/>
      <c r="N546" s="193"/>
      <c r="O546" s="193"/>
      <c r="P546" s="193"/>
      <c r="Q546" s="193"/>
      <c r="R546" s="210"/>
      <c r="BB546" s="113" t="str">
        <f t="shared" si="210"/>
        <v/>
      </c>
    </row>
    <row r="547" spans="2:54">
      <c r="B547" s="119" t="s">
        <v>2072</v>
      </c>
      <c r="C547" s="120" t="s">
        <v>1074</v>
      </c>
      <c r="D547" s="121" t="s">
        <v>1461</v>
      </c>
      <c r="E547" s="120" t="s">
        <v>2073</v>
      </c>
      <c r="F547" s="127">
        <f t="shared" ref="F547:F550" si="218">G547-2.524+3.029</f>
        <v>50.822</v>
      </c>
      <c r="G547" s="133">
        <v>50.317</v>
      </c>
      <c r="H547" s="133">
        <v>51.0111</v>
      </c>
      <c r="I547" s="144">
        <f t="shared" ref="I547:I572" si="219">G547-H547</f>
        <v>-0.694099999999999</v>
      </c>
      <c r="J547" s="115" t="str">
        <f t="shared" si="211"/>
        <v>275/80R22.5-16PR-CR976A</v>
      </c>
      <c r="K547" s="193"/>
      <c r="L547" s="193"/>
      <c r="M547" s="193"/>
      <c r="N547" s="193"/>
      <c r="O547" s="193"/>
      <c r="P547" s="193"/>
      <c r="Q547" s="193"/>
      <c r="R547" s="210"/>
      <c r="BB547" s="113" t="str">
        <f t="shared" si="210"/>
        <v/>
      </c>
    </row>
    <row r="548" spans="2:54">
      <c r="B548" s="119" t="s">
        <v>2072</v>
      </c>
      <c r="C548" s="120" t="s">
        <v>1074</v>
      </c>
      <c r="D548" s="120" t="s">
        <v>2074</v>
      </c>
      <c r="E548" s="138" t="s">
        <v>2073</v>
      </c>
      <c r="F548" s="133">
        <f t="shared" si="218"/>
        <v>50.822</v>
      </c>
      <c r="G548" s="133">
        <v>50.317</v>
      </c>
      <c r="H548" s="133">
        <v>51.0111</v>
      </c>
      <c r="I548" s="144">
        <f t="shared" si="219"/>
        <v>-0.694099999999999</v>
      </c>
      <c r="J548" s="115" t="str">
        <f t="shared" si="211"/>
        <v>275/80R22.5-16PR-G-PERFORM S</v>
      </c>
      <c r="K548" s="193"/>
      <c r="L548" s="193"/>
      <c r="M548" s="193"/>
      <c r="N548" s="193"/>
      <c r="O548" s="193"/>
      <c r="P548" s="193"/>
      <c r="Q548" s="193"/>
      <c r="R548" s="210"/>
      <c r="BB548" s="113" t="str">
        <f t="shared" si="210"/>
        <v/>
      </c>
    </row>
    <row r="549" spans="2:54">
      <c r="B549" s="119" t="s">
        <v>2072</v>
      </c>
      <c r="C549" s="120" t="s">
        <v>1074</v>
      </c>
      <c r="D549" s="120" t="s">
        <v>2075</v>
      </c>
      <c r="E549" s="125" t="s">
        <v>2073</v>
      </c>
      <c r="F549" s="133">
        <f t="shared" si="218"/>
        <v>50.822</v>
      </c>
      <c r="G549" s="133">
        <v>50.317</v>
      </c>
      <c r="H549" s="133">
        <v>51.0111</v>
      </c>
      <c r="I549" s="144">
        <f t="shared" si="219"/>
        <v>-0.694099999999999</v>
      </c>
      <c r="J549" s="115" t="str">
        <f t="shared" si="211"/>
        <v>275/80R22.5-16PR-BRA04</v>
      </c>
      <c r="K549" s="193"/>
      <c r="L549" s="193"/>
      <c r="M549" s="193"/>
      <c r="N549" s="193"/>
      <c r="O549" s="193"/>
      <c r="P549" s="193"/>
      <c r="Q549" s="193"/>
      <c r="R549" s="210"/>
      <c r="BB549" s="113" t="str">
        <f t="shared" si="210"/>
        <v/>
      </c>
    </row>
    <row r="550" spans="2:54">
      <c r="B550" s="119" t="s">
        <v>2072</v>
      </c>
      <c r="C550" s="120" t="s">
        <v>1074</v>
      </c>
      <c r="D550" s="120" t="s">
        <v>2076</v>
      </c>
      <c r="E550" s="125" t="s">
        <v>2073</v>
      </c>
      <c r="F550" s="133">
        <f t="shared" si="218"/>
        <v>50.822</v>
      </c>
      <c r="G550" s="133">
        <v>50.317</v>
      </c>
      <c r="H550" s="133">
        <v>51.0111</v>
      </c>
      <c r="I550" s="144">
        <f t="shared" si="219"/>
        <v>-0.694099999999999</v>
      </c>
      <c r="J550" s="115" t="str">
        <f t="shared" si="211"/>
        <v>275/80R22.5-16PR-ECOLINE A-II</v>
      </c>
      <c r="K550" s="193"/>
      <c r="L550" s="193"/>
      <c r="M550" s="193"/>
      <c r="N550" s="193"/>
      <c r="O550" s="193"/>
      <c r="P550" s="193"/>
      <c r="Q550" s="193"/>
      <c r="R550" s="210"/>
      <c r="BB550" s="113" t="str">
        <f t="shared" si="210"/>
        <v/>
      </c>
    </row>
    <row r="551" spans="2:54">
      <c r="B551" s="119" t="s">
        <v>2072</v>
      </c>
      <c r="C551" s="120" t="s">
        <v>1074</v>
      </c>
      <c r="D551" s="120" t="s">
        <v>2077</v>
      </c>
      <c r="E551" s="125" t="s">
        <v>2078</v>
      </c>
      <c r="F551" s="133">
        <f t="shared" ref="F551:F556" si="220">G551-2.531+3.024</f>
        <v>55.597</v>
      </c>
      <c r="G551" s="133">
        <v>55.104</v>
      </c>
      <c r="H551" s="133">
        <v>55.6264</v>
      </c>
      <c r="I551" s="144">
        <f t="shared" si="219"/>
        <v>-0.522399999999998</v>
      </c>
      <c r="J551" s="115" t="str">
        <f t="shared" si="211"/>
        <v>275/80R22.5-16PR-EZ573</v>
      </c>
      <c r="K551" s="193"/>
      <c r="L551" s="193"/>
      <c r="M551" s="193"/>
      <c r="N551" s="193"/>
      <c r="O551" s="193"/>
      <c r="P551" s="193"/>
      <c r="Q551" s="193"/>
      <c r="R551" s="210"/>
      <c r="BB551" s="113" t="str">
        <f t="shared" si="210"/>
        <v/>
      </c>
    </row>
    <row r="552" spans="2:54">
      <c r="B552" s="119" t="s">
        <v>2072</v>
      </c>
      <c r="C552" s="120" t="s">
        <v>1074</v>
      </c>
      <c r="D552" s="120" t="s">
        <v>2079</v>
      </c>
      <c r="E552" s="125" t="s">
        <v>2078</v>
      </c>
      <c r="F552" s="133">
        <f t="shared" si="220"/>
        <v>55.597</v>
      </c>
      <c r="G552" s="133">
        <v>55.104</v>
      </c>
      <c r="H552" s="133">
        <v>55.6264</v>
      </c>
      <c r="I552" s="144">
        <f t="shared" si="219"/>
        <v>-0.522399999999998</v>
      </c>
      <c r="J552" s="115" t="str">
        <f t="shared" si="211"/>
        <v>275/80R22.5-16PR-G-PRO MSA</v>
      </c>
      <c r="K552" s="193"/>
      <c r="L552" s="193"/>
      <c r="M552" s="193"/>
      <c r="N552" s="193"/>
      <c r="O552" s="193"/>
      <c r="P552" s="193"/>
      <c r="Q552" s="193"/>
      <c r="R552" s="210"/>
      <c r="BB552" s="113" t="str">
        <f t="shared" si="210"/>
        <v/>
      </c>
    </row>
    <row r="553" spans="2:54">
      <c r="B553" s="119" t="s">
        <v>2072</v>
      </c>
      <c r="C553" s="120" t="s">
        <v>1074</v>
      </c>
      <c r="D553" s="120" t="s">
        <v>2080</v>
      </c>
      <c r="E553" s="125" t="s">
        <v>2078</v>
      </c>
      <c r="F553" s="133">
        <f t="shared" si="220"/>
        <v>55.597</v>
      </c>
      <c r="G553" s="133">
        <v>55.104</v>
      </c>
      <c r="H553" s="133">
        <v>55.6264</v>
      </c>
      <c r="I553" s="144">
        <f t="shared" si="219"/>
        <v>-0.522399999999998</v>
      </c>
      <c r="J553" s="115" t="str">
        <f t="shared" si="211"/>
        <v>275/80R22.5-16PR-BMA03 ECO</v>
      </c>
      <c r="K553" s="193"/>
      <c r="L553" s="193"/>
      <c r="M553" s="193"/>
      <c r="N553" s="193"/>
      <c r="O553" s="193"/>
      <c r="P553" s="193"/>
      <c r="Q553" s="193"/>
      <c r="R553" s="210"/>
      <c r="BB553" s="113" t="str">
        <f t="shared" si="210"/>
        <v/>
      </c>
    </row>
    <row r="554" spans="2:54">
      <c r="B554" s="119" t="s">
        <v>2072</v>
      </c>
      <c r="C554" s="120" t="s">
        <v>1074</v>
      </c>
      <c r="D554" s="120" t="s">
        <v>2081</v>
      </c>
      <c r="E554" s="125" t="s">
        <v>2082</v>
      </c>
      <c r="F554" s="133">
        <f t="shared" si="220"/>
        <v>53.743</v>
      </c>
      <c r="G554" s="133">
        <v>53.25</v>
      </c>
      <c r="H554" s="133">
        <v>53.7719</v>
      </c>
      <c r="I554" s="144">
        <f t="shared" si="219"/>
        <v>-0.521900000000002</v>
      </c>
      <c r="J554" s="115" t="str">
        <f t="shared" si="211"/>
        <v>275/80R22.5-16PR-AD153</v>
      </c>
      <c r="K554" s="193"/>
      <c r="L554" s="193"/>
      <c r="M554" s="193"/>
      <c r="N554" s="193"/>
      <c r="O554" s="193"/>
      <c r="P554" s="193"/>
      <c r="Q554" s="193"/>
      <c r="R554" s="210"/>
      <c r="BB554" s="113" t="str">
        <f t="shared" si="210"/>
        <v/>
      </c>
    </row>
    <row r="555" spans="2:54">
      <c r="B555" s="119" t="s">
        <v>2072</v>
      </c>
      <c r="C555" s="120" t="s">
        <v>1074</v>
      </c>
      <c r="D555" s="120" t="s">
        <v>2083</v>
      </c>
      <c r="E555" s="125" t="s">
        <v>2082</v>
      </c>
      <c r="F555" s="133">
        <f t="shared" si="220"/>
        <v>53.743</v>
      </c>
      <c r="G555" s="133">
        <v>53.25</v>
      </c>
      <c r="H555" s="133">
        <v>53.7719</v>
      </c>
      <c r="I555" s="144">
        <f t="shared" si="219"/>
        <v>-0.521900000000002</v>
      </c>
      <c r="J555" s="115" t="str">
        <f t="shared" si="211"/>
        <v>275/80R22.5-16PR-G-PERFORM D</v>
      </c>
      <c r="K555" s="193"/>
      <c r="L555" s="193"/>
      <c r="M555" s="193"/>
      <c r="N555" s="193"/>
      <c r="O555" s="193"/>
      <c r="P555" s="193"/>
      <c r="Q555" s="193"/>
      <c r="R555" s="210"/>
      <c r="BB555" s="113" t="str">
        <f t="shared" si="210"/>
        <v/>
      </c>
    </row>
    <row r="556" spans="2:54">
      <c r="B556" s="119" t="s">
        <v>2072</v>
      </c>
      <c r="C556" s="120" t="s">
        <v>1074</v>
      </c>
      <c r="D556" s="120" t="s">
        <v>2084</v>
      </c>
      <c r="E556" s="125" t="s">
        <v>2082</v>
      </c>
      <c r="F556" s="133">
        <f t="shared" si="220"/>
        <v>53.743</v>
      </c>
      <c r="G556" s="133">
        <v>53.25</v>
      </c>
      <c r="H556" s="133">
        <v>53.7719</v>
      </c>
      <c r="I556" s="144">
        <f t="shared" si="219"/>
        <v>-0.521900000000002</v>
      </c>
      <c r="J556" s="115" t="str">
        <f t="shared" si="211"/>
        <v>275/80R22.5-16PR-BRD02 ECO</v>
      </c>
      <c r="K556" s="193"/>
      <c r="L556" s="193"/>
      <c r="M556" s="193"/>
      <c r="N556" s="193"/>
      <c r="O556" s="193"/>
      <c r="P556" s="193"/>
      <c r="Q556" s="193"/>
      <c r="R556" s="210"/>
      <c r="BB556" s="113" t="str">
        <f t="shared" si="210"/>
        <v/>
      </c>
    </row>
    <row r="557" spans="2:54">
      <c r="B557" s="119" t="s">
        <v>2072</v>
      </c>
      <c r="C557" s="120" t="s">
        <v>1074</v>
      </c>
      <c r="D557" s="120" t="s">
        <v>2085</v>
      </c>
      <c r="E557" s="125" t="s">
        <v>2086</v>
      </c>
      <c r="F557" s="133">
        <f t="shared" ref="F557:F562" si="221">G557-2.524+3.029</f>
        <v>59.165</v>
      </c>
      <c r="G557" s="133">
        <v>58.66</v>
      </c>
      <c r="H557" s="133">
        <v>59.2135</v>
      </c>
      <c r="I557" s="144">
        <f t="shared" si="219"/>
        <v>-0.553500000000007</v>
      </c>
      <c r="J557" s="115" t="str">
        <f t="shared" si="211"/>
        <v>275/80R22.5-16PR-CR906</v>
      </c>
      <c r="K557" s="193"/>
      <c r="L557" s="193"/>
      <c r="M557" s="193"/>
      <c r="N557" s="193"/>
      <c r="O557" s="193"/>
      <c r="P557" s="193"/>
      <c r="Q557" s="193"/>
      <c r="R557" s="210"/>
      <c r="BB557" s="113" t="str">
        <f t="shared" si="210"/>
        <v/>
      </c>
    </row>
    <row r="558" spans="2:54">
      <c r="B558" s="119" t="s">
        <v>2072</v>
      </c>
      <c r="C558" s="120" t="s">
        <v>1074</v>
      </c>
      <c r="D558" s="121" t="s">
        <v>2087</v>
      </c>
      <c r="E558" s="120" t="s">
        <v>2086</v>
      </c>
      <c r="F558" s="133">
        <f t="shared" si="221"/>
        <v>59.165</v>
      </c>
      <c r="G558" s="133">
        <v>58.66</v>
      </c>
      <c r="H558" s="133">
        <v>59.2135</v>
      </c>
      <c r="I558" s="144">
        <f t="shared" si="219"/>
        <v>-0.553500000000007</v>
      </c>
      <c r="J558" s="115" t="str">
        <f t="shared" si="211"/>
        <v>275/80R22.5-16PR-G-PRO U</v>
      </c>
      <c r="K558" s="193"/>
      <c r="L558" s="193"/>
      <c r="M558" s="193"/>
      <c r="N558" s="193"/>
      <c r="O558" s="193"/>
      <c r="P558" s="193"/>
      <c r="Q558" s="193"/>
      <c r="R558" s="210"/>
      <c r="BB558" s="113" t="str">
        <f t="shared" si="210"/>
        <v/>
      </c>
    </row>
    <row r="559" spans="2:54">
      <c r="B559" s="119" t="s">
        <v>2072</v>
      </c>
      <c r="C559" s="120" t="s">
        <v>1074</v>
      </c>
      <c r="D559" s="120" t="s">
        <v>2088</v>
      </c>
      <c r="E559" s="147" t="s">
        <v>2089</v>
      </c>
      <c r="F559" s="133">
        <f t="shared" si="221"/>
        <v>53.69</v>
      </c>
      <c r="G559" s="133">
        <v>53.185</v>
      </c>
      <c r="H559" s="133">
        <v>53.1474</v>
      </c>
      <c r="I559" s="144">
        <f t="shared" si="219"/>
        <v>0.0376000000000047</v>
      </c>
      <c r="J559" s="115" t="str">
        <f t="shared" si="211"/>
        <v>275/80R22.5-16PR-AD528</v>
      </c>
      <c r="K559" s="193"/>
      <c r="L559" s="193"/>
      <c r="M559" s="193"/>
      <c r="N559" s="193"/>
      <c r="O559" s="193"/>
      <c r="P559" s="193"/>
      <c r="Q559" s="193"/>
      <c r="R559" s="210"/>
      <c r="BB559" s="113" t="str">
        <f t="shared" si="210"/>
        <v/>
      </c>
    </row>
    <row r="560" spans="2:54">
      <c r="B560" s="119" t="s">
        <v>2072</v>
      </c>
      <c r="C560" s="120" t="s">
        <v>1074</v>
      </c>
      <c r="D560" s="120" t="s">
        <v>2090</v>
      </c>
      <c r="E560" s="147" t="s">
        <v>2089</v>
      </c>
      <c r="F560" s="133">
        <f t="shared" si="221"/>
        <v>53.69</v>
      </c>
      <c r="G560" s="133">
        <v>53.185</v>
      </c>
      <c r="H560" s="133">
        <v>53.1474</v>
      </c>
      <c r="I560" s="144">
        <f t="shared" si="219"/>
        <v>0.0376000000000047</v>
      </c>
      <c r="J560" s="115" t="str">
        <f t="shared" si="211"/>
        <v>275/80R22.5-16PR-ECOTRAX D-II</v>
      </c>
      <c r="K560" s="193"/>
      <c r="L560" s="193"/>
      <c r="M560" s="193"/>
      <c r="N560" s="193"/>
      <c r="O560" s="193"/>
      <c r="P560" s="193"/>
      <c r="Q560" s="193"/>
      <c r="R560" s="210"/>
      <c r="BB560" s="113" t="str">
        <f t="shared" si="210"/>
        <v/>
      </c>
    </row>
    <row r="561" spans="2:54">
      <c r="B561" s="119" t="s">
        <v>2072</v>
      </c>
      <c r="C561" s="120" t="s">
        <v>1074</v>
      </c>
      <c r="D561" s="120" t="s">
        <v>2091</v>
      </c>
      <c r="E561" s="120" t="s">
        <v>2092</v>
      </c>
      <c r="F561" s="133">
        <f t="shared" si="221"/>
        <v>48.154</v>
      </c>
      <c r="G561" s="133">
        <v>47.649</v>
      </c>
      <c r="H561" s="133">
        <v>46.5539</v>
      </c>
      <c r="I561" s="144">
        <f t="shared" si="219"/>
        <v>1.0951</v>
      </c>
      <c r="J561" s="115" t="str">
        <f t="shared" si="211"/>
        <v>275/80R22.5-16PR-AZ179</v>
      </c>
      <c r="K561" s="193"/>
      <c r="L561" s="193"/>
      <c r="M561" s="193"/>
      <c r="N561" s="193"/>
      <c r="O561" s="193"/>
      <c r="P561" s="193"/>
      <c r="Q561" s="193"/>
      <c r="R561" s="210"/>
      <c r="BB561" s="113" t="str">
        <f t="shared" si="210"/>
        <v/>
      </c>
    </row>
    <row r="562" spans="2:54">
      <c r="B562" s="119" t="s">
        <v>2072</v>
      </c>
      <c r="C562" s="120" t="s">
        <v>1092</v>
      </c>
      <c r="D562" s="120" t="s">
        <v>2091</v>
      </c>
      <c r="E562" s="120" t="s">
        <v>2092</v>
      </c>
      <c r="F562" s="133">
        <f t="shared" si="221"/>
        <v>48.154</v>
      </c>
      <c r="G562" s="133">
        <v>47.649</v>
      </c>
      <c r="H562" s="133">
        <v>46.5539</v>
      </c>
      <c r="I562" s="144">
        <f t="shared" si="219"/>
        <v>1.0951</v>
      </c>
      <c r="J562" s="115" t="str">
        <f t="shared" si="211"/>
        <v>275/80R22.5-18PR-AZ179</v>
      </c>
      <c r="K562" s="193"/>
      <c r="L562" s="193"/>
      <c r="M562" s="193"/>
      <c r="N562" s="193"/>
      <c r="O562" s="193"/>
      <c r="P562" s="193"/>
      <c r="Q562" s="193"/>
      <c r="R562" s="210"/>
      <c r="BB562" s="113" t="str">
        <f t="shared" si="210"/>
        <v/>
      </c>
    </row>
    <row r="563" spans="2:54">
      <c r="B563" s="119" t="s">
        <v>2072</v>
      </c>
      <c r="C563" s="120" t="s">
        <v>1074</v>
      </c>
      <c r="D563" s="120" t="s">
        <v>2093</v>
      </c>
      <c r="E563" s="120" t="s">
        <v>2094</v>
      </c>
      <c r="F563" s="133">
        <f>G563-2.539+3.033</f>
        <v>57.132</v>
      </c>
      <c r="G563" s="133">
        <v>56.638</v>
      </c>
      <c r="H563" s="133">
        <v>56.84</v>
      </c>
      <c r="I563" s="144">
        <f t="shared" si="219"/>
        <v>-0.202000000000005</v>
      </c>
      <c r="J563" s="115" t="str">
        <f t="shared" si="211"/>
        <v>275/80R22.5-16PR-AS86</v>
      </c>
      <c r="K563" s="193"/>
      <c r="L563" s="193"/>
      <c r="M563" s="193"/>
      <c r="N563" s="193"/>
      <c r="O563" s="193"/>
      <c r="P563" s="193"/>
      <c r="Q563" s="193"/>
      <c r="R563" s="210"/>
      <c r="BB563" s="113" t="str">
        <f t="shared" si="210"/>
        <v/>
      </c>
    </row>
    <row r="564" spans="2:54">
      <c r="B564" s="119" t="s">
        <v>2072</v>
      </c>
      <c r="C564" s="120" t="s">
        <v>1074</v>
      </c>
      <c r="D564" s="120" t="s">
        <v>1559</v>
      </c>
      <c r="E564" s="120" t="s">
        <v>2095</v>
      </c>
      <c r="F564" s="133">
        <f>G564-2.53+3.02</f>
        <v>51.133</v>
      </c>
      <c r="G564" s="133">
        <v>50.643</v>
      </c>
      <c r="H564" s="133">
        <v>50.75</v>
      </c>
      <c r="I564" s="144">
        <f t="shared" si="219"/>
        <v>-0.106999999999999</v>
      </c>
      <c r="J564" s="115" t="str">
        <f t="shared" si="211"/>
        <v>275/80R22.5-16PR-AS678</v>
      </c>
      <c r="K564" s="193"/>
      <c r="L564" s="193"/>
      <c r="M564" s="193"/>
      <c r="N564" s="193"/>
      <c r="O564" s="193"/>
      <c r="P564" s="193"/>
      <c r="Q564" s="193"/>
      <c r="R564" s="210"/>
      <c r="BB564" s="113" t="str">
        <f t="shared" si="210"/>
        <v/>
      </c>
    </row>
    <row r="565" spans="2:54">
      <c r="B565" s="119" t="s">
        <v>2072</v>
      </c>
      <c r="C565" s="120" t="s">
        <v>1074</v>
      </c>
      <c r="D565" s="120" t="s">
        <v>2096</v>
      </c>
      <c r="E565" s="120" t="s">
        <v>2097</v>
      </c>
      <c r="F565" s="133">
        <f>G565-2.531+3.024</f>
        <v>54.874</v>
      </c>
      <c r="G565" s="133">
        <v>54.381</v>
      </c>
      <c r="H565" s="133">
        <v>53.41</v>
      </c>
      <c r="I565" s="144">
        <f t="shared" si="219"/>
        <v>0.971000000000004</v>
      </c>
      <c r="J565" s="115" t="str">
        <f t="shared" si="211"/>
        <v>275/80R22.5-16PR-AS898</v>
      </c>
      <c r="K565" s="193"/>
      <c r="L565" s="193"/>
      <c r="M565" s="193"/>
      <c r="N565" s="193"/>
      <c r="O565" s="193"/>
      <c r="P565" s="193"/>
      <c r="Q565" s="193"/>
      <c r="R565" s="210"/>
      <c r="BB565" s="113" t="str">
        <f t="shared" si="210"/>
        <v/>
      </c>
    </row>
    <row r="566" spans="2:54">
      <c r="B566" s="119" t="s">
        <v>2072</v>
      </c>
      <c r="C566" s="120" t="s">
        <v>1074</v>
      </c>
      <c r="D566" s="120" t="s">
        <v>2098</v>
      </c>
      <c r="E566" s="120" t="s">
        <v>2099</v>
      </c>
      <c r="F566" s="133">
        <f t="shared" ref="F566:F571" si="222">G566-2.524+3.029</f>
        <v>58.086</v>
      </c>
      <c r="G566" s="133">
        <v>57.581</v>
      </c>
      <c r="H566" s="133">
        <v>56.6416</v>
      </c>
      <c r="I566" s="144">
        <f t="shared" si="219"/>
        <v>0.939400000000006</v>
      </c>
      <c r="J566" s="115" t="str">
        <f t="shared" si="211"/>
        <v>275/80R22.5-16PR-MD777</v>
      </c>
      <c r="K566" s="193"/>
      <c r="L566" s="193"/>
      <c r="M566" s="193"/>
      <c r="N566" s="193"/>
      <c r="O566" s="193"/>
      <c r="P566" s="193"/>
      <c r="Q566" s="193"/>
      <c r="R566" s="210"/>
      <c r="S566" s="193"/>
      <c r="BB566" s="113" t="str">
        <f t="shared" si="210"/>
        <v/>
      </c>
    </row>
    <row r="567" spans="2:54">
      <c r="B567" s="119" t="s">
        <v>2072</v>
      </c>
      <c r="C567" s="120" t="s">
        <v>1074</v>
      </c>
      <c r="D567" s="120" t="s">
        <v>2100</v>
      </c>
      <c r="E567" s="120" t="s">
        <v>2099</v>
      </c>
      <c r="F567" s="133">
        <f t="shared" si="222"/>
        <v>58.086</v>
      </c>
      <c r="G567" s="133">
        <v>57.581</v>
      </c>
      <c r="H567" s="133">
        <v>56.6416</v>
      </c>
      <c r="I567" s="144">
        <f t="shared" si="219"/>
        <v>0.939400000000006</v>
      </c>
      <c r="J567" s="115" t="str">
        <f t="shared" si="211"/>
        <v>275/80R22.5-16PR-G-PRO MSD</v>
      </c>
      <c r="K567" s="193"/>
      <c r="L567" s="193"/>
      <c r="M567" s="193"/>
      <c r="N567" s="193"/>
      <c r="O567" s="193"/>
      <c r="P567" s="193"/>
      <c r="Q567" s="193"/>
      <c r="R567" s="210"/>
      <c r="S567" s="193"/>
      <c r="BB567" s="113" t="str">
        <f t="shared" si="210"/>
        <v/>
      </c>
    </row>
    <row r="568" spans="2:54">
      <c r="B568" s="119" t="s">
        <v>2072</v>
      </c>
      <c r="C568" s="120" t="s">
        <v>1074</v>
      </c>
      <c r="D568" s="120" t="s">
        <v>2101</v>
      </c>
      <c r="E568" s="120" t="s">
        <v>2099</v>
      </c>
      <c r="F568" s="133">
        <f t="shared" si="222"/>
        <v>58.086</v>
      </c>
      <c r="G568" s="133">
        <v>57.581</v>
      </c>
      <c r="H568" s="133">
        <v>56.6416</v>
      </c>
      <c r="I568" s="144">
        <f t="shared" si="219"/>
        <v>0.939400000000006</v>
      </c>
      <c r="J568" s="115" t="str">
        <f t="shared" si="211"/>
        <v>275/80R22.5-16PR-BMD06 PRO</v>
      </c>
      <c r="K568" s="193"/>
      <c r="L568" s="193"/>
      <c r="M568" s="193"/>
      <c r="N568" s="193"/>
      <c r="O568" s="193"/>
      <c r="P568" s="193"/>
      <c r="Q568" s="193"/>
      <c r="R568" s="210"/>
      <c r="BB568" s="113" t="str">
        <f t="shared" si="210"/>
        <v/>
      </c>
    </row>
    <row r="569" spans="2:54">
      <c r="B569" s="119" t="s">
        <v>2072</v>
      </c>
      <c r="C569" s="120" t="s">
        <v>1074</v>
      </c>
      <c r="D569" s="120" t="s">
        <v>2102</v>
      </c>
      <c r="E569" s="120" t="s">
        <v>2103</v>
      </c>
      <c r="F569" s="133">
        <f t="shared" si="222"/>
        <v>58.323</v>
      </c>
      <c r="G569" s="133">
        <v>57.818</v>
      </c>
      <c r="H569" s="133">
        <v>58.2216</v>
      </c>
      <c r="I569" s="144">
        <f t="shared" si="219"/>
        <v>-0.403600000000004</v>
      </c>
      <c r="J569" s="115" t="str">
        <f t="shared" si="211"/>
        <v>275/80R22.5-16PR-AD818</v>
      </c>
      <c r="K569" s="193"/>
      <c r="L569" s="193"/>
      <c r="M569" s="193"/>
      <c r="N569" s="193"/>
      <c r="O569" s="193"/>
      <c r="P569" s="193"/>
      <c r="Q569" s="193"/>
      <c r="R569" s="210"/>
      <c r="BB569" s="113" t="str">
        <f t="shared" si="210"/>
        <v/>
      </c>
    </row>
    <row r="570" spans="2:54">
      <c r="B570" s="119" t="s">
        <v>2072</v>
      </c>
      <c r="C570" s="120" t="s">
        <v>1074</v>
      </c>
      <c r="D570" s="120" t="s">
        <v>1450</v>
      </c>
      <c r="E570" s="120" t="s">
        <v>2104</v>
      </c>
      <c r="F570" s="133">
        <f t="shared" si="222"/>
        <v>50.363</v>
      </c>
      <c r="G570" s="133">
        <v>49.858</v>
      </c>
      <c r="H570" s="133">
        <v>50.9045</v>
      </c>
      <c r="I570" s="144">
        <f t="shared" si="219"/>
        <v>-1.0465</v>
      </c>
      <c r="J570" s="115" t="str">
        <f t="shared" si="211"/>
        <v>275/80R22.5-16PR-AT196</v>
      </c>
      <c r="K570" s="193"/>
      <c r="L570" s="193"/>
      <c r="M570" s="193"/>
      <c r="N570" s="193"/>
      <c r="O570" s="193"/>
      <c r="P570" s="193"/>
      <c r="Q570" s="193"/>
      <c r="R570" s="210"/>
      <c r="BB570" s="113" t="str">
        <f t="shared" si="210"/>
        <v/>
      </c>
    </row>
    <row r="571" spans="2:54">
      <c r="B571" s="119" t="s">
        <v>2072</v>
      </c>
      <c r="C571" s="120" t="s">
        <v>1074</v>
      </c>
      <c r="D571" s="120" t="s">
        <v>2105</v>
      </c>
      <c r="E571" s="120" t="s">
        <v>2106</v>
      </c>
      <c r="F571" s="133">
        <f t="shared" si="222"/>
        <v>52.07</v>
      </c>
      <c r="G571" s="133">
        <v>51.565</v>
      </c>
      <c r="H571" s="133">
        <v>51.5485</v>
      </c>
      <c r="I571" s="144">
        <f t="shared" si="219"/>
        <v>0.0165000000000006</v>
      </c>
      <c r="J571" s="115" t="str">
        <f t="shared" si="211"/>
        <v>275/80R22.5-16PR-AS589</v>
      </c>
      <c r="K571" s="193"/>
      <c r="L571" s="193"/>
      <c r="M571" s="193"/>
      <c r="N571" s="193"/>
      <c r="O571" s="193"/>
      <c r="P571" s="193"/>
      <c r="Q571" s="193"/>
      <c r="R571" s="210"/>
      <c r="BB571" s="113" t="str">
        <f t="shared" si="210"/>
        <v/>
      </c>
    </row>
    <row r="572" spans="2:54">
      <c r="B572" s="119" t="s">
        <v>2072</v>
      </c>
      <c r="C572" s="120" t="s">
        <v>1074</v>
      </c>
      <c r="D572" s="120" t="s">
        <v>2107</v>
      </c>
      <c r="E572" s="120" t="s">
        <v>2108</v>
      </c>
      <c r="F572" s="133">
        <f>G572-2.53+3.02</f>
        <v>52.57</v>
      </c>
      <c r="G572" s="133">
        <v>52.08</v>
      </c>
      <c r="H572" s="133">
        <v>52.58</v>
      </c>
      <c r="I572" s="144">
        <f t="shared" si="219"/>
        <v>-0.5</v>
      </c>
      <c r="J572" s="115" t="str">
        <f t="shared" si="211"/>
        <v>275/80R22.5-16PR-EZ573A</v>
      </c>
      <c r="K572" s="193"/>
      <c r="L572" s="193"/>
      <c r="M572" s="193"/>
      <c r="N572" s="193"/>
      <c r="O572" s="193"/>
      <c r="P572" s="193"/>
      <c r="Q572" s="193"/>
      <c r="R572" s="210"/>
      <c r="BB572" s="113" t="str">
        <f t="shared" si="210"/>
        <v/>
      </c>
    </row>
    <row r="573" spans="2:54">
      <c r="B573" s="122"/>
      <c r="C573" s="123"/>
      <c r="D573" s="123"/>
      <c r="E573" s="123"/>
      <c r="F573" s="130"/>
      <c r="G573" s="130"/>
      <c r="H573" s="130"/>
      <c r="I573" s="145"/>
      <c r="J573" s="115" t="str">
        <f t="shared" si="211"/>
        <v/>
      </c>
      <c r="K573" s="193"/>
      <c r="L573" s="193"/>
      <c r="M573" s="193"/>
      <c r="N573" s="193"/>
      <c r="O573" s="193"/>
      <c r="P573" s="193"/>
      <c r="Q573" s="193"/>
      <c r="R573" s="210"/>
      <c r="BB573" s="113" t="str">
        <f t="shared" si="210"/>
        <v/>
      </c>
    </row>
    <row r="574" spans="2:54">
      <c r="B574" s="119" t="s">
        <v>2109</v>
      </c>
      <c r="C574" s="120" t="s">
        <v>1074</v>
      </c>
      <c r="D574" s="120" t="s">
        <v>1983</v>
      </c>
      <c r="E574" s="120" t="s">
        <v>2110</v>
      </c>
      <c r="F574" s="133">
        <f>G574-2.334+2.546</f>
        <v>44.582</v>
      </c>
      <c r="G574" s="133">
        <v>44.37</v>
      </c>
      <c r="H574" s="133">
        <v>44.3685</v>
      </c>
      <c r="I574" s="144">
        <f t="shared" ref="I574:I635" si="223">G574-H574</f>
        <v>0.00150000000000006</v>
      </c>
      <c r="J574" s="115" t="str">
        <f t="shared" si="211"/>
        <v>285/70R19.5-16PR-CM986</v>
      </c>
      <c r="K574" s="193"/>
      <c r="L574" s="193"/>
      <c r="M574" s="193"/>
      <c r="N574" s="193"/>
      <c r="O574" s="193"/>
      <c r="P574" s="193"/>
      <c r="Q574" s="193"/>
      <c r="R574" s="210"/>
      <c r="BB574" s="113" t="str">
        <f t="shared" si="210"/>
        <v/>
      </c>
    </row>
    <row r="575" spans="2:54">
      <c r="B575" s="122"/>
      <c r="C575" s="123"/>
      <c r="D575" s="123"/>
      <c r="E575" s="123"/>
      <c r="F575" s="130"/>
      <c r="G575" s="130"/>
      <c r="H575" s="130"/>
      <c r="I575" s="145"/>
      <c r="J575" s="115" t="str">
        <f t="shared" si="211"/>
        <v/>
      </c>
      <c r="K575" s="193"/>
      <c r="L575" s="193"/>
      <c r="M575" s="193"/>
      <c r="N575" s="193"/>
      <c r="O575" s="193"/>
      <c r="P575" s="193"/>
      <c r="Q575" s="193"/>
      <c r="R575" s="210"/>
      <c r="BB575" s="113" t="str">
        <f t="shared" si="210"/>
        <v/>
      </c>
    </row>
    <row r="576" spans="2:54">
      <c r="B576" s="119" t="s">
        <v>2111</v>
      </c>
      <c r="C576" s="120" t="s">
        <v>958</v>
      </c>
      <c r="D576" s="120" t="s">
        <v>1719</v>
      </c>
      <c r="E576" s="125" t="s">
        <v>2112</v>
      </c>
      <c r="F576" s="133">
        <f t="shared" ref="F576:F583" si="224">G576-3.362+3.909</f>
        <v>57.121</v>
      </c>
      <c r="G576" s="133">
        <v>56.574</v>
      </c>
      <c r="H576" s="133">
        <v>58.1</v>
      </c>
      <c r="I576" s="144">
        <f t="shared" si="223"/>
        <v>-1.526</v>
      </c>
      <c r="J576" s="115" t="str">
        <f t="shared" si="211"/>
        <v>285/75R24.5-14PR-W-Elite SL11</v>
      </c>
      <c r="K576" s="193"/>
      <c r="L576" s="193"/>
      <c r="M576" s="193"/>
      <c r="N576" s="193"/>
      <c r="O576" s="193"/>
      <c r="P576" s="193"/>
      <c r="Q576" s="193"/>
      <c r="R576" s="210"/>
      <c r="BB576" s="113" t="str">
        <f t="shared" si="210"/>
        <v/>
      </c>
    </row>
    <row r="577" spans="2:54">
      <c r="B577" s="119" t="s">
        <v>2111</v>
      </c>
      <c r="C577" s="120" t="s">
        <v>958</v>
      </c>
      <c r="D577" s="120" t="s">
        <v>1724</v>
      </c>
      <c r="E577" s="125" t="s">
        <v>2112</v>
      </c>
      <c r="F577" s="133">
        <f t="shared" si="224"/>
        <v>57.121</v>
      </c>
      <c r="G577" s="133">
        <v>56.574</v>
      </c>
      <c r="H577" s="133">
        <v>58.1</v>
      </c>
      <c r="I577" s="144">
        <f t="shared" si="223"/>
        <v>-1.526</v>
      </c>
      <c r="J577" s="115" t="str">
        <f t="shared" si="211"/>
        <v>285/75R24.5-14PR-VA996</v>
      </c>
      <c r="K577" s="193"/>
      <c r="L577" s="193"/>
      <c r="M577" s="193"/>
      <c r="N577" s="193"/>
      <c r="O577" s="193"/>
      <c r="P577" s="193"/>
      <c r="Q577" s="193"/>
      <c r="R577" s="210"/>
      <c r="BB577" s="113" t="str">
        <f t="shared" si="210"/>
        <v/>
      </c>
    </row>
    <row r="578" spans="2:54">
      <c r="B578" s="119" t="s">
        <v>2111</v>
      </c>
      <c r="C578" s="120" t="s">
        <v>1074</v>
      </c>
      <c r="D578" s="120" t="s">
        <v>1719</v>
      </c>
      <c r="E578" s="125" t="s">
        <v>2112</v>
      </c>
      <c r="F578" s="133">
        <f t="shared" si="224"/>
        <v>57.121</v>
      </c>
      <c r="G578" s="133">
        <v>56.574</v>
      </c>
      <c r="H578" s="133">
        <v>58.1</v>
      </c>
      <c r="I578" s="144">
        <f t="shared" si="223"/>
        <v>-1.526</v>
      </c>
      <c r="J578" s="115" t="str">
        <f t="shared" si="211"/>
        <v>285/75R24.5-16PR-W-Elite SL11</v>
      </c>
      <c r="K578" s="193"/>
      <c r="L578" s="193"/>
      <c r="M578" s="193"/>
      <c r="N578" s="193"/>
      <c r="O578" s="193"/>
      <c r="P578" s="193"/>
      <c r="Q578" s="193"/>
      <c r="R578" s="210"/>
      <c r="BB578" s="113" t="str">
        <f t="shared" si="210"/>
        <v/>
      </c>
    </row>
    <row r="579" spans="2:54">
      <c r="B579" s="119" t="s">
        <v>2111</v>
      </c>
      <c r="C579" s="120" t="s">
        <v>1074</v>
      </c>
      <c r="D579" s="120" t="s">
        <v>1724</v>
      </c>
      <c r="E579" s="125" t="s">
        <v>2112</v>
      </c>
      <c r="F579" s="133">
        <f t="shared" si="224"/>
        <v>57.121</v>
      </c>
      <c r="G579" s="133">
        <v>56.574</v>
      </c>
      <c r="H579" s="133">
        <v>58.1</v>
      </c>
      <c r="I579" s="144">
        <f t="shared" si="223"/>
        <v>-1.526</v>
      </c>
      <c r="J579" s="115" t="str">
        <f t="shared" si="211"/>
        <v>285/75R24.5-16PR-VA996</v>
      </c>
      <c r="K579" s="193"/>
      <c r="L579" s="193"/>
      <c r="M579" s="193"/>
      <c r="N579" s="193"/>
      <c r="O579" s="193"/>
      <c r="P579" s="193"/>
      <c r="Q579" s="193"/>
      <c r="R579" s="210"/>
      <c r="BB579" s="113" t="str">
        <f t="shared" si="210"/>
        <v/>
      </c>
    </row>
    <row r="580" spans="2:54">
      <c r="B580" s="119" t="s">
        <v>2111</v>
      </c>
      <c r="C580" s="120" t="s">
        <v>958</v>
      </c>
      <c r="D580" s="120" t="s">
        <v>2113</v>
      </c>
      <c r="E580" s="125" t="s">
        <v>2114</v>
      </c>
      <c r="F580" s="133">
        <f t="shared" si="224"/>
        <v>65.382</v>
      </c>
      <c r="G580" s="133">
        <v>64.835</v>
      </c>
      <c r="H580" s="133">
        <v>64.8593</v>
      </c>
      <c r="I580" s="144">
        <f t="shared" si="223"/>
        <v>-0.0243000000000109</v>
      </c>
      <c r="J580" s="115" t="str">
        <f t="shared" si="211"/>
        <v>285/75R24.5-14PR-W-Elite DL21</v>
      </c>
      <c r="K580" s="193"/>
      <c r="L580" s="193"/>
      <c r="M580" s="193"/>
      <c r="N580" s="193"/>
      <c r="O580" s="193"/>
      <c r="P580" s="193"/>
      <c r="Q580" s="193"/>
      <c r="R580" s="210"/>
      <c r="BB580" s="113" t="str">
        <f t="shared" si="210"/>
        <v/>
      </c>
    </row>
    <row r="581" spans="2:54">
      <c r="B581" s="119" t="s">
        <v>2111</v>
      </c>
      <c r="C581" s="120" t="s">
        <v>958</v>
      </c>
      <c r="D581" s="120" t="s">
        <v>1706</v>
      </c>
      <c r="E581" s="125" t="s">
        <v>2115</v>
      </c>
      <c r="F581" s="133">
        <f t="shared" si="224"/>
        <v>63.248</v>
      </c>
      <c r="G581" s="133">
        <v>62.701</v>
      </c>
      <c r="H581" s="133">
        <v>62.3886</v>
      </c>
      <c r="I581" s="144">
        <f t="shared" si="223"/>
        <v>0.312400000000004</v>
      </c>
      <c r="J581" s="115" t="str">
        <f t="shared" si="211"/>
        <v>285/75R24.5-14PR-W-Elite DL22</v>
      </c>
      <c r="K581" s="193"/>
      <c r="L581" s="193"/>
      <c r="M581" s="193"/>
      <c r="N581" s="193"/>
      <c r="O581" s="193"/>
      <c r="P581" s="193"/>
      <c r="Q581" s="193"/>
      <c r="R581" s="210"/>
      <c r="BB581" s="113" t="str">
        <f t="shared" ref="BB581:BB644" si="225">_xlfn.TEXTJOIN("-",TRUE,AU581,AW581)</f>
        <v/>
      </c>
    </row>
    <row r="582" spans="2:54">
      <c r="B582" s="119" t="s">
        <v>2111</v>
      </c>
      <c r="C582" s="120" t="s">
        <v>958</v>
      </c>
      <c r="D582" s="120" t="s">
        <v>1711</v>
      </c>
      <c r="E582" s="125" t="s">
        <v>2115</v>
      </c>
      <c r="F582" s="133">
        <f t="shared" si="224"/>
        <v>63.248</v>
      </c>
      <c r="G582" s="133">
        <v>62.701</v>
      </c>
      <c r="H582" s="133">
        <v>61.8003</v>
      </c>
      <c r="I582" s="144">
        <f t="shared" si="223"/>
        <v>0.9007</v>
      </c>
      <c r="J582" s="115" t="str">
        <f t="shared" si="211"/>
        <v>285/75R24.5-14PR-W-Elite DA23</v>
      </c>
      <c r="K582" s="193"/>
      <c r="L582" s="193"/>
      <c r="M582" s="193"/>
      <c r="N582" s="193"/>
      <c r="O582" s="193"/>
      <c r="P582" s="193"/>
      <c r="Q582" s="193"/>
      <c r="R582" s="210"/>
      <c r="BB582" s="113" t="str">
        <f t="shared" si="225"/>
        <v/>
      </c>
    </row>
    <row r="583" spans="2:54">
      <c r="B583" s="119" t="s">
        <v>2111</v>
      </c>
      <c r="C583" s="120" t="s">
        <v>958</v>
      </c>
      <c r="D583" s="120" t="s">
        <v>2053</v>
      </c>
      <c r="E583" s="125" t="s">
        <v>2116</v>
      </c>
      <c r="F583" s="133">
        <f t="shared" si="224"/>
        <v>58.504</v>
      </c>
      <c r="G583" s="133">
        <v>57.957</v>
      </c>
      <c r="H583" s="133">
        <v>57.9804</v>
      </c>
      <c r="I583" s="144">
        <f t="shared" si="223"/>
        <v>-0.0234000000000023</v>
      </c>
      <c r="J583" s="115" t="str">
        <f t="shared" si="211"/>
        <v>285/75R24.5-14PR-W-Elite ZA12</v>
      </c>
      <c r="K583" s="193"/>
      <c r="L583" s="193"/>
      <c r="M583" s="193"/>
      <c r="N583" s="193"/>
      <c r="O583" s="193"/>
      <c r="P583" s="193"/>
      <c r="Q583" s="193"/>
      <c r="R583" s="210"/>
      <c r="BB583" s="113" t="str">
        <f t="shared" si="225"/>
        <v/>
      </c>
    </row>
    <row r="584" spans="2:54">
      <c r="B584" s="119" t="s">
        <v>2111</v>
      </c>
      <c r="C584" s="120" t="s">
        <v>1074</v>
      </c>
      <c r="D584" s="120" t="s">
        <v>1842</v>
      </c>
      <c r="E584" s="125" t="s">
        <v>2117</v>
      </c>
      <c r="F584" s="133">
        <f t="shared" ref="F584:F589" si="226">G584-3.367+3.91</f>
        <v>58.114</v>
      </c>
      <c r="G584" s="133">
        <v>57.571</v>
      </c>
      <c r="H584" s="133">
        <v>57.4812</v>
      </c>
      <c r="I584" s="144">
        <f t="shared" si="223"/>
        <v>0.0897999999999968</v>
      </c>
      <c r="J584" s="115" t="str">
        <f t="shared" si="211"/>
        <v>285/75R24.5-16PR-I-52A</v>
      </c>
      <c r="K584" s="193"/>
      <c r="L584" s="193"/>
      <c r="M584" s="193"/>
      <c r="N584" s="193"/>
      <c r="O584" s="193"/>
      <c r="P584" s="193"/>
      <c r="Q584" s="193"/>
      <c r="R584" s="210"/>
      <c r="BB584" s="113" t="str">
        <f t="shared" si="225"/>
        <v/>
      </c>
    </row>
    <row r="585" spans="2:54">
      <c r="B585" s="119" t="s">
        <v>2111</v>
      </c>
      <c r="C585" s="120" t="s">
        <v>1074</v>
      </c>
      <c r="D585" s="120" t="s">
        <v>1745</v>
      </c>
      <c r="E585" s="125" t="s">
        <v>2118</v>
      </c>
      <c r="F585" s="133">
        <f t="shared" si="226"/>
        <v>53.049</v>
      </c>
      <c r="G585" s="133">
        <v>52.506</v>
      </c>
      <c r="H585" s="133">
        <v>52.4139</v>
      </c>
      <c r="I585" s="144">
        <f t="shared" si="223"/>
        <v>0.0921000000000021</v>
      </c>
      <c r="J585" s="115" t="str">
        <f t="shared" si="211"/>
        <v>285/75R24.5-16PR-I-61S</v>
      </c>
      <c r="K585" s="193"/>
      <c r="L585" s="193"/>
      <c r="M585" s="193"/>
      <c r="N585" s="193"/>
      <c r="O585" s="193"/>
      <c r="P585" s="193"/>
      <c r="Q585" s="193"/>
      <c r="R585" s="210"/>
      <c r="BB585" s="113" t="str">
        <f t="shared" si="225"/>
        <v/>
      </c>
    </row>
    <row r="586" spans="2:54">
      <c r="B586" s="119" t="s">
        <v>2111</v>
      </c>
      <c r="C586" s="120" t="s">
        <v>958</v>
      </c>
      <c r="D586" s="120" t="s">
        <v>1656</v>
      </c>
      <c r="E586" s="125" t="s">
        <v>2119</v>
      </c>
      <c r="F586" s="133">
        <f t="shared" si="226"/>
        <v>51.013</v>
      </c>
      <c r="G586" s="133">
        <v>50.47</v>
      </c>
      <c r="H586" s="133">
        <v>50.3752</v>
      </c>
      <c r="I586" s="144">
        <f t="shared" si="223"/>
        <v>0.0947999999999993</v>
      </c>
      <c r="J586" s="115" t="str">
        <f t="shared" si="211"/>
        <v>285/75R24.5-14PR-I-48T</v>
      </c>
      <c r="K586" s="193"/>
      <c r="L586" s="193"/>
      <c r="M586" s="193"/>
      <c r="N586" s="193"/>
      <c r="O586" s="193"/>
      <c r="P586" s="193"/>
      <c r="Q586" s="193"/>
      <c r="R586" s="210"/>
      <c r="BB586" s="113" t="str">
        <f t="shared" si="225"/>
        <v/>
      </c>
    </row>
    <row r="587" spans="2:54">
      <c r="B587" s="119" t="s">
        <v>2111</v>
      </c>
      <c r="C587" s="120" t="s">
        <v>958</v>
      </c>
      <c r="D587" s="120" t="s">
        <v>1742</v>
      </c>
      <c r="E587" s="125" t="s">
        <v>2120</v>
      </c>
      <c r="F587" s="133">
        <f t="shared" si="226"/>
        <v>52.823</v>
      </c>
      <c r="G587" s="133">
        <v>52.28</v>
      </c>
      <c r="H587" s="133">
        <v>52.187</v>
      </c>
      <c r="I587" s="144">
        <f t="shared" si="223"/>
        <v>0.0930000000000035</v>
      </c>
      <c r="J587" s="115" t="str">
        <f t="shared" si="211"/>
        <v>285/75R24.5-14PR-I-19A</v>
      </c>
      <c r="K587" s="193"/>
      <c r="L587" s="193"/>
      <c r="M587" s="193"/>
      <c r="N587" s="193"/>
      <c r="O587" s="193"/>
      <c r="P587" s="193"/>
      <c r="Q587" s="193"/>
      <c r="R587" s="210"/>
      <c r="BB587" s="113" t="str">
        <f t="shared" si="225"/>
        <v/>
      </c>
    </row>
    <row r="588" spans="2:54">
      <c r="B588" s="119" t="s">
        <v>2111</v>
      </c>
      <c r="C588" s="120" t="s">
        <v>958</v>
      </c>
      <c r="D588" s="120" t="s">
        <v>1846</v>
      </c>
      <c r="E588" s="125" t="s">
        <v>2121</v>
      </c>
      <c r="F588" s="133">
        <f t="shared" si="226"/>
        <v>60.153</v>
      </c>
      <c r="G588" s="133">
        <v>59.61</v>
      </c>
      <c r="H588" s="208">
        <v>58.87</v>
      </c>
      <c r="I588" s="144">
        <f t="shared" si="223"/>
        <v>0.740000000000002</v>
      </c>
      <c r="J588" s="115" t="str">
        <f t="shared" ref="J588:J651" si="227">_xlfn.TEXTJOIN("-",TRUE,B588,C588,D588)</f>
        <v>285/75R24.5-14PR-I-28D</v>
      </c>
      <c r="K588" s="193"/>
      <c r="L588" s="193"/>
      <c r="M588" s="193"/>
      <c r="N588" s="193"/>
      <c r="O588" s="193"/>
      <c r="P588" s="193"/>
      <c r="Q588" s="193"/>
      <c r="R588" s="210"/>
      <c r="BB588" s="113" t="str">
        <f t="shared" si="225"/>
        <v/>
      </c>
    </row>
    <row r="589" spans="2:54">
      <c r="B589" s="119" t="s">
        <v>2111</v>
      </c>
      <c r="C589" s="120" t="s">
        <v>958</v>
      </c>
      <c r="D589" s="120" t="s">
        <v>1849</v>
      </c>
      <c r="E589" s="125" t="s">
        <v>2122</v>
      </c>
      <c r="F589" s="133">
        <f t="shared" si="226"/>
        <v>57.253</v>
      </c>
      <c r="G589" s="133">
        <v>56.71</v>
      </c>
      <c r="H589" s="133">
        <v>56.6221</v>
      </c>
      <c r="I589" s="144">
        <f t="shared" si="223"/>
        <v>0.0878999999999976</v>
      </c>
      <c r="J589" s="115" t="str">
        <f t="shared" si="227"/>
        <v>285/75R24.5-14PR-I-37D</v>
      </c>
      <c r="K589" s="193"/>
      <c r="L589" s="193"/>
      <c r="M589" s="193"/>
      <c r="N589" s="193"/>
      <c r="O589" s="193"/>
      <c r="P589" s="193"/>
      <c r="Q589" s="193"/>
      <c r="R589" s="210"/>
      <c r="BB589" s="113" t="str">
        <f t="shared" si="225"/>
        <v/>
      </c>
    </row>
    <row r="590" spans="2:54">
      <c r="B590" s="119" t="s">
        <v>2111</v>
      </c>
      <c r="C590" s="120" t="s">
        <v>958</v>
      </c>
      <c r="D590" s="121" t="s">
        <v>1671</v>
      </c>
      <c r="E590" s="120" t="s">
        <v>2123</v>
      </c>
      <c r="F590" s="133">
        <f t="shared" ref="F590:F620" si="228">G590-3.37+3.91</f>
        <v>57.698</v>
      </c>
      <c r="G590" s="133">
        <v>57.158</v>
      </c>
      <c r="H590" s="133">
        <v>56.83</v>
      </c>
      <c r="I590" s="144">
        <f t="shared" si="223"/>
        <v>0.328000000000003</v>
      </c>
      <c r="J590" s="115" t="str">
        <f t="shared" si="227"/>
        <v>285/75R24.5-14PR-HD1 Plus</v>
      </c>
      <c r="K590" s="193"/>
      <c r="L590" s="193"/>
      <c r="M590" s="193"/>
      <c r="N590" s="193"/>
      <c r="O590" s="193"/>
      <c r="P590" s="193"/>
      <c r="Q590" s="193"/>
      <c r="R590" s="210"/>
      <c r="BB590" s="113" t="str">
        <f t="shared" si="225"/>
        <v/>
      </c>
    </row>
    <row r="591" spans="2:54">
      <c r="B591" s="119" t="s">
        <v>2111</v>
      </c>
      <c r="C591" s="120" t="s">
        <v>958</v>
      </c>
      <c r="D591" s="120" t="s">
        <v>1665</v>
      </c>
      <c r="E591" s="138" t="s">
        <v>2123</v>
      </c>
      <c r="F591" s="133">
        <f t="shared" si="228"/>
        <v>57.698</v>
      </c>
      <c r="G591" s="133">
        <v>57.158</v>
      </c>
      <c r="H591" s="133">
        <v>56.83</v>
      </c>
      <c r="I591" s="144">
        <f t="shared" si="223"/>
        <v>0.328000000000003</v>
      </c>
      <c r="J591" s="115" t="str">
        <f t="shared" si="227"/>
        <v>285/75R24.5-14PR-AD716</v>
      </c>
      <c r="K591" s="193"/>
      <c r="L591" s="193"/>
      <c r="M591" s="193"/>
      <c r="N591" s="193"/>
      <c r="O591" s="193"/>
      <c r="P591" s="193"/>
      <c r="Q591" s="193"/>
      <c r="R591" s="210"/>
      <c r="BB591" s="113" t="str">
        <f t="shared" si="225"/>
        <v/>
      </c>
    </row>
    <row r="592" spans="2:54">
      <c r="B592" s="119" t="s">
        <v>2111</v>
      </c>
      <c r="C592" s="120" t="s">
        <v>958</v>
      </c>
      <c r="D592" s="120" t="s">
        <v>1676</v>
      </c>
      <c r="E592" s="125" t="s">
        <v>2123</v>
      </c>
      <c r="F592" s="133">
        <f t="shared" si="228"/>
        <v>57.698</v>
      </c>
      <c r="G592" s="133">
        <v>57.158</v>
      </c>
      <c r="H592" s="133">
        <v>56.83</v>
      </c>
      <c r="I592" s="144">
        <f t="shared" si="223"/>
        <v>0.328000000000003</v>
      </c>
      <c r="J592" s="115" t="str">
        <f t="shared" si="227"/>
        <v>285/75R24.5-14PR-CM996</v>
      </c>
      <c r="K592" s="193"/>
      <c r="L592" s="193"/>
      <c r="M592" s="193"/>
      <c r="N592" s="193"/>
      <c r="O592" s="193"/>
      <c r="P592" s="193"/>
      <c r="Q592" s="193"/>
      <c r="R592" s="210"/>
      <c r="BB592" s="113" t="str">
        <f t="shared" si="225"/>
        <v/>
      </c>
    </row>
    <row r="593" spans="2:54">
      <c r="B593" s="119" t="s">
        <v>2111</v>
      </c>
      <c r="C593" s="120" t="s">
        <v>958</v>
      </c>
      <c r="D593" s="121" t="s">
        <v>1821</v>
      </c>
      <c r="E593" s="120" t="s">
        <v>2123</v>
      </c>
      <c r="F593" s="133">
        <f t="shared" si="228"/>
        <v>57.698</v>
      </c>
      <c r="G593" s="133">
        <v>57.158</v>
      </c>
      <c r="H593" s="133">
        <v>56.83</v>
      </c>
      <c r="I593" s="144">
        <f t="shared" si="223"/>
        <v>0.328000000000003</v>
      </c>
      <c r="J593" s="115" t="str">
        <f t="shared" si="227"/>
        <v>285/75R24.5-14PR-AD757</v>
      </c>
      <c r="K593" s="193"/>
      <c r="L593" s="193"/>
      <c r="M593" s="193"/>
      <c r="N593" s="193"/>
      <c r="O593" s="193"/>
      <c r="P593" s="193"/>
      <c r="Q593" s="193"/>
      <c r="R593" s="210"/>
      <c r="BB593" s="113" t="str">
        <f t="shared" si="225"/>
        <v/>
      </c>
    </row>
    <row r="594" spans="2:54">
      <c r="B594" s="119" t="s">
        <v>2111</v>
      </c>
      <c r="C594" s="120" t="s">
        <v>958</v>
      </c>
      <c r="D594" s="120" t="s">
        <v>2124</v>
      </c>
      <c r="E594" s="138" t="s">
        <v>2123</v>
      </c>
      <c r="F594" s="133">
        <f t="shared" si="228"/>
        <v>57.698</v>
      </c>
      <c r="G594" s="133">
        <v>57.158</v>
      </c>
      <c r="H594" s="133">
        <v>56.83</v>
      </c>
      <c r="I594" s="144">
        <f t="shared" si="223"/>
        <v>0.328000000000003</v>
      </c>
      <c r="J594" s="115" t="str">
        <f t="shared" si="227"/>
        <v>285/75R24.5-14PR-RLINE-D1</v>
      </c>
      <c r="K594" s="193"/>
      <c r="L594" s="193"/>
      <c r="M594" s="193"/>
      <c r="N594" s="193"/>
      <c r="O594" s="193"/>
      <c r="P594" s="193"/>
      <c r="Q594" s="193"/>
      <c r="R594" s="210"/>
      <c r="BB594" s="113" t="str">
        <f t="shared" si="225"/>
        <v/>
      </c>
    </row>
    <row r="595" spans="2:54">
      <c r="B595" s="119" t="s">
        <v>2111</v>
      </c>
      <c r="C595" s="120" t="s">
        <v>958</v>
      </c>
      <c r="D595" s="120" t="s">
        <v>2125</v>
      </c>
      <c r="E595" s="125" t="s">
        <v>2123</v>
      </c>
      <c r="F595" s="133">
        <f t="shared" si="228"/>
        <v>57.698</v>
      </c>
      <c r="G595" s="133">
        <v>57.158</v>
      </c>
      <c r="H595" s="133">
        <v>56.83</v>
      </c>
      <c r="I595" s="144">
        <f t="shared" si="223"/>
        <v>0.328000000000003</v>
      </c>
      <c r="J595" s="115" t="str">
        <f t="shared" si="227"/>
        <v>285/75R24.5-14PR-ECO-MILE CSD</v>
      </c>
      <c r="K595" s="193"/>
      <c r="L595" s="193"/>
      <c r="M595" s="193"/>
      <c r="N595" s="193"/>
      <c r="O595" s="193"/>
      <c r="P595" s="193"/>
      <c r="Q595" s="193"/>
      <c r="R595" s="210"/>
      <c r="BB595" s="113" t="str">
        <f t="shared" si="225"/>
        <v/>
      </c>
    </row>
    <row r="596" spans="2:54">
      <c r="B596" s="119" t="s">
        <v>2111</v>
      </c>
      <c r="C596" s="120" t="s">
        <v>958</v>
      </c>
      <c r="D596" s="120" t="s">
        <v>1669</v>
      </c>
      <c r="E596" s="125" t="s">
        <v>2123</v>
      </c>
      <c r="F596" s="133">
        <f t="shared" si="228"/>
        <v>57.698</v>
      </c>
      <c r="G596" s="133">
        <v>57.158</v>
      </c>
      <c r="H596" s="133">
        <v>56.83</v>
      </c>
      <c r="I596" s="144">
        <f t="shared" si="223"/>
        <v>0.328000000000003</v>
      </c>
      <c r="J596" s="115" t="str">
        <f t="shared" si="227"/>
        <v>285/75R24.5-14PR-M-TRAC CSD</v>
      </c>
      <c r="K596" s="193"/>
      <c r="L596" s="193"/>
      <c r="M596" s="193"/>
      <c r="N596" s="193"/>
      <c r="O596" s="193"/>
      <c r="P596" s="193"/>
      <c r="Q596" s="193"/>
      <c r="R596" s="210"/>
      <c r="BB596" s="113" t="str">
        <f t="shared" si="225"/>
        <v/>
      </c>
    </row>
    <row r="597" spans="2:54">
      <c r="B597" s="119" t="s">
        <v>2111</v>
      </c>
      <c r="C597" s="120" t="s">
        <v>958</v>
      </c>
      <c r="D597" s="120" t="s">
        <v>2126</v>
      </c>
      <c r="E597" s="125" t="s">
        <v>2123</v>
      </c>
      <c r="F597" s="133">
        <f t="shared" si="228"/>
        <v>57.698</v>
      </c>
      <c r="G597" s="133">
        <v>57.158</v>
      </c>
      <c r="H597" s="133">
        <v>56.83</v>
      </c>
      <c r="I597" s="144">
        <f t="shared" si="223"/>
        <v>0.328000000000003</v>
      </c>
      <c r="J597" s="115" t="str">
        <f t="shared" si="227"/>
        <v>285/75R24.5-14PR-ADL12</v>
      </c>
      <c r="K597" s="193"/>
      <c r="L597" s="193"/>
      <c r="M597" s="193"/>
      <c r="N597" s="193"/>
      <c r="O597" s="193"/>
      <c r="P597" s="193"/>
      <c r="Q597" s="193"/>
      <c r="R597" s="210"/>
      <c r="BB597" s="113" t="str">
        <f t="shared" si="225"/>
        <v/>
      </c>
    </row>
    <row r="598" spans="2:54">
      <c r="B598" s="119" t="s">
        <v>2111</v>
      </c>
      <c r="C598" s="120" t="s">
        <v>1074</v>
      </c>
      <c r="D598" s="120" t="s">
        <v>1671</v>
      </c>
      <c r="E598" s="125" t="s">
        <v>2123</v>
      </c>
      <c r="F598" s="133">
        <f t="shared" si="228"/>
        <v>57.698</v>
      </c>
      <c r="G598" s="133">
        <v>57.158</v>
      </c>
      <c r="H598" s="133">
        <v>56.8</v>
      </c>
      <c r="I598" s="144">
        <f t="shared" si="223"/>
        <v>0.358000000000004</v>
      </c>
      <c r="J598" s="115" t="str">
        <f t="shared" si="227"/>
        <v>285/75R24.5-16PR-HD1 Plus</v>
      </c>
      <c r="K598" s="193"/>
      <c r="L598" s="193"/>
      <c r="M598" s="193"/>
      <c r="N598" s="193"/>
      <c r="O598" s="193"/>
      <c r="P598" s="193"/>
      <c r="Q598" s="193"/>
      <c r="R598" s="210"/>
      <c r="BB598" s="113" t="str">
        <f t="shared" si="225"/>
        <v/>
      </c>
    </row>
    <row r="599" spans="2:54">
      <c r="B599" s="119" t="s">
        <v>2111</v>
      </c>
      <c r="C599" s="120" t="s">
        <v>1074</v>
      </c>
      <c r="D599" s="120" t="s">
        <v>1665</v>
      </c>
      <c r="E599" s="125" t="s">
        <v>2123</v>
      </c>
      <c r="F599" s="133">
        <f t="shared" si="228"/>
        <v>57.698</v>
      </c>
      <c r="G599" s="133">
        <v>57.158</v>
      </c>
      <c r="H599" s="133">
        <v>56.8</v>
      </c>
      <c r="I599" s="144">
        <f t="shared" si="223"/>
        <v>0.358000000000004</v>
      </c>
      <c r="J599" s="115" t="str">
        <f t="shared" si="227"/>
        <v>285/75R24.5-16PR-AD716</v>
      </c>
      <c r="K599" s="193"/>
      <c r="L599" s="193"/>
      <c r="M599" s="193"/>
      <c r="N599" s="193"/>
      <c r="O599" s="193"/>
      <c r="P599" s="193"/>
      <c r="Q599" s="193"/>
      <c r="R599" s="210"/>
      <c r="BB599" s="113" t="str">
        <f t="shared" si="225"/>
        <v/>
      </c>
    </row>
    <row r="600" spans="2:54">
      <c r="B600" s="119" t="s">
        <v>2111</v>
      </c>
      <c r="C600" s="120" t="s">
        <v>1074</v>
      </c>
      <c r="D600" s="120" t="s">
        <v>1676</v>
      </c>
      <c r="E600" s="125" t="s">
        <v>2123</v>
      </c>
      <c r="F600" s="133">
        <f t="shared" si="228"/>
        <v>57.698</v>
      </c>
      <c r="G600" s="133">
        <v>57.158</v>
      </c>
      <c r="H600" s="133">
        <v>56.8</v>
      </c>
      <c r="I600" s="144">
        <f t="shared" si="223"/>
        <v>0.358000000000004</v>
      </c>
      <c r="J600" s="115" t="str">
        <f t="shared" si="227"/>
        <v>285/75R24.5-16PR-CM996</v>
      </c>
      <c r="K600" s="193"/>
      <c r="L600" s="193"/>
      <c r="M600" s="193"/>
      <c r="N600" s="193"/>
      <c r="O600" s="193"/>
      <c r="P600" s="193"/>
      <c r="Q600" s="193"/>
      <c r="R600" s="210"/>
      <c r="BB600" s="113" t="str">
        <f t="shared" si="225"/>
        <v/>
      </c>
    </row>
    <row r="601" spans="2:54">
      <c r="B601" s="119" t="s">
        <v>2111</v>
      </c>
      <c r="C601" s="120" t="s">
        <v>1074</v>
      </c>
      <c r="D601" s="120" t="s">
        <v>1821</v>
      </c>
      <c r="E601" s="125" t="s">
        <v>2123</v>
      </c>
      <c r="F601" s="133">
        <f t="shared" si="228"/>
        <v>57.698</v>
      </c>
      <c r="G601" s="133">
        <v>57.158</v>
      </c>
      <c r="H601" s="133">
        <v>56.8</v>
      </c>
      <c r="I601" s="144">
        <f t="shared" si="223"/>
        <v>0.358000000000004</v>
      </c>
      <c r="J601" s="115" t="str">
        <f t="shared" si="227"/>
        <v>285/75R24.5-16PR-AD757</v>
      </c>
      <c r="K601" s="193"/>
      <c r="L601" s="193"/>
      <c r="M601" s="193"/>
      <c r="N601" s="193"/>
      <c r="O601" s="193"/>
      <c r="P601" s="193"/>
      <c r="Q601" s="193"/>
      <c r="R601" s="210"/>
      <c r="BB601" s="113" t="str">
        <f t="shared" si="225"/>
        <v/>
      </c>
    </row>
    <row r="602" spans="2:54">
      <c r="B602" s="119" t="s">
        <v>2111</v>
      </c>
      <c r="C602" s="120" t="s">
        <v>1074</v>
      </c>
      <c r="D602" s="120" t="s">
        <v>2124</v>
      </c>
      <c r="E602" s="125" t="s">
        <v>2123</v>
      </c>
      <c r="F602" s="133">
        <f t="shared" si="228"/>
        <v>57.698</v>
      </c>
      <c r="G602" s="133">
        <v>57.158</v>
      </c>
      <c r="H602" s="133">
        <v>56.8</v>
      </c>
      <c r="I602" s="144">
        <f t="shared" si="223"/>
        <v>0.358000000000004</v>
      </c>
      <c r="J602" s="115" t="str">
        <f t="shared" si="227"/>
        <v>285/75R24.5-16PR-RLINE-D1</v>
      </c>
      <c r="K602" s="193"/>
      <c r="L602" s="193"/>
      <c r="M602" s="193"/>
      <c r="N602" s="193"/>
      <c r="O602" s="193"/>
      <c r="P602" s="193"/>
      <c r="Q602" s="193"/>
      <c r="R602" s="210"/>
      <c r="BB602" s="113" t="str">
        <f t="shared" si="225"/>
        <v/>
      </c>
    </row>
    <row r="603" spans="2:54">
      <c r="B603" s="119" t="s">
        <v>2111</v>
      </c>
      <c r="C603" s="120" t="s">
        <v>1074</v>
      </c>
      <c r="D603" s="120" t="s">
        <v>2125</v>
      </c>
      <c r="E603" s="125" t="s">
        <v>2123</v>
      </c>
      <c r="F603" s="133">
        <f t="shared" si="228"/>
        <v>57.698</v>
      </c>
      <c r="G603" s="133">
        <v>57.158</v>
      </c>
      <c r="H603" s="133">
        <v>56.8</v>
      </c>
      <c r="I603" s="144">
        <f t="shared" si="223"/>
        <v>0.358000000000004</v>
      </c>
      <c r="J603" s="115" t="str">
        <f t="shared" si="227"/>
        <v>285/75R24.5-16PR-ECO-MILE CSD</v>
      </c>
      <c r="K603" s="193"/>
      <c r="L603" s="193"/>
      <c r="M603" s="193"/>
      <c r="N603" s="193"/>
      <c r="O603" s="193"/>
      <c r="P603" s="193"/>
      <c r="Q603" s="193"/>
      <c r="R603" s="210"/>
      <c r="BB603" s="113" t="str">
        <f t="shared" si="225"/>
        <v/>
      </c>
    </row>
    <row r="604" spans="2:54">
      <c r="B604" s="119" t="s">
        <v>2111</v>
      </c>
      <c r="C604" s="120" t="s">
        <v>1074</v>
      </c>
      <c r="D604" s="120" t="s">
        <v>1669</v>
      </c>
      <c r="E604" s="125" t="s">
        <v>2123</v>
      </c>
      <c r="F604" s="133">
        <f t="shared" si="228"/>
        <v>57.698</v>
      </c>
      <c r="G604" s="133">
        <v>57.158</v>
      </c>
      <c r="H604" s="133">
        <v>56.8</v>
      </c>
      <c r="I604" s="144">
        <f t="shared" si="223"/>
        <v>0.358000000000004</v>
      </c>
      <c r="J604" s="115" t="str">
        <f t="shared" si="227"/>
        <v>285/75R24.5-16PR-M-TRAC CSD</v>
      </c>
      <c r="K604" s="193"/>
      <c r="L604" s="193"/>
      <c r="M604" s="193"/>
      <c r="N604" s="193"/>
      <c r="O604" s="193"/>
      <c r="P604" s="193"/>
      <c r="Q604" s="193"/>
      <c r="R604" s="210"/>
      <c r="BB604" s="113" t="str">
        <f t="shared" si="225"/>
        <v/>
      </c>
    </row>
    <row r="605" spans="2:54">
      <c r="B605" s="119" t="s">
        <v>2111</v>
      </c>
      <c r="C605" s="120" t="s">
        <v>1074</v>
      </c>
      <c r="D605" s="120" t="s">
        <v>2126</v>
      </c>
      <c r="E605" s="125" t="s">
        <v>2123</v>
      </c>
      <c r="F605" s="133">
        <f t="shared" si="228"/>
        <v>57.698</v>
      </c>
      <c r="G605" s="133">
        <v>57.158</v>
      </c>
      <c r="H605" s="133">
        <v>56.8</v>
      </c>
      <c r="I605" s="144">
        <f t="shared" si="223"/>
        <v>0.358000000000004</v>
      </c>
      <c r="J605" s="115" t="str">
        <f t="shared" si="227"/>
        <v>285/75R24.5-16PR-ADL12</v>
      </c>
      <c r="K605" s="193"/>
      <c r="L605" s="193"/>
      <c r="M605" s="193"/>
      <c r="N605" s="193"/>
      <c r="O605" s="193"/>
      <c r="P605" s="193"/>
      <c r="Q605" s="193"/>
      <c r="R605" s="210"/>
      <c r="BB605" s="113" t="str">
        <f t="shared" si="225"/>
        <v/>
      </c>
    </row>
    <row r="606" spans="2:54">
      <c r="B606" s="119" t="s">
        <v>2111</v>
      </c>
      <c r="C606" s="120" t="s">
        <v>958</v>
      </c>
      <c r="D606" s="120" t="s">
        <v>1781</v>
      </c>
      <c r="E606" s="125" t="s">
        <v>2127</v>
      </c>
      <c r="F606" s="133">
        <f t="shared" si="228"/>
        <v>53.36</v>
      </c>
      <c r="G606" s="133">
        <v>52.82</v>
      </c>
      <c r="H606" s="133">
        <v>52.74</v>
      </c>
      <c r="I606" s="144">
        <f t="shared" si="223"/>
        <v>0.0799999999999983</v>
      </c>
      <c r="J606" s="115" t="str">
        <f t="shared" si="227"/>
        <v>285/75R24.5-14PR-HF1 Plus</v>
      </c>
      <c r="K606" s="193"/>
      <c r="L606" s="193"/>
      <c r="M606" s="193"/>
      <c r="N606" s="193"/>
      <c r="O606" s="193"/>
      <c r="P606" s="193"/>
      <c r="Q606" s="193"/>
      <c r="R606" s="210"/>
      <c r="BB606" s="113" t="str">
        <f t="shared" si="225"/>
        <v/>
      </c>
    </row>
    <row r="607" spans="2:54">
      <c r="B607" s="119" t="s">
        <v>2111</v>
      </c>
      <c r="C607" s="120" t="s">
        <v>958</v>
      </c>
      <c r="D607" s="120" t="s">
        <v>1776</v>
      </c>
      <c r="E607" s="125" t="s">
        <v>2127</v>
      </c>
      <c r="F607" s="133">
        <f t="shared" si="228"/>
        <v>53.36</v>
      </c>
      <c r="G607" s="133">
        <v>52.82</v>
      </c>
      <c r="H607" s="133">
        <v>52.74</v>
      </c>
      <c r="I607" s="144">
        <f t="shared" si="223"/>
        <v>0.0799999999999983</v>
      </c>
      <c r="J607" s="115" t="str">
        <f t="shared" si="227"/>
        <v>285/75R24.5-14PR-AZ599</v>
      </c>
      <c r="K607" s="193"/>
      <c r="L607" s="193"/>
      <c r="M607" s="193"/>
      <c r="N607" s="193"/>
      <c r="O607" s="193"/>
      <c r="P607" s="193"/>
      <c r="Q607" s="193"/>
      <c r="BB607" s="113" t="str">
        <f t="shared" si="225"/>
        <v/>
      </c>
    </row>
    <row r="608" spans="2:54">
      <c r="B608" s="119" t="s">
        <v>2111</v>
      </c>
      <c r="C608" s="120" t="s">
        <v>958</v>
      </c>
      <c r="D608" s="120" t="s">
        <v>1559</v>
      </c>
      <c r="E608" s="125" t="s">
        <v>2127</v>
      </c>
      <c r="F608" s="133">
        <f t="shared" si="228"/>
        <v>53.36</v>
      </c>
      <c r="G608" s="133">
        <v>52.82</v>
      </c>
      <c r="H608" s="133">
        <v>52.74</v>
      </c>
      <c r="I608" s="144">
        <f t="shared" si="223"/>
        <v>0.0799999999999983</v>
      </c>
      <c r="J608" s="115" t="str">
        <f t="shared" si="227"/>
        <v>285/75R24.5-14PR-AS678</v>
      </c>
      <c r="K608" s="193"/>
      <c r="L608" s="193"/>
      <c r="M608" s="193"/>
      <c r="N608" s="193"/>
      <c r="O608" s="193"/>
      <c r="P608" s="193"/>
      <c r="Q608" s="193"/>
      <c r="BB608" s="113" t="str">
        <f t="shared" si="225"/>
        <v/>
      </c>
    </row>
    <row r="609" spans="2:54">
      <c r="B609" s="119" t="s">
        <v>2111</v>
      </c>
      <c r="C609" s="120" t="s">
        <v>958</v>
      </c>
      <c r="D609" s="121" t="s">
        <v>1751</v>
      </c>
      <c r="E609" s="120" t="s">
        <v>2127</v>
      </c>
      <c r="F609" s="127">
        <f t="shared" si="228"/>
        <v>53.36</v>
      </c>
      <c r="G609" s="133">
        <v>52.82</v>
      </c>
      <c r="H609" s="133">
        <v>52.74</v>
      </c>
      <c r="I609" s="144">
        <f t="shared" si="223"/>
        <v>0.0799999999999983</v>
      </c>
      <c r="J609" s="115" t="str">
        <f t="shared" si="227"/>
        <v>285/75R24.5-14PR-CR960A</v>
      </c>
      <c r="K609" s="193"/>
      <c r="L609" s="193"/>
      <c r="M609" s="193"/>
      <c r="N609" s="193"/>
      <c r="O609" s="193"/>
      <c r="P609" s="193"/>
      <c r="Q609" s="193"/>
      <c r="BB609" s="113" t="str">
        <f t="shared" si="225"/>
        <v/>
      </c>
    </row>
    <row r="610" spans="2:54">
      <c r="B610" s="119" t="s">
        <v>2111</v>
      </c>
      <c r="C610" s="120" t="s">
        <v>958</v>
      </c>
      <c r="D610" s="121" t="s">
        <v>2128</v>
      </c>
      <c r="E610" s="125" t="s">
        <v>2127</v>
      </c>
      <c r="F610" s="133">
        <f t="shared" si="228"/>
        <v>53.36</v>
      </c>
      <c r="G610" s="133">
        <v>52.82</v>
      </c>
      <c r="H610" s="133">
        <v>52.74</v>
      </c>
      <c r="I610" s="144">
        <f t="shared" si="223"/>
        <v>0.0799999999999983</v>
      </c>
      <c r="J610" s="115" t="str">
        <f t="shared" si="227"/>
        <v>285/75R24.5-14PR-ECO-MILE AP</v>
      </c>
      <c r="K610" s="193"/>
      <c r="L610" s="193"/>
      <c r="M610" s="193"/>
      <c r="N610" s="193"/>
      <c r="O610" s="193"/>
      <c r="P610" s="193"/>
      <c r="Q610" s="193"/>
      <c r="BB610" s="113" t="str">
        <f t="shared" si="225"/>
        <v/>
      </c>
    </row>
    <row r="611" spans="2:54">
      <c r="B611" s="119" t="s">
        <v>2111</v>
      </c>
      <c r="C611" s="120" t="s">
        <v>958</v>
      </c>
      <c r="D611" s="121" t="s">
        <v>1778</v>
      </c>
      <c r="E611" s="125" t="s">
        <v>2127</v>
      </c>
      <c r="F611" s="133">
        <f t="shared" si="228"/>
        <v>53.36</v>
      </c>
      <c r="G611" s="133">
        <v>52.82</v>
      </c>
      <c r="H611" s="133">
        <v>52.74</v>
      </c>
      <c r="I611" s="144">
        <f t="shared" si="223"/>
        <v>0.0799999999999983</v>
      </c>
      <c r="J611" s="115" t="str">
        <f t="shared" si="227"/>
        <v>285/75R24.5-14PR-M-TRAC AP</v>
      </c>
      <c r="K611" s="193"/>
      <c r="L611" s="193"/>
      <c r="M611" s="193"/>
      <c r="N611" s="193"/>
      <c r="O611" s="193"/>
      <c r="P611" s="193"/>
      <c r="Q611" s="193"/>
      <c r="BB611" s="113" t="str">
        <f t="shared" si="225"/>
        <v/>
      </c>
    </row>
    <row r="612" spans="2:54">
      <c r="B612" s="119" t="s">
        <v>2111</v>
      </c>
      <c r="C612" s="120" t="s">
        <v>958</v>
      </c>
      <c r="D612" s="121" t="s">
        <v>2129</v>
      </c>
      <c r="E612" s="120" t="s">
        <v>2127</v>
      </c>
      <c r="F612" s="127">
        <f t="shared" si="228"/>
        <v>53.36</v>
      </c>
      <c r="G612" s="133">
        <v>52.82</v>
      </c>
      <c r="H612" s="133">
        <v>52.74</v>
      </c>
      <c r="I612" s="144">
        <f t="shared" si="223"/>
        <v>0.0799999999999983</v>
      </c>
      <c r="J612" s="115" t="str">
        <f t="shared" si="227"/>
        <v>285/75R24.5-14PR-AZA02</v>
      </c>
      <c r="K612" s="193"/>
      <c r="L612" s="193"/>
      <c r="M612" s="193"/>
      <c r="N612" s="193"/>
      <c r="O612" s="193"/>
      <c r="P612" s="193"/>
      <c r="Q612" s="193"/>
      <c r="BB612" s="113" t="str">
        <f t="shared" si="225"/>
        <v/>
      </c>
    </row>
    <row r="613" spans="2:54">
      <c r="B613" s="119" t="s">
        <v>2111</v>
      </c>
      <c r="C613" s="120" t="s">
        <v>1074</v>
      </c>
      <c r="D613" s="120" t="s">
        <v>1781</v>
      </c>
      <c r="E613" s="138" t="s">
        <v>2127</v>
      </c>
      <c r="F613" s="133">
        <f t="shared" si="228"/>
        <v>53.36</v>
      </c>
      <c r="G613" s="133">
        <v>52.82</v>
      </c>
      <c r="H613" s="133">
        <v>52.73</v>
      </c>
      <c r="I613" s="144">
        <f t="shared" si="223"/>
        <v>0.0900000000000034</v>
      </c>
      <c r="J613" s="115" t="str">
        <f t="shared" si="227"/>
        <v>285/75R24.5-16PR-HF1 Plus</v>
      </c>
      <c r="K613" s="193"/>
      <c r="L613" s="193"/>
      <c r="M613" s="193"/>
      <c r="N613" s="193"/>
      <c r="O613" s="193"/>
      <c r="P613" s="193"/>
      <c r="Q613" s="193"/>
      <c r="BB613" s="113" t="str">
        <f t="shared" si="225"/>
        <v/>
      </c>
    </row>
    <row r="614" spans="2:54">
      <c r="B614" s="119" t="s">
        <v>2111</v>
      </c>
      <c r="C614" s="120" t="s">
        <v>1074</v>
      </c>
      <c r="D614" s="120" t="s">
        <v>1776</v>
      </c>
      <c r="E614" s="125" t="s">
        <v>2127</v>
      </c>
      <c r="F614" s="133">
        <f t="shared" si="228"/>
        <v>53.36</v>
      </c>
      <c r="G614" s="133">
        <v>52.82</v>
      </c>
      <c r="H614" s="133">
        <v>52.73</v>
      </c>
      <c r="I614" s="144">
        <f t="shared" si="223"/>
        <v>0.0900000000000034</v>
      </c>
      <c r="J614" s="115" t="str">
        <f t="shared" si="227"/>
        <v>285/75R24.5-16PR-AZ599</v>
      </c>
      <c r="K614" s="193"/>
      <c r="L614" s="193"/>
      <c r="M614" s="193"/>
      <c r="N614" s="193"/>
      <c r="O614" s="193"/>
      <c r="P614" s="193"/>
      <c r="Q614" s="193"/>
      <c r="BB614" s="113" t="str">
        <f t="shared" si="225"/>
        <v/>
      </c>
    </row>
    <row r="615" spans="2:54">
      <c r="B615" s="119" t="s">
        <v>2111</v>
      </c>
      <c r="C615" s="120" t="s">
        <v>1074</v>
      </c>
      <c r="D615" s="120" t="s">
        <v>1559</v>
      </c>
      <c r="E615" s="125" t="s">
        <v>2127</v>
      </c>
      <c r="F615" s="133">
        <f t="shared" si="228"/>
        <v>53.36</v>
      </c>
      <c r="G615" s="133">
        <v>52.82</v>
      </c>
      <c r="H615" s="133">
        <v>52.73</v>
      </c>
      <c r="I615" s="144">
        <f t="shared" si="223"/>
        <v>0.0900000000000034</v>
      </c>
      <c r="J615" s="115" t="str">
        <f t="shared" si="227"/>
        <v>285/75R24.5-16PR-AS678</v>
      </c>
      <c r="K615" s="193"/>
      <c r="L615" s="193"/>
      <c r="M615" s="193"/>
      <c r="N615" s="193"/>
      <c r="O615" s="193"/>
      <c r="P615" s="193"/>
      <c r="Q615" s="193"/>
      <c r="BB615" s="113" t="str">
        <f t="shared" si="225"/>
        <v/>
      </c>
    </row>
    <row r="616" spans="2:54">
      <c r="B616" s="119" t="s">
        <v>2111</v>
      </c>
      <c r="C616" s="120" t="s">
        <v>1074</v>
      </c>
      <c r="D616" s="120" t="s">
        <v>1751</v>
      </c>
      <c r="E616" s="125" t="s">
        <v>2127</v>
      </c>
      <c r="F616" s="133">
        <f t="shared" si="228"/>
        <v>53.36</v>
      </c>
      <c r="G616" s="133">
        <v>52.82</v>
      </c>
      <c r="H616" s="133">
        <v>52.73</v>
      </c>
      <c r="I616" s="144">
        <f t="shared" si="223"/>
        <v>0.0900000000000034</v>
      </c>
      <c r="J616" s="115" t="str">
        <f t="shared" si="227"/>
        <v>285/75R24.5-16PR-CR960A</v>
      </c>
      <c r="K616" s="193"/>
      <c r="L616" s="193"/>
      <c r="M616" s="193"/>
      <c r="N616" s="193"/>
      <c r="O616" s="193"/>
      <c r="P616" s="193"/>
      <c r="Q616" s="193"/>
      <c r="BB616" s="113" t="str">
        <f t="shared" si="225"/>
        <v/>
      </c>
    </row>
    <row r="617" spans="2:54">
      <c r="B617" s="119" t="s">
        <v>2111</v>
      </c>
      <c r="C617" s="120" t="s">
        <v>1074</v>
      </c>
      <c r="D617" s="121" t="s">
        <v>2128</v>
      </c>
      <c r="E617" s="125" t="s">
        <v>2127</v>
      </c>
      <c r="F617" s="133">
        <f t="shared" si="228"/>
        <v>53.36</v>
      </c>
      <c r="G617" s="133">
        <v>52.82</v>
      </c>
      <c r="H617" s="133">
        <v>52.73</v>
      </c>
      <c r="I617" s="144">
        <f t="shared" si="223"/>
        <v>0.0900000000000034</v>
      </c>
      <c r="J617" s="115" t="str">
        <f t="shared" si="227"/>
        <v>285/75R24.5-16PR-ECO-MILE AP</v>
      </c>
      <c r="K617" s="193"/>
      <c r="L617" s="193"/>
      <c r="M617" s="193"/>
      <c r="N617" s="193"/>
      <c r="O617" s="193"/>
      <c r="P617" s="193"/>
      <c r="Q617" s="193"/>
      <c r="BB617" s="113" t="str">
        <f t="shared" si="225"/>
        <v/>
      </c>
    </row>
    <row r="618" spans="2:54">
      <c r="B618" s="119" t="s">
        <v>2111</v>
      </c>
      <c r="C618" s="120" t="s">
        <v>1074</v>
      </c>
      <c r="D618" s="121" t="s">
        <v>1778</v>
      </c>
      <c r="E618" s="125" t="s">
        <v>2127</v>
      </c>
      <c r="F618" s="133">
        <f t="shared" si="228"/>
        <v>53.36</v>
      </c>
      <c r="G618" s="133">
        <v>52.82</v>
      </c>
      <c r="H618" s="133">
        <v>52.73</v>
      </c>
      <c r="I618" s="144">
        <f t="shared" si="223"/>
        <v>0.0900000000000034</v>
      </c>
      <c r="J618" s="115" t="str">
        <f t="shared" si="227"/>
        <v>285/75R24.5-16PR-M-TRAC AP</v>
      </c>
      <c r="K618" s="193"/>
      <c r="L618" s="193"/>
      <c r="M618" s="193"/>
      <c r="N618" s="193"/>
      <c r="O618" s="193"/>
      <c r="P618" s="193"/>
      <c r="Q618" s="193"/>
      <c r="BB618" s="113" t="str">
        <f t="shared" si="225"/>
        <v/>
      </c>
    </row>
    <row r="619" spans="2:54">
      <c r="B619" s="119" t="s">
        <v>2111</v>
      </c>
      <c r="C619" s="120" t="s">
        <v>1074</v>
      </c>
      <c r="D619" s="121" t="s">
        <v>2129</v>
      </c>
      <c r="E619" s="120" t="s">
        <v>2127</v>
      </c>
      <c r="F619" s="127">
        <f t="shared" si="228"/>
        <v>53.36</v>
      </c>
      <c r="G619" s="133">
        <v>52.82</v>
      </c>
      <c r="H619" s="133">
        <v>52.73</v>
      </c>
      <c r="I619" s="144">
        <f t="shared" si="223"/>
        <v>0.0900000000000034</v>
      </c>
      <c r="J619" s="115" t="str">
        <f t="shared" si="227"/>
        <v>285/75R24.5-16PR-AZA02</v>
      </c>
      <c r="K619" s="193"/>
      <c r="L619" s="193"/>
      <c r="M619" s="193"/>
      <c r="N619" s="193"/>
      <c r="O619" s="193"/>
      <c r="P619" s="193"/>
      <c r="Q619" s="193"/>
      <c r="BB619" s="113" t="str">
        <f t="shared" si="225"/>
        <v/>
      </c>
    </row>
    <row r="620" spans="2:54">
      <c r="B620" s="119" t="s">
        <v>2111</v>
      </c>
      <c r="C620" s="120" t="s">
        <v>1074</v>
      </c>
      <c r="D620" s="120" t="s">
        <v>1756</v>
      </c>
      <c r="E620" s="125" t="s">
        <v>2130</v>
      </c>
      <c r="F620" s="133">
        <f t="shared" si="228"/>
        <v>64.211</v>
      </c>
      <c r="G620" s="133">
        <v>63.671</v>
      </c>
      <c r="H620" s="133">
        <v>63.19</v>
      </c>
      <c r="I620" s="144">
        <f t="shared" si="223"/>
        <v>0.481000000000002</v>
      </c>
      <c r="J620" s="115" t="str">
        <f t="shared" si="227"/>
        <v>285/75R24.5-16PR-VD998</v>
      </c>
      <c r="K620" s="193"/>
      <c r="L620" s="193"/>
      <c r="M620" s="193"/>
      <c r="N620" s="193"/>
      <c r="O620" s="193"/>
      <c r="P620" s="193"/>
      <c r="Q620" s="193"/>
      <c r="BB620" s="113" t="str">
        <f t="shared" si="225"/>
        <v/>
      </c>
    </row>
    <row r="621" spans="2:54">
      <c r="B621" s="119" t="s">
        <v>2111</v>
      </c>
      <c r="C621" s="120" t="s">
        <v>958</v>
      </c>
      <c r="D621" s="120" t="s">
        <v>1863</v>
      </c>
      <c r="E621" s="125" t="s">
        <v>2131</v>
      </c>
      <c r="F621" s="133">
        <f t="shared" ref="F621:F635" si="229">G621-3.36+3.91</f>
        <v>56.541</v>
      </c>
      <c r="G621" s="133">
        <v>55.991</v>
      </c>
      <c r="H621" s="133">
        <v>55.93</v>
      </c>
      <c r="I621" s="144">
        <f t="shared" si="223"/>
        <v>0.0609999999999999</v>
      </c>
      <c r="J621" s="115" t="str">
        <f t="shared" si="227"/>
        <v>285/75R24.5-14PR-H-RD</v>
      </c>
      <c r="K621" s="193"/>
      <c r="L621" s="193"/>
      <c r="M621" s="193"/>
      <c r="N621" s="193"/>
      <c r="O621" s="193"/>
      <c r="P621" s="193"/>
      <c r="Q621" s="193"/>
      <c r="BB621" s="113" t="str">
        <f t="shared" si="225"/>
        <v/>
      </c>
    </row>
    <row r="622" spans="2:54">
      <c r="B622" s="119" t="s">
        <v>2111</v>
      </c>
      <c r="C622" s="120" t="s">
        <v>958</v>
      </c>
      <c r="D622" s="121" t="s">
        <v>1859</v>
      </c>
      <c r="E622" s="120" t="s">
        <v>2132</v>
      </c>
      <c r="F622" s="133">
        <f t="shared" si="229"/>
        <v>49.67</v>
      </c>
      <c r="G622" s="133">
        <v>49.12</v>
      </c>
      <c r="H622" s="133">
        <v>48.99</v>
      </c>
      <c r="I622" s="144">
        <f t="shared" si="223"/>
        <v>0.129999999999995</v>
      </c>
      <c r="J622" s="115" t="str">
        <f t="shared" si="227"/>
        <v>285/75R24.5-14PR-H-TL</v>
      </c>
      <c r="K622" s="193"/>
      <c r="L622" s="193"/>
      <c r="M622" s="193"/>
      <c r="N622" s="193"/>
      <c r="O622" s="193"/>
      <c r="P622" s="193"/>
      <c r="Q622" s="193"/>
      <c r="BB622" s="113" t="str">
        <f t="shared" si="225"/>
        <v/>
      </c>
    </row>
    <row r="623" spans="2:54">
      <c r="B623" s="119" t="s">
        <v>2111</v>
      </c>
      <c r="C623" s="120" t="s">
        <v>958</v>
      </c>
      <c r="D623" s="120" t="s">
        <v>1782</v>
      </c>
      <c r="E623" s="120" t="s">
        <v>2133</v>
      </c>
      <c r="F623" s="133">
        <f t="shared" si="229"/>
        <v>54.641</v>
      </c>
      <c r="G623" s="133">
        <v>54.091</v>
      </c>
      <c r="H623" s="133">
        <v>54.04</v>
      </c>
      <c r="I623" s="144">
        <f t="shared" si="223"/>
        <v>0.0510000000000019</v>
      </c>
      <c r="J623" s="115" t="str">
        <f t="shared" si="227"/>
        <v>285/75R24.5-14PR-AS600</v>
      </c>
      <c r="K623" s="193"/>
      <c r="L623" s="193"/>
      <c r="M623" s="193"/>
      <c r="N623" s="193"/>
      <c r="O623" s="193"/>
      <c r="P623" s="193"/>
      <c r="Q623" s="193"/>
      <c r="BB623" s="113" t="str">
        <f t="shared" si="225"/>
        <v/>
      </c>
    </row>
    <row r="624" spans="2:54">
      <c r="B624" s="119" t="s">
        <v>2111</v>
      </c>
      <c r="C624" s="120" t="s">
        <v>958</v>
      </c>
      <c r="D624" s="120" t="s">
        <v>2134</v>
      </c>
      <c r="E624" s="120" t="s">
        <v>2133</v>
      </c>
      <c r="F624" s="133">
        <f t="shared" si="229"/>
        <v>54.641</v>
      </c>
      <c r="G624" s="133">
        <v>54.091</v>
      </c>
      <c r="H624" s="133">
        <v>54.04</v>
      </c>
      <c r="I624" s="144">
        <f t="shared" si="223"/>
        <v>0.0510000000000019</v>
      </c>
      <c r="J624" s="115" t="str">
        <f t="shared" si="227"/>
        <v>285/75R24.5-14PR-ASL01</v>
      </c>
      <c r="K624" s="193"/>
      <c r="L624" s="193"/>
      <c r="M624" s="193"/>
      <c r="N624" s="193"/>
      <c r="O624" s="193"/>
      <c r="P624" s="193"/>
      <c r="Q624" s="193"/>
      <c r="BB624" s="113" t="str">
        <f t="shared" si="225"/>
        <v/>
      </c>
    </row>
    <row r="625" spans="2:54">
      <c r="B625" s="119" t="s">
        <v>2111</v>
      </c>
      <c r="C625" s="120" t="s">
        <v>958</v>
      </c>
      <c r="D625" s="120" t="s">
        <v>1840</v>
      </c>
      <c r="E625" s="125" t="s">
        <v>2135</v>
      </c>
      <c r="F625" s="133">
        <f t="shared" si="229"/>
        <v>57.35</v>
      </c>
      <c r="G625" s="133">
        <v>56.8</v>
      </c>
      <c r="H625" s="133">
        <v>56.79</v>
      </c>
      <c r="I625" s="144">
        <f t="shared" si="223"/>
        <v>0.00999999999999801</v>
      </c>
      <c r="J625" s="115" t="str">
        <f t="shared" si="227"/>
        <v>285/75R24.5-14PR-CM983</v>
      </c>
      <c r="K625" s="193"/>
      <c r="L625" s="193"/>
      <c r="M625" s="193"/>
      <c r="N625" s="193"/>
      <c r="O625" s="193"/>
      <c r="P625" s="193"/>
      <c r="Q625" s="193"/>
      <c r="BB625" s="113" t="str">
        <f t="shared" si="225"/>
        <v/>
      </c>
    </row>
    <row r="626" spans="2:54">
      <c r="B626" s="119" t="s">
        <v>2111</v>
      </c>
      <c r="C626" s="120" t="s">
        <v>958</v>
      </c>
      <c r="D626" s="121" t="s">
        <v>2003</v>
      </c>
      <c r="E626" s="120" t="s">
        <v>2135</v>
      </c>
      <c r="F626" s="133">
        <f t="shared" si="229"/>
        <v>57.35</v>
      </c>
      <c r="G626" s="133">
        <v>56.8</v>
      </c>
      <c r="H626" s="133">
        <v>56.79</v>
      </c>
      <c r="I626" s="144">
        <f t="shared" si="223"/>
        <v>0.00999999999999801</v>
      </c>
      <c r="J626" s="115" t="str">
        <f t="shared" si="227"/>
        <v>285/75R24.5-14PR-I-208</v>
      </c>
      <c r="K626" s="193"/>
      <c r="L626" s="193"/>
      <c r="M626" s="193"/>
      <c r="N626" s="193"/>
      <c r="O626" s="193"/>
      <c r="P626" s="193"/>
      <c r="Q626" s="193"/>
      <c r="BB626" s="113" t="str">
        <f t="shared" si="225"/>
        <v/>
      </c>
    </row>
    <row r="627" spans="2:54">
      <c r="B627" s="119" t="s">
        <v>2111</v>
      </c>
      <c r="C627" s="120" t="s">
        <v>958</v>
      </c>
      <c r="D627" s="120" t="s">
        <v>2136</v>
      </c>
      <c r="E627" s="138" t="s">
        <v>2135</v>
      </c>
      <c r="F627" s="133">
        <f t="shared" si="229"/>
        <v>57.35</v>
      </c>
      <c r="G627" s="133">
        <v>56.8</v>
      </c>
      <c r="H627" s="133">
        <v>56.79</v>
      </c>
      <c r="I627" s="144">
        <f t="shared" si="223"/>
        <v>0.00999999999999801</v>
      </c>
      <c r="J627" s="115" t="str">
        <f t="shared" si="227"/>
        <v>285/75R24.5-14PR-R-D2</v>
      </c>
      <c r="K627" s="193"/>
      <c r="L627" s="193"/>
      <c r="M627" s="193"/>
      <c r="N627" s="193"/>
      <c r="O627" s="193"/>
      <c r="P627" s="193"/>
      <c r="Q627" s="193"/>
      <c r="BB627" s="113" t="str">
        <f t="shared" si="225"/>
        <v/>
      </c>
    </row>
    <row r="628" spans="2:54">
      <c r="B628" s="119" t="s">
        <v>2111</v>
      </c>
      <c r="C628" s="120" t="s">
        <v>958</v>
      </c>
      <c r="D628" s="120" t="s">
        <v>1823</v>
      </c>
      <c r="E628" s="125" t="s">
        <v>2137</v>
      </c>
      <c r="F628" s="133">
        <f t="shared" si="229"/>
        <v>57.941</v>
      </c>
      <c r="G628" s="133">
        <v>57.391</v>
      </c>
      <c r="H628" s="133">
        <v>57.33</v>
      </c>
      <c r="I628" s="144">
        <f t="shared" si="223"/>
        <v>0.0609999999999999</v>
      </c>
      <c r="J628" s="115" t="str">
        <f t="shared" si="227"/>
        <v>285/75R24.5-14PR-AS673</v>
      </c>
      <c r="K628" s="193"/>
      <c r="L628" s="193"/>
      <c r="M628" s="193"/>
      <c r="N628" s="193"/>
      <c r="O628" s="193"/>
      <c r="P628" s="193"/>
      <c r="Q628" s="193"/>
      <c r="BB628" s="113" t="str">
        <f t="shared" si="225"/>
        <v/>
      </c>
    </row>
    <row r="629" spans="2:54">
      <c r="B629" s="119" t="s">
        <v>2111</v>
      </c>
      <c r="C629" s="120" t="s">
        <v>958</v>
      </c>
      <c r="D629" s="120" t="s">
        <v>1767</v>
      </c>
      <c r="E629" s="125" t="s">
        <v>2138</v>
      </c>
      <c r="F629" s="133">
        <f t="shared" si="229"/>
        <v>57.901</v>
      </c>
      <c r="G629" s="133">
        <v>57.351</v>
      </c>
      <c r="H629" s="133">
        <v>57.29</v>
      </c>
      <c r="I629" s="144">
        <f t="shared" si="223"/>
        <v>0.0609999999999999</v>
      </c>
      <c r="J629" s="115" t="str">
        <f t="shared" si="227"/>
        <v>285/75R24.5-14PR-AD721</v>
      </c>
      <c r="K629" s="193"/>
      <c r="L629" s="193"/>
      <c r="M629" s="193"/>
      <c r="N629" s="193"/>
      <c r="O629" s="193"/>
      <c r="P629" s="193"/>
      <c r="Q629" s="193"/>
      <c r="R629" s="210"/>
      <c r="BB629" s="113" t="str">
        <f t="shared" si="225"/>
        <v/>
      </c>
    </row>
    <row r="630" spans="2:54">
      <c r="B630" s="119" t="s">
        <v>2111</v>
      </c>
      <c r="C630" s="120" t="s">
        <v>958</v>
      </c>
      <c r="D630" s="120" t="s">
        <v>2139</v>
      </c>
      <c r="E630" s="125" t="s">
        <v>2138</v>
      </c>
      <c r="F630" s="133">
        <f t="shared" si="229"/>
        <v>57.901</v>
      </c>
      <c r="G630" s="133">
        <v>57.351</v>
      </c>
      <c r="H630" s="133">
        <v>57.29</v>
      </c>
      <c r="I630" s="144">
        <f t="shared" si="223"/>
        <v>0.0609999999999999</v>
      </c>
      <c r="J630" s="115" t="str">
        <f t="shared" si="227"/>
        <v>285/75R24.5-14PR-ADR15</v>
      </c>
      <c r="K630" s="193"/>
      <c r="L630" s="193"/>
      <c r="M630" s="193"/>
      <c r="N630" s="193"/>
      <c r="O630" s="193"/>
      <c r="P630" s="193"/>
      <c r="Q630" s="193"/>
      <c r="R630" s="210"/>
      <c r="BB630" s="113" t="str">
        <f t="shared" si="225"/>
        <v/>
      </c>
    </row>
    <row r="631" spans="2:54">
      <c r="B631" s="119" t="s">
        <v>2111</v>
      </c>
      <c r="C631" s="120" t="s">
        <v>958</v>
      </c>
      <c r="D631" s="120" t="s">
        <v>1827</v>
      </c>
      <c r="E631" s="125" t="s">
        <v>2140</v>
      </c>
      <c r="F631" s="133">
        <f t="shared" si="229"/>
        <v>60.491</v>
      </c>
      <c r="G631" s="133">
        <v>59.941</v>
      </c>
      <c r="H631" s="133">
        <v>59.88</v>
      </c>
      <c r="I631" s="144">
        <f t="shared" si="223"/>
        <v>0.0609999999999999</v>
      </c>
      <c r="J631" s="115" t="str">
        <f t="shared" si="227"/>
        <v>285/75R24.5-14PR-AD778</v>
      </c>
      <c r="K631" s="193"/>
      <c r="L631" s="193"/>
      <c r="M631" s="193"/>
      <c r="N631" s="193"/>
      <c r="O631" s="193"/>
      <c r="P631" s="193"/>
      <c r="Q631" s="193"/>
      <c r="R631" s="210"/>
      <c r="T631" s="193"/>
      <c r="U631" s="193"/>
      <c r="BB631" s="113" t="str">
        <f t="shared" si="225"/>
        <v/>
      </c>
    </row>
    <row r="632" spans="2:54">
      <c r="B632" s="119" t="s">
        <v>2111</v>
      </c>
      <c r="C632" s="120" t="s">
        <v>958</v>
      </c>
      <c r="D632" s="120" t="s">
        <v>1829</v>
      </c>
      <c r="E632" s="125" t="s">
        <v>2141</v>
      </c>
      <c r="F632" s="133">
        <f t="shared" si="229"/>
        <v>64.17</v>
      </c>
      <c r="G632" s="133">
        <v>63.62</v>
      </c>
      <c r="H632" s="133">
        <v>63.63</v>
      </c>
      <c r="I632" s="144">
        <f t="shared" si="223"/>
        <v>-0.0100000000000051</v>
      </c>
      <c r="J632" s="115" t="str">
        <f t="shared" si="227"/>
        <v>285/75R24.5-14PR-AD759</v>
      </c>
      <c r="K632" s="193"/>
      <c r="L632" s="193"/>
      <c r="M632" s="193"/>
      <c r="N632" s="193"/>
      <c r="O632" s="193"/>
      <c r="P632" s="193"/>
      <c r="Q632" s="193"/>
      <c r="R632" s="210"/>
      <c r="T632" s="193"/>
      <c r="U632" s="193"/>
      <c r="BB632" s="113" t="str">
        <f t="shared" si="225"/>
        <v/>
      </c>
    </row>
    <row r="633" spans="2:54">
      <c r="B633" s="119" t="s">
        <v>2111</v>
      </c>
      <c r="C633" s="120" t="s">
        <v>958</v>
      </c>
      <c r="D633" s="120" t="s">
        <v>2142</v>
      </c>
      <c r="E633" s="125" t="s">
        <v>2141</v>
      </c>
      <c r="F633" s="133">
        <f t="shared" si="229"/>
        <v>64.17</v>
      </c>
      <c r="G633" s="133">
        <v>63.62</v>
      </c>
      <c r="H633" s="133">
        <v>63.63</v>
      </c>
      <c r="I633" s="144">
        <f t="shared" si="223"/>
        <v>-0.0100000000000051</v>
      </c>
      <c r="J633" s="115" t="str">
        <f t="shared" si="227"/>
        <v>285/75R24.5-14PR-ADL13</v>
      </c>
      <c r="K633" s="193"/>
      <c r="L633" s="193"/>
      <c r="M633" s="193"/>
      <c r="N633" s="193"/>
      <c r="O633" s="193"/>
      <c r="P633" s="193"/>
      <c r="Q633" s="193"/>
      <c r="R633" s="210"/>
      <c r="T633" s="193"/>
      <c r="U633" s="193"/>
      <c r="BB633" s="113" t="str">
        <f t="shared" si="225"/>
        <v/>
      </c>
    </row>
    <row r="634" spans="2:54">
      <c r="B634" s="119" t="s">
        <v>2111</v>
      </c>
      <c r="C634" s="120" t="s">
        <v>958</v>
      </c>
      <c r="D634" s="120" t="s">
        <v>1833</v>
      </c>
      <c r="E634" s="125" t="s">
        <v>2143</v>
      </c>
      <c r="F634" s="133">
        <f t="shared" si="229"/>
        <v>55.021</v>
      </c>
      <c r="G634" s="133">
        <v>54.471</v>
      </c>
      <c r="H634" s="133">
        <v>54.41</v>
      </c>
      <c r="I634" s="144">
        <f t="shared" si="223"/>
        <v>0.0609999999999999</v>
      </c>
      <c r="J634" s="115" t="str">
        <f t="shared" si="227"/>
        <v>285/75R24.5-14PR-AS600+</v>
      </c>
      <c r="K634" s="193"/>
      <c r="L634" s="193"/>
      <c r="M634" s="193"/>
      <c r="N634" s="193"/>
      <c r="O634" s="193"/>
      <c r="P634" s="193"/>
      <c r="Q634" s="193"/>
      <c r="R634" s="210"/>
      <c r="T634" s="193"/>
      <c r="U634" s="193"/>
      <c r="BB634" s="113" t="str">
        <f t="shared" si="225"/>
        <v/>
      </c>
    </row>
    <row r="635" spans="2:54">
      <c r="B635" s="119" t="s">
        <v>2111</v>
      </c>
      <c r="C635" s="120" t="s">
        <v>958</v>
      </c>
      <c r="D635" s="120" t="s">
        <v>1913</v>
      </c>
      <c r="E635" s="125" t="s">
        <v>2143</v>
      </c>
      <c r="F635" s="133">
        <f t="shared" si="229"/>
        <v>55.021</v>
      </c>
      <c r="G635" s="133">
        <v>54.471</v>
      </c>
      <c r="H635" s="133">
        <v>54.41</v>
      </c>
      <c r="I635" s="144">
        <f t="shared" si="223"/>
        <v>0.0609999999999999</v>
      </c>
      <c r="J635" s="115" t="str">
        <f t="shared" si="227"/>
        <v>285/75R24.5-14PR-ASL01 EX</v>
      </c>
      <c r="K635" s="193"/>
      <c r="L635" s="193"/>
      <c r="M635" s="193"/>
      <c r="N635" s="193"/>
      <c r="O635" s="193"/>
      <c r="P635" s="193"/>
      <c r="Q635" s="193"/>
      <c r="R635" s="210"/>
      <c r="T635" s="193"/>
      <c r="U635" s="193"/>
      <c r="BB635" s="113" t="str">
        <f t="shared" si="225"/>
        <v/>
      </c>
    </row>
    <row r="636" spans="2:54">
      <c r="B636" s="122"/>
      <c r="C636" s="123"/>
      <c r="D636" s="123"/>
      <c r="E636" s="123"/>
      <c r="F636" s="130"/>
      <c r="G636" s="130"/>
      <c r="H636" s="123"/>
      <c r="I636" s="151"/>
      <c r="J636" s="115" t="str">
        <f t="shared" si="227"/>
        <v/>
      </c>
      <c r="K636" s="193"/>
      <c r="L636" s="193"/>
      <c r="M636" s="193"/>
      <c r="N636" s="193"/>
      <c r="O636" s="193"/>
      <c r="P636" s="193"/>
      <c r="Q636" s="193"/>
      <c r="R636" s="210"/>
      <c r="T636" s="193"/>
      <c r="U636" s="193"/>
      <c r="BB636" s="113" t="str">
        <f t="shared" si="225"/>
        <v/>
      </c>
    </row>
    <row r="637" spans="2:54">
      <c r="B637" s="119" t="s">
        <v>2144</v>
      </c>
      <c r="C637" s="124" t="s">
        <v>958</v>
      </c>
      <c r="D637" s="120" t="s">
        <v>1646</v>
      </c>
      <c r="E637" s="120" t="s">
        <v>2145</v>
      </c>
      <c r="F637" s="133">
        <f t="shared" ref="F637:F641" si="230">G637-2.747+3.132</f>
        <v>48.217</v>
      </c>
      <c r="G637" s="133">
        <v>47.832</v>
      </c>
      <c r="H637" s="128">
        <v>47.6502</v>
      </c>
      <c r="I637" s="144">
        <f t="shared" ref="I637:I696" si="231">G637-H637</f>
        <v>0.181800000000003</v>
      </c>
      <c r="J637" s="115" t="str">
        <f t="shared" si="227"/>
        <v>295/75R22.5-14PR-CR915</v>
      </c>
      <c r="K637" s="193"/>
      <c r="L637" s="193"/>
      <c r="M637" s="193"/>
      <c r="N637" s="193"/>
      <c r="O637" s="193"/>
      <c r="P637" s="193"/>
      <c r="Q637" s="193"/>
      <c r="R637" s="210"/>
      <c r="T637" s="193"/>
      <c r="U637" s="193"/>
      <c r="BB637" s="113" t="str">
        <f t="shared" si="225"/>
        <v/>
      </c>
    </row>
    <row r="638" spans="2:54">
      <c r="B638" s="119" t="s">
        <v>2144</v>
      </c>
      <c r="C638" s="124" t="s">
        <v>958</v>
      </c>
      <c r="D638" s="120" t="s">
        <v>1691</v>
      </c>
      <c r="E638" s="120" t="s">
        <v>2146</v>
      </c>
      <c r="F638" s="133">
        <f t="shared" si="230"/>
        <v>46.112</v>
      </c>
      <c r="G638" s="133">
        <v>45.727</v>
      </c>
      <c r="H638" s="128">
        <v>45.692</v>
      </c>
      <c r="I638" s="144">
        <f t="shared" si="231"/>
        <v>0.0349999999999966</v>
      </c>
      <c r="J638" s="115" t="str">
        <f t="shared" si="227"/>
        <v>295/75R22.5-14PR-CR915 eco</v>
      </c>
      <c r="K638" s="193"/>
      <c r="L638" s="193"/>
      <c r="M638" s="193"/>
      <c r="N638" s="193"/>
      <c r="O638" s="193"/>
      <c r="P638" s="193"/>
      <c r="Q638" s="193"/>
      <c r="R638" s="210"/>
      <c r="T638" s="193"/>
      <c r="U638" s="193"/>
      <c r="BB638" s="113" t="str">
        <f t="shared" si="225"/>
        <v/>
      </c>
    </row>
    <row r="639" spans="2:54">
      <c r="B639" s="119" t="s">
        <v>2144</v>
      </c>
      <c r="C639" s="124" t="s">
        <v>958</v>
      </c>
      <c r="D639" s="120" t="s">
        <v>1877</v>
      </c>
      <c r="E639" s="125" t="s">
        <v>2147</v>
      </c>
      <c r="F639" s="133">
        <f t="shared" si="230"/>
        <v>62.975</v>
      </c>
      <c r="G639" s="133">
        <v>62.59</v>
      </c>
      <c r="H639" s="128">
        <v>59.1419</v>
      </c>
      <c r="I639" s="144">
        <f t="shared" si="231"/>
        <v>3.4481</v>
      </c>
      <c r="J639" s="115" t="str">
        <f t="shared" si="227"/>
        <v>295/75R22.5-14PR-DL22</v>
      </c>
      <c r="K639" s="193"/>
      <c r="L639" s="193"/>
      <c r="M639" s="193"/>
      <c r="N639" s="193"/>
      <c r="O639" s="193"/>
      <c r="P639" s="193"/>
      <c r="Q639" s="193"/>
      <c r="R639" s="210"/>
      <c r="T639" s="193"/>
      <c r="U639" s="193"/>
      <c r="BB639" s="113" t="str">
        <f t="shared" si="225"/>
        <v/>
      </c>
    </row>
    <row r="640" spans="2:54">
      <c r="B640" s="119" t="s">
        <v>2144</v>
      </c>
      <c r="C640" s="124" t="s">
        <v>958</v>
      </c>
      <c r="D640" s="120" t="s">
        <v>1879</v>
      </c>
      <c r="E640" s="125" t="s">
        <v>2147</v>
      </c>
      <c r="F640" s="133">
        <f t="shared" si="230"/>
        <v>62.975</v>
      </c>
      <c r="G640" s="133">
        <v>62.59</v>
      </c>
      <c r="H640" s="128">
        <v>59.1419</v>
      </c>
      <c r="I640" s="144">
        <f t="shared" si="231"/>
        <v>3.4481</v>
      </c>
      <c r="J640" s="115" t="str">
        <f t="shared" si="227"/>
        <v>295/75R22.5-14PR-DA23</v>
      </c>
      <c r="K640" s="193"/>
      <c r="L640" s="193"/>
      <c r="M640" s="193"/>
      <c r="N640" s="193"/>
      <c r="O640" s="193"/>
      <c r="P640" s="193"/>
      <c r="Q640" s="193"/>
      <c r="R640" s="210"/>
      <c r="T640" s="193"/>
      <c r="U640" s="193"/>
      <c r="BB640" s="113" t="str">
        <f t="shared" si="225"/>
        <v/>
      </c>
    </row>
    <row r="641" spans="2:54">
      <c r="B641" s="119" t="s">
        <v>2144</v>
      </c>
      <c r="C641" s="124" t="s">
        <v>958</v>
      </c>
      <c r="D641" s="120" t="s">
        <v>1703</v>
      </c>
      <c r="E641" s="120" t="s">
        <v>2148</v>
      </c>
      <c r="F641" s="133">
        <f t="shared" si="230"/>
        <v>61.979</v>
      </c>
      <c r="G641" s="133">
        <v>61.594</v>
      </c>
      <c r="H641" s="128">
        <v>60.6251</v>
      </c>
      <c r="I641" s="144">
        <f t="shared" si="231"/>
        <v>0.968899999999998</v>
      </c>
      <c r="J641" s="115" t="str">
        <f t="shared" si="227"/>
        <v>295/75R22.5-14PR-DL21</v>
      </c>
      <c r="K641" s="193"/>
      <c r="L641" s="193"/>
      <c r="M641" s="193"/>
      <c r="N641" s="193"/>
      <c r="O641" s="193"/>
      <c r="P641" s="193"/>
      <c r="Q641" s="193"/>
      <c r="R641" s="210"/>
      <c r="T641" s="193"/>
      <c r="U641" s="193"/>
      <c r="BB641" s="113" t="str">
        <f t="shared" si="225"/>
        <v/>
      </c>
    </row>
    <row r="642" spans="2:54">
      <c r="B642" s="119" t="s">
        <v>2144</v>
      </c>
      <c r="C642" s="124" t="s">
        <v>958</v>
      </c>
      <c r="D642" s="120" t="s">
        <v>1719</v>
      </c>
      <c r="E642" s="125" t="s">
        <v>2149</v>
      </c>
      <c r="F642" s="133">
        <f t="shared" ref="F642:F648" si="232">G642-2.747+3.14</f>
        <v>55.233</v>
      </c>
      <c r="G642" s="133">
        <v>54.84</v>
      </c>
      <c r="H642" s="182">
        <v>54.29</v>
      </c>
      <c r="I642" s="144">
        <f t="shared" si="231"/>
        <v>0.550000000000004</v>
      </c>
      <c r="J642" s="115" t="str">
        <f t="shared" si="227"/>
        <v>295/75R22.5-14PR-W-Elite SL11</v>
      </c>
      <c r="K642" s="193"/>
      <c r="L642" s="193"/>
      <c r="M642" s="193"/>
      <c r="N642" s="193"/>
      <c r="O642" s="193"/>
      <c r="P642" s="193"/>
      <c r="Q642" s="193"/>
      <c r="R642" s="210"/>
      <c r="T642" s="193"/>
      <c r="U642" s="193"/>
      <c r="BB642" s="113" t="str">
        <f t="shared" si="225"/>
        <v/>
      </c>
    </row>
    <row r="643" spans="2:54">
      <c r="B643" s="119" t="s">
        <v>2144</v>
      </c>
      <c r="C643" s="124" t="s">
        <v>958</v>
      </c>
      <c r="D643" s="120" t="s">
        <v>1724</v>
      </c>
      <c r="E643" s="125" t="s">
        <v>2149</v>
      </c>
      <c r="F643" s="133">
        <f t="shared" si="232"/>
        <v>55.233</v>
      </c>
      <c r="G643" s="133">
        <v>54.84</v>
      </c>
      <c r="H643" s="182">
        <v>54.29</v>
      </c>
      <c r="I643" s="144">
        <f t="shared" si="231"/>
        <v>0.550000000000004</v>
      </c>
      <c r="J643" s="115" t="str">
        <f t="shared" si="227"/>
        <v>295/75R22.5-14PR-VA996</v>
      </c>
      <c r="K643" s="193"/>
      <c r="L643" s="193"/>
      <c r="M643" s="193"/>
      <c r="N643" s="193"/>
      <c r="O643" s="193"/>
      <c r="P643" s="193"/>
      <c r="Q643" s="193"/>
      <c r="R643" s="210"/>
      <c r="T643" s="193"/>
      <c r="U643" s="193"/>
      <c r="BB643" s="113" t="str">
        <f t="shared" si="225"/>
        <v/>
      </c>
    </row>
    <row r="644" spans="2:54">
      <c r="B644" s="119" t="s">
        <v>2144</v>
      </c>
      <c r="C644" s="124" t="s">
        <v>958</v>
      </c>
      <c r="D644" s="120" t="s">
        <v>1726</v>
      </c>
      <c r="E644" s="125" t="s">
        <v>2149</v>
      </c>
      <c r="F644" s="133">
        <f t="shared" si="232"/>
        <v>55.233</v>
      </c>
      <c r="G644" s="133">
        <v>54.84</v>
      </c>
      <c r="H644" s="182">
        <v>54.29</v>
      </c>
      <c r="I644" s="144">
        <f t="shared" si="231"/>
        <v>0.550000000000004</v>
      </c>
      <c r="J644" s="115" t="str">
        <f t="shared" si="227"/>
        <v>295/75R22.5-14PR-AS200</v>
      </c>
      <c r="K644" s="193"/>
      <c r="L644" s="193"/>
      <c r="M644" s="193"/>
      <c r="N644" s="193"/>
      <c r="O644" s="193"/>
      <c r="P644" s="193"/>
      <c r="Q644" s="193"/>
      <c r="R644" s="210"/>
      <c r="T644" s="193"/>
      <c r="U644" s="193"/>
      <c r="BB644" s="113" t="str">
        <f t="shared" si="225"/>
        <v/>
      </c>
    </row>
    <row r="645" spans="2:54">
      <c r="B645" s="119" t="s">
        <v>2144</v>
      </c>
      <c r="C645" s="124" t="s">
        <v>958</v>
      </c>
      <c r="D645" s="120" t="s">
        <v>1729</v>
      </c>
      <c r="E645" s="125" t="s">
        <v>2149</v>
      </c>
      <c r="F645" s="133">
        <f t="shared" si="232"/>
        <v>55.233</v>
      </c>
      <c r="G645" s="133">
        <v>54.84</v>
      </c>
      <c r="H645" s="182">
        <v>54.29</v>
      </c>
      <c r="I645" s="144">
        <f t="shared" si="231"/>
        <v>0.550000000000004</v>
      </c>
      <c r="J645" s="115" t="str">
        <f t="shared" si="227"/>
        <v>295/75R22.5-14PR-PS221</v>
      </c>
      <c r="K645" s="193"/>
      <c r="L645" s="193"/>
      <c r="M645" s="193"/>
      <c r="N645" s="193"/>
      <c r="O645" s="193"/>
      <c r="P645" s="193"/>
      <c r="Q645" s="193"/>
      <c r="R645" s="210"/>
      <c r="T645" s="193"/>
      <c r="U645" s="193"/>
      <c r="BB645" s="113" t="str">
        <f t="shared" ref="BB645:BB708" si="233">_xlfn.TEXTJOIN("-",TRUE,AU645,AW645)</f>
        <v/>
      </c>
    </row>
    <row r="646" spans="2:54">
      <c r="B646" s="119" t="s">
        <v>2144</v>
      </c>
      <c r="C646" s="124" t="s">
        <v>958</v>
      </c>
      <c r="D646" s="120" t="s">
        <v>2150</v>
      </c>
      <c r="E646" s="125" t="s">
        <v>2149</v>
      </c>
      <c r="F646" s="133">
        <f t="shared" si="232"/>
        <v>55.233</v>
      </c>
      <c r="G646" s="133">
        <v>54.84</v>
      </c>
      <c r="H646" s="182">
        <v>54.29</v>
      </c>
      <c r="I646" s="144">
        <f t="shared" si="231"/>
        <v>0.550000000000004</v>
      </c>
      <c r="J646" s="115" t="str">
        <f t="shared" si="227"/>
        <v>295/75R22.5-14PR-AS201</v>
      </c>
      <c r="K646" s="193"/>
      <c r="L646" s="193"/>
      <c r="M646" s="193"/>
      <c r="N646" s="193"/>
      <c r="O646" s="193"/>
      <c r="P646" s="193"/>
      <c r="Q646" s="193"/>
      <c r="R646" s="210"/>
      <c r="T646" s="193"/>
      <c r="U646" s="193"/>
      <c r="BB646" s="113" t="str">
        <f t="shared" si="233"/>
        <v/>
      </c>
    </row>
    <row r="647" spans="2:54">
      <c r="B647" s="119" t="s">
        <v>2144</v>
      </c>
      <c r="C647" s="124" t="s">
        <v>958</v>
      </c>
      <c r="D647" s="120" t="s">
        <v>2151</v>
      </c>
      <c r="E647" s="125" t="s">
        <v>2149</v>
      </c>
      <c r="F647" s="133">
        <f t="shared" si="232"/>
        <v>55.233</v>
      </c>
      <c r="G647" s="133">
        <v>54.84</v>
      </c>
      <c r="H647" s="182">
        <v>54.29</v>
      </c>
      <c r="I647" s="144">
        <f t="shared" si="231"/>
        <v>0.550000000000004</v>
      </c>
      <c r="J647" s="115" t="str">
        <f t="shared" si="227"/>
        <v>295/75R22.5-14PR-PS210</v>
      </c>
      <c r="K647" s="193"/>
      <c r="L647" s="193"/>
      <c r="M647" s="193"/>
      <c r="N647" s="193"/>
      <c r="O647" s="193"/>
      <c r="P647" s="193"/>
      <c r="Q647" s="193"/>
      <c r="R647" s="210"/>
      <c r="T647" s="193"/>
      <c r="U647" s="193"/>
      <c r="BB647" s="113" t="str">
        <f t="shared" si="233"/>
        <v/>
      </c>
    </row>
    <row r="648" spans="2:54">
      <c r="B648" s="119" t="s">
        <v>2144</v>
      </c>
      <c r="C648" s="124" t="s">
        <v>958</v>
      </c>
      <c r="D648" s="120" t="s">
        <v>1737</v>
      </c>
      <c r="E648" s="120" t="s">
        <v>2152</v>
      </c>
      <c r="F648" s="133">
        <f t="shared" si="232"/>
        <v>56.45</v>
      </c>
      <c r="G648" s="133">
        <v>56.057</v>
      </c>
      <c r="H648" s="182">
        <v>55.3566</v>
      </c>
      <c r="I648" s="144">
        <f t="shared" si="231"/>
        <v>0.700400000000002</v>
      </c>
      <c r="J648" s="115" t="str">
        <f t="shared" si="227"/>
        <v>295/75R22.5-14PR-ZA12</v>
      </c>
      <c r="K648" s="193"/>
      <c r="L648" s="193"/>
      <c r="M648" s="193"/>
      <c r="N648" s="193"/>
      <c r="O648" s="193"/>
      <c r="P648" s="193"/>
      <c r="Q648" s="193"/>
      <c r="R648" s="210"/>
      <c r="T648" s="193"/>
      <c r="U648" s="193"/>
      <c r="BB648" s="113" t="str">
        <f t="shared" si="233"/>
        <v/>
      </c>
    </row>
    <row r="649" spans="2:54">
      <c r="B649" s="119" t="s">
        <v>2144</v>
      </c>
      <c r="C649" s="124" t="s">
        <v>958</v>
      </c>
      <c r="D649" s="120" t="s">
        <v>1846</v>
      </c>
      <c r="E649" s="120" t="s">
        <v>2153</v>
      </c>
      <c r="F649" s="133">
        <f t="shared" ref="F649:F652" si="234">G649-2.747+3.132</f>
        <v>57.341</v>
      </c>
      <c r="G649" s="133">
        <v>56.956</v>
      </c>
      <c r="H649" s="128">
        <v>56.9552</v>
      </c>
      <c r="I649" s="144">
        <f t="shared" si="231"/>
        <v>0.000800000000005241</v>
      </c>
      <c r="J649" s="115" t="str">
        <f t="shared" si="227"/>
        <v>295/75R22.5-14PR-I-28D</v>
      </c>
      <c r="K649" s="193"/>
      <c r="L649" s="193"/>
      <c r="M649" s="193"/>
      <c r="N649" s="193"/>
      <c r="O649" s="193"/>
      <c r="P649" s="193"/>
      <c r="Q649" s="193"/>
      <c r="R649" s="210"/>
      <c r="T649" s="193"/>
      <c r="U649" s="193"/>
      <c r="BB649" s="113" t="str">
        <f t="shared" si="233"/>
        <v/>
      </c>
    </row>
    <row r="650" spans="2:54">
      <c r="B650" s="119" t="s">
        <v>2144</v>
      </c>
      <c r="C650" s="124" t="s">
        <v>958</v>
      </c>
      <c r="D650" s="120" t="s">
        <v>1656</v>
      </c>
      <c r="E650" s="120" t="s">
        <v>2154</v>
      </c>
      <c r="F650" s="133">
        <f t="shared" si="234"/>
        <v>48.635</v>
      </c>
      <c r="G650" s="133">
        <v>48.25</v>
      </c>
      <c r="H650" s="128">
        <v>48.0511</v>
      </c>
      <c r="I650" s="144">
        <f t="shared" si="231"/>
        <v>0.198900000000002</v>
      </c>
      <c r="J650" s="115" t="str">
        <f t="shared" si="227"/>
        <v>295/75R22.5-14PR-I-48T</v>
      </c>
      <c r="K650" s="193"/>
      <c r="L650" s="193"/>
      <c r="M650" s="193"/>
      <c r="N650" s="193"/>
      <c r="O650" s="193"/>
      <c r="P650" s="193"/>
      <c r="Q650" s="193"/>
      <c r="R650" s="210"/>
      <c r="T650" s="193"/>
      <c r="U650" s="193"/>
      <c r="BB650" s="113" t="str">
        <f t="shared" si="233"/>
        <v/>
      </c>
    </row>
    <row r="651" spans="2:54">
      <c r="B651" s="119" t="s">
        <v>2144</v>
      </c>
      <c r="C651" s="124" t="s">
        <v>958</v>
      </c>
      <c r="D651" s="120" t="s">
        <v>2155</v>
      </c>
      <c r="E651" s="125" t="s">
        <v>2156</v>
      </c>
      <c r="F651" s="133">
        <f t="shared" si="234"/>
        <v>59.192</v>
      </c>
      <c r="G651" s="133">
        <v>58.807</v>
      </c>
      <c r="H651" s="128">
        <v>58.8074</v>
      </c>
      <c r="I651" s="144">
        <f t="shared" si="231"/>
        <v>-0.000399999999999068</v>
      </c>
      <c r="J651" s="115" t="str">
        <f t="shared" si="227"/>
        <v>295/75R22.5-14PR-W-Elite DA25</v>
      </c>
      <c r="K651" s="193"/>
      <c r="L651" s="193"/>
      <c r="M651" s="193"/>
      <c r="N651" s="193"/>
      <c r="O651" s="193"/>
      <c r="P651" s="193"/>
      <c r="Q651" s="193"/>
      <c r="R651" s="210"/>
      <c r="T651" s="193"/>
      <c r="U651" s="193"/>
      <c r="BB651" s="113" t="str">
        <f t="shared" si="233"/>
        <v/>
      </c>
    </row>
    <row r="652" spans="2:54">
      <c r="B652" s="119" t="s">
        <v>2144</v>
      </c>
      <c r="C652" s="124" t="s">
        <v>958</v>
      </c>
      <c r="D652" s="120" t="s">
        <v>1697</v>
      </c>
      <c r="E652" s="125" t="s">
        <v>2156</v>
      </c>
      <c r="F652" s="133">
        <f t="shared" si="234"/>
        <v>59.192</v>
      </c>
      <c r="G652" s="133">
        <v>58.807</v>
      </c>
      <c r="H652" s="128">
        <v>58.8074</v>
      </c>
      <c r="I652" s="144">
        <f t="shared" si="231"/>
        <v>-0.000399999999999068</v>
      </c>
      <c r="J652" s="115" t="str">
        <f t="shared" ref="J652:J715" si="235">_xlfn.TEXTJOIN("-",TRUE,B652,C652,D652)</f>
        <v>295/75R22.5-14PR-VXD932</v>
      </c>
      <c r="K652" s="193"/>
      <c r="L652" s="193"/>
      <c r="M652" s="193"/>
      <c r="N652" s="193"/>
      <c r="O652" s="193"/>
      <c r="P652" s="193"/>
      <c r="Q652" s="193"/>
      <c r="R652" s="210"/>
      <c r="T652" s="193"/>
      <c r="U652" s="193"/>
      <c r="BB652" s="113" t="str">
        <f t="shared" si="233"/>
        <v/>
      </c>
    </row>
    <row r="653" spans="2:54">
      <c r="B653" s="119" t="s">
        <v>2144</v>
      </c>
      <c r="C653" s="124" t="s">
        <v>958</v>
      </c>
      <c r="D653" s="120" t="s">
        <v>1682</v>
      </c>
      <c r="E653" s="120" t="s">
        <v>2157</v>
      </c>
      <c r="F653" s="133">
        <f t="shared" ref="F653:F658" si="236">G653-2.754+3.14</f>
        <v>47.326</v>
      </c>
      <c r="G653" s="133">
        <v>46.94</v>
      </c>
      <c r="H653" s="128">
        <v>46.8109</v>
      </c>
      <c r="I653" s="144">
        <f t="shared" si="231"/>
        <v>0.129100000000001</v>
      </c>
      <c r="J653" s="115" t="str">
        <f t="shared" si="235"/>
        <v>295/75R22.5-14PR-AT552</v>
      </c>
      <c r="K653" s="193"/>
      <c r="L653" s="193"/>
      <c r="M653" s="193"/>
      <c r="N653" s="193"/>
      <c r="O653" s="193"/>
      <c r="P653" s="193"/>
      <c r="Q653" s="193"/>
      <c r="R653" s="210"/>
      <c r="T653" s="193"/>
      <c r="U653" s="193"/>
      <c r="BB653" s="113" t="str">
        <f t="shared" si="233"/>
        <v/>
      </c>
    </row>
    <row r="654" spans="2:54">
      <c r="B654" s="119" t="s">
        <v>2144</v>
      </c>
      <c r="C654" s="124" t="s">
        <v>1074</v>
      </c>
      <c r="D654" s="120" t="s">
        <v>1751</v>
      </c>
      <c r="E654" s="120" t="s">
        <v>2158</v>
      </c>
      <c r="F654" s="133">
        <f t="shared" si="236"/>
        <v>52.894</v>
      </c>
      <c r="G654" s="133">
        <v>52.508</v>
      </c>
      <c r="H654" s="128">
        <v>52.47</v>
      </c>
      <c r="I654" s="144">
        <f t="shared" si="231"/>
        <v>0.0380000000000038</v>
      </c>
      <c r="J654" s="115" t="str">
        <f t="shared" si="235"/>
        <v>295/75R22.5-16PR-CR960A</v>
      </c>
      <c r="K654" s="193"/>
      <c r="L654" s="193"/>
      <c r="M654" s="193"/>
      <c r="N654" s="193"/>
      <c r="O654" s="193"/>
      <c r="P654" s="193"/>
      <c r="Q654" s="193"/>
      <c r="R654" s="210"/>
      <c r="T654" s="193"/>
      <c r="U654" s="193"/>
      <c r="BB654" s="113" t="str">
        <f t="shared" si="233"/>
        <v/>
      </c>
    </row>
    <row r="655" spans="2:54">
      <c r="B655" s="119" t="s">
        <v>2144</v>
      </c>
      <c r="C655" s="124" t="s">
        <v>1074</v>
      </c>
      <c r="D655" s="120" t="s">
        <v>1755</v>
      </c>
      <c r="E655" s="120" t="s">
        <v>2158</v>
      </c>
      <c r="F655" s="133">
        <f t="shared" si="236"/>
        <v>52.894</v>
      </c>
      <c r="G655" s="133">
        <v>52.508</v>
      </c>
      <c r="H655" s="128">
        <v>52.47</v>
      </c>
      <c r="I655" s="144">
        <f t="shared" si="231"/>
        <v>0.0380000000000038</v>
      </c>
      <c r="J655" s="115" t="str">
        <f t="shared" si="235"/>
        <v>295/75R22.5-16PR-RLINE-A1</v>
      </c>
      <c r="K655" s="193"/>
      <c r="L655" s="193"/>
      <c r="M655" s="193"/>
      <c r="N655" s="193"/>
      <c r="O655" s="193"/>
      <c r="P655" s="193"/>
      <c r="Q655" s="193"/>
      <c r="R655" s="210"/>
      <c r="T655" s="193"/>
      <c r="U655" s="193"/>
      <c r="BB655" s="113" t="str">
        <f t="shared" si="233"/>
        <v/>
      </c>
    </row>
    <row r="656" spans="2:54">
      <c r="B656" s="119" t="s">
        <v>2144</v>
      </c>
      <c r="C656" s="124" t="s">
        <v>958</v>
      </c>
      <c r="D656" s="120" t="s">
        <v>1776</v>
      </c>
      <c r="E656" s="120" t="s">
        <v>2159</v>
      </c>
      <c r="F656" s="133">
        <f t="shared" si="236"/>
        <v>50.872</v>
      </c>
      <c r="G656" s="133">
        <v>50.486</v>
      </c>
      <c r="H656" s="128">
        <v>50.52</v>
      </c>
      <c r="I656" s="144">
        <f t="shared" si="231"/>
        <v>-0.034000000000006</v>
      </c>
      <c r="J656" s="115" t="str">
        <f t="shared" si="235"/>
        <v>295/75R22.5-14PR-AZ599</v>
      </c>
      <c r="K656" s="193"/>
      <c r="L656" s="193"/>
      <c r="M656" s="193"/>
      <c r="N656" s="193"/>
      <c r="O656" s="193"/>
      <c r="P656" s="193"/>
      <c r="Q656" s="193"/>
      <c r="R656" s="210"/>
      <c r="T656" s="193"/>
      <c r="U656" s="193"/>
      <c r="BB656" s="113" t="str">
        <f t="shared" si="233"/>
        <v/>
      </c>
    </row>
    <row r="657" spans="2:54">
      <c r="B657" s="119" t="s">
        <v>2144</v>
      </c>
      <c r="C657" s="124" t="s">
        <v>958</v>
      </c>
      <c r="D657" s="120" t="s">
        <v>1781</v>
      </c>
      <c r="E657" s="120" t="s">
        <v>2159</v>
      </c>
      <c r="F657" s="133">
        <f t="shared" si="236"/>
        <v>50.872</v>
      </c>
      <c r="G657" s="133">
        <v>50.486</v>
      </c>
      <c r="H657" s="128">
        <v>50.52</v>
      </c>
      <c r="I657" s="144">
        <f t="shared" si="231"/>
        <v>-0.034000000000006</v>
      </c>
      <c r="J657" s="115" t="str">
        <f t="shared" si="235"/>
        <v>295/75R22.5-14PR-HF1 Plus</v>
      </c>
      <c r="K657" s="193"/>
      <c r="L657" s="193"/>
      <c r="M657" s="193"/>
      <c r="N657" s="193"/>
      <c r="O657" s="193"/>
      <c r="P657" s="193"/>
      <c r="Q657" s="193"/>
      <c r="T657" s="193"/>
      <c r="U657" s="193"/>
      <c r="BB657" s="113" t="str">
        <f t="shared" si="233"/>
        <v/>
      </c>
    </row>
    <row r="658" spans="2:54">
      <c r="B658" s="119" t="s">
        <v>2144</v>
      </c>
      <c r="C658" s="124" t="s">
        <v>958</v>
      </c>
      <c r="D658" s="120" t="s">
        <v>1778</v>
      </c>
      <c r="E658" s="120" t="s">
        <v>2159</v>
      </c>
      <c r="F658" s="133">
        <f t="shared" si="236"/>
        <v>50.872</v>
      </c>
      <c r="G658" s="133">
        <v>50.486</v>
      </c>
      <c r="H658" s="128">
        <v>50.52</v>
      </c>
      <c r="I658" s="144">
        <f t="shared" si="231"/>
        <v>-0.034000000000006</v>
      </c>
      <c r="J658" s="115" t="str">
        <f t="shared" si="235"/>
        <v>295/75R22.5-14PR-M-TRAC AP</v>
      </c>
      <c r="K658" s="193"/>
      <c r="L658" s="193"/>
      <c r="M658" s="193"/>
      <c r="N658" s="193"/>
      <c r="O658" s="193"/>
      <c r="P658" s="193"/>
      <c r="Q658" s="193"/>
      <c r="T658" s="193"/>
      <c r="U658" s="193"/>
      <c r="BB658" s="113" t="str">
        <f t="shared" si="233"/>
        <v/>
      </c>
    </row>
    <row r="659" spans="2:54">
      <c r="B659" s="119" t="s">
        <v>2144</v>
      </c>
      <c r="C659" s="124" t="s">
        <v>958</v>
      </c>
      <c r="D659" s="120" t="s">
        <v>1665</v>
      </c>
      <c r="E659" s="120" t="s">
        <v>2160</v>
      </c>
      <c r="F659" s="133">
        <f t="shared" ref="F659:F667" si="237">G659-2.747+3.132</f>
        <v>53.901</v>
      </c>
      <c r="G659" s="133">
        <v>53.516</v>
      </c>
      <c r="H659" s="128">
        <v>52.9806</v>
      </c>
      <c r="I659" s="144">
        <f t="shared" si="231"/>
        <v>0.535399999999996</v>
      </c>
      <c r="J659" s="115" t="str">
        <f t="shared" si="235"/>
        <v>295/75R22.5-14PR-AD716</v>
      </c>
      <c r="K659" s="193"/>
      <c r="L659" s="193"/>
      <c r="M659" s="193"/>
      <c r="N659" s="193"/>
      <c r="O659" s="193"/>
      <c r="P659" s="193"/>
      <c r="Q659" s="193"/>
      <c r="T659" s="193"/>
      <c r="U659" s="193"/>
      <c r="BB659" s="113" t="str">
        <f t="shared" si="233"/>
        <v/>
      </c>
    </row>
    <row r="660" spans="2:54">
      <c r="B660" s="119" t="s">
        <v>2144</v>
      </c>
      <c r="C660" s="124" t="s">
        <v>958</v>
      </c>
      <c r="D660" s="120" t="s">
        <v>1671</v>
      </c>
      <c r="E660" s="120" t="s">
        <v>2160</v>
      </c>
      <c r="F660" s="133">
        <f t="shared" si="237"/>
        <v>53.901</v>
      </c>
      <c r="G660" s="133">
        <v>53.516</v>
      </c>
      <c r="H660" s="128">
        <v>52.9806</v>
      </c>
      <c r="I660" s="144">
        <f t="shared" si="231"/>
        <v>0.535399999999996</v>
      </c>
      <c r="J660" s="115" t="str">
        <f t="shared" si="235"/>
        <v>295/75R22.5-14PR-HD1 Plus</v>
      </c>
      <c r="K660" s="193"/>
      <c r="L660" s="193"/>
      <c r="M660" s="193"/>
      <c r="N660" s="193"/>
      <c r="O660" s="193"/>
      <c r="P660" s="193"/>
      <c r="Q660" s="193"/>
      <c r="T660" s="193"/>
      <c r="U660" s="193"/>
      <c r="BB660" s="113" t="str">
        <f t="shared" si="233"/>
        <v/>
      </c>
    </row>
    <row r="661" spans="2:54">
      <c r="B661" s="119" t="s">
        <v>2144</v>
      </c>
      <c r="C661" s="124" t="s">
        <v>958</v>
      </c>
      <c r="D661" s="120" t="s">
        <v>1732</v>
      </c>
      <c r="E661" s="125" t="s">
        <v>2161</v>
      </c>
      <c r="F661" s="133">
        <f t="shared" si="237"/>
        <v>46.995</v>
      </c>
      <c r="G661" s="133">
        <v>46.61</v>
      </c>
      <c r="H661" s="128">
        <v>46.6714</v>
      </c>
      <c r="I661" s="144">
        <f t="shared" si="231"/>
        <v>-0.061399999999999</v>
      </c>
      <c r="J661" s="115" t="str">
        <f t="shared" si="235"/>
        <v>295/75R22.5-14PR-TL31</v>
      </c>
      <c r="K661" s="193"/>
      <c r="L661" s="193"/>
      <c r="M661" s="193"/>
      <c r="N661" s="193"/>
      <c r="O661" s="193"/>
      <c r="P661" s="193"/>
      <c r="Q661" s="193"/>
      <c r="T661" s="193"/>
      <c r="U661" s="193"/>
      <c r="BB661" s="113" t="str">
        <f t="shared" si="233"/>
        <v/>
      </c>
    </row>
    <row r="662" spans="2:54">
      <c r="B662" s="119" t="s">
        <v>2144</v>
      </c>
      <c r="C662" s="124" t="s">
        <v>958</v>
      </c>
      <c r="D662" s="120" t="s">
        <v>1734</v>
      </c>
      <c r="E662" s="125" t="s">
        <v>2161</v>
      </c>
      <c r="F662" s="133">
        <f t="shared" si="237"/>
        <v>46.995</v>
      </c>
      <c r="G662" s="133">
        <v>46.61</v>
      </c>
      <c r="H662" s="128">
        <v>46.6714</v>
      </c>
      <c r="I662" s="144">
        <f t="shared" si="231"/>
        <v>-0.061399999999999</v>
      </c>
      <c r="J662" s="115" t="str">
        <f t="shared" si="235"/>
        <v>295/75R22.5-14PR-VT993</v>
      </c>
      <c r="K662" s="193"/>
      <c r="L662" s="193"/>
      <c r="M662" s="193"/>
      <c r="N662" s="193"/>
      <c r="O662" s="193"/>
      <c r="P662" s="193"/>
      <c r="Q662" s="193"/>
      <c r="T662" s="193"/>
      <c r="U662" s="193"/>
      <c r="BB662" s="113" t="str">
        <f t="shared" si="233"/>
        <v/>
      </c>
    </row>
    <row r="663" spans="2:54">
      <c r="B663" s="119" t="s">
        <v>2144</v>
      </c>
      <c r="C663" s="124" t="s">
        <v>1074</v>
      </c>
      <c r="D663" s="120" t="s">
        <v>1746</v>
      </c>
      <c r="E663" s="120" t="s">
        <v>2162</v>
      </c>
      <c r="F663" s="133">
        <f t="shared" si="237"/>
        <v>55.619</v>
      </c>
      <c r="G663" s="133">
        <v>55.234</v>
      </c>
      <c r="H663" s="128">
        <v>55.2323</v>
      </c>
      <c r="I663" s="144">
        <f t="shared" si="231"/>
        <v>0.00169999999999959</v>
      </c>
      <c r="J663" s="115" t="str">
        <f t="shared" si="235"/>
        <v>295/75R22.5-16PR-CM980</v>
      </c>
      <c r="K663" s="193"/>
      <c r="L663" s="193"/>
      <c r="M663" s="193"/>
      <c r="N663" s="193"/>
      <c r="O663" s="193"/>
      <c r="P663" s="193"/>
      <c r="Q663" s="193"/>
      <c r="T663" s="193"/>
      <c r="U663" s="193"/>
      <c r="BB663" s="113" t="str">
        <f t="shared" si="233"/>
        <v/>
      </c>
    </row>
    <row r="664" spans="2:54">
      <c r="B664" s="119" t="s">
        <v>2144</v>
      </c>
      <c r="C664" s="124" t="s">
        <v>1074</v>
      </c>
      <c r="D664" s="120" t="s">
        <v>1750</v>
      </c>
      <c r="E664" s="120" t="s">
        <v>2162</v>
      </c>
      <c r="F664" s="133">
        <f t="shared" si="237"/>
        <v>55.619</v>
      </c>
      <c r="G664" s="133">
        <v>55.234</v>
      </c>
      <c r="H664" s="128">
        <v>55.2323</v>
      </c>
      <c r="I664" s="144">
        <f t="shared" si="231"/>
        <v>0.00169999999999959</v>
      </c>
      <c r="J664" s="115" t="str">
        <f t="shared" si="235"/>
        <v>295/75R22.5-16PR-RLINE-D3</v>
      </c>
      <c r="K664" s="193"/>
      <c r="L664" s="193"/>
      <c r="M664" s="193"/>
      <c r="N664" s="193"/>
      <c r="O664" s="193"/>
      <c r="P664" s="193"/>
      <c r="Q664" s="193"/>
      <c r="T664" s="193"/>
      <c r="U664" s="193"/>
      <c r="BB664" s="113" t="str">
        <f t="shared" si="233"/>
        <v/>
      </c>
    </row>
    <row r="665" spans="2:54">
      <c r="B665" s="119" t="s">
        <v>2144</v>
      </c>
      <c r="C665" s="124" t="s">
        <v>958</v>
      </c>
      <c r="D665" s="120" t="s">
        <v>1687</v>
      </c>
      <c r="E665" s="120" t="s">
        <v>2163</v>
      </c>
      <c r="F665" s="133">
        <f t="shared" si="237"/>
        <v>50.194</v>
      </c>
      <c r="G665" s="133">
        <v>49.809</v>
      </c>
      <c r="H665" s="182">
        <v>49.8</v>
      </c>
      <c r="I665" s="144">
        <f t="shared" si="231"/>
        <v>0.00900000000000034</v>
      </c>
      <c r="J665" s="115" t="str">
        <f t="shared" si="235"/>
        <v>295/75R22.5-14PR-AT563</v>
      </c>
      <c r="K665" s="193"/>
      <c r="L665" s="193"/>
      <c r="M665" s="193"/>
      <c r="N665" s="193"/>
      <c r="O665" s="193"/>
      <c r="P665" s="193"/>
      <c r="Q665" s="193"/>
      <c r="T665" s="193"/>
      <c r="U665" s="193"/>
      <c r="BB665" s="113" t="str">
        <f t="shared" si="233"/>
        <v/>
      </c>
    </row>
    <row r="666" spans="2:54">
      <c r="B666" s="119" t="s">
        <v>2144</v>
      </c>
      <c r="C666" s="124" t="s">
        <v>958</v>
      </c>
      <c r="D666" s="120" t="s">
        <v>1756</v>
      </c>
      <c r="E666" s="120" t="s">
        <v>2164</v>
      </c>
      <c r="F666" s="133">
        <f t="shared" si="237"/>
        <v>60.559</v>
      </c>
      <c r="G666" s="133">
        <v>60.174</v>
      </c>
      <c r="H666" s="128">
        <v>59.8747</v>
      </c>
      <c r="I666" s="144">
        <f t="shared" si="231"/>
        <v>0.299300000000002</v>
      </c>
      <c r="J666" s="115" t="str">
        <f t="shared" si="235"/>
        <v>295/75R22.5-14PR-VD998</v>
      </c>
      <c r="K666" s="193"/>
      <c r="L666" s="193"/>
      <c r="M666" s="193"/>
      <c r="N666" s="193"/>
      <c r="O666" s="193"/>
      <c r="P666" s="193"/>
      <c r="Q666" s="193"/>
      <c r="T666" s="193"/>
      <c r="U666" s="193"/>
      <c r="BB666" s="113" t="str">
        <f t="shared" si="233"/>
        <v/>
      </c>
    </row>
    <row r="667" spans="2:54">
      <c r="B667" s="119" t="s">
        <v>2144</v>
      </c>
      <c r="C667" s="124" t="s">
        <v>1074</v>
      </c>
      <c r="D667" s="120" t="s">
        <v>1734</v>
      </c>
      <c r="E667" s="120" t="s">
        <v>2165</v>
      </c>
      <c r="F667" s="133">
        <f t="shared" si="237"/>
        <v>47.335</v>
      </c>
      <c r="G667" s="133">
        <v>46.95</v>
      </c>
      <c r="H667" s="128">
        <v>46.9441</v>
      </c>
      <c r="I667" s="144">
        <f t="shared" si="231"/>
        <v>0.00590000000000401</v>
      </c>
      <c r="J667" s="115" t="str">
        <f t="shared" si="235"/>
        <v>295/75R22.5-16PR-VT993</v>
      </c>
      <c r="K667" s="193"/>
      <c r="L667" s="193"/>
      <c r="M667" s="193"/>
      <c r="N667" s="193"/>
      <c r="O667" s="193"/>
      <c r="P667" s="193"/>
      <c r="Q667" s="193"/>
      <c r="T667" s="193"/>
      <c r="U667" s="193"/>
      <c r="BB667" s="113" t="str">
        <f t="shared" si="233"/>
        <v/>
      </c>
    </row>
    <row r="668" spans="2:54">
      <c r="B668" s="119" t="s">
        <v>2144</v>
      </c>
      <c r="C668" s="124" t="s">
        <v>958</v>
      </c>
      <c r="D668" s="120" t="s">
        <v>1559</v>
      </c>
      <c r="E668" s="120" t="s">
        <v>2166</v>
      </c>
      <c r="F668" s="133">
        <f>G668-2.754+3.14</f>
        <v>52.223</v>
      </c>
      <c r="G668" s="133">
        <v>51.837</v>
      </c>
      <c r="H668" s="128">
        <v>51.839</v>
      </c>
      <c r="I668" s="144">
        <f t="shared" si="231"/>
        <v>-0.00199999999999534</v>
      </c>
      <c r="J668" s="115" t="str">
        <f t="shared" si="235"/>
        <v>295/75R22.5-14PR-AS678</v>
      </c>
      <c r="K668" s="193"/>
      <c r="L668" s="193"/>
      <c r="M668" s="193"/>
      <c r="N668" s="193"/>
      <c r="O668" s="193"/>
      <c r="P668" s="193"/>
      <c r="Q668" s="193"/>
      <c r="T668" s="193"/>
      <c r="U668" s="193"/>
      <c r="BB668" s="113" t="str">
        <f t="shared" si="233"/>
        <v/>
      </c>
    </row>
    <row r="669" spans="2:54">
      <c r="B669" s="119" t="s">
        <v>2144</v>
      </c>
      <c r="C669" s="124" t="s">
        <v>1074</v>
      </c>
      <c r="D669" s="120" t="s">
        <v>1793</v>
      </c>
      <c r="E669" s="120" t="s">
        <v>2167</v>
      </c>
      <c r="F669" s="133">
        <f>G669-2.799+3.14</f>
        <v>49.768</v>
      </c>
      <c r="G669" s="133">
        <v>49.427</v>
      </c>
      <c r="H669" s="128">
        <v>49.341</v>
      </c>
      <c r="I669" s="144">
        <f t="shared" si="231"/>
        <v>0.0859999999999985</v>
      </c>
      <c r="J669" s="115" t="str">
        <f t="shared" si="235"/>
        <v>295/75R22.5-16PR-AT167</v>
      </c>
      <c r="K669" s="193"/>
      <c r="L669" s="193"/>
      <c r="M669" s="193"/>
      <c r="N669" s="193"/>
      <c r="O669" s="193"/>
      <c r="P669" s="193"/>
      <c r="Q669" s="193"/>
      <c r="T669" s="193"/>
      <c r="U669" s="193"/>
      <c r="BB669" s="113" t="str">
        <f t="shared" si="233"/>
        <v/>
      </c>
    </row>
    <row r="670" spans="2:54">
      <c r="B670" s="119" t="s">
        <v>2144</v>
      </c>
      <c r="C670" s="124" t="s">
        <v>1074</v>
      </c>
      <c r="D670" s="120" t="s">
        <v>1796</v>
      </c>
      <c r="E670" s="120" t="s">
        <v>2167</v>
      </c>
      <c r="F670" s="133">
        <f>G670-2.799+3.14</f>
        <v>49.768</v>
      </c>
      <c r="G670" s="133">
        <v>49.427</v>
      </c>
      <c r="H670" s="128">
        <v>49.341</v>
      </c>
      <c r="I670" s="144">
        <f t="shared" si="231"/>
        <v>0.0859999999999985</v>
      </c>
      <c r="J670" s="115" t="str">
        <f t="shared" si="235"/>
        <v>295/75R22.5-16PR-HF1 PlusX</v>
      </c>
      <c r="K670" s="193"/>
      <c r="L670" s="193"/>
      <c r="M670" s="193"/>
      <c r="N670" s="193"/>
      <c r="O670" s="193"/>
      <c r="P670" s="193"/>
      <c r="Q670" s="193"/>
      <c r="T670" s="193"/>
      <c r="U670" s="193"/>
      <c r="BB670" s="113" t="str">
        <f t="shared" si="233"/>
        <v/>
      </c>
    </row>
    <row r="671" spans="2:54">
      <c r="B671" s="119" t="s">
        <v>2144</v>
      </c>
      <c r="C671" s="124" t="s">
        <v>958</v>
      </c>
      <c r="D671" s="120" t="s">
        <v>1767</v>
      </c>
      <c r="E671" s="120" t="s">
        <v>2168</v>
      </c>
      <c r="F671" s="133">
        <f>G671-2.754+3.14</f>
        <v>53.331</v>
      </c>
      <c r="G671" s="133">
        <v>52.945</v>
      </c>
      <c r="H671" s="128">
        <v>52.9467</v>
      </c>
      <c r="I671" s="144">
        <f t="shared" si="231"/>
        <v>-0.00169999999999959</v>
      </c>
      <c r="J671" s="115" t="str">
        <f t="shared" si="235"/>
        <v>295/75R22.5-14PR-AD721</v>
      </c>
      <c r="K671" s="193"/>
      <c r="L671" s="193"/>
      <c r="M671" s="193"/>
      <c r="N671" s="193"/>
      <c r="O671" s="193"/>
      <c r="P671" s="193"/>
      <c r="Q671" s="193"/>
      <c r="T671" s="193"/>
      <c r="U671" s="193"/>
      <c r="BB671" s="113" t="str">
        <f t="shared" si="233"/>
        <v/>
      </c>
    </row>
    <row r="672" spans="2:54">
      <c r="B672" s="119" t="s">
        <v>2144</v>
      </c>
      <c r="C672" s="124" t="s">
        <v>1074</v>
      </c>
      <c r="D672" s="120" t="s">
        <v>1812</v>
      </c>
      <c r="E672" s="120" t="s">
        <v>2169</v>
      </c>
      <c r="F672" s="133">
        <f t="shared" ref="F672:F681" si="238">G672-2.799+3.191</f>
        <v>53.66</v>
      </c>
      <c r="G672" s="133">
        <v>53.268</v>
      </c>
      <c r="H672" s="128">
        <v>52.4947</v>
      </c>
      <c r="I672" s="144">
        <f t="shared" si="231"/>
        <v>0.773299999999999</v>
      </c>
      <c r="J672" s="115" t="str">
        <f t="shared" si="235"/>
        <v>295/75R22.5-16PR-AD178</v>
      </c>
      <c r="K672" s="193"/>
      <c r="L672" s="193"/>
      <c r="M672" s="193"/>
      <c r="N672" s="193"/>
      <c r="O672" s="193"/>
      <c r="P672" s="193"/>
      <c r="Q672" s="193"/>
      <c r="T672" s="193"/>
      <c r="U672" s="193"/>
      <c r="BB672" s="113" t="str">
        <f t="shared" si="233"/>
        <v/>
      </c>
    </row>
    <row r="673" spans="2:54">
      <c r="B673" s="119" t="s">
        <v>2144</v>
      </c>
      <c r="C673" s="124" t="s">
        <v>1074</v>
      </c>
      <c r="D673" s="120" t="s">
        <v>1814</v>
      </c>
      <c r="E673" s="120" t="s">
        <v>2169</v>
      </c>
      <c r="F673" s="133">
        <f t="shared" si="238"/>
        <v>53.66</v>
      </c>
      <c r="G673" s="133">
        <v>53.268</v>
      </c>
      <c r="H673" s="128">
        <v>52.4947</v>
      </c>
      <c r="I673" s="144">
        <f t="shared" si="231"/>
        <v>0.773299999999999</v>
      </c>
      <c r="J673" s="115" t="str">
        <f t="shared" si="235"/>
        <v>295/75R22.5-16PR-HD1 PlusX</v>
      </c>
      <c r="K673" s="193"/>
      <c r="L673" s="193"/>
      <c r="M673" s="193"/>
      <c r="N673" s="193"/>
      <c r="O673" s="193"/>
      <c r="P673" s="193"/>
      <c r="Q673" s="193"/>
      <c r="T673" s="193"/>
      <c r="U673" s="193"/>
      <c r="BB673" s="113" t="str">
        <f t="shared" si="233"/>
        <v/>
      </c>
    </row>
    <row r="674" spans="2:54">
      <c r="B674" s="119" t="s">
        <v>2144</v>
      </c>
      <c r="C674" s="124" t="s">
        <v>1074</v>
      </c>
      <c r="D674" s="120" t="s">
        <v>2170</v>
      </c>
      <c r="E674" s="120" t="s">
        <v>2169</v>
      </c>
      <c r="F674" s="133">
        <f t="shared" si="238"/>
        <v>53.66</v>
      </c>
      <c r="G674" s="133">
        <v>53.268</v>
      </c>
      <c r="H674" s="128">
        <v>52.4947</v>
      </c>
      <c r="I674" s="144">
        <f t="shared" si="231"/>
        <v>0.773299999999999</v>
      </c>
      <c r="J674" s="115" t="str">
        <f t="shared" si="235"/>
        <v>295/75R22.5-16PR-TLD-178</v>
      </c>
      <c r="K674" s="193"/>
      <c r="L674" s="193"/>
      <c r="M674" s="193"/>
      <c r="N674" s="193"/>
      <c r="O674" s="193"/>
      <c r="P674" s="193"/>
      <c r="Q674" s="193"/>
      <c r="T674" s="193"/>
      <c r="U674" s="193"/>
      <c r="BB674" s="113" t="str">
        <f t="shared" si="233"/>
        <v/>
      </c>
    </row>
    <row r="675" spans="2:54">
      <c r="B675" s="119" t="s">
        <v>2144</v>
      </c>
      <c r="C675" s="124" t="s">
        <v>1074</v>
      </c>
      <c r="D675" s="120" t="s">
        <v>2171</v>
      </c>
      <c r="E675" s="120" t="s">
        <v>2169</v>
      </c>
      <c r="F675" s="133">
        <f t="shared" si="238"/>
        <v>53.66</v>
      </c>
      <c r="G675" s="133">
        <v>53.268</v>
      </c>
      <c r="H675" s="128">
        <v>52.4947</v>
      </c>
      <c r="I675" s="144">
        <f t="shared" si="231"/>
        <v>0.773299999999999</v>
      </c>
      <c r="J675" s="115" t="str">
        <f t="shared" si="235"/>
        <v>295/75R22.5-16PR-MX901 CSD</v>
      </c>
      <c r="K675" s="193"/>
      <c r="L675" s="193"/>
      <c r="M675" s="193"/>
      <c r="N675" s="193"/>
      <c r="O675" s="193"/>
      <c r="P675" s="193"/>
      <c r="Q675" s="193"/>
      <c r="T675" s="193"/>
      <c r="U675" s="193"/>
      <c r="BB675" s="113" t="str">
        <f t="shared" si="233"/>
        <v/>
      </c>
    </row>
    <row r="676" spans="2:54">
      <c r="B676" s="119" t="s">
        <v>2144</v>
      </c>
      <c r="C676" s="124" t="s">
        <v>1074</v>
      </c>
      <c r="D676" s="120" t="s">
        <v>1818</v>
      </c>
      <c r="E676" s="120" t="s">
        <v>2172</v>
      </c>
      <c r="F676" s="133">
        <f t="shared" si="238"/>
        <v>52.742</v>
      </c>
      <c r="G676" s="133">
        <v>52.35</v>
      </c>
      <c r="H676" s="128">
        <v>52.2639</v>
      </c>
      <c r="I676" s="144">
        <f t="shared" si="231"/>
        <v>0.0861000000000018</v>
      </c>
      <c r="J676" s="115" t="str">
        <f t="shared" si="235"/>
        <v>295/75R22.5-16PR-AD184</v>
      </c>
      <c r="K676" s="193"/>
      <c r="L676" s="193"/>
      <c r="M676" s="193"/>
      <c r="N676" s="193"/>
      <c r="O676" s="193"/>
      <c r="P676" s="193"/>
      <c r="Q676" s="193"/>
      <c r="T676" s="193"/>
      <c r="U676" s="193"/>
      <c r="BB676" s="113" t="str">
        <f t="shared" si="233"/>
        <v/>
      </c>
    </row>
    <row r="677" spans="2:54">
      <c r="B677" s="119" t="s">
        <v>2144</v>
      </c>
      <c r="C677" s="124" t="s">
        <v>1074</v>
      </c>
      <c r="D677" s="120" t="s">
        <v>1820</v>
      </c>
      <c r="E677" s="120" t="s">
        <v>2172</v>
      </c>
      <c r="F677" s="133">
        <f t="shared" si="238"/>
        <v>52.742</v>
      </c>
      <c r="G677" s="133">
        <v>52.35</v>
      </c>
      <c r="H677" s="128">
        <v>52.2639</v>
      </c>
      <c r="I677" s="144">
        <f t="shared" si="231"/>
        <v>0.0861000000000018</v>
      </c>
      <c r="J677" s="115" t="str">
        <f t="shared" si="235"/>
        <v>295/75R22.5-16PR-HD2 PlusX</v>
      </c>
      <c r="K677" s="193"/>
      <c r="L677" s="193"/>
      <c r="M677" s="193"/>
      <c r="N677" s="193"/>
      <c r="O677" s="193"/>
      <c r="P677" s="193"/>
      <c r="Q677" s="193"/>
      <c r="T677" s="193"/>
      <c r="U677" s="193"/>
      <c r="BB677" s="113" t="str">
        <f t="shared" si="233"/>
        <v/>
      </c>
    </row>
    <row r="678" spans="2:54">
      <c r="B678" s="119" t="s">
        <v>2144</v>
      </c>
      <c r="C678" s="124" t="s">
        <v>1074</v>
      </c>
      <c r="D678" s="120" t="s">
        <v>2173</v>
      </c>
      <c r="E678" s="120" t="s">
        <v>2172</v>
      </c>
      <c r="F678" s="133">
        <f t="shared" si="238"/>
        <v>52.742</v>
      </c>
      <c r="G678" s="133">
        <v>52.35</v>
      </c>
      <c r="H678" s="128">
        <v>52.2639</v>
      </c>
      <c r="I678" s="144">
        <f t="shared" si="231"/>
        <v>0.0861000000000018</v>
      </c>
      <c r="J678" s="115" t="str">
        <f t="shared" si="235"/>
        <v>295/75R22.5-16PR-TRD-184</v>
      </c>
      <c r="K678" s="193"/>
      <c r="L678" s="193"/>
      <c r="M678" s="193"/>
      <c r="N678" s="193"/>
      <c r="O678" s="193"/>
      <c r="P678" s="193"/>
      <c r="Q678" s="193"/>
      <c r="T678" s="193"/>
      <c r="U678" s="193"/>
      <c r="BB678" s="113" t="str">
        <f t="shared" si="233"/>
        <v/>
      </c>
    </row>
    <row r="679" spans="2:54">
      <c r="B679" s="119" t="s">
        <v>2144</v>
      </c>
      <c r="C679" s="124" t="s">
        <v>1074</v>
      </c>
      <c r="D679" s="120" t="s">
        <v>1807</v>
      </c>
      <c r="E679" s="120" t="s">
        <v>2174</v>
      </c>
      <c r="F679" s="133">
        <f t="shared" si="238"/>
        <v>47.718</v>
      </c>
      <c r="G679" s="133">
        <v>47.326</v>
      </c>
      <c r="H679" s="128">
        <v>47.3268</v>
      </c>
      <c r="I679" s="144">
        <f t="shared" si="231"/>
        <v>-0.000799999999998136</v>
      </c>
      <c r="J679" s="115" t="str">
        <f t="shared" si="235"/>
        <v>295/75R22.5-16PR-AT115</v>
      </c>
      <c r="K679" s="193"/>
      <c r="L679" s="193"/>
      <c r="M679" s="193"/>
      <c r="N679" s="193"/>
      <c r="O679" s="193"/>
      <c r="P679" s="193"/>
      <c r="Q679" s="193"/>
      <c r="T679" s="193"/>
      <c r="U679" s="193"/>
      <c r="BB679" s="113" t="str">
        <f t="shared" si="233"/>
        <v/>
      </c>
    </row>
    <row r="680" spans="2:54">
      <c r="B680" s="119" t="s">
        <v>2144</v>
      </c>
      <c r="C680" s="124" t="s">
        <v>1074</v>
      </c>
      <c r="D680" s="120" t="s">
        <v>1809</v>
      </c>
      <c r="E680" s="120" t="s">
        <v>2174</v>
      </c>
      <c r="F680" s="133">
        <f t="shared" si="238"/>
        <v>47.718</v>
      </c>
      <c r="G680" s="133">
        <v>47.326</v>
      </c>
      <c r="H680" s="128">
        <v>47.3268</v>
      </c>
      <c r="I680" s="144">
        <f t="shared" si="231"/>
        <v>-0.000799999999998136</v>
      </c>
      <c r="J680" s="115" t="str">
        <f t="shared" si="235"/>
        <v>295/75R22.5-16PR-HT1 PlusX</v>
      </c>
      <c r="K680" s="193"/>
      <c r="L680" s="193"/>
      <c r="M680" s="193"/>
      <c r="N680" s="193"/>
      <c r="O680" s="193"/>
      <c r="P680" s="193"/>
      <c r="Q680" s="193"/>
      <c r="T680" s="193"/>
      <c r="U680" s="193"/>
      <c r="BB680" s="113" t="str">
        <f t="shared" si="233"/>
        <v/>
      </c>
    </row>
    <row r="681" spans="2:54">
      <c r="B681" s="119" t="s">
        <v>2144</v>
      </c>
      <c r="C681" s="124" t="s">
        <v>1074</v>
      </c>
      <c r="D681" s="120" t="s">
        <v>2175</v>
      </c>
      <c r="E681" s="120" t="s">
        <v>2174</v>
      </c>
      <c r="F681" s="133">
        <f t="shared" si="238"/>
        <v>47.718</v>
      </c>
      <c r="G681" s="133">
        <v>47.326</v>
      </c>
      <c r="H681" s="128">
        <v>47.3268</v>
      </c>
      <c r="I681" s="144">
        <f t="shared" si="231"/>
        <v>-0.000799999999998136</v>
      </c>
      <c r="J681" s="115" t="str">
        <f t="shared" si="235"/>
        <v>295/75R22.5-16PR-KOBE TPM</v>
      </c>
      <c r="K681" s="193"/>
      <c r="L681" s="193"/>
      <c r="M681" s="193"/>
      <c r="N681" s="193"/>
      <c r="O681" s="193"/>
      <c r="P681" s="193"/>
      <c r="Q681" s="193"/>
      <c r="T681" s="193"/>
      <c r="U681" s="193"/>
      <c r="BB681" s="113" t="str">
        <f t="shared" si="233"/>
        <v/>
      </c>
    </row>
    <row r="682" spans="2:54">
      <c r="B682" s="119" t="s">
        <v>2144</v>
      </c>
      <c r="C682" s="124" t="s">
        <v>958</v>
      </c>
      <c r="D682" s="120" t="s">
        <v>1821</v>
      </c>
      <c r="E682" s="120" t="s">
        <v>2176</v>
      </c>
      <c r="F682" s="133">
        <f>G682-2.754+3.14</f>
        <v>53.901</v>
      </c>
      <c r="G682" s="133">
        <v>53.515</v>
      </c>
      <c r="H682" s="128">
        <v>53.5179</v>
      </c>
      <c r="I682" s="144">
        <f t="shared" si="231"/>
        <v>-0.00289999999999679</v>
      </c>
      <c r="J682" s="115" t="str">
        <f t="shared" si="235"/>
        <v>295/75R22.5-14PR-AD757</v>
      </c>
      <c r="K682" s="193"/>
      <c r="L682" s="193"/>
      <c r="M682" s="193"/>
      <c r="N682" s="193"/>
      <c r="O682" s="193"/>
      <c r="P682" s="193"/>
      <c r="Q682" s="193"/>
      <c r="T682" s="193"/>
      <c r="U682" s="193"/>
      <c r="BB682" s="113" t="str">
        <f t="shared" si="233"/>
        <v/>
      </c>
    </row>
    <row r="683" spans="2:54">
      <c r="B683" s="119" t="s">
        <v>2144</v>
      </c>
      <c r="C683" s="124" t="s">
        <v>1074</v>
      </c>
      <c r="D683" s="120" t="s">
        <v>1782</v>
      </c>
      <c r="E683" s="120" t="s">
        <v>2177</v>
      </c>
      <c r="F683" s="133">
        <f>G683-2.754+3.14</f>
        <v>51.616</v>
      </c>
      <c r="G683" s="133">
        <v>51.23</v>
      </c>
      <c r="H683" s="128">
        <v>51.2323</v>
      </c>
      <c r="I683" s="144">
        <f t="shared" si="231"/>
        <v>-0.0023000000000053</v>
      </c>
      <c r="J683" s="115" t="str">
        <f t="shared" si="235"/>
        <v>295/75R22.5-16PR-AS600</v>
      </c>
      <c r="K683" s="193"/>
      <c r="L683" s="193"/>
      <c r="M683" s="193"/>
      <c r="N683" s="193"/>
      <c r="O683" s="193"/>
      <c r="P683" s="193"/>
      <c r="Q683" s="193"/>
      <c r="T683" s="193"/>
      <c r="U683" s="193"/>
      <c r="BB683" s="113" t="str">
        <f t="shared" si="233"/>
        <v/>
      </c>
    </row>
    <row r="684" spans="2:54">
      <c r="B684" s="119" t="s">
        <v>2144</v>
      </c>
      <c r="C684" s="124" t="s">
        <v>1074</v>
      </c>
      <c r="D684" s="120" t="s">
        <v>1791</v>
      </c>
      <c r="E684" s="120" t="s">
        <v>2178</v>
      </c>
      <c r="F684" s="133">
        <f t="shared" ref="F684:F687" si="239">G684-2.797+3.199</f>
        <v>50.025</v>
      </c>
      <c r="G684" s="133">
        <v>49.623</v>
      </c>
      <c r="H684" s="128">
        <v>49.56</v>
      </c>
      <c r="I684" s="144">
        <f t="shared" si="231"/>
        <v>0.0629999999999953</v>
      </c>
      <c r="J684" s="115" t="str">
        <f t="shared" si="235"/>
        <v>295/75R22.5-16PR-AT194</v>
      </c>
      <c r="K684" s="193"/>
      <c r="L684" s="193"/>
      <c r="M684" s="193"/>
      <c r="N684" s="193"/>
      <c r="O684" s="193"/>
      <c r="P684" s="193"/>
      <c r="Q684" s="193"/>
      <c r="T684" s="193"/>
      <c r="U684" s="193"/>
      <c r="BB684" s="113" t="str">
        <f t="shared" si="233"/>
        <v/>
      </c>
    </row>
    <row r="685" spans="2:54">
      <c r="B685" s="119" t="s">
        <v>2144</v>
      </c>
      <c r="C685" s="124" t="s">
        <v>1074</v>
      </c>
      <c r="D685" s="120" t="s">
        <v>1797</v>
      </c>
      <c r="E685" s="120" t="s">
        <v>2178</v>
      </c>
      <c r="F685" s="133">
        <f t="shared" si="239"/>
        <v>50.025</v>
      </c>
      <c r="G685" s="133">
        <v>49.623</v>
      </c>
      <c r="H685" s="128">
        <v>49.56</v>
      </c>
      <c r="I685" s="144">
        <f t="shared" si="231"/>
        <v>0.0629999999999953</v>
      </c>
      <c r="J685" s="115" t="str">
        <f t="shared" si="235"/>
        <v>295/75R22.5-16PR-KOBE APM</v>
      </c>
      <c r="K685" s="193"/>
      <c r="L685" s="193"/>
      <c r="M685" s="193"/>
      <c r="N685" s="193"/>
      <c r="O685" s="193"/>
      <c r="P685" s="193"/>
      <c r="Q685" s="193"/>
      <c r="T685" s="193"/>
      <c r="U685" s="193"/>
      <c r="BB685" s="113" t="str">
        <f t="shared" si="233"/>
        <v/>
      </c>
    </row>
    <row r="686" spans="2:54">
      <c r="B686" s="119" t="s">
        <v>2144</v>
      </c>
      <c r="C686" s="124" t="s">
        <v>1074</v>
      </c>
      <c r="D686" s="120" t="s">
        <v>1815</v>
      </c>
      <c r="E686" s="120" t="s">
        <v>2179</v>
      </c>
      <c r="F686" s="133">
        <f t="shared" si="239"/>
        <v>53.514</v>
      </c>
      <c r="G686" s="133">
        <v>53.112</v>
      </c>
      <c r="H686" s="128">
        <v>53.08</v>
      </c>
      <c r="I686" s="144">
        <f t="shared" si="231"/>
        <v>0.0320000000000036</v>
      </c>
      <c r="J686" s="115" t="str">
        <f t="shared" si="235"/>
        <v>295/75R22.5-16PR-AD196</v>
      </c>
      <c r="K686" s="193"/>
      <c r="L686" s="193"/>
      <c r="M686" s="193"/>
      <c r="N686" s="193"/>
      <c r="O686" s="193"/>
      <c r="P686" s="193"/>
      <c r="Q686" s="193"/>
      <c r="T686" s="193"/>
      <c r="U686" s="193"/>
      <c r="BB686" s="113" t="str">
        <f t="shared" si="233"/>
        <v/>
      </c>
    </row>
    <row r="687" spans="2:54">
      <c r="B687" s="119" t="s">
        <v>2144</v>
      </c>
      <c r="C687" s="124" t="s">
        <v>1074</v>
      </c>
      <c r="D687" s="120" t="s">
        <v>1816</v>
      </c>
      <c r="E687" s="120" t="s">
        <v>2179</v>
      </c>
      <c r="F687" s="133">
        <f t="shared" si="239"/>
        <v>53.514</v>
      </c>
      <c r="G687" s="133">
        <v>53.112</v>
      </c>
      <c r="H687" s="128">
        <v>53.08</v>
      </c>
      <c r="I687" s="144">
        <f t="shared" si="231"/>
        <v>0.0320000000000036</v>
      </c>
      <c r="J687" s="115" t="str">
        <f t="shared" si="235"/>
        <v>295/75R22.5-16PR-KOBE DPM</v>
      </c>
      <c r="K687" s="193"/>
      <c r="L687" s="193"/>
      <c r="M687" s="193"/>
      <c r="N687" s="193"/>
      <c r="O687" s="193"/>
      <c r="P687" s="193"/>
      <c r="Q687" s="193"/>
      <c r="T687" s="193"/>
      <c r="U687" s="193"/>
      <c r="BB687" s="113" t="str">
        <f t="shared" si="233"/>
        <v/>
      </c>
    </row>
    <row r="688" spans="2:54">
      <c r="B688" s="119" t="s">
        <v>2144</v>
      </c>
      <c r="C688" s="124" t="s">
        <v>958</v>
      </c>
      <c r="D688" s="120" t="s">
        <v>1840</v>
      </c>
      <c r="E688" s="120" t="s">
        <v>2180</v>
      </c>
      <c r="F688" s="133">
        <f t="shared" ref="F688:F696" si="240">G688-2.747+3.132</f>
        <v>54.727</v>
      </c>
      <c r="G688" s="133">
        <v>54.342</v>
      </c>
      <c r="H688" s="128">
        <v>54.39</v>
      </c>
      <c r="I688" s="144">
        <f t="shared" si="231"/>
        <v>-0.0480000000000018</v>
      </c>
      <c r="J688" s="115" t="str">
        <f t="shared" si="235"/>
        <v>295/75R22.5-14PR-CM983</v>
      </c>
      <c r="K688" s="193"/>
      <c r="L688" s="193"/>
      <c r="M688" s="193"/>
      <c r="N688" s="193"/>
      <c r="O688" s="193"/>
      <c r="P688" s="193"/>
      <c r="Q688" s="193"/>
      <c r="T688" s="193"/>
      <c r="U688" s="193"/>
      <c r="BB688" s="113" t="str">
        <f t="shared" si="233"/>
        <v/>
      </c>
    </row>
    <row r="689" spans="2:54">
      <c r="B689" s="119" t="s">
        <v>2144</v>
      </c>
      <c r="C689" s="124" t="s">
        <v>958</v>
      </c>
      <c r="D689" s="120" t="s">
        <v>1825</v>
      </c>
      <c r="E689" s="120" t="s">
        <v>2181</v>
      </c>
      <c r="F689" s="133">
        <f t="shared" si="240"/>
        <v>56.011</v>
      </c>
      <c r="G689" s="133">
        <v>55.626</v>
      </c>
      <c r="H689" s="128">
        <v>55.63</v>
      </c>
      <c r="I689" s="144">
        <f t="shared" si="231"/>
        <v>-0.00400000000000489</v>
      </c>
      <c r="J689" s="115" t="str">
        <f t="shared" si="235"/>
        <v>295/75R22.5-14PR-AD737</v>
      </c>
      <c r="K689" s="193"/>
      <c r="L689" s="193"/>
      <c r="M689" s="193"/>
      <c r="N689" s="193"/>
      <c r="O689" s="193"/>
      <c r="P689" s="193"/>
      <c r="Q689" s="193"/>
      <c r="T689" s="193"/>
      <c r="U689" s="193"/>
      <c r="BB689" s="113" t="str">
        <f t="shared" si="233"/>
        <v/>
      </c>
    </row>
    <row r="690" spans="2:54">
      <c r="B690" s="119" t="s">
        <v>2144</v>
      </c>
      <c r="C690" s="124" t="s">
        <v>958</v>
      </c>
      <c r="D690" s="120" t="s">
        <v>1827</v>
      </c>
      <c r="E690" s="120" t="s">
        <v>2182</v>
      </c>
      <c r="F690" s="133">
        <f t="shared" si="240"/>
        <v>57.321</v>
      </c>
      <c r="G690" s="133">
        <v>56.936</v>
      </c>
      <c r="H690" s="128">
        <v>56.97</v>
      </c>
      <c r="I690" s="144">
        <f t="shared" si="231"/>
        <v>-0.0339999999999989</v>
      </c>
      <c r="J690" s="115" t="str">
        <f t="shared" si="235"/>
        <v>295/75R22.5-14PR-AD778</v>
      </c>
      <c r="K690" s="193"/>
      <c r="L690" s="193"/>
      <c r="M690" s="193"/>
      <c r="N690" s="193"/>
      <c r="O690" s="193"/>
      <c r="P690" s="193"/>
      <c r="Q690" s="193"/>
      <c r="T690" s="193"/>
      <c r="U690" s="193"/>
      <c r="BB690" s="113" t="str">
        <f t="shared" si="233"/>
        <v/>
      </c>
    </row>
    <row r="691" spans="2:54">
      <c r="B691" s="119" t="s">
        <v>2144</v>
      </c>
      <c r="C691" s="124" t="s">
        <v>958</v>
      </c>
      <c r="D691" s="120" t="s">
        <v>1829</v>
      </c>
      <c r="E691" s="120" t="s">
        <v>2183</v>
      </c>
      <c r="F691" s="133">
        <f t="shared" si="240"/>
        <v>57.323</v>
      </c>
      <c r="G691" s="133">
        <v>56.938</v>
      </c>
      <c r="H691" s="128">
        <v>56.96</v>
      </c>
      <c r="I691" s="144">
        <f t="shared" si="231"/>
        <v>-0.0219999999999985</v>
      </c>
      <c r="J691" s="115" t="str">
        <f t="shared" si="235"/>
        <v>295/75R22.5-14PR-AD759</v>
      </c>
      <c r="K691" s="193"/>
      <c r="L691" s="193"/>
      <c r="M691" s="193"/>
      <c r="N691" s="193"/>
      <c r="O691" s="193"/>
      <c r="P691" s="193"/>
      <c r="Q691" s="193"/>
      <c r="T691" s="193"/>
      <c r="U691" s="193"/>
      <c r="V691" s="193"/>
      <c r="W691" s="193"/>
      <c r="X691" s="193"/>
      <c r="Y691" s="193"/>
      <c r="Z691" s="193"/>
      <c r="AA691" s="193"/>
      <c r="BB691" s="113" t="str">
        <f t="shared" si="233"/>
        <v/>
      </c>
    </row>
    <row r="692" spans="2:54">
      <c r="B692" s="119" t="s">
        <v>2144</v>
      </c>
      <c r="C692" s="124" t="s">
        <v>1074</v>
      </c>
      <c r="D692" s="120" t="s">
        <v>1833</v>
      </c>
      <c r="E692" s="120" t="s">
        <v>2184</v>
      </c>
      <c r="F692" s="133">
        <f t="shared" si="240"/>
        <v>53.297</v>
      </c>
      <c r="G692" s="133">
        <v>52.912</v>
      </c>
      <c r="H692" s="182">
        <v>53.14</v>
      </c>
      <c r="I692" s="144">
        <f t="shared" si="231"/>
        <v>-0.228000000000002</v>
      </c>
      <c r="J692" s="115" t="str">
        <f t="shared" si="235"/>
        <v>295/75R22.5-16PR-AS600+</v>
      </c>
      <c r="K692" s="193"/>
      <c r="L692" s="193"/>
      <c r="M692" s="193"/>
      <c r="N692" s="193"/>
      <c r="O692" s="193"/>
      <c r="P692" s="193"/>
      <c r="Q692" s="193"/>
      <c r="T692" s="193"/>
      <c r="U692" s="193"/>
      <c r="V692" s="193"/>
      <c r="W692" s="193"/>
      <c r="X692" s="193"/>
      <c r="Y692" s="193"/>
      <c r="Z692" s="193"/>
      <c r="AA692" s="193"/>
      <c r="BB692" s="113" t="str">
        <f t="shared" si="233"/>
        <v/>
      </c>
    </row>
    <row r="693" spans="2:54">
      <c r="B693" s="119" t="s">
        <v>2144</v>
      </c>
      <c r="C693" s="124" t="s">
        <v>1074</v>
      </c>
      <c r="D693" s="120" t="s">
        <v>1835</v>
      </c>
      <c r="E693" s="120" t="s">
        <v>2184</v>
      </c>
      <c r="F693" s="133">
        <f t="shared" si="240"/>
        <v>53.297</v>
      </c>
      <c r="G693" s="133">
        <v>52.912</v>
      </c>
      <c r="H693" s="182">
        <v>53.14</v>
      </c>
      <c r="I693" s="144">
        <f t="shared" si="231"/>
        <v>-0.228000000000002</v>
      </c>
      <c r="J693" s="115" t="str">
        <f t="shared" si="235"/>
        <v>295/75R22.5-16PR-CR989+</v>
      </c>
      <c r="K693" s="193"/>
      <c r="L693" s="193"/>
      <c r="M693" s="193"/>
      <c r="N693" s="193"/>
      <c r="O693" s="193"/>
      <c r="P693" s="193"/>
      <c r="Q693" s="193"/>
      <c r="V693" s="193"/>
      <c r="W693" s="193"/>
      <c r="X693" s="193"/>
      <c r="Y693" s="193"/>
      <c r="Z693" s="193"/>
      <c r="AA693" s="193"/>
      <c r="BB693" s="113" t="str">
        <f t="shared" si="233"/>
        <v/>
      </c>
    </row>
    <row r="694" spans="2:54">
      <c r="B694" s="119" t="s">
        <v>2144</v>
      </c>
      <c r="C694" s="124" t="s">
        <v>1074</v>
      </c>
      <c r="D694" s="120" t="s">
        <v>1836</v>
      </c>
      <c r="E694" s="120" t="s">
        <v>2184</v>
      </c>
      <c r="F694" s="133">
        <f t="shared" si="240"/>
        <v>53.297</v>
      </c>
      <c r="G694" s="133">
        <v>52.912</v>
      </c>
      <c r="H694" s="182">
        <v>53.14</v>
      </c>
      <c r="I694" s="144">
        <f t="shared" si="231"/>
        <v>-0.228000000000002</v>
      </c>
      <c r="J694" s="115" t="str">
        <f t="shared" si="235"/>
        <v>295/75R22.5-16PR-RLINE-S1</v>
      </c>
      <c r="K694" s="193"/>
      <c r="L694" s="193"/>
      <c r="M694" s="193"/>
      <c r="N694" s="193"/>
      <c r="O694" s="193"/>
      <c r="P694" s="193"/>
      <c r="Q694" s="193"/>
      <c r="V694" s="193"/>
      <c r="W694" s="193"/>
      <c r="X694" s="193"/>
      <c r="Y694" s="193"/>
      <c r="Z694" s="193"/>
      <c r="AA694" s="193"/>
      <c r="BB694" s="113" t="str">
        <f t="shared" si="233"/>
        <v/>
      </c>
    </row>
    <row r="695" spans="2:54">
      <c r="B695" s="119" t="s">
        <v>2144</v>
      </c>
      <c r="C695" s="124" t="s">
        <v>1074</v>
      </c>
      <c r="D695" s="120" t="s">
        <v>1837</v>
      </c>
      <c r="E695" s="120" t="s">
        <v>2184</v>
      </c>
      <c r="F695" s="133">
        <f t="shared" si="240"/>
        <v>53.297</v>
      </c>
      <c r="G695" s="133">
        <v>52.912</v>
      </c>
      <c r="H695" s="182">
        <v>53.14</v>
      </c>
      <c r="I695" s="144">
        <f t="shared" si="231"/>
        <v>-0.228000000000002</v>
      </c>
      <c r="J695" s="115" t="str">
        <f t="shared" si="235"/>
        <v>295/75R22.5-16PR-STEALTH S01</v>
      </c>
      <c r="K695" s="193"/>
      <c r="L695" s="193"/>
      <c r="M695" s="193"/>
      <c r="N695" s="193"/>
      <c r="O695" s="193"/>
      <c r="P695" s="193"/>
      <c r="Q695" s="193"/>
      <c r="V695" s="193"/>
      <c r="W695" s="193"/>
      <c r="X695" s="193"/>
      <c r="Y695" s="193"/>
      <c r="Z695" s="193"/>
      <c r="AA695" s="193"/>
      <c r="BB695" s="113" t="str">
        <f t="shared" si="233"/>
        <v/>
      </c>
    </row>
    <row r="696" spans="2:54">
      <c r="B696" s="119" t="s">
        <v>2144</v>
      </c>
      <c r="C696" s="124" t="s">
        <v>1074</v>
      </c>
      <c r="D696" s="120" t="s">
        <v>2185</v>
      </c>
      <c r="E696" s="120" t="s">
        <v>2184</v>
      </c>
      <c r="F696" s="133">
        <f t="shared" si="240"/>
        <v>53.297</v>
      </c>
      <c r="G696" s="133">
        <v>52.912</v>
      </c>
      <c r="H696" s="182">
        <v>53.14</v>
      </c>
      <c r="I696" s="144">
        <f t="shared" si="231"/>
        <v>-0.228000000000002</v>
      </c>
      <c r="J696" s="115" t="str">
        <f t="shared" si="235"/>
        <v>295/75R22.5-16PR-AS604</v>
      </c>
      <c r="K696" s="193"/>
      <c r="L696" s="193"/>
      <c r="M696" s="193"/>
      <c r="N696" s="193"/>
      <c r="O696" s="193"/>
      <c r="P696" s="193"/>
      <c r="Q696" s="193"/>
      <c r="BB696" s="113" t="str">
        <f t="shared" si="233"/>
        <v/>
      </c>
    </row>
    <row r="697" spans="2:54">
      <c r="B697" s="119" t="s">
        <v>2144</v>
      </c>
      <c r="C697" s="124" t="s">
        <v>1074</v>
      </c>
      <c r="D697" s="120" t="s">
        <v>2186</v>
      </c>
      <c r="E697" s="120" t="s">
        <v>2184</v>
      </c>
      <c r="F697" s="133">
        <v>53.3</v>
      </c>
      <c r="G697" s="133">
        <v>52.91</v>
      </c>
      <c r="H697" s="182">
        <v>53.14</v>
      </c>
      <c r="I697" s="144">
        <v>-0.24</v>
      </c>
      <c r="J697" s="115" t="str">
        <f t="shared" si="235"/>
        <v>295/75R22.5-16PR-ECO-MILE HS+</v>
      </c>
      <c r="K697" s="193"/>
      <c r="L697" s="193"/>
      <c r="M697" s="193"/>
      <c r="N697" s="193"/>
      <c r="O697" s="193"/>
      <c r="P697" s="193"/>
      <c r="Q697" s="193"/>
      <c r="BB697" s="113" t="str">
        <f t="shared" si="233"/>
        <v/>
      </c>
    </row>
    <row r="698" spans="2:54">
      <c r="B698" s="119" t="s">
        <v>2144</v>
      </c>
      <c r="C698" s="124" t="s">
        <v>1074</v>
      </c>
      <c r="D698" s="120" t="s">
        <v>2187</v>
      </c>
      <c r="E698" s="120" t="s">
        <v>2184</v>
      </c>
      <c r="F698" s="133">
        <v>53.3</v>
      </c>
      <c r="G698" s="133">
        <v>52.91</v>
      </c>
      <c r="H698" s="182">
        <v>53.14</v>
      </c>
      <c r="I698" s="144">
        <v>-0.24</v>
      </c>
      <c r="J698" s="115" t="str">
        <f t="shared" si="235"/>
        <v>295/75R22.5-16PR-M-TRAC HS+</v>
      </c>
      <c r="K698" s="193"/>
      <c r="L698" s="193"/>
      <c r="M698" s="193"/>
      <c r="N698" s="193"/>
      <c r="O698" s="193"/>
      <c r="P698" s="193"/>
      <c r="Q698" s="193"/>
      <c r="BB698" s="113" t="str">
        <f t="shared" si="233"/>
        <v/>
      </c>
    </row>
    <row r="699" spans="2:54">
      <c r="B699" s="119" t="s">
        <v>2144</v>
      </c>
      <c r="C699" s="124" t="s">
        <v>958</v>
      </c>
      <c r="D699" s="120" t="s">
        <v>1650</v>
      </c>
      <c r="E699" s="120" t="s">
        <v>2188</v>
      </c>
      <c r="F699" s="133">
        <f t="shared" ref="F699:F706" si="241">G699-2.747+3.132</f>
        <v>47.454</v>
      </c>
      <c r="G699" s="133">
        <v>47.069</v>
      </c>
      <c r="H699" s="128">
        <v>47.14</v>
      </c>
      <c r="I699" s="144">
        <f t="shared" ref="I699:I750" si="242">G699-H699</f>
        <v>-0.070999999999998</v>
      </c>
      <c r="J699" s="115" t="str">
        <f t="shared" si="235"/>
        <v>295/75R22.5-14PR-AT598</v>
      </c>
      <c r="K699" s="193"/>
      <c r="L699" s="193"/>
      <c r="M699" s="193"/>
      <c r="N699" s="193"/>
      <c r="O699" s="193"/>
      <c r="P699" s="193"/>
      <c r="Q699" s="193"/>
      <c r="BB699" s="113" t="str">
        <f t="shared" si="233"/>
        <v/>
      </c>
    </row>
    <row r="700" spans="2:54">
      <c r="B700" s="119" t="s">
        <v>2144</v>
      </c>
      <c r="C700" s="124" t="s">
        <v>958</v>
      </c>
      <c r="D700" s="120" t="s">
        <v>1654</v>
      </c>
      <c r="E700" s="120" t="s">
        <v>2188</v>
      </c>
      <c r="F700" s="133">
        <f t="shared" si="241"/>
        <v>47.454</v>
      </c>
      <c r="G700" s="133">
        <v>47.069</v>
      </c>
      <c r="H700" s="128">
        <v>47.14</v>
      </c>
      <c r="I700" s="144">
        <f t="shared" si="242"/>
        <v>-0.070999999999998</v>
      </c>
      <c r="J700" s="115" t="str">
        <f t="shared" si="235"/>
        <v>295/75R22.5-14PR-HT1 Plus</v>
      </c>
      <c r="K700" s="193"/>
      <c r="L700" s="193"/>
      <c r="M700" s="193"/>
      <c r="N700" s="193"/>
      <c r="O700" s="193"/>
      <c r="P700" s="193"/>
      <c r="Q700" s="193"/>
      <c r="BB700" s="113" t="str">
        <f t="shared" si="233"/>
        <v/>
      </c>
    </row>
    <row r="701" spans="2:54">
      <c r="B701" s="119" t="s">
        <v>2144</v>
      </c>
      <c r="C701" s="124" t="s">
        <v>958</v>
      </c>
      <c r="D701" s="120" t="s">
        <v>1660</v>
      </c>
      <c r="E701" s="120" t="s">
        <v>2188</v>
      </c>
      <c r="F701" s="133">
        <f t="shared" si="241"/>
        <v>47.454</v>
      </c>
      <c r="G701" s="133">
        <v>47.069</v>
      </c>
      <c r="H701" s="128">
        <v>47.14</v>
      </c>
      <c r="I701" s="144">
        <f t="shared" si="242"/>
        <v>-0.070999999999998</v>
      </c>
      <c r="J701" s="115" t="str">
        <f t="shared" si="235"/>
        <v>295/75R22.5-14PR-RLINE-T1</v>
      </c>
      <c r="K701" s="193"/>
      <c r="L701" s="193"/>
      <c r="M701" s="193"/>
      <c r="N701" s="193"/>
      <c r="O701" s="193"/>
      <c r="P701" s="193"/>
      <c r="Q701" s="193"/>
      <c r="BB701" s="113" t="str">
        <f t="shared" si="233"/>
        <v/>
      </c>
    </row>
    <row r="702" spans="2:54">
      <c r="B702" s="119" t="s">
        <v>2144</v>
      </c>
      <c r="C702" s="124" t="s">
        <v>1074</v>
      </c>
      <c r="D702" s="120" t="s">
        <v>1650</v>
      </c>
      <c r="E702" s="120" t="s">
        <v>2188</v>
      </c>
      <c r="F702" s="133">
        <f t="shared" si="241"/>
        <v>47.454</v>
      </c>
      <c r="G702" s="133">
        <v>47.069</v>
      </c>
      <c r="H702" s="128">
        <v>47.14</v>
      </c>
      <c r="I702" s="144">
        <f t="shared" si="242"/>
        <v>-0.070999999999998</v>
      </c>
      <c r="J702" s="115" t="str">
        <f t="shared" si="235"/>
        <v>295/75R22.5-16PR-AT598</v>
      </c>
      <c r="K702" s="193"/>
      <c r="L702" s="193"/>
      <c r="M702" s="193"/>
      <c r="N702" s="193"/>
      <c r="O702" s="193"/>
      <c r="P702" s="193"/>
      <c r="Q702" s="193"/>
      <c r="BB702" s="113" t="str">
        <f t="shared" si="233"/>
        <v/>
      </c>
    </row>
    <row r="703" spans="2:54">
      <c r="B703" s="119" t="s">
        <v>2144</v>
      </c>
      <c r="C703" s="124" t="s">
        <v>1074</v>
      </c>
      <c r="D703" s="120" t="s">
        <v>1654</v>
      </c>
      <c r="E703" s="120" t="s">
        <v>2188</v>
      </c>
      <c r="F703" s="133">
        <f t="shared" si="241"/>
        <v>47.454</v>
      </c>
      <c r="G703" s="133">
        <v>47.069</v>
      </c>
      <c r="H703" s="128">
        <v>47.14</v>
      </c>
      <c r="I703" s="144">
        <f t="shared" si="242"/>
        <v>-0.070999999999998</v>
      </c>
      <c r="J703" s="115" t="str">
        <f t="shared" si="235"/>
        <v>295/75R22.5-16PR-HT1 Plus</v>
      </c>
      <c r="K703" s="193"/>
      <c r="L703" s="193"/>
      <c r="M703" s="193"/>
      <c r="N703" s="193"/>
      <c r="O703" s="193"/>
      <c r="P703" s="193"/>
      <c r="Q703" s="193"/>
      <c r="BB703" s="113" t="str">
        <f t="shared" si="233"/>
        <v/>
      </c>
    </row>
    <row r="704" spans="2:54">
      <c r="B704" s="119" t="s">
        <v>2144</v>
      </c>
      <c r="C704" s="124" t="s">
        <v>1074</v>
      </c>
      <c r="D704" s="120" t="s">
        <v>1660</v>
      </c>
      <c r="E704" s="120" t="s">
        <v>2188</v>
      </c>
      <c r="F704" s="133">
        <f t="shared" si="241"/>
        <v>47.454</v>
      </c>
      <c r="G704" s="133">
        <v>47.069</v>
      </c>
      <c r="H704" s="128">
        <v>47.14</v>
      </c>
      <c r="I704" s="144">
        <f t="shared" si="242"/>
        <v>-0.070999999999998</v>
      </c>
      <c r="J704" s="115" t="str">
        <f t="shared" si="235"/>
        <v>295/75R22.5-16PR-RLINE-T1</v>
      </c>
      <c r="K704" s="193"/>
      <c r="L704" s="193"/>
      <c r="M704" s="193"/>
      <c r="N704" s="193"/>
      <c r="O704" s="193"/>
      <c r="P704" s="193"/>
      <c r="Q704" s="193"/>
      <c r="BB704" s="113" t="str">
        <f t="shared" si="233"/>
        <v/>
      </c>
    </row>
    <row r="705" spans="2:54">
      <c r="B705" s="119" t="s">
        <v>2144</v>
      </c>
      <c r="C705" s="124" t="s">
        <v>1074</v>
      </c>
      <c r="D705" s="120" t="s">
        <v>1714</v>
      </c>
      <c r="E705" s="120" t="s">
        <v>2189</v>
      </c>
      <c r="F705" s="133">
        <f t="shared" si="241"/>
        <v>60.093</v>
      </c>
      <c r="G705" s="133">
        <v>59.708</v>
      </c>
      <c r="H705" s="128">
        <v>59.5866</v>
      </c>
      <c r="I705" s="144">
        <f t="shared" si="242"/>
        <v>0.121400000000001</v>
      </c>
      <c r="J705" s="115" t="str">
        <f t="shared" si="235"/>
        <v>295/75R22.5-16PR-AD600</v>
      </c>
      <c r="K705" s="193"/>
      <c r="L705" s="193"/>
      <c r="M705" s="193"/>
      <c r="N705" s="193"/>
      <c r="O705" s="193"/>
      <c r="P705" s="193"/>
      <c r="Q705" s="193"/>
      <c r="BB705" s="113" t="str">
        <f t="shared" si="233"/>
        <v/>
      </c>
    </row>
    <row r="706" spans="2:54">
      <c r="B706" s="119" t="s">
        <v>2144</v>
      </c>
      <c r="C706" s="124" t="s">
        <v>1074</v>
      </c>
      <c r="D706" s="120" t="s">
        <v>1718</v>
      </c>
      <c r="E706" s="120" t="s">
        <v>2189</v>
      </c>
      <c r="F706" s="133">
        <f t="shared" si="241"/>
        <v>60.093</v>
      </c>
      <c r="G706" s="133">
        <v>59.708</v>
      </c>
      <c r="H706" s="128">
        <v>59.5866</v>
      </c>
      <c r="I706" s="144">
        <f t="shared" si="242"/>
        <v>0.121400000000001</v>
      </c>
      <c r="J706" s="115" t="str">
        <f t="shared" si="235"/>
        <v>295/75R22.5-16PR-PD211</v>
      </c>
      <c r="K706" s="193"/>
      <c r="L706" s="193"/>
      <c r="M706" s="193"/>
      <c r="N706" s="193"/>
      <c r="O706" s="193"/>
      <c r="P706" s="193"/>
      <c r="Q706" s="193"/>
      <c r="BB706" s="113" t="str">
        <f t="shared" si="233"/>
        <v/>
      </c>
    </row>
    <row r="707" spans="2:54">
      <c r="B707" s="119" t="s">
        <v>2144</v>
      </c>
      <c r="C707" s="124" t="s">
        <v>1074</v>
      </c>
      <c r="D707" s="120" t="s">
        <v>1719</v>
      </c>
      <c r="E707" s="120" t="s">
        <v>2190</v>
      </c>
      <c r="F707" s="133">
        <f t="shared" ref="F707:F712" si="243">G707-2.747+3.14</f>
        <v>55.563</v>
      </c>
      <c r="G707" s="133">
        <v>55.17</v>
      </c>
      <c r="H707" s="182">
        <v>54.62</v>
      </c>
      <c r="I707" s="144">
        <f t="shared" si="242"/>
        <v>0.550000000000004</v>
      </c>
      <c r="J707" s="115" t="str">
        <f t="shared" si="235"/>
        <v>295/75R22.5-16PR-W-Elite SL11</v>
      </c>
      <c r="K707" s="193"/>
      <c r="L707" s="193"/>
      <c r="M707" s="193"/>
      <c r="N707" s="193"/>
      <c r="O707" s="193"/>
      <c r="P707" s="193"/>
      <c r="Q707" s="193"/>
      <c r="BB707" s="113" t="str">
        <f t="shared" si="233"/>
        <v/>
      </c>
    </row>
    <row r="708" spans="2:54">
      <c r="B708" s="119" t="s">
        <v>2144</v>
      </c>
      <c r="C708" s="124" t="s">
        <v>1074</v>
      </c>
      <c r="D708" s="120" t="s">
        <v>1724</v>
      </c>
      <c r="E708" s="120" t="s">
        <v>2190</v>
      </c>
      <c r="F708" s="133">
        <f t="shared" si="243"/>
        <v>55.563</v>
      </c>
      <c r="G708" s="133">
        <v>55.17</v>
      </c>
      <c r="H708" s="182">
        <v>54.62</v>
      </c>
      <c r="I708" s="144">
        <f t="shared" si="242"/>
        <v>0.550000000000004</v>
      </c>
      <c r="J708" s="115" t="str">
        <f t="shared" si="235"/>
        <v>295/75R22.5-16PR-VA996</v>
      </c>
      <c r="K708" s="193"/>
      <c r="L708" s="193"/>
      <c r="M708" s="193"/>
      <c r="N708" s="193"/>
      <c r="O708" s="193"/>
      <c r="P708" s="193"/>
      <c r="Q708" s="193"/>
      <c r="BB708" s="113" t="str">
        <f t="shared" si="233"/>
        <v/>
      </c>
    </row>
    <row r="709" spans="2:54">
      <c r="B709" s="119" t="s">
        <v>2144</v>
      </c>
      <c r="C709" s="124" t="s">
        <v>1074</v>
      </c>
      <c r="D709" s="120" t="s">
        <v>1726</v>
      </c>
      <c r="E709" s="120" t="s">
        <v>2190</v>
      </c>
      <c r="F709" s="133">
        <f t="shared" si="243"/>
        <v>55.563</v>
      </c>
      <c r="G709" s="133">
        <v>55.17</v>
      </c>
      <c r="H709" s="182">
        <v>54.62</v>
      </c>
      <c r="I709" s="144">
        <f t="shared" si="242"/>
        <v>0.550000000000004</v>
      </c>
      <c r="J709" s="115" t="str">
        <f t="shared" si="235"/>
        <v>295/75R22.5-16PR-AS200</v>
      </c>
      <c r="K709" s="193"/>
      <c r="L709" s="193"/>
      <c r="M709" s="193"/>
      <c r="N709" s="193"/>
      <c r="O709" s="193"/>
      <c r="P709" s="193"/>
      <c r="Q709" s="193"/>
      <c r="BB709" s="113" t="str">
        <f t="shared" ref="BB709:BB772" si="244">_xlfn.TEXTJOIN("-",TRUE,AU709,AW709)</f>
        <v/>
      </c>
    </row>
    <row r="710" spans="2:54">
      <c r="B710" s="119" t="s">
        <v>2144</v>
      </c>
      <c r="C710" s="124" t="s">
        <v>1074</v>
      </c>
      <c r="D710" s="120" t="s">
        <v>1729</v>
      </c>
      <c r="E710" s="120" t="s">
        <v>2190</v>
      </c>
      <c r="F710" s="133">
        <f t="shared" si="243"/>
        <v>55.563</v>
      </c>
      <c r="G710" s="133">
        <v>55.17</v>
      </c>
      <c r="H710" s="182">
        <v>54.62</v>
      </c>
      <c r="I710" s="144">
        <f t="shared" si="242"/>
        <v>0.550000000000004</v>
      </c>
      <c r="J710" s="115" t="str">
        <f t="shared" si="235"/>
        <v>295/75R22.5-16PR-PS221</v>
      </c>
      <c r="K710" s="193"/>
      <c r="L710" s="193"/>
      <c r="M710" s="193"/>
      <c r="N710" s="193"/>
      <c r="O710" s="193"/>
      <c r="P710" s="193"/>
      <c r="Q710" s="193"/>
      <c r="BB710" s="113" t="str">
        <f t="shared" si="244"/>
        <v/>
      </c>
    </row>
    <row r="711" spans="2:54">
      <c r="B711" s="119" t="s">
        <v>2144</v>
      </c>
      <c r="C711" s="124" t="s">
        <v>1074</v>
      </c>
      <c r="D711" s="120" t="s">
        <v>2150</v>
      </c>
      <c r="E711" s="120" t="s">
        <v>2190</v>
      </c>
      <c r="F711" s="133">
        <f t="shared" si="243"/>
        <v>55.563</v>
      </c>
      <c r="G711" s="133">
        <v>55.17</v>
      </c>
      <c r="H711" s="182">
        <v>54.62</v>
      </c>
      <c r="I711" s="144">
        <f t="shared" si="242"/>
        <v>0.550000000000004</v>
      </c>
      <c r="J711" s="115" t="str">
        <f t="shared" si="235"/>
        <v>295/75R22.5-16PR-AS201</v>
      </c>
      <c r="K711" s="193"/>
      <c r="L711" s="193"/>
      <c r="M711" s="193"/>
      <c r="N711" s="193"/>
      <c r="O711" s="193"/>
      <c r="P711" s="193"/>
      <c r="Q711" s="193"/>
      <c r="BB711" s="113" t="str">
        <f t="shared" si="244"/>
        <v/>
      </c>
    </row>
    <row r="712" spans="2:54">
      <c r="B712" s="119" t="s">
        <v>2144</v>
      </c>
      <c r="C712" s="124" t="s">
        <v>1074</v>
      </c>
      <c r="D712" s="120" t="s">
        <v>2151</v>
      </c>
      <c r="E712" s="120" t="s">
        <v>2190</v>
      </c>
      <c r="F712" s="133">
        <f t="shared" si="243"/>
        <v>55.563</v>
      </c>
      <c r="G712" s="133">
        <v>55.17</v>
      </c>
      <c r="H712" s="182">
        <v>54.62</v>
      </c>
      <c r="I712" s="144">
        <f t="shared" si="242"/>
        <v>0.550000000000004</v>
      </c>
      <c r="J712" s="115" t="str">
        <f t="shared" si="235"/>
        <v>295/75R22.5-16PR-PS210</v>
      </c>
      <c r="K712" s="193"/>
      <c r="L712" s="193"/>
      <c r="M712" s="193"/>
      <c r="N712" s="193"/>
      <c r="O712" s="193"/>
      <c r="P712" s="193"/>
      <c r="Q712" s="193"/>
      <c r="BB712" s="113" t="str">
        <f t="shared" si="244"/>
        <v/>
      </c>
    </row>
    <row r="713" spans="2:54">
      <c r="B713" s="119" t="s">
        <v>2144</v>
      </c>
      <c r="C713" s="124" t="s">
        <v>958</v>
      </c>
      <c r="D713" s="120" t="s">
        <v>1849</v>
      </c>
      <c r="E713" s="120" t="s">
        <v>2191</v>
      </c>
      <c r="F713" s="133">
        <f t="shared" ref="F713:F719" si="245">G713-2.747+3.132</f>
        <v>55.506</v>
      </c>
      <c r="G713" s="133">
        <v>55.121</v>
      </c>
      <c r="H713" s="128">
        <v>55.1653</v>
      </c>
      <c r="I713" s="144">
        <f t="shared" si="242"/>
        <v>-0.0442999999999998</v>
      </c>
      <c r="J713" s="115" t="str">
        <f t="shared" si="235"/>
        <v>295/75R22.5-14PR-I-37D</v>
      </c>
      <c r="K713" s="193"/>
      <c r="L713" s="193"/>
      <c r="M713" s="193"/>
      <c r="N713" s="193"/>
      <c r="O713" s="193"/>
      <c r="P713" s="193"/>
      <c r="Q713" s="193"/>
      <c r="BB713" s="113" t="str">
        <f t="shared" si="244"/>
        <v/>
      </c>
    </row>
    <row r="714" spans="2:54">
      <c r="B714" s="119" t="s">
        <v>2144</v>
      </c>
      <c r="C714" s="124" t="s">
        <v>1074</v>
      </c>
      <c r="D714" s="120" t="s">
        <v>2155</v>
      </c>
      <c r="E714" s="120" t="s">
        <v>2192</v>
      </c>
      <c r="F714" s="133">
        <f t="shared" si="245"/>
        <v>59.528</v>
      </c>
      <c r="G714" s="133">
        <v>59.143</v>
      </c>
      <c r="H714" s="128">
        <v>59.27</v>
      </c>
      <c r="I714" s="144">
        <f t="shared" si="242"/>
        <v>-0.127000000000002</v>
      </c>
      <c r="J714" s="115" t="str">
        <f t="shared" si="235"/>
        <v>295/75R22.5-16PR-W-Elite DA25</v>
      </c>
      <c r="K714" s="193"/>
      <c r="L714" s="193"/>
      <c r="M714" s="193"/>
      <c r="N714" s="193"/>
      <c r="O714" s="193"/>
      <c r="P714" s="193"/>
      <c r="Q714" s="193"/>
      <c r="BB714" s="113" t="str">
        <f t="shared" si="244"/>
        <v/>
      </c>
    </row>
    <row r="715" spans="2:54">
      <c r="B715" s="119" t="s">
        <v>2144</v>
      </c>
      <c r="C715" s="124" t="s">
        <v>1074</v>
      </c>
      <c r="D715" s="120" t="s">
        <v>1697</v>
      </c>
      <c r="E715" s="120" t="s">
        <v>2192</v>
      </c>
      <c r="F715" s="133">
        <f t="shared" si="245"/>
        <v>59.528</v>
      </c>
      <c r="G715" s="133">
        <v>59.143</v>
      </c>
      <c r="H715" s="128">
        <v>59.27</v>
      </c>
      <c r="I715" s="144">
        <f t="shared" si="242"/>
        <v>-0.127000000000002</v>
      </c>
      <c r="J715" s="115" t="str">
        <f t="shared" si="235"/>
        <v>295/75R22.5-16PR-VXD932</v>
      </c>
      <c r="K715" s="193"/>
      <c r="L715" s="193"/>
      <c r="M715" s="193"/>
      <c r="N715" s="193"/>
      <c r="O715" s="193"/>
      <c r="P715" s="193"/>
      <c r="Q715" s="193"/>
      <c r="BB715" s="113" t="str">
        <f t="shared" si="244"/>
        <v/>
      </c>
    </row>
    <row r="716" spans="2:54">
      <c r="B716" s="119" t="s">
        <v>2144</v>
      </c>
      <c r="C716" s="124" t="s">
        <v>958</v>
      </c>
      <c r="D716" s="120" t="s">
        <v>1823</v>
      </c>
      <c r="E716" s="120" t="s">
        <v>2193</v>
      </c>
      <c r="F716" s="133">
        <f t="shared" si="245"/>
        <v>54.919</v>
      </c>
      <c r="G716" s="133">
        <v>54.534</v>
      </c>
      <c r="H716" s="128">
        <v>54.5961</v>
      </c>
      <c r="I716" s="144">
        <f t="shared" si="242"/>
        <v>-0.0621000000000009</v>
      </c>
      <c r="J716" s="115" t="str">
        <f t="shared" ref="J716:J779" si="246">_xlfn.TEXTJOIN("-",TRUE,B716,C716,D716)</f>
        <v>295/75R22.5-14PR-AS673</v>
      </c>
      <c r="K716" s="193"/>
      <c r="L716" s="193"/>
      <c r="M716" s="193"/>
      <c r="N716" s="193"/>
      <c r="O716" s="193"/>
      <c r="P716" s="193"/>
      <c r="Q716" s="193"/>
      <c r="BB716" s="113" t="str">
        <f t="shared" si="244"/>
        <v/>
      </c>
    </row>
    <row r="717" spans="2:54">
      <c r="B717" s="119" t="s">
        <v>2144</v>
      </c>
      <c r="C717" s="124" t="s">
        <v>1074</v>
      </c>
      <c r="D717" s="120" t="s">
        <v>1842</v>
      </c>
      <c r="E717" s="120" t="s">
        <v>2194</v>
      </c>
      <c r="F717" s="133">
        <f t="shared" si="245"/>
        <v>56.134</v>
      </c>
      <c r="G717" s="133">
        <v>55.749</v>
      </c>
      <c r="H717" s="128">
        <v>54.7634</v>
      </c>
      <c r="I717" s="144">
        <f t="shared" si="242"/>
        <v>0.985600000000005</v>
      </c>
      <c r="J717" s="115" t="str">
        <f t="shared" si="246"/>
        <v>295/75R22.5-16PR-I-52A</v>
      </c>
      <c r="K717" s="193"/>
      <c r="L717" s="193"/>
      <c r="M717" s="193"/>
      <c r="N717" s="193"/>
      <c r="O717" s="193"/>
      <c r="P717" s="193"/>
      <c r="Q717" s="193"/>
      <c r="BB717" s="113" t="str">
        <f t="shared" si="244"/>
        <v/>
      </c>
    </row>
    <row r="718" spans="2:54">
      <c r="B718" s="119" t="s">
        <v>2144</v>
      </c>
      <c r="C718" s="124" t="s">
        <v>1074</v>
      </c>
      <c r="D718" s="120" t="s">
        <v>1745</v>
      </c>
      <c r="E718" s="120" t="s">
        <v>2195</v>
      </c>
      <c r="F718" s="133">
        <f t="shared" si="245"/>
        <v>51.808</v>
      </c>
      <c r="G718" s="133">
        <v>51.423</v>
      </c>
      <c r="H718" s="128">
        <v>51.44</v>
      </c>
      <c r="I718" s="144">
        <f t="shared" si="242"/>
        <v>-0.0169999999999959</v>
      </c>
      <c r="J718" s="115" t="str">
        <f t="shared" si="246"/>
        <v>295/75R22.5-16PR-I-61S</v>
      </c>
      <c r="K718" s="193"/>
      <c r="L718" s="193"/>
      <c r="M718" s="193"/>
      <c r="N718" s="193"/>
      <c r="O718" s="193"/>
      <c r="P718" s="193"/>
      <c r="Q718" s="193"/>
      <c r="BB718" s="113" t="str">
        <f t="shared" si="244"/>
        <v/>
      </c>
    </row>
    <row r="719" spans="2:54">
      <c r="B719" s="119" t="s">
        <v>2144</v>
      </c>
      <c r="C719" s="124" t="s">
        <v>1074</v>
      </c>
      <c r="D719" s="120" t="s">
        <v>1742</v>
      </c>
      <c r="E719" s="120" t="s">
        <v>2195</v>
      </c>
      <c r="F719" s="133">
        <f t="shared" si="245"/>
        <v>51.808</v>
      </c>
      <c r="G719" s="133">
        <v>51.423</v>
      </c>
      <c r="H719" s="128">
        <v>51.44</v>
      </c>
      <c r="I719" s="144">
        <f t="shared" si="242"/>
        <v>-0.0169999999999959</v>
      </c>
      <c r="J719" s="115" t="str">
        <f t="shared" si="246"/>
        <v>295/75R22.5-16PR-I-19A</v>
      </c>
      <c r="K719" s="193"/>
      <c r="L719" s="193"/>
      <c r="M719" s="193"/>
      <c r="N719" s="193"/>
      <c r="O719" s="193"/>
      <c r="P719" s="193"/>
      <c r="Q719" s="193"/>
      <c r="BB719" s="113" t="str">
        <f t="shared" si="244"/>
        <v/>
      </c>
    </row>
    <row r="720" spans="2:54">
      <c r="B720" s="119" t="s">
        <v>2144</v>
      </c>
      <c r="C720" s="124" t="s">
        <v>1074</v>
      </c>
      <c r="D720" s="120" t="s">
        <v>2196</v>
      </c>
      <c r="E720" s="120" t="s">
        <v>2197</v>
      </c>
      <c r="F720" s="133">
        <f t="shared" ref="F720:F729" si="247">G720-2.75+3.13</f>
        <v>48.43</v>
      </c>
      <c r="G720" s="133">
        <v>48.05</v>
      </c>
      <c r="H720" s="128">
        <v>48.11</v>
      </c>
      <c r="I720" s="144">
        <f t="shared" si="242"/>
        <v>-0.0600000000000023</v>
      </c>
      <c r="J720" s="115" t="str">
        <f t="shared" si="246"/>
        <v>295/75R22.5-16PR-AT100</v>
      </c>
      <c r="K720" s="193"/>
      <c r="L720" s="193"/>
      <c r="M720" s="193"/>
      <c r="N720" s="193"/>
      <c r="O720" s="193"/>
      <c r="P720" s="193"/>
      <c r="Q720" s="193"/>
      <c r="BB720" s="113" t="str">
        <f t="shared" si="244"/>
        <v/>
      </c>
    </row>
    <row r="721" spans="2:54">
      <c r="B721" s="119" t="s">
        <v>2144</v>
      </c>
      <c r="C721" s="124" t="s">
        <v>1074</v>
      </c>
      <c r="D721" s="120" t="s">
        <v>2198</v>
      </c>
      <c r="E721" s="120" t="s">
        <v>2197</v>
      </c>
      <c r="F721" s="133">
        <f t="shared" si="247"/>
        <v>48.43</v>
      </c>
      <c r="G721" s="133">
        <v>48.05</v>
      </c>
      <c r="H721" s="128">
        <v>48.11</v>
      </c>
      <c r="I721" s="144">
        <f t="shared" si="242"/>
        <v>-0.0600000000000023</v>
      </c>
      <c r="J721" s="115" t="str">
        <f t="shared" si="246"/>
        <v>295/75R22.5-16PR-PT101</v>
      </c>
      <c r="K721" s="193"/>
      <c r="L721" s="193"/>
      <c r="M721" s="193"/>
      <c r="N721" s="193"/>
      <c r="O721" s="193"/>
      <c r="P721" s="193"/>
      <c r="Q721" s="193"/>
      <c r="BB721" s="113" t="str">
        <f t="shared" si="244"/>
        <v/>
      </c>
    </row>
    <row r="722" spans="2:54">
      <c r="B722" s="119" t="s">
        <v>2144</v>
      </c>
      <c r="C722" s="124" t="s">
        <v>1074</v>
      </c>
      <c r="D722" s="120" t="s">
        <v>1829</v>
      </c>
      <c r="E722" s="120" t="s">
        <v>2199</v>
      </c>
      <c r="F722" s="133">
        <f t="shared" si="247"/>
        <v>57.797</v>
      </c>
      <c r="G722" s="133">
        <v>57.417</v>
      </c>
      <c r="H722" s="128">
        <v>57.63</v>
      </c>
      <c r="I722" s="144">
        <f t="shared" si="242"/>
        <v>-0.213000000000001</v>
      </c>
      <c r="J722" s="115" t="str">
        <f t="shared" si="246"/>
        <v>295/75R22.5-16PR-AD759</v>
      </c>
      <c r="K722" s="193"/>
      <c r="L722" s="193"/>
      <c r="M722" s="193"/>
      <c r="N722" s="193"/>
      <c r="O722" s="193"/>
      <c r="P722" s="193"/>
      <c r="Q722" s="193"/>
      <c r="BB722" s="113" t="str">
        <f t="shared" si="244"/>
        <v/>
      </c>
    </row>
    <row r="723" spans="2:54">
      <c r="B723" s="119" t="s">
        <v>2144</v>
      </c>
      <c r="C723" s="124" t="s">
        <v>1074</v>
      </c>
      <c r="D723" s="120" t="s">
        <v>1831</v>
      </c>
      <c r="E723" s="120" t="s">
        <v>2199</v>
      </c>
      <c r="F723" s="133">
        <f t="shared" si="247"/>
        <v>57.797</v>
      </c>
      <c r="G723" s="133">
        <v>57.417</v>
      </c>
      <c r="H723" s="128">
        <v>57.63</v>
      </c>
      <c r="I723" s="144">
        <f t="shared" si="242"/>
        <v>-0.213000000000001</v>
      </c>
      <c r="J723" s="115" t="str">
        <f t="shared" si="246"/>
        <v>295/75R22.5-16PR-CM996+</v>
      </c>
      <c r="K723" s="193"/>
      <c r="L723" s="193"/>
      <c r="M723" s="193"/>
      <c r="N723" s="193"/>
      <c r="O723" s="193"/>
      <c r="P723" s="193"/>
      <c r="Q723" s="193"/>
      <c r="BB723" s="113" t="str">
        <f t="shared" si="244"/>
        <v/>
      </c>
    </row>
    <row r="724" spans="2:54">
      <c r="B724" s="119" t="s">
        <v>2144</v>
      </c>
      <c r="C724" s="124" t="s">
        <v>1074</v>
      </c>
      <c r="D724" s="120" t="s">
        <v>1832</v>
      </c>
      <c r="E724" s="120" t="s">
        <v>2199</v>
      </c>
      <c r="F724" s="133">
        <f t="shared" si="247"/>
        <v>57.797</v>
      </c>
      <c r="G724" s="133">
        <v>57.417</v>
      </c>
      <c r="H724" s="128">
        <v>57.63</v>
      </c>
      <c r="I724" s="144">
        <f t="shared" si="242"/>
        <v>-0.213000000000001</v>
      </c>
      <c r="J724" s="115" t="str">
        <f t="shared" si="246"/>
        <v>295/75R22.5-16PR-RLINE-D II</v>
      </c>
      <c r="K724" s="193"/>
      <c r="L724" s="193"/>
      <c r="M724" s="193"/>
      <c r="N724" s="193"/>
      <c r="O724" s="193"/>
      <c r="P724" s="193"/>
      <c r="Q724" s="193"/>
      <c r="BB724" s="113" t="str">
        <f t="shared" si="244"/>
        <v/>
      </c>
    </row>
    <row r="725" spans="2:54">
      <c r="B725" s="119" t="s">
        <v>2144</v>
      </c>
      <c r="C725" s="124" t="s">
        <v>1074</v>
      </c>
      <c r="D725" s="120" t="s">
        <v>1665</v>
      </c>
      <c r="E725" s="120" t="s">
        <v>2200</v>
      </c>
      <c r="F725" s="133">
        <f t="shared" si="247"/>
        <v>54.741</v>
      </c>
      <c r="G725" s="133">
        <v>54.361</v>
      </c>
      <c r="H725" s="128">
        <v>53.92</v>
      </c>
      <c r="I725" s="144">
        <f t="shared" si="242"/>
        <v>0.440999999999995</v>
      </c>
      <c r="J725" s="115" t="str">
        <f t="shared" si="246"/>
        <v>295/75R22.5-16PR-AD716</v>
      </c>
      <c r="K725" s="193"/>
      <c r="L725" s="193"/>
      <c r="M725" s="193"/>
      <c r="N725" s="193"/>
      <c r="O725" s="193"/>
      <c r="P725" s="193"/>
      <c r="Q725" s="193"/>
      <c r="BB725" s="113" t="str">
        <f t="shared" si="244"/>
        <v/>
      </c>
    </row>
    <row r="726" spans="2:54">
      <c r="B726" s="119" t="s">
        <v>2144</v>
      </c>
      <c r="C726" s="124" t="s">
        <v>1074</v>
      </c>
      <c r="D726" s="120" t="s">
        <v>1676</v>
      </c>
      <c r="E726" s="120" t="s">
        <v>2200</v>
      </c>
      <c r="F726" s="133">
        <f t="shared" si="247"/>
        <v>54.741</v>
      </c>
      <c r="G726" s="133">
        <v>54.361</v>
      </c>
      <c r="H726" s="128">
        <v>53.92</v>
      </c>
      <c r="I726" s="144">
        <f t="shared" si="242"/>
        <v>0.440999999999995</v>
      </c>
      <c r="J726" s="115" t="str">
        <f t="shared" si="246"/>
        <v>295/75R22.5-16PR-CM996</v>
      </c>
      <c r="K726" s="193"/>
      <c r="L726" s="193"/>
      <c r="M726" s="193"/>
      <c r="N726" s="193"/>
      <c r="O726" s="193"/>
      <c r="P726" s="193"/>
      <c r="Q726" s="193"/>
      <c r="BB726" s="113" t="str">
        <f t="shared" si="244"/>
        <v/>
      </c>
    </row>
    <row r="727" spans="2:54">
      <c r="B727" s="119" t="s">
        <v>2144</v>
      </c>
      <c r="C727" s="124" t="s">
        <v>1074</v>
      </c>
      <c r="D727" s="120" t="s">
        <v>1681</v>
      </c>
      <c r="E727" s="120" t="s">
        <v>2200</v>
      </c>
      <c r="F727" s="133">
        <f t="shared" si="247"/>
        <v>54.741</v>
      </c>
      <c r="G727" s="133">
        <v>54.361</v>
      </c>
      <c r="H727" s="128">
        <v>53.92</v>
      </c>
      <c r="I727" s="144">
        <f t="shared" si="242"/>
        <v>0.440999999999995</v>
      </c>
      <c r="J727" s="115" t="str">
        <f t="shared" si="246"/>
        <v>295/75R22.5-16PR-RLINE-D2</v>
      </c>
      <c r="K727" s="193"/>
      <c r="L727" s="193"/>
      <c r="M727" s="193"/>
      <c r="N727" s="193"/>
      <c r="O727" s="193"/>
      <c r="P727" s="193"/>
      <c r="Q727" s="193"/>
      <c r="BB727" s="113" t="str">
        <f t="shared" si="244"/>
        <v/>
      </c>
    </row>
    <row r="728" spans="2:54">
      <c r="B728" s="119" t="s">
        <v>2144</v>
      </c>
      <c r="C728" s="124" t="s">
        <v>1074</v>
      </c>
      <c r="D728" s="120" t="s">
        <v>2124</v>
      </c>
      <c r="E728" s="120" t="s">
        <v>2200</v>
      </c>
      <c r="F728" s="133">
        <f t="shared" si="247"/>
        <v>54.741</v>
      </c>
      <c r="G728" s="133">
        <v>54.361</v>
      </c>
      <c r="H728" s="128">
        <v>53.92</v>
      </c>
      <c r="I728" s="144">
        <f t="shared" si="242"/>
        <v>0.440999999999995</v>
      </c>
      <c r="J728" s="115" t="str">
        <f t="shared" si="246"/>
        <v>295/75R22.5-16PR-RLINE-D1</v>
      </c>
      <c r="K728" s="193"/>
      <c r="L728" s="193"/>
      <c r="M728" s="193"/>
      <c r="N728" s="193"/>
      <c r="O728" s="193"/>
      <c r="P728" s="193"/>
      <c r="Q728" s="193"/>
      <c r="BB728" s="113" t="str">
        <f t="shared" si="244"/>
        <v/>
      </c>
    </row>
    <row r="729" spans="2:54">
      <c r="B729" s="119" t="s">
        <v>2144</v>
      </c>
      <c r="C729" s="124" t="s">
        <v>1074</v>
      </c>
      <c r="D729" s="120" t="s">
        <v>1671</v>
      </c>
      <c r="E729" s="120" t="s">
        <v>2200</v>
      </c>
      <c r="F729" s="133">
        <f t="shared" si="247"/>
        <v>54.741</v>
      </c>
      <c r="G729" s="133">
        <v>54.361</v>
      </c>
      <c r="H729" s="128">
        <v>53.92</v>
      </c>
      <c r="I729" s="144">
        <f t="shared" si="242"/>
        <v>0.440999999999995</v>
      </c>
      <c r="J729" s="115" t="str">
        <f t="shared" si="246"/>
        <v>295/75R22.5-16PR-HD1 Plus</v>
      </c>
      <c r="K729" s="193"/>
      <c r="L729" s="193"/>
      <c r="M729" s="193"/>
      <c r="N729" s="193"/>
      <c r="O729" s="193"/>
      <c r="P729" s="193"/>
      <c r="Q729" s="193"/>
      <c r="BB729" s="113" t="str">
        <f t="shared" si="244"/>
        <v/>
      </c>
    </row>
    <row r="730" spans="2:54">
      <c r="B730" s="119" t="s">
        <v>2144</v>
      </c>
      <c r="C730" s="124" t="s">
        <v>1074</v>
      </c>
      <c r="D730" s="120" t="s">
        <v>1646</v>
      </c>
      <c r="E730" s="120" t="s">
        <v>2201</v>
      </c>
      <c r="F730" s="133">
        <f t="shared" ref="F730:F741" si="248">G730-2.75+3.14</f>
        <v>48.56</v>
      </c>
      <c r="G730" s="133">
        <v>48.17</v>
      </c>
      <c r="H730" s="128">
        <v>48.16</v>
      </c>
      <c r="I730" s="144">
        <f t="shared" si="242"/>
        <v>0.0100000000000051</v>
      </c>
      <c r="J730" s="115" t="str">
        <f t="shared" si="246"/>
        <v>295/75R22.5-16PR-CR915</v>
      </c>
      <c r="K730" s="193"/>
      <c r="L730" s="193"/>
      <c r="M730" s="193"/>
      <c r="N730" s="193"/>
      <c r="O730" s="193"/>
      <c r="P730" s="193"/>
      <c r="Q730" s="193"/>
      <c r="BB730" s="113" t="str">
        <f t="shared" si="244"/>
        <v/>
      </c>
    </row>
    <row r="731" spans="2:54">
      <c r="B731" s="119" t="s">
        <v>2144</v>
      </c>
      <c r="C731" s="124" t="s">
        <v>1074</v>
      </c>
      <c r="D731" s="120" t="s">
        <v>2202</v>
      </c>
      <c r="E731" s="120" t="s">
        <v>2201</v>
      </c>
      <c r="F731" s="133">
        <f t="shared" si="248"/>
        <v>48.56</v>
      </c>
      <c r="G731" s="133">
        <v>48.17</v>
      </c>
      <c r="H731" s="128">
        <v>48.16</v>
      </c>
      <c r="I731" s="144">
        <f t="shared" si="242"/>
        <v>0.0100000000000051</v>
      </c>
      <c r="J731" s="115" t="str">
        <f t="shared" si="246"/>
        <v>295/75R22.5-16PR-I-460</v>
      </c>
      <c r="K731" s="193"/>
      <c r="L731" s="193"/>
      <c r="M731" s="193"/>
      <c r="N731" s="193"/>
      <c r="O731" s="193"/>
      <c r="P731" s="193"/>
      <c r="Q731" s="193"/>
      <c r="BB731" s="113" t="str">
        <f t="shared" si="244"/>
        <v/>
      </c>
    </row>
    <row r="732" spans="2:54">
      <c r="B732" s="119" t="s">
        <v>2144</v>
      </c>
      <c r="C732" s="124" t="s">
        <v>1074</v>
      </c>
      <c r="D732" s="120" t="s">
        <v>2203</v>
      </c>
      <c r="E732" s="120" t="s">
        <v>2201</v>
      </c>
      <c r="F732" s="133">
        <f t="shared" si="248"/>
        <v>48.56</v>
      </c>
      <c r="G732" s="133">
        <v>48.17</v>
      </c>
      <c r="H732" s="128">
        <v>48.16</v>
      </c>
      <c r="I732" s="144">
        <f t="shared" si="242"/>
        <v>0.0100000000000051</v>
      </c>
      <c r="J732" s="115" t="str">
        <f t="shared" si="246"/>
        <v>295/75R22.5-16PR-R-T1</v>
      </c>
      <c r="K732" s="193"/>
      <c r="L732" s="193"/>
      <c r="M732" s="193"/>
      <c r="N732" s="193"/>
      <c r="O732" s="193"/>
      <c r="P732" s="193"/>
      <c r="Q732" s="193"/>
      <c r="BB732" s="113" t="str">
        <f t="shared" si="244"/>
        <v/>
      </c>
    </row>
    <row r="733" spans="2:54">
      <c r="B733" s="119" t="s">
        <v>2144</v>
      </c>
      <c r="C733" s="124" t="s">
        <v>1074</v>
      </c>
      <c r="D733" s="120" t="s">
        <v>2204</v>
      </c>
      <c r="E733" s="120" t="s">
        <v>2201</v>
      </c>
      <c r="F733" s="133">
        <f t="shared" si="248"/>
        <v>48.56</v>
      </c>
      <c r="G733" s="133">
        <v>48.17</v>
      </c>
      <c r="H733" s="128">
        <v>48.16</v>
      </c>
      <c r="I733" s="144">
        <f t="shared" si="242"/>
        <v>0.0100000000000051</v>
      </c>
      <c r="J733" s="115" t="str">
        <f t="shared" si="246"/>
        <v>295/75R22.5-16PR-TP100</v>
      </c>
      <c r="K733" s="193"/>
      <c r="L733" s="193"/>
      <c r="M733" s="193"/>
      <c r="N733" s="193"/>
      <c r="O733" s="193"/>
      <c r="P733" s="193"/>
      <c r="Q733" s="193"/>
      <c r="BB733" s="113" t="str">
        <f t="shared" si="244"/>
        <v/>
      </c>
    </row>
    <row r="734" spans="2:54">
      <c r="B734" s="119" t="s">
        <v>2144</v>
      </c>
      <c r="C734" s="124" t="s">
        <v>1074</v>
      </c>
      <c r="D734" s="120" t="s">
        <v>2205</v>
      </c>
      <c r="E734" s="120" t="s">
        <v>2201</v>
      </c>
      <c r="F734" s="133">
        <f t="shared" si="248"/>
        <v>48.56</v>
      </c>
      <c r="G734" s="133">
        <v>48.17</v>
      </c>
      <c r="H734" s="128">
        <v>48.16</v>
      </c>
      <c r="I734" s="144">
        <f t="shared" si="242"/>
        <v>0.0100000000000051</v>
      </c>
      <c r="J734" s="115" t="str">
        <f t="shared" si="246"/>
        <v>295/75R22.5-16PR-DT916</v>
      </c>
      <c r="K734" s="193"/>
      <c r="L734" s="193"/>
      <c r="M734" s="193"/>
      <c r="N734" s="193"/>
      <c r="O734" s="193"/>
      <c r="P734" s="193"/>
      <c r="Q734" s="193"/>
      <c r="BB734" s="113" t="str">
        <f t="shared" si="244"/>
        <v/>
      </c>
    </row>
    <row r="735" spans="2:54">
      <c r="B735" s="119" t="s">
        <v>2144</v>
      </c>
      <c r="C735" s="124" t="s">
        <v>1074</v>
      </c>
      <c r="D735" s="120" t="s">
        <v>2206</v>
      </c>
      <c r="E735" s="120" t="s">
        <v>2201</v>
      </c>
      <c r="F735" s="133">
        <f t="shared" si="248"/>
        <v>48.56</v>
      </c>
      <c r="G735" s="133">
        <v>48.17</v>
      </c>
      <c r="H735" s="128">
        <v>48.16</v>
      </c>
      <c r="I735" s="144">
        <f t="shared" si="242"/>
        <v>0.0100000000000051</v>
      </c>
      <c r="J735" s="115" t="str">
        <f t="shared" si="246"/>
        <v>295/75R22.5-16PR-MHTL</v>
      </c>
      <c r="K735" s="193"/>
      <c r="L735" s="193"/>
      <c r="M735" s="193"/>
      <c r="N735" s="193"/>
      <c r="O735" s="193"/>
      <c r="P735" s="193"/>
      <c r="Q735" s="193"/>
      <c r="BB735" s="113" t="str">
        <f t="shared" si="244"/>
        <v/>
      </c>
    </row>
    <row r="736" spans="2:54">
      <c r="B736" s="119" t="s">
        <v>2144</v>
      </c>
      <c r="C736" s="124" t="s">
        <v>1074</v>
      </c>
      <c r="D736" s="120" t="s">
        <v>2207</v>
      </c>
      <c r="E736" s="120" t="s">
        <v>2201</v>
      </c>
      <c r="F736" s="133">
        <f t="shared" si="248"/>
        <v>48.56</v>
      </c>
      <c r="G736" s="133">
        <v>48.17</v>
      </c>
      <c r="H736" s="128">
        <v>48.16</v>
      </c>
      <c r="I736" s="144">
        <f t="shared" si="242"/>
        <v>0.0100000000000051</v>
      </c>
      <c r="J736" s="115" t="str">
        <f t="shared" si="246"/>
        <v>295/75R22.5-16PR-LHTZ 100</v>
      </c>
      <c r="K736" s="193"/>
      <c r="L736" s="193"/>
      <c r="M736" s="193"/>
      <c r="N736" s="193"/>
      <c r="O736" s="193"/>
      <c r="P736" s="193"/>
      <c r="Q736" s="193"/>
      <c r="BB736" s="113" t="str">
        <f t="shared" si="244"/>
        <v/>
      </c>
    </row>
    <row r="737" spans="2:54">
      <c r="B737" s="119" t="s">
        <v>2144</v>
      </c>
      <c r="C737" s="124" t="s">
        <v>1074</v>
      </c>
      <c r="D737" s="120" t="s">
        <v>1857</v>
      </c>
      <c r="E737" s="120" t="s">
        <v>2208</v>
      </c>
      <c r="F737" s="133">
        <f t="shared" si="248"/>
        <v>51.66</v>
      </c>
      <c r="G737" s="133">
        <v>51.27</v>
      </c>
      <c r="H737" s="128">
        <v>51.26</v>
      </c>
      <c r="I737" s="144">
        <f t="shared" si="242"/>
        <v>0.0100000000000051</v>
      </c>
      <c r="J737" s="115" t="str">
        <f t="shared" si="246"/>
        <v>295/75R22.5-16PR-H-RA</v>
      </c>
      <c r="K737" s="193"/>
      <c r="L737" s="193"/>
      <c r="M737" s="193"/>
      <c r="N737" s="193"/>
      <c r="O737" s="193"/>
      <c r="P737" s="193"/>
      <c r="Q737" s="193"/>
      <c r="BB737" s="113" t="str">
        <f t="shared" si="244"/>
        <v/>
      </c>
    </row>
    <row r="738" spans="2:54">
      <c r="B738" s="119" t="s">
        <v>2144</v>
      </c>
      <c r="C738" s="124" t="s">
        <v>1074</v>
      </c>
      <c r="D738" s="120" t="s">
        <v>1776</v>
      </c>
      <c r="E738" s="120" t="s">
        <v>2209</v>
      </c>
      <c r="F738" s="133">
        <f t="shared" si="248"/>
        <v>51.68</v>
      </c>
      <c r="G738" s="133">
        <v>51.29</v>
      </c>
      <c r="H738" s="128">
        <v>51.29</v>
      </c>
      <c r="I738" s="144">
        <f t="shared" si="242"/>
        <v>0</v>
      </c>
      <c r="J738" s="115" t="str">
        <f t="shared" si="246"/>
        <v>295/75R22.5-16PR-AZ599</v>
      </c>
      <c r="K738" s="193"/>
      <c r="L738" s="193"/>
      <c r="M738" s="193"/>
      <c r="N738" s="193"/>
      <c r="O738" s="193"/>
      <c r="P738" s="193"/>
      <c r="Q738" s="193"/>
      <c r="BB738" s="113" t="str">
        <f t="shared" si="244"/>
        <v/>
      </c>
    </row>
    <row r="739" spans="2:54">
      <c r="B739" s="119" t="s">
        <v>2144</v>
      </c>
      <c r="C739" s="124" t="s">
        <v>1074</v>
      </c>
      <c r="D739" s="120" t="s">
        <v>1778</v>
      </c>
      <c r="E739" s="120" t="s">
        <v>2209</v>
      </c>
      <c r="F739" s="133">
        <f t="shared" si="248"/>
        <v>51.68</v>
      </c>
      <c r="G739" s="133">
        <v>51.29</v>
      </c>
      <c r="H739" s="128">
        <v>51.29</v>
      </c>
      <c r="I739" s="144">
        <f t="shared" si="242"/>
        <v>0</v>
      </c>
      <c r="J739" s="115" t="str">
        <f t="shared" si="246"/>
        <v>295/75R22.5-16PR-M-TRAC AP</v>
      </c>
      <c r="K739" s="193"/>
      <c r="L739" s="193"/>
      <c r="M739" s="193"/>
      <c r="N739" s="193"/>
      <c r="O739" s="193"/>
      <c r="P739" s="193"/>
      <c r="Q739" s="193"/>
      <c r="BB739" s="113" t="str">
        <f t="shared" si="244"/>
        <v/>
      </c>
    </row>
    <row r="740" spans="2:54">
      <c r="B740" s="119" t="s">
        <v>2144</v>
      </c>
      <c r="C740" s="124" t="s">
        <v>1074</v>
      </c>
      <c r="D740" s="120" t="s">
        <v>1781</v>
      </c>
      <c r="E740" s="120" t="s">
        <v>2209</v>
      </c>
      <c r="F740" s="133">
        <f t="shared" si="248"/>
        <v>51.68</v>
      </c>
      <c r="G740" s="133">
        <v>51.29</v>
      </c>
      <c r="H740" s="128">
        <v>51.29</v>
      </c>
      <c r="I740" s="144">
        <f t="shared" si="242"/>
        <v>0</v>
      </c>
      <c r="J740" s="115" t="str">
        <f t="shared" si="246"/>
        <v>295/75R22.5-16PR-HF1 Plus</v>
      </c>
      <c r="K740" s="193"/>
      <c r="L740" s="193"/>
      <c r="M740" s="193"/>
      <c r="N740" s="193"/>
      <c r="O740" s="193"/>
      <c r="P740" s="193"/>
      <c r="Q740" s="193"/>
      <c r="BB740" s="113" t="str">
        <f t="shared" si="244"/>
        <v/>
      </c>
    </row>
    <row r="741" spans="2:54">
      <c r="B741" s="119" t="s">
        <v>2144</v>
      </c>
      <c r="C741" s="124" t="s">
        <v>1074</v>
      </c>
      <c r="D741" s="120" t="s">
        <v>1756</v>
      </c>
      <c r="E741" s="120" t="s">
        <v>2210</v>
      </c>
      <c r="F741" s="133">
        <f t="shared" si="248"/>
        <v>61.087</v>
      </c>
      <c r="G741" s="133">
        <v>60.697</v>
      </c>
      <c r="H741" s="128">
        <v>60.13</v>
      </c>
      <c r="I741" s="144">
        <f t="shared" si="242"/>
        <v>0.567</v>
      </c>
      <c r="J741" s="115" t="str">
        <f t="shared" si="246"/>
        <v>295/75R22.5-16PR-VD998</v>
      </c>
      <c r="K741" s="193"/>
      <c r="L741" s="193"/>
      <c r="M741" s="193"/>
      <c r="N741" s="193"/>
      <c r="O741" s="193"/>
      <c r="P741" s="193"/>
      <c r="Q741" s="193"/>
      <c r="BB741" s="113" t="str">
        <f t="shared" si="244"/>
        <v/>
      </c>
    </row>
    <row r="742" spans="2:54">
      <c r="B742" s="119" t="s">
        <v>2144</v>
      </c>
      <c r="C742" s="124" t="s">
        <v>1074</v>
      </c>
      <c r="D742" s="120" t="s">
        <v>1656</v>
      </c>
      <c r="E742" s="120" t="s">
        <v>2211</v>
      </c>
      <c r="F742" s="133">
        <f t="shared" ref="F742:F746" si="249">G742-2.747+3.132</f>
        <v>48.545</v>
      </c>
      <c r="G742" s="133">
        <v>48.16</v>
      </c>
      <c r="H742" s="128">
        <v>48.1</v>
      </c>
      <c r="I742" s="144">
        <f t="shared" si="242"/>
        <v>0.0599999999999952</v>
      </c>
      <c r="J742" s="115" t="str">
        <f t="shared" si="246"/>
        <v>295/75R22.5-16PR-I-48T</v>
      </c>
      <c r="K742" s="193"/>
      <c r="L742" s="193"/>
      <c r="M742" s="193"/>
      <c r="N742" s="193"/>
      <c r="O742" s="193"/>
      <c r="P742" s="193"/>
      <c r="Q742" s="193"/>
      <c r="BB742" s="113" t="str">
        <f t="shared" si="244"/>
        <v/>
      </c>
    </row>
    <row r="743" spans="2:54">
      <c r="B743" s="119" t="s">
        <v>2144</v>
      </c>
      <c r="C743" s="124" t="s">
        <v>1074</v>
      </c>
      <c r="D743" s="120" t="s">
        <v>2212</v>
      </c>
      <c r="E743" s="120" t="s">
        <v>2211</v>
      </c>
      <c r="F743" s="133">
        <f t="shared" si="249"/>
        <v>48.545</v>
      </c>
      <c r="G743" s="133">
        <v>48.16</v>
      </c>
      <c r="H743" s="128">
        <v>48.1</v>
      </c>
      <c r="I743" s="144">
        <f t="shared" si="242"/>
        <v>0.0599999999999952</v>
      </c>
      <c r="J743" s="115" t="str">
        <f t="shared" si="246"/>
        <v>295/75R22.5-16PR-TRAIL T01</v>
      </c>
      <c r="K743" s="193"/>
      <c r="L743" s="193"/>
      <c r="M743" s="193"/>
      <c r="N743" s="193"/>
      <c r="O743" s="193"/>
      <c r="P743" s="193"/>
      <c r="Q743" s="193"/>
      <c r="BB743" s="113" t="str">
        <f t="shared" si="244"/>
        <v/>
      </c>
    </row>
    <row r="744" spans="2:54">
      <c r="B744" s="119" t="s">
        <v>2144</v>
      </c>
      <c r="C744" s="124" t="s">
        <v>958</v>
      </c>
      <c r="D744" s="120" t="s">
        <v>1863</v>
      </c>
      <c r="E744" s="120" t="s">
        <v>2213</v>
      </c>
      <c r="F744" s="133">
        <f t="shared" ref="F744:F750" si="250">G744-2.75+3.14</f>
        <v>54.06</v>
      </c>
      <c r="G744" s="133">
        <v>53.67</v>
      </c>
      <c r="H744" s="128">
        <v>53.66</v>
      </c>
      <c r="I744" s="144">
        <f t="shared" si="242"/>
        <v>0.0100000000000051</v>
      </c>
      <c r="J744" s="115" t="str">
        <f t="shared" si="246"/>
        <v>295/75R22.5-14PR-H-RD</v>
      </c>
      <c r="K744" s="193"/>
      <c r="L744" s="193"/>
      <c r="M744" s="193"/>
      <c r="N744" s="193"/>
      <c r="O744" s="193"/>
      <c r="P744" s="193"/>
      <c r="Q744" s="193"/>
      <c r="BB744" s="113" t="str">
        <f t="shared" si="244"/>
        <v/>
      </c>
    </row>
    <row r="745" spans="2:54">
      <c r="B745" s="119" t="s">
        <v>2144</v>
      </c>
      <c r="C745" s="124" t="s">
        <v>958</v>
      </c>
      <c r="D745" s="120" t="s">
        <v>1745</v>
      </c>
      <c r="E745" s="120" t="s">
        <v>2214</v>
      </c>
      <c r="F745" s="133">
        <f t="shared" si="249"/>
        <v>51.484</v>
      </c>
      <c r="G745" s="133">
        <v>51.099</v>
      </c>
      <c r="H745" s="128">
        <v>51.11</v>
      </c>
      <c r="I745" s="144">
        <f t="shared" si="242"/>
        <v>-0.0110000000000028</v>
      </c>
      <c r="J745" s="115" t="str">
        <f t="shared" si="246"/>
        <v>295/75R22.5-14PR-I-61S</v>
      </c>
      <c r="K745" s="193"/>
      <c r="L745" s="193"/>
      <c r="M745" s="193"/>
      <c r="N745" s="193"/>
      <c r="O745" s="193"/>
      <c r="P745" s="193"/>
      <c r="Q745" s="193"/>
      <c r="BB745" s="113" t="str">
        <f t="shared" si="244"/>
        <v/>
      </c>
    </row>
    <row r="746" spans="2:54">
      <c r="B746" s="119" t="s">
        <v>2144</v>
      </c>
      <c r="C746" s="124" t="s">
        <v>958</v>
      </c>
      <c r="D746" s="120" t="s">
        <v>1742</v>
      </c>
      <c r="E746" s="120" t="s">
        <v>2214</v>
      </c>
      <c r="F746" s="133">
        <f t="shared" si="249"/>
        <v>51.484</v>
      </c>
      <c r="G746" s="133">
        <v>51.099</v>
      </c>
      <c r="H746" s="128">
        <v>51.11</v>
      </c>
      <c r="I746" s="144">
        <f t="shared" si="242"/>
        <v>-0.0110000000000028</v>
      </c>
      <c r="J746" s="115" t="str">
        <f t="shared" si="246"/>
        <v>295/75R22.5-14PR-I-19A</v>
      </c>
      <c r="K746" s="193"/>
      <c r="L746" s="193"/>
      <c r="M746" s="193"/>
      <c r="N746" s="193"/>
      <c r="O746" s="193"/>
      <c r="P746" s="193"/>
      <c r="Q746" s="193"/>
      <c r="BB746" s="113" t="str">
        <f t="shared" si="244"/>
        <v/>
      </c>
    </row>
    <row r="747" spans="2:54">
      <c r="B747" s="119" t="s">
        <v>2144</v>
      </c>
      <c r="C747" s="124" t="s">
        <v>1074</v>
      </c>
      <c r="D747" s="120" t="s">
        <v>1870</v>
      </c>
      <c r="E747" s="120" t="s">
        <v>2215</v>
      </c>
      <c r="F747" s="133">
        <f t="shared" si="250"/>
        <v>58.07</v>
      </c>
      <c r="G747" s="133">
        <v>57.68</v>
      </c>
      <c r="H747" s="128">
        <v>57.68</v>
      </c>
      <c r="I747" s="144">
        <f t="shared" si="242"/>
        <v>0</v>
      </c>
      <c r="J747" s="115" t="str">
        <f t="shared" si="246"/>
        <v>295/75R22.5-16PR-AD716+</v>
      </c>
      <c r="K747" s="193"/>
      <c r="L747" s="193"/>
      <c r="M747" s="193"/>
      <c r="N747" s="193"/>
      <c r="O747" s="193"/>
      <c r="P747" s="193"/>
      <c r="Q747" s="193"/>
      <c r="BB747" s="113" t="str">
        <f t="shared" si="244"/>
        <v/>
      </c>
    </row>
    <row r="748" spans="2:54">
      <c r="B748" s="119" t="s">
        <v>2144</v>
      </c>
      <c r="C748" s="124" t="s">
        <v>958</v>
      </c>
      <c r="D748" s="120" t="s">
        <v>1859</v>
      </c>
      <c r="E748" s="120" t="s">
        <v>2216</v>
      </c>
      <c r="F748" s="133">
        <f t="shared" si="250"/>
        <v>50.16</v>
      </c>
      <c r="G748" s="133">
        <v>49.77</v>
      </c>
      <c r="H748" s="128">
        <v>49.77</v>
      </c>
      <c r="I748" s="144">
        <f t="shared" si="242"/>
        <v>0</v>
      </c>
      <c r="J748" s="115" t="str">
        <f t="shared" si="246"/>
        <v>295/75R22.5-14PR-H-TL</v>
      </c>
      <c r="K748" s="193"/>
      <c r="L748" s="193"/>
      <c r="M748" s="193"/>
      <c r="N748" s="193"/>
      <c r="O748" s="193"/>
      <c r="P748" s="193"/>
      <c r="Q748" s="193"/>
      <c r="BB748" s="113" t="str">
        <f t="shared" si="244"/>
        <v/>
      </c>
    </row>
    <row r="749" spans="2:54">
      <c r="B749" s="119" t="s">
        <v>2144</v>
      </c>
      <c r="C749" s="124" t="s">
        <v>1074</v>
      </c>
      <c r="D749" s="125" t="s">
        <v>1846</v>
      </c>
      <c r="E749" s="120" t="s">
        <v>2217</v>
      </c>
      <c r="F749" s="133">
        <f t="shared" si="250"/>
        <v>57.77</v>
      </c>
      <c r="G749" s="160">
        <v>57.38</v>
      </c>
      <c r="H749" s="211">
        <v>57.36</v>
      </c>
      <c r="I749" s="144">
        <f t="shared" si="242"/>
        <v>0.0200000000000031</v>
      </c>
      <c r="J749" s="115" t="str">
        <f t="shared" si="246"/>
        <v>295/75R22.5-16PR-I-28D</v>
      </c>
      <c r="K749" s="193"/>
      <c r="L749" s="193"/>
      <c r="M749" s="193"/>
      <c r="N749" s="193"/>
      <c r="O749" s="193"/>
      <c r="P749" s="193"/>
      <c r="Q749" s="193"/>
      <c r="BB749" s="113" t="str">
        <f t="shared" si="244"/>
        <v/>
      </c>
    </row>
    <row r="750" spans="2:54">
      <c r="B750" s="119" t="s">
        <v>2144</v>
      </c>
      <c r="C750" s="124" t="s">
        <v>1074</v>
      </c>
      <c r="D750" s="125" t="s">
        <v>1848</v>
      </c>
      <c r="E750" s="120" t="s">
        <v>2217</v>
      </c>
      <c r="F750" s="133">
        <f t="shared" si="250"/>
        <v>57.77</v>
      </c>
      <c r="G750" s="160">
        <v>57.38</v>
      </c>
      <c r="H750" s="211">
        <v>57.36</v>
      </c>
      <c r="I750" s="144">
        <f t="shared" si="242"/>
        <v>0.0200000000000031</v>
      </c>
      <c r="J750" s="115" t="str">
        <f t="shared" si="246"/>
        <v>295/75R22.5-16PR-DOMINATE D01</v>
      </c>
      <c r="K750" s="193"/>
      <c r="L750" s="193"/>
      <c r="M750" s="193"/>
      <c r="N750" s="193"/>
      <c r="O750" s="193"/>
      <c r="P750" s="193"/>
      <c r="Q750" s="193"/>
      <c r="BB750" s="113" t="str">
        <f t="shared" si="244"/>
        <v/>
      </c>
    </row>
    <row r="751" spans="2:54">
      <c r="B751" s="206"/>
      <c r="C751" s="186"/>
      <c r="D751" s="186"/>
      <c r="E751" s="186"/>
      <c r="F751" s="212"/>
      <c r="G751" s="212"/>
      <c r="H751" s="186"/>
      <c r="I751" s="213"/>
      <c r="J751" s="115" t="str">
        <f t="shared" si="246"/>
        <v/>
      </c>
      <c r="K751" s="193"/>
      <c r="L751" s="193"/>
      <c r="M751" s="193"/>
      <c r="N751" s="193"/>
      <c r="O751" s="193"/>
      <c r="P751" s="193"/>
      <c r="Q751" s="193"/>
      <c r="BB751" s="113" t="str">
        <f t="shared" si="244"/>
        <v/>
      </c>
    </row>
    <row r="752" spans="2:54">
      <c r="B752" s="119" t="s">
        <v>2218</v>
      </c>
      <c r="C752" s="120" t="s">
        <v>1092</v>
      </c>
      <c r="D752" s="120" t="s">
        <v>2219</v>
      </c>
      <c r="E752" s="120" t="s">
        <v>2220</v>
      </c>
      <c r="F752" s="133">
        <f>G752-4.173+5.253</f>
        <v>63.521</v>
      </c>
      <c r="G752" s="133">
        <v>62.441</v>
      </c>
      <c r="H752" s="133">
        <v>62.6552</v>
      </c>
      <c r="I752" s="144">
        <f t="shared" ref="I752:I815" si="251">G752-H752</f>
        <v>-0.214199999999998</v>
      </c>
      <c r="J752" s="115" t="str">
        <f t="shared" si="246"/>
        <v>295/80R22.5-18PR-AS868pro</v>
      </c>
      <c r="K752" s="193"/>
      <c r="L752" s="193"/>
      <c r="M752" s="193"/>
      <c r="N752" s="193"/>
      <c r="O752" s="193"/>
      <c r="P752" s="193"/>
      <c r="Q752" s="193"/>
      <c r="BB752" s="113" t="str">
        <f t="shared" si="244"/>
        <v/>
      </c>
    </row>
    <row r="753" spans="2:54">
      <c r="B753" s="119" t="s">
        <v>2218</v>
      </c>
      <c r="C753" s="120" t="s">
        <v>1092</v>
      </c>
      <c r="D753" s="120" t="s">
        <v>2221</v>
      </c>
      <c r="E753" s="120" t="s">
        <v>2220</v>
      </c>
      <c r="F753" s="133">
        <f>G753-4.173+5.253</f>
        <v>63.521</v>
      </c>
      <c r="G753" s="133">
        <v>62.441</v>
      </c>
      <c r="H753" s="133">
        <v>62.6552</v>
      </c>
      <c r="I753" s="144">
        <f t="shared" si="251"/>
        <v>-0.214199999999998</v>
      </c>
      <c r="J753" s="115" t="str">
        <f t="shared" si="246"/>
        <v>295/80R22.5-18PR-AS858pro</v>
      </c>
      <c r="K753" s="193"/>
      <c r="L753" s="193"/>
      <c r="M753" s="193"/>
      <c r="N753" s="193"/>
      <c r="O753" s="193"/>
      <c r="P753" s="193"/>
      <c r="Q753" s="193"/>
      <c r="BB753" s="113" t="str">
        <f t="shared" si="244"/>
        <v/>
      </c>
    </row>
    <row r="754" spans="2:54">
      <c r="B754" s="119" t="s">
        <v>2218</v>
      </c>
      <c r="C754" s="120" t="s">
        <v>1092</v>
      </c>
      <c r="D754" s="120" t="s">
        <v>2222</v>
      </c>
      <c r="E754" s="125" t="s">
        <v>2223</v>
      </c>
      <c r="F754" s="133">
        <f t="shared" ref="F754:F758" si="252">G754-3.093+3.498</f>
        <v>61.693</v>
      </c>
      <c r="G754" s="133">
        <v>61.288</v>
      </c>
      <c r="H754" s="133">
        <v>61.27</v>
      </c>
      <c r="I754" s="144">
        <f t="shared" si="251"/>
        <v>0.0179999999999936</v>
      </c>
      <c r="J754" s="115" t="str">
        <f t="shared" si="246"/>
        <v>295/80R22.5-18PR-WSR1</v>
      </c>
      <c r="K754" s="193"/>
      <c r="L754" s="193"/>
      <c r="M754" s="193"/>
      <c r="N754" s="193"/>
      <c r="O754" s="193"/>
      <c r="P754" s="193"/>
      <c r="Q754" s="193"/>
      <c r="BB754" s="113" t="str">
        <f t="shared" si="244"/>
        <v/>
      </c>
    </row>
    <row r="755" spans="2:54">
      <c r="B755" s="119" t="s">
        <v>2218</v>
      </c>
      <c r="C755" s="120" t="s">
        <v>1092</v>
      </c>
      <c r="D755" s="120" t="s">
        <v>2224</v>
      </c>
      <c r="E755" s="125" t="s">
        <v>2223</v>
      </c>
      <c r="F755" s="133">
        <f t="shared" si="252"/>
        <v>61.693</v>
      </c>
      <c r="G755" s="133">
        <v>61.288</v>
      </c>
      <c r="H755" s="133">
        <v>61.27</v>
      </c>
      <c r="I755" s="144">
        <f t="shared" si="251"/>
        <v>0.0179999999999936</v>
      </c>
      <c r="J755" s="115" t="str">
        <f t="shared" si="246"/>
        <v>295/80R22.5-18PR-BRA06 PRO</v>
      </c>
      <c r="K755" s="193"/>
      <c r="L755" s="193"/>
      <c r="M755" s="193"/>
      <c r="N755" s="193"/>
      <c r="O755" s="193"/>
      <c r="P755" s="193"/>
      <c r="Q755" s="193"/>
      <c r="BB755" s="113" t="str">
        <f t="shared" si="244"/>
        <v/>
      </c>
    </row>
    <row r="756" spans="2:54">
      <c r="B756" s="119" t="s">
        <v>2218</v>
      </c>
      <c r="C756" s="120" t="s">
        <v>1092</v>
      </c>
      <c r="D756" s="120" t="s">
        <v>2225</v>
      </c>
      <c r="E756" s="125" t="s">
        <v>2223</v>
      </c>
      <c r="F756" s="133">
        <f t="shared" si="252"/>
        <v>61.693</v>
      </c>
      <c r="G756" s="133">
        <v>61.288</v>
      </c>
      <c r="H756" s="133">
        <v>61.27</v>
      </c>
      <c r="I756" s="144">
        <f t="shared" si="251"/>
        <v>0.0179999999999936</v>
      </c>
      <c r="J756" s="115" t="str">
        <f t="shared" si="246"/>
        <v>295/80R22.5-18PR-RF15</v>
      </c>
      <c r="K756" s="193"/>
      <c r="L756" s="193"/>
      <c r="M756" s="193"/>
      <c r="N756" s="193"/>
      <c r="O756" s="193"/>
      <c r="P756" s="193"/>
      <c r="Q756" s="193"/>
      <c r="BB756" s="113" t="str">
        <f t="shared" si="244"/>
        <v/>
      </c>
    </row>
    <row r="757" spans="2:54">
      <c r="B757" s="119" t="s">
        <v>2218</v>
      </c>
      <c r="C757" s="120" t="s">
        <v>1092</v>
      </c>
      <c r="D757" s="120" t="s">
        <v>2226</v>
      </c>
      <c r="E757" s="125" t="s">
        <v>2223</v>
      </c>
      <c r="F757" s="133">
        <f t="shared" si="252"/>
        <v>61.693</v>
      </c>
      <c r="G757" s="133">
        <v>61.288</v>
      </c>
      <c r="H757" s="133">
        <v>61.27</v>
      </c>
      <c r="I757" s="144">
        <f t="shared" si="251"/>
        <v>0.0179999999999936</v>
      </c>
      <c r="J757" s="115" t="str">
        <f t="shared" si="246"/>
        <v>295/80R22.5-18PR-GSR1</v>
      </c>
      <c r="K757" s="193"/>
      <c r="L757" s="193"/>
      <c r="M757" s="193"/>
      <c r="N757" s="193"/>
      <c r="O757" s="193"/>
      <c r="P757" s="193"/>
      <c r="Q757" s="193"/>
      <c r="BB757" s="113" t="str">
        <f t="shared" si="244"/>
        <v/>
      </c>
    </row>
    <row r="758" spans="2:54">
      <c r="B758" s="119" t="s">
        <v>2218</v>
      </c>
      <c r="C758" s="120" t="s">
        <v>1092</v>
      </c>
      <c r="D758" s="120" t="s">
        <v>1327</v>
      </c>
      <c r="E758" s="120" t="s">
        <v>2227</v>
      </c>
      <c r="F758" s="133">
        <f t="shared" si="252"/>
        <v>63.669</v>
      </c>
      <c r="G758" s="133">
        <v>63.264</v>
      </c>
      <c r="H758" s="133">
        <v>63.03</v>
      </c>
      <c r="I758" s="144">
        <f t="shared" si="251"/>
        <v>0.234000000000002</v>
      </c>
      <c r="J758" s="115" t="str">
        <f t="shared" si="246"/>
        <v>295/80R22.5-18PR-CM958</v>
      </c>
      <c r="K758" s="193"/>
      <c r="L758" s="193"/>
      <c r="M758" s="193"/>
      <c r="N758" s="193"/>
      <c r="O758" s="193"/>
      <c r="P758" s="193"/>
      <c r="Q758" s="193"/>
      <c r="BB758" s="113" t="str">
        <f t="shared" si="244"/>
        <v/>
      </c>
    </row>
    <row r="759" spans="2:54">
      <c r="B759" s="119" t="s">
        <v>2218</v>
      </c>
      <c r="C759" s="120" t="s">
        <v>1092</v>
      </c>
      <c r="D759" s="120" t="s">
        <v>2096</v>
      </c>
      <c r="E759" s="125" t="s">
        <v>2228</v>
      </c>
      <c r="F759" s="133">
        <f>G759-3.09+3.5</f>
        <v>63.705</v>
      </c>
      <c r="G759" s="133">
        <v>63.295</v>
      </c>
      <c r="H759" s="133">
        <v>63.07</v>
      </c>
      <c r="I759" s="144">
        <f t="shared" si="251"/>
        <v>0.225000000000001</v>
      </c>
      <c r="J759" s="115" t="str">
        <f t="shared" si="246"/>
        <v>295/80R22.5-18PR-AS898</v>
      </c>
      <c r="K759" s="193"/>
      <c r="L759" s="193"/>
      <c r="M759" s="193"/>
      <c r="N759" s="193"/>
      <c r="O759" s="193"/>
      <c r="P759" s="193"/>
      <c r="Q759" s="193"/>
      <c r="BB759" s="113" t="str">
        <f t="shared" si="244"/>
        <v/>
      </c>
    </row>
    <row r="760" spans="2:54">
      <c r="B760" s="119" t="s">
        <v>2218</v>
      </c>
      <c r="C760" s="120" t="s">
        <v>1092</v>
      </c>
      <c r="D760" s="120" t="s">
        <v>1461</v>
      </c>
      <c r="E760" s="125" t="s">
        <v>2229</v>
      </c>
      <c r="F760" s="208">
        <f>G760-2.688+3.093</f>
        <v>54.267</v>
      </c>
      <c r="G760" s="208">
        <v>53.862</v>
      </c>
      <c r="H760" s="208">
        <v>53.69</v>
      </c>
      <c r="I760" s="144">
        <f t="shared" si="251"/>
        <v>0.172000000000004</v>
      </c>
      <c r="J760" s="115" t="str">
        <f t="shared" si="246"/>
        <v>295/80R22.5-18PR-CR976A</v>
      </c>
      <c r="K760" s="193"/>
      <c r="L760" s="193"/>
      <c r="M760" s="193"/>
      <c r="N760" s="193"/>
      <c r="O760" s="193"/>
      <c r="P760" s="193"/>
      <c r="Q760" s="193"/>
      <c r="BB760" s="113" t="str">
        <f t="shared" si="244"/>
        <v/>
      </c>
    </row>
    <row r="761" spans="2:54">
      <c r="B761" s="119" t="s">
        <v>2218</v>
      </c>
      <c r="C761" s="120" t="s">
        <v>1092</v>
      </c>
      <c r="D761" s="120" t="s">
        <v>2074</v>
      </c>
      <c r="E761" s="125" t="s">
        <v>2229</v>
      </c>
      <c r="F761" s="208">
        <f>G761-2.688+3.093</f>
        <v>54.267</v>
      </c>
      <c r="G761" s="208">
        <v>53.862</v>
      </c>
      <c r="H761" s="208">
        <v>53.69</v>
      </c>
      <c r="I761" s="144">
        <f t="shared" si="251"/>
        <v>0.172000000000004</v>
      </c>
      <c r="J761" s="115" t="str">
        <f t="shared" si="246"/>
        <v>295/80R22.5-18PR-G-PERFORM S</v>
      </c>
      <c r="K761" s="193"/>
      <c r="L761" s="193"/>
      <c r="M761" s="193"/>
      <c r="N761" s="193"/>
      <c r="O761" s="193"/>
      <c r="P761" s="193"/>
      <c r="Q761" s="193"/>
      <c r="BB761" s="113" t="str">
        <f t="shared" si="244"/>
        <v/>
      </c>
    </row>
    <row r="762" spans="2:54">
      <c r="B762" s="119" t="s">
        <v>2218</v>
      </c>
      <c r="C762" s="120" t="s">
        <v>1092</v>
      </c>
      <c r="D762" s="121" t="s">
        <v>2230</v>
      </c>
      <c r="E762" s="120" t="s">
        <v>2231</v>
      </c>
      <c r="F762" s="127">
        <f t="shared" ref="F762:F765" si="253">G762-3.093+3.498</f>
        <v>64.068</v>
      </c>
      <c r="G762" s="133">
        <v>63.663</v>
      </c>
      <c r="H762" s="133">
        <v>63.16</v>
      </c>
      <c r="I762" s="144">
        <f t="shared" si="251"/>
        <v>0.503</v>
      </c>
      <c r="J762" s="115" t="str">
        <f t="shared" si="246"/>
        <v>295/80R22.5-18PR-CM987pro</v>
      </c>
      <c r="K762" s="193"/>
      <c r="L762" s="193"/>
      <c r="M762" s="193"/>
      <c r="N762" s="193"/>
      <c r="O762" s="193"/>
      <c r="P762" s="193"/>
      <c r="Q762" s="193"/>
      <c r="BB762" s="113" t="str">
        <f t="shared" si="244"/>
        <v/>
      </c>
    </row>
    <row r="763" spans="2:54">
      <c r="B763" s="119" t="s">
        <v>2218</v>
      </c>
      <c r="C763" s="120" t="s">
        <v>1092</v>
      </c>
      <c r="D763" s="121" t="s">
        <v>2232</v>
      </c>
      <c r="E763" s="147" t="s">
        <v>2233</v>
      </c>
      <c r="F763" s="133">
        <f t="shared" si="253"/>
        <v>63.954</v>
      </c>
      <c r="G763" s="133">
        <v>63.549</v>
      </c>
      <c r="H763" s="133">
        <v>63.36</v>
      </c>
      <c r="I763" s="144">
        <f t="shared" si="251"/>
        <v>0.189</v>
      </c>
      <c r="J763" s="115" t="str">
        <f t="shared" si="246"/>
        <v>295/80R22.5-18PR-AD733</v>
      </c>
      <c r="K763" s="193"/>
      <c r="L763" s="193"/>
      <c r="M763" s="193"/>
      <c r="N763" s="193"/>
      <c r="O763" s="193"/>
      <c r="P763" s="193"/>
      <c r="Q763" s="193"/>
      <c r="R763" s="193"/>
      <c r="BB763" s="113" t="str">
        <f t="shared" si="244"/>
        <v/>
      </c>
    </row>
    <row r="764" spans="2:54">
      <c r="B764" s="119" t="s">
        <v>2218</v>
      </c>
      <c r="C764" s="120" t="s">
        <v>1092</v>
      </c>
      <c r="D764" s="120" t="s">
        <v>2102</v>
      </c>
      <c r="E764" s="138" t="s">
        <v>2233</v>
      </c>
      <c r="F764" s="133">
        <f t="shared" si="253"/>
        <v>63.954</v>
      </c>
      <c r="G764" s="133">
        <v>63.549</v>
      </c>
      <c r="H764" s="133">
        <v>63.36</v>
      </c>
      <c r="I764" s="144">
        <f t="shared" si="251"/>
        <v>0.189</v>
      </c>
      <c r="J764" s="115" t="str">
        <f t="shared" si="246"/>
        <v>295/80R22.5-18PR-AD818</v>
      </c>
      <c r="K764" s="193"/>
      <c r="L764" s="193"/>
      <c r="M764" s="193"/>
      <c r="N764" s="193"/>
      <c r="O764" s="193"/>
      <c r="P764" s="193"/>
      <c r="Q764" s="193"/>
      <c r="R764" s="193"/>
      <c r="BB764" s="113" t="str">
        <f t="shared" si="244"/>
        <v/>
      </c>
    </row>
    <row r="765" spans="2:54">
      <c r="B765" s="119" t="s">
        <v>2218</v>
      </c>
      <c r="C765" s="120" t="s">
        <v>1092</v>
      </c>
      <c r="D765" s="120" t="s">
        <v>2234</v>
      </c>
      <c r="E765" s="125" t="s">
        <v>2233</v>
      </c>
      <c r="F765" s="133">
        <f t="shared" si="253"/>
        <v>63.954</v>
      </c>
      <c r="G765" s="133">
        <v>63.549</v>
      </c>
      <c r="H765" s="133">
        <v>63.36</v>
      </c>
      <c r="I765" s="144">
        <f t="shared" si="251"/>
        <v>0.189</v>
      </c>
      <c r="J765" s="115" t="str">
        <f t="shared" si="246"/>
        <v>295/80R22.5-18PR-G-PRO D</v>
      </c>
      <c r="K765" s="193"/>
      <c r="L765" s="193"/>
      <c r="M765" s="193"/>
      <c r="N765" s="193"/>
      <c r="O765" s="193"/>
      <c r="P765" s="193"/>
      <c r="Q765" s="193"/>
      <c r="BB765" s="113" t="str">
        <f t="shared" si="244"/>
        <v/>
      </c>
    </row>
    <row r="766" spans="2:54">
      <c r="B766" s="119" t="s">
        <v>2218</v>
      </c>
      <c r="C766" s="120" t="s">
        <v>1092</v>
      </c>
      <c r="D766" s="120" t="s">
        <v>2098</v>
      </c>
      <c r="E766" s="125" t="s">
        <v>2235</v>
      </c>
      <c r="F766" s="133">
        <f t="shared" ref="F766:F769" si="254">G766-2.688+3.093</f>
        <v>64.649</v>
      </c>
      <c r="G766" s="133">
        <v>64.244</v>
      </c>
      <c r="H766" s="133">
        <v>63.59</v>
      </c>
      <c r="I766" s="144">
        <f t="shared" si="251"/>
        <v>0.653999999999996</v>
      </c>
      <c r="J766" s="115" t="str">
        <f t="shared" si="246"/>
        <v>295/80R22.5-18PR-MD777</v>
      </c>
      <c r="K766" s="193"/>
      <c r="L766" s="193"/>
      <c r="M766" s="193"/>
      <c r="N766" s="193"/>
      <c r="O766" s="193"/>
      <c r="P766" s="193"/>
      <c r="Q766" s="193"/>
      <c r="BB766" s="113" t="str">
        <f t="shared" si="244"/>
        <v/>
      </c>
    </row>
    <row r="767" spans="2:54">
      <c r="B767" s="119" t="s">
        <v>2218</v>
      </c>
      <c r="C767" s="120" t="s">
        <v>1092</v>
      </c>
      <c r="D767" s="120" t="s">
        <v>2100</v>
      </c>
      <c r="E767" s="125" t="s">
        <v>2235</v>
      </c>
      <c r="F767" s="133">
        <f t="shared" si="254"/>
        <v>64.649</v>
      </c>
      <c r="G767" s="133">
        <v>64.244</v>
      </c>
      <c r="H767" s="133">
        <v>63.59</v>
      </c>
      <c r="I767" s="144">
        <f t="shared" si="251"/>
        <v>0.653999999999996</v>
      </c>
      <c r="J767" s="115" t="str">
        <f t="shared" si="246"/>
        <v>295/80R22.5-18PR-G-PRO MSD</v>
      </c>
      <c r="K767" s="193"/>
      <c r="L767" s="193"/>
      <c r="M767" s="193"/>
      <c r="N767" s="193"/>
      <c r="O767" s="193"/>
      <c r="P767" s="193"/>
      <c r="Q767" s="193"/>
      <c r="BB767" s="113" t="str">
        <f t="shared" si="244"/>
        <v/>
      </c>
    </row>
    <row r="768" spans="2:54">
      <c r="B768" s="119" t="s">
        <v>2218</v>
      </c>
      <c r="C768" s="120" t="s">
        <v>1092</v>
      </c>
      <c r="D768" s="120" t="s">
        <v>2101</v>
      </c>
      <c r="E768" s="125" t="s">
        <v>2235</v>
      </c>
      <c r="F768" s="133">
        <f t="shared" si="254"/>
        <v>64.649</v>
      </c>
      <c r="G768" s="133">
        <v>64.244</v>
      </c>
      <c r="H768" s="133">
        <v>63.59</v>
      </c>
      <c r="I768" s="144">
        <f t="shared" si="251"/>
        <v>0.653999999999996</v>
      </c>
      <c r="J768" s="115" t="str">
        <f t="shared" si="246"/>
        <v>295/80R22.5-18PR-BMD06 PRO</v>
      </c>
      <c r="K768" s="193"/>
      <c r="L768" s="193"/>
      <c r="M768" s="193"/>
      <c r="N768" s="193"/>
      <c r="O768" s="193"/>
      <c r="P768" s="193"/>
      <c r="Q768" s="193"/>
      <c r="BB768" s="113" t="str">
        <f t="shared" si="244"/>
        <v/>
      </c>
    </row>
    <row r="769" spans="2:54">
      <c r="B769" s="119" t="s">
        <v>2218</v>
      </c>
      <c r="C769" s="120" t="s">
        <v>1092</v>
      </c>
      <c r="D769" s="120" t="s">
        <v>2236</v>
      </c>
      <c r="E769" s="125" t="s">
        <v>2235</v>
      </c>
      <c r="F769" s="133">
        <f t="shared" si="254"/>
        <v>64.649</v>
      </c>
      <c r="G769" s="133">
        <v>64.244</v>
      </c>
      <c r="H769" s="133">
        <v>63.59</v>
      </c>
      <c r="I769" s="144">
        <f t="shared" si="251"/>
        <v>0.653999999999996</v>
      </c>
      <c r="J769" s="115" t="str">
        <f t="shared" si="246"/>
        <v>295/80R22.5-18PR-TRAX D-I</v>
      </c>
      <c r="K769" s="193"/>
      <c r="L769" s="193"/>
      <c r="M769" s="193"/>
      <c r="N769" s="193"/>
      <c r="O769" s="193"/>
      <c r="P769" s="193"/>
      <c r="Q769" s="193"/>
      <c r="BB769" s="113" t="str">
        <f t="shared" si="244"/>
        <v/>
      </c>
    </row>
    <row r="770" spans="2:54">
      <c r="B770" s="119" t="s">
        <v>2218</v>
      </c>
      <c r="C770" s="120" t="s">
        <v>1092</v>
      </c>
      <c r="D770" s="120" t="s">
        <v>2077</v>
      </c>
      <c r="E770" s="125" t="s">
        <v>2237</v>
      </c>
      <c r="F770" s="133">
        <f t="shared" ref="F770:F772" si="255">G770-2.69+3.09</f>
        <v>55.84</v>
      </c>
      <c r="G770" s="133">
        <v>55.44</v>
      </c>
      <c r="H770" s="133">
        <v>55.41</v>
      </c>
      <c r="I770" s="144">
        <f t="shared" si="251"/>
        <v>0.0300000000000011</v>
      </c>
      <c r="J770" s="115" t="str">
        <f t="shared" si="246"/>
        <v>295/80R22.5-18PR-EZ573</v>
      </c>
      <c r="K770" s="193"/>
      <c r="L770" s="193"/>
      <c r="M770" s="193"/>
      <c r="N770" s="193"/>
      <c r="O770" s="193"/>
      <c r="P770" s="193"/>
      <c r="Q770" s="193"/>
      <c r="BB770" s="113" t="str">
        <f t="shared" si="244"/>
        <v/>
      </c>
    </row>
    <row r="771" spans="2:54">
      <c r="B771" s="119" t="s">
        <v>2218</v>
      </c>
      <c r="C771" s="120" t="s">
        <v>1092</v>
      </c>
      <c r="D771" s="120" t="s">
        <v>2079</v>
      </c>
      <c r="E771" s="125" t="s">
        <v>2237</v>
      </c>
      <c r="F771" s="133">
        <f t="shared" si="255"/>
        <v>55.84</v>
      </c>
      <c r="G771" s="133">
        <v>55.44</v>
      </c>
      <c r="H771" s="133">
        <v>55.41</v>
      </c>
      <c r="I771" s="144">
        <f t="shared" si="251"/>
        <v>0.0300000000000011</v>
      </c>
      <c r="J771" s="115" t="str">
        <f t="shared" si="246"/>
        <v>295/80R22.5-18PR-G-PRO MSA</v>
      </c>
      <c r="K771" s="193"/>
      <c r="L771" s="193"/>
      <c r="M771" s="193"/>
      <c r="N771" s="193"/>
      <c r="O771" s="193"/>
      <c r="P771" s="193"/>
      <c r="Q771" s="193"/>
      <c r="BB771" s="113" t="str">
        <f t="shared" si="244"/>
        <v/>
      </c>
    </row>
    <row r="772" spans="2:54">
      <c r="B772" s="119" t="s">
        <v>2218</v>
      </c>
      <c r="C772" s="120" t="s">
        <v>1092</v>
      </c>
      <c r="D772" s="120" t="s">
        <v>2238</v>
      </c>
      <c r="E772" s="125" t="s">
        <v>2237</v>
      </c>
      <c r="F772" s="133">
        <f t="shared" si="255"/>
        <v>55.84</v>
      </c>
      <c r="G772" s="133">
        <v>55.44</v>
      </c>
      <c r="H772" s="133">
        <v>55.41</v>
      </c>
      <c r="I772" s="144">
        <f t="shared" si="251"/>
        <v>0.0300000000000011</v>
      </c>
      <c r="J772" s="115" t="str">
        <f t="shared" si="246"/>
        <v>295/80R22.5-18PR-NMIX Z-II</v>
      </c>
      <c r="K772" s="193"/>
      <c r="L772" s="193"/>
      <c r="M772" s="193"/>
      <c r="N772" s="193"/>
      <c r="O772" s="193"/>
      <c r="P772" s="193"/>
      <c r="Q772" s="193"/>
      <c r="BB772" s="113" t="str">
        <f t="shared" si="244"/>
        <v/>
      </c>
    </row>
    <row r="773" spans="2:54">
      <c r="B773" s="119" t="s">
        <v>2218</v>
      </c>
      <c r="C773" s="120" t="s">
        <v>1092</v>
      </c>
      <c r="D773" s="120" t="s">
        <v>2081</v>
      </c>
      <c r="E773" s="125" t="s">
        <v>2239</v>
      </c>
      <c r="F773" s="133">
        <f t="shared" ref="F773:F775" si="256">G773-2.688+3.093</f>
        <v>56.918</v>
      </c>
      <c r="G773" s="133">
        <v>56.513</v>
      </c>
      <c r="H773" s="133">
        <v>56.48</v>
      </c>
      <c r="I773" s="144">
        <f t="shared" si="251"/>
        <v>0.0330000000000013</v>
      </c>
      <c r="J773" s="115" t="str">
        <f t="shared" si="246"/>
        <v>295/80R22.5-18PR-AD153</v>
      </c>
      <c r="K773" s="193"/>
      <c r="L773" s="193"/>
      <c r="M773" s="193"/>
      <c r="N773" s="193"/>
      <c r="O773" s="193"/>
      <c r="P773" s="193"/>
      <c r="Q773" s="193"/>
      <c r="BB773" s="113" t="str">
        <f t="shared" ref="BB773:BB836" si="257">_xlfn.TEXTJOIN("-",TRUE,AU773,AW773)</f>
        <v/>
      </c>
    </row>
    <row r="774" spans="2:54">
      <c r="B774" s="119" t="s">
        <v>2218</v>
      </c>
      <c r="C774" s="120" t="s">
        <v>1092</v>
      </c>
      <c r="D774" s="120" t="s">
        <v>2083</v>
      </c>
      <c r="E774" s="125" t="s">
        <v>2239</v>
      </c>
      <c r="F774" s="133">
        <f t="shared" si="256"/>
        <v>56.918</v>
      </c>
      <c r="G774" s="133">
        <v>56.513</v>
      </c>
      <c r="H774" s="133">
        <v>56.48</v>
      </c>
      <c r="I774" s="144">
        <f t="shared" si="251"/>
        <v>0.0330000000000013</v>
      </c>
      <c r="J774" s="115" t="str">
        <f t="shared" si="246"/>
        <v>295/80R22.5-18PR-G-PERFORM D</v>
      </c>
      <c r="K774" s="193"/>
      <c r="L774" s="193"/>
      <c r="M774" s="193"/>
      <c r="N774" s="193"/>
      <c r="O774" s="193"/>
      <c r="P774" s="193"/>
      <c r="Q774" s="193"/>
      <c r="BB774" s="113" t="str">
        <f t="shared" si="257"/>
        <v/>
      </c>
    </row>
    <row r="775" spans="2:54">
      <c r="B775" s="119" t="s">
        <v>2218</v>
      </c>
      <c r="C775" s="120" t="s">
        <v>1092</v>
      </c>
      <c r="D775" s="120" t="s">
        <v>2084</v>
      </c>
      <c r="E775" s="125" t="s">
        <v>2239</v>
      </c>
      <c r="F775" s="133">
        <f t="shared" si="256"/>
        <v>56.918</v>
      </c>
      <c r="G775" s="133">
        <v>56.513</v>
      </c>
      <c r="H775" s="133">
        <v>56.48</v>
      </c>
      <c r="I775" s="144">
        <f t="shared" si="251"/>
        <v>0.0330000000000013</v>
      </c>
      <c r="J775" s="115" t="str">
        <f t="shared" si="246"/>
        <v>295/80R22.5-18PR-BRD02 ECO</v>
      </c>
      <c r="K775" s="193"/>
      <c r="L775" s="193"/>
      <c r="M775" s="193"/>
      <c r="N775" s="193"/>
      <c r="O775" s="193"/>
      <c r="P775" s="193"/>
      <c r="Q775" s="193"/>
      <c r="BB775" s="113" t="str">
        <f t="shared" si="257"/>
        <v/>
      </c>
    </row>
    <row r="776" spans="2:54">
      <c r="B776" s="119" t="s">
        <v>2218</v>
      </c>
      <c r="C776" s="120" t="s">
        <v>1092</v>
      </c>
      <c r="D776" s="121" t="s">
        <v>1096</v>
      </c>
      <c r="E776" s="120" t="s">
        <v>2240</v>
      </c>
      <c r="F776" s="133">
        <f t="shared" ref="F776:F778" si="258">G776-2.69+3.09</f>
        <v>62.452</v>
      </c>
      <c r="G776" s="133">
        <v>62.052</v>
      </c>
      <c r="H776" s="133">
        <v>61.7</v>
      </c>
      <c r="I776" s="144">
        <f t="shared" si="251"/>
        <v>0.351999999999997</v>
      </c>
      <c r="J776" s="115" t="str">
        <f t="shared" si="246"/>
        <v>295/80R22.5-18PR-CB972</v>
      </c>
      <c r="K776" s="193"/>
      <c r="L776" s="193"/>
      <c r="M776" s="193"/>
      <c r="N776" s="193"/>
      <c r="O776" s="193"/>
      <c r="P776" s="193"/>
      <c r="Q776" s="193"/>
      <c r="BB776" s="113" t="str">
        <f t="shared" si="257"/>
        <v/>
      </c>
    </row>
    <row r="777" spans="2:54">
      <c r="B777" s="119" t="s">
        <v>2218</v>
      </c>
      <c r="C777" s="120" t="s">
        <v>1092</v>
      </c>
      <c r="D777" s="120" t="s">
        <v>2241</v>
      </c>
      <c r="E777" s="138" t="s">
        <v>2240</v>
      </c>
      <c r="F777" s="133">
        <f t="shared" si="258"/>
        <v>62.452</v>
      </c>
      <c r="G777" s="133">
        <v>62.052</v>
      </c>
      <c r="H777" s="133">
        <v>61.7</v>
      </c>
      <c r="I777" s="144">
        <f t="shared" si="251"/>
        <v>0.351999999999997</v>
      </c>
      <c r="J777" s="115" t="str">
        <f t="shared" si="246"/>
        <v>295/80R22.5-18PR-G-PERFORM O</v>
      </c>
      <c r="K777" s="193"/>
      <c r="L777" s="193"/>
      <c r="M777" s="193"/>
      <c r="N777" s="193"/>
      <c r="O777" s="193"/>
      <c r="P777" s="193"/>
      <c r="Q777" s="193"/>
      <c r="BB777" s="113" t="str">
        <f t="shared" si="257"/>
        <v/>
      </c>
    </row>
    <row r="778" spans="2:54">
      <c r="B778" s="119" t="s">
        <v>2218</v>
      </c>
      <c r="C778" s="120" t="s">
        <v>1092</v>
      </c>
      <c r="D778" s="121" t="s">
        <v>2242</v>
      </c>
      <c r="E778" s="120" t="s">
        <v>2240</v>
      </c>
      <c r="F778" s="133">
        <f t="shared" si="258"/>
        <v>62.452</v>
      </c>
      <c r="G778" s="133">
        <v>62.052</v>
      </c>
      <c r="H778" s="133">
        <v>61.7</v>
      </c>
      <c r="I778" s="144">
        <f t="shared" si="251"/>
        <v>0.351999999999997</v>
      </c>
      <c r="J778" s="115" t="str">
        <f t="shared" si="246"/>
        <v>295/80R22.5-18PR-BLOCK D-I</v>
      </c>
      <c r="K778" s="193"/>
      <c r="L778" s="193"/>
      <c r="M778" s="193"/>
      <c r="N778" s="193"/>
      <c r="O778" s="193"/>
      <c r="P778" s="193"/>
      <c r="Q778" s="193"/>
      <c r="BB778" s="113" t="str">
        <f t="shared" si="257"/>
        <v/>
      </c>
    </row>
    <row r="779" spans="2:54">
      <c r="B779" s="119" t="s">
        <v>2218</v>
      </c>
      <c r="C779" s="120" t="s">
        <v>1092</v>
      </c>
      <c r="D779" s="120" t="s">
        <v>2085</v>
      </c>
      <c r="E779" s="138" t="s">
        <v>2243</v>
      </c>
      <c r="F779" s="133">
        <f>G779-3.09+3.5</f>
        <v>64.764</v>
      </c>
      <c r="G779" s="133">
        <v>64.354</v>
      </c>
      <c r="H779" s="133">
        <v>64.16</v>
      </c>
      <c r="I779" s="144">
        <f t="shared" si="251"/>
        <v>0.194000000000003</v>
      </c>
      <c r="J779" s="115" t="str">
        <f t="shared" si="246"/>
        <v>295/80R22.5-18PR-CR906</v>
      </c>
      <c r="K779" s="193"/>
      <c r="L779" s="193"/>
      <c r="M779" s="193"/>
      <c r="N779" s="193"/>
      <c r="O779" s="193"/>
      <c r="P779" s="193"/>
      <c r="Q779" s="193"/>
      <c r="BB779" s="113" t="str">
        <f t="shared" si="257"/>
        <v/>
      </c>
    </row>
    <row r="780" spans="2:54">
      <c r="B780" s="119" t="s">
        <v>2218</v>
      </c>
      <c r="C780" s="120" t="s">
        <v>1092</v>
      </c>
      <c r="D780" s="120" t="s">
        <v>2087</v>
      </c>
      <c r="E780" s="125" t="s">
        <v>2243</v>
      </c>
      <c r="F780" s="133">
        <f>G780-3.09+3.5</f>
        <v>64.764</v>
      </c>
      <c r="G780" s="133">
        <v>64.354</v>
      </c>
      <c r="H780" s="133">
        <v>64.16</v>
      </c>
      <c r="I780" s="144">
        <f t="shared" si="251"/>
        <v>0.194000000000003</v>
      </c>
      <c r="J780" s="115" t="str">
        <f t="shared" ref="J780:J843" si="259">_xlfn.TEXTJOIN("-",TRUE,B780,C780,D780)</f>
        <v>295/80R22.5-18PR-G-PRO U</v>
      </c>
      <c r="K780" s="193"/>
      <c r="L780" s="193"/>
      <c r="M780" s="193"/>
      <c r="N780" s="193"/>
      <c r="O780" s="193"/>
      <c r="P780" s="193"/>
      <c r="Q780" s="193"/>
      <c r="BB780" s="113" t="str">
        <f t="shared" si="257"/>
        <v/>
      </c>
    </row>
    <row r="781" spans="2:54">
      <c r="B781" s="119" t="s">
        <v>2218</v>
      </c>
      <c r="C781" s="120" t="s">
        <v>1092</v>
      </c>
      <c r="D781" s="120" t="s">
        <v>2244</v>
      </c>
      <c r="E781" s="125" t="s">
        <v>2245</v>
      </c>
      <c r="F781" s="133">
        <f>G781-2.68+3.099</f>
        <v>58.81</v>
      </c>
      <c r="G781" s="133">
        <v>58.391</v>
      </c>
      <c r="H781" s="133">
        <v>58.25</v>
      </c>
      <c r="I781" s="144">
        <f t="shared" si="251"/>
        <v>0.140999999999998</v>
      </c>
      <c r="J781" s="115" t="str">
        <f t="shared" si="259"/>
        <v>295/80R22.5-18PR-CM335</v>
      </c>
      <c r="K781" s="193"/>
      <c r="L781" s="193"/>
      <c r="M781" s="193"/>
      <c r="N781" s="193"/>
      <c r="O781" s="193"/>
      <c r="P781" s="193"/>
      <c r="Q781" s="193"/>
      <c r="BB781" s="113" t="str">
        <f t="shared" si="257"/>
        <v/>
      </c>
    </row>
    <row r="782" spans="2:54">
      <c r="B782" s="119" t="s">
        <v>2218</v>
      </c>
      <c r="C782" s="120" t="s">
        <v>1092</v>
      </c>
      <c r="D782" s="120" t="s">
        <v>2088</v>
      </c>
      <c r="E782" s="125" t="s">
        <v>2245</v>
      </c>
      <c r="F782" s="133">
        <f>G782-2.68+3.099</f>
        <v>58.81</v>
      </c>
      <c r="G782" s="133">
        <v>58.391</v>
      </c>
      <c r="H782" s="133">
        <v>58.25</v>
      </c>
      <c r="I782" s="144">
        <f t="shared" si="251"/>
        <v>0.140999999999998</v>
      </c>
      <c r="J782" s="115" t="str">
        <f t="shared" si="259"/>
        <v>295/80R22.5-18PR-AD528</v>
      </c>
      <c r="K782" s="193"/>
      <c r="L782" s="193"/>
      <c r="M782" s="193"/>
      <c r="N782" s="193"/>
      <c r="O782" s="193"/>
      <c r="P782" s="193"/>
      <c r="Q782" s="193"/>
      <c r="BB782" s="113" t="str">
        <f t="shared" si="257"/>
        <v/>
      </c>
    </row>
    <row r="783" spans="2:54">
      <c r="B783" s="119" t="s">
        <v>2218</v>
      </c>
      <c r="C783" s="120" t="s">
        <v>1092</v>
      </c>
      <c r="D783" s="120" t="s">
        <v>2246</v>
      </c>
      <c r="E783" s="120" t="s">
        <v>2247</v>
      </c>
      <c r="F783" s="133">
        <f>G783-3.093+3.498</f>
        <v>61.962</v>
      </c>
      <c r="G783" s="133">
        <v>61.557</v>
      </c>
      <c r="H783" s="133">
        <v>61.67</v>
      </c>
      <c r="I783" s="144">
        <f t="shared" si="251"/>
        <v>-0.113</v>
      </c>
      <c r="J783" s="115" t="str">
        <f t="shared" si="259"/>
        <v>295/80R22.5-18PR-WSA2</v>
      </c>
      <c r="K783" s="193"/>
      <c r="L783" s="193"/>
      <c r="M783" s="193"/>
      <c r="N783" s="193"/>
      <c r="O783" s="193"/>
      <c r="P783" s="193"/>
      <c r="Q783" s="193"/>
      <c r="BB783" s="113" t="str">
        <f t="shared" si="257"/>
        <v/>
      </c>
    </row>
    <row r="784" spans="2:54">
      <c r="B784" s="119" t="s">
        <v>2218</v>
      </c>
      <c r="C784" s="120" t="s">
        <v>1092</v>
      </c>
      <c r="D784" s="120" t="s">
        <v>2248</v>
      </c>
      <c r="E784" s="120" t="s">
        <v>2249</v>
      </c>
      <c r="F784" s="133">
        <f>G784-3.093+3.498</f>
        <v>68.829</v>
      </c>
      <c r="G784" s="133">
        <v>68.424</v>
      </c>
      <c r="H784" s="208">
        <v>68.1989</v>
      </c>
      <c r="I784" s="144">
        <f t="shared" si="251"/>
        <v>0.225100000000012</v>
      </c>
      <c r="J784" s="115" t="str">
        <f t="shared" si="259"/>
        <v>295/80R22.5-18PR-WDA2</v>
      </c>
      <c r="K784" s="193"/>
      <c r="L784" s="193"/>
      <c r="M784" s="193"/>
      <c r="N784" s="193"/>
      <c r="O784" s="193"/>
      <c r="P784" s="193"/>
      <c r="Q784" s="193"/>
      <c r="BB784" s="113" t="str">
        <f t="shared" si="257"/>
        <v/>
      </c>
    </row>
    <row r="785" spans="2:54">
      <c r="B785" s="119" t="s">
        <v>2218</v>
      </c>
      <c r="C785" s="120" t="s">
        <v>1092</v>
      </c>
      <c r="D785" s="120" t="s">
        <v>1851</v>
      </c>
      <c r="E785" s="125" t="s">
        <v>2250</v>
      </c>
      <c r="F785" s="133">
        <f t="shared" ref="F785:F787" si="260">G785-2.69+3.09</f>
        <v>55.698</v>
      </c>
      <c r="G785" s="133">
        <v>55.298</v>
      </c>
      <c r="H785" s="133">
        <v>55.29</v>
      </c>
      <c r="I785" s="144">
        <f t="shared" si="251"/>
        <v>0.00800000000000267</v>
      </c>
      <c r="J785" s="115" t="str">
        <f t="shared" si="259"/>
        <v>295/80R22.5-18PR-CR926D</v>
      </c>
      <c r="K785" s="193"/>
      <c r="L785" s="193"/>
      <c r="M785" s="193"/>
      <c r="N785" s="193"/>
      <c r="O785" s="193"/>
      <c r="P785" s="193"/>
      <c r="Q785" s="193"/>
      <c r="BB785" s="113" t="str">
        <f t="shared" si="257"/>
        <v/>
      </c>
    </row>
    <row r="786" spans="2:54">
      <c r="B786" s="119" t="s">
        <v>2218</v>
      </c>
      <c r="C786" s="120" t="s">
        <v>1092</v>
      </c>
      <c r="D786" s="120" t="s">
        <v>2251</v>
      </c>
      <c r="E786" s="125" t="s">
        <v>2250</v>
      </c>
      <c r="F786" s="133">
        <f t="shared" si="260"/>
        <v>55.698</v>
      </c>
      <c r="G786" s="133">
        <v>55.298</v>
      </c>
      <c r="H786" s="133">
        <v>55.29</v>
      </c>
      <c r="I786" s="144">
        <f t="shared" si="251"/>
        <v>0.00800000000000267</v>
      </c>
      <c r="J786" s="115" t="str">
        <f t="shared" si="259"/>
        <v>295/80R22.5-18PR-BMA07 ECO</v>
      </c>
      <c r="K786" s="193"/>
      <c r="L786" s="193"/>
      <c r="M786" s="193"/>
      <c r="N786" s="193"/>
      <c r="O786" s="193"/>
      <c r="P786" s="193"/>
      <c r="Q786" s="193"/>
      <c r="BB786" s="113" t="str">
        <f t="shared" si="257"/>
        <v/>
      </c>
    </row>
    <row r="787" spans="2:54">
      <c r="B787" s="119" t="s">
        <v>2218</v>
      </c>
      <c r="C787" s="120" t="s">
        <v>1092</v>
      </c>
      <c r="D787" s="120" t="s">
        <v>2252</v>
      </c>
      <c r="E787" s="125" t="s">
        <v>2250</v>
      </c>
      <c r="F787" s="133">
        <f t="shared" si="260"/>
        <v>55.698</v>
      </c>
      <c r="G787" s="133">
        <v>55.298</v>
      </c>
      <c r="H787" s="133">
        <v>55.29</v>
      </c>
      <c r="I787" s="144">
        <f t="shared" si="251"/>
        <v>0.00800000000000267</v>
      </c>
      <c r="J787" s="115" t="str">
        <f t="shared" si="259"/>
        <v>295/80R22.5-18PR-NMIX Z-I</v>
      </c>
      <c r="K787" s="193"/>
      <c r="L787" s="193"/>
      <c r="M787" s="193"/>
      <c r="N787" s="193"/>
      <c r="O787" s="193"/>
      <c r="P787" s="193"/>
      <c r="Q787" s="193"/>
      <c r="BB787" s="113" t="str">
        <f t="shared" si="257"/>
        <v/>
      </c>
    </row>
    <row r="788" spans="2:54">
      <c r="B788" s="119" t="s">
        <v>2218</v>
      </c>
      <c r="C788" s="120" t="s">
        <v>1092</v>
      </c>
      <c r="D788" s="120" t="s">
        <v>2253</v>
      </c>
      <c r="E788" s="120" t="s">
        <v>2254</v>
      </c>
      <c r="F788" s="133">
        <f t="shared" ref="F788:F798" si="261">G788-2.688+3.093</f>
        <v>57.15</v>
      </c>
      <c r="G788" s="133">
        <v>56.745</v>
      </c>
      <c r="H788" s="133">
        <v>56.86</v>
      </c>
      <c r="I788" s="144">
        <f t="shared" si="251"/>
        <v>-0.115000000000002</v>
      </c>
      <c r="J788" s="115" t="str">
        <f t="shared" si="259"/>
        <v>295/80R22.5-18PR-AS567</v>
      </c>
      <c r="K788" s="193"/>
      <c r="L788" s="193"/>
      <c r="M788" s="193"/>
      <c r="N788" s="193"/>
      <c r="O788" s="193"/>
      <c r="P788" s="193"/>
      <c r="Q788" s="193"/>
      <c r="BB788" s="113" t="str">
        <f t="shared" si="257"/>
        <v/>
      </c>
    </row>
    <row r="789" spans="2:54">
      <c r="B789" s="119" t="s">
        <v>2218</v>
      </c>
      <c r="C789" s="120" t="s">
        <v>1092</v>
      </c>
      <c r="D789" s="120" t="s">
        <v>2255</v>
      </c>
      <c r="E789" s="120" t="s">
        <v>2256</v>
      </c>
      <c r="F789" s="133">
        <f>G789-2.68+3.099</f>
        <v>57.14</v>
      </c>
      <c r="G789" s="133">
        <v>56.721</v>
      </c>
      <c r="H789" s="133">
        <v>56.82</v>
      </c>
      <c r="I789" s="144">
        <f t="shared" si="251"/>
        <v>-0.0990000000000038</v>
      </c>
      <c r="J789" s="115" t="str">
        <f t="shared" si="259"/>
        <v>295/80R22.5-18PR-AS668</v>
      </c>
      <c r="K789" s="193"/>
      <c r="L789" s="193"/>
      <c r="M789" s="193"/>
      <c r="N789" s="193"/>
      <c r="O789" s="193"/>
      <c r="P789" s="193"/>
      <c r="Q789" s="193"/>
      <c r="BB789" s="113" t="str">
        <f t="shared" si="257"/>
        <v/>
      </c>
    </row>
    <row r="790" spans="2:54">
      <c r="B790" s="119" t="s">
        <v>2218</v>
      </c>
      <c r="C790" s="120" t="s">
        <v>1092</v>
      </c>
      <c r="D790" s="120" t="s">
        <v>2105</v>
      </c>
      <c r="E790" s="120" t="s">
        <v>2257</v>
      </c>
      <c r="F790" s="133">
        <f t="shared" si="261"/>
        <v>55.245</v>
      </c>
      <c r="G790" s="133">
        <v>54.84</v>
      </c>
      <c r="H790" s="133">
        <v>55.0957</v>
      </c>
      <c r="I790" s="144">
        <f t="shared" si="251"/>
        <v>-0.255699999999997</v>
      </c>
      <c r="J790" s="115" t="str">
        <f t="shared" si="259"/>
        <v>295/80R22.5-18PR-AS589</v>
      </c>
      <c r="K790" s="193"/>
      <c r="L790" s="193"/>
      <c r="M790" s="193"/>
      <c r="N790" s="193"/>
      <c r="O790" s="193"/>
      <c r="P790" s="193"/>
      <c r="Q790" s="193"/>
      <c r="AC790" s="193"/>
      <c r="AD790" s="193"/>
      <c r="AE790" s="193"/>
      <c r="AF790" s="193"/>
      <c r="AG790" s="193"/>
      <c r="AH790" s="193"/>
      <c r="AI790" s="193"/>
      <c r="BB790" s="113" t="str">
        <f t="shared" si="257"/>
        <v/>
      </c>
    </row>
    <row r="791" spans="2:54">
      <c r="B791" s="119" t="s">
        <v>2218</v>
      </c>
      <c r="C791" s="120" t="s">
        <v>1092</v>
      </c>
      <c r="D791" s="120" t="s">
        <v>1450</v>
      </c>
      <c r="E791" s="125" t="s">
        <v>2258</v>
      </c>
      <c r="F791" s="133">
        <f t="shared" si="261"/>
        <v>53.285</v>
      </c>
      <c r="G791" s="133">
        <v>52.88</v>
      </c>
      <c r="H791" s="133">
        <v>52.72</v>
      </c>
      <c r="I791" s="144">
        <f t="shared" si="251"/>
        <v>0.160000000000004</v>
      </c>
      <c r="J791" s="115" t="str">
        <f t="shared" si="259"/>
        <v>295/80R22.5-18PR-AT196</v>
      </c>
      <c r="K791" s="193"/>
      <c r="L791" s="193"/>
      <c r="M791" s="193"/>
      <c r="N791" s="193"/>
      <c r="O791" s="193"/>
      <c r="P791" s="193"/>
      <c r="Q791" s="193"/>
      <c r="AC791" s="193"/>
      <c r="AD791" s="193"/>
      <c r="AE791" s="193"/>
      <c r="AF791" s="193"/>
      <c r="AG791" s="193"/>
      <c r="AH791" s="193"/>
      <c r="AI791" s="193"/>
      <c r="BB791" s="113" t="str">
        <f t="shared" si="257"/>
        <v/>
      </c>
    </row>
    <row r="792" spans="2:54">
      <c r="B792" s="119" t="s">
        <v>2218</v>
      </c>
      <c r="C792" s="120" t="s">
        <v>1092</v>
      </c>
      <c r="D792" s="120" t="s">
        <v>2259</v>
      </c>
      <c r="E792" s="125" t="s">
        <v>2258</v>
      </c>
      <c r="F792" s="133">
        <f t="shared" si="261"/>
        <v>53.285</v>
      </c>
      <c r="G792" s="133">
        <v>52.88</v>
      </c>
      <c r="H792" s="133">
        <v>52.72</v>
      </c>
      <c r="I792" s="144">
        <f t="shared" si="251"/>
        <v>0.160000000000004</v>
      </c>
      <c r="J792" s="115" t="str">
        <f t="shared" si="259"/>
        <v>295/80R22.5-18PR-AT186</v>
      </c>
      <c r="K792" s="193"/>
      <c r="L792" s="193"/>
      <c r="M792" s="193"/>
      <c r="N792" s="193"/>
      <c r="O792" s="193"/>
      <c r="P792" s="193"/>
      <c r="Q792" s="193"/>
      <c r="AC792" s="193"/>
      <c r="AD792" s="193"/>
      <c r="AE792" s="193"/>
      <c r="AF792" s="193"/>
      <c r="AG792" s="193"/>
      <c r="AH792" s="193"/>
      <c r="AI792" s="193"/>
      <c r="BB792" s="113" t="str">
        <f t="shared" si="257"/>
        <v/>
      </c>
    </row>
    <row r="793" spans="2:54">
      <c r="B793" s="119" t="s">
        <v>2218</v>
      </c>
      <c r="C793" s="120" t="s">
        <v>1092</v>
      </c>
      <c r="D793" s="120" t="s">
        <v>2260</v>
      </c>
      <c r="E793" s="125" t="s">
        <v>2258</v>
      </c>
      <c r="F793" s="133">
        <f t="shared" si="261"/>
        <v>53.285</v>
      </c>
      <c r="G793" s="133">
        <v>52.88</v>
      </c>
      <c r="H793" s="133">
        <v>52.72</v>
      </c>
      <c r="I793" s="144">
        <f t="shared" si="251"/>
        <v>0.160000000000004</v>
      </c>
      <c r="J793" s="115" t="str">
        <f t="shared" si="259"/>
        <v>295/80R22.5-18PR-TUCSON A</v>
      </c>
      <c r="K793" s="193"/>
      <c r="L793" s="193"/>
      <c r="M793" s="193"/>
      <c r="N793" s="193"/>
      <c r="O793" s="193"/>
      <c r="P793" s="193"/>
      <c r="Q793" s="193"/>
      <c r="AC793" s="193"/>
      <c r="AD793" s="193"/>
      <c r="AE793" s="193"/>
      <c r="AF793" s="193"/>
      <c r="AG793" s="193"/>
      <c r="AH793" s="193"/>
      <c r="AI793" s="193"/>
      <c r="BB793" s="113" t="str">
        <f t="shared" si="257"/>
        <v/>
      </c>
    </row>
    <row r="794" spans="2:54">
      <c r="B794" s="119" t="s">
        <v>2218</v>
      </c>
      <c r="C794" s="120" t="s">
        <v>1092</v>
      </c>
      <c r="D794" s="121" t="s">
        <v>2261</v>
      </c>
      <c r="E794" s="120" t="s">
        <v>2258</v>
      </c>
      <c r="F794" s="133">
        <f t="shared" si="261"/>
        <v>53.285</v>
      </c>
      <c r="G794" s="133">
        <v>52.88</v>
      </c>
      <c r="H794" s="133">
        <v>52.72</v>
      </c>
      <c r="I794" s="144">
        <f t="shared" si="251"/>
        <v>0.160000000000004</v>
      </c>
      <c r="J794" s="115" t="str">
        <f t="shared" si="259"/>
        <v>295/80R22.5-18PR-BRA07 ECO</v>
      </c>
      <c r="K794" s="193"/>
      <c r="L794" s="193"/>
      <c r="M794" s="193"/>
      <c r="N794" s="193"/>
      <c r="O794" s="193"/>
      <c r="P794" s="193"/>
      <c r="Q794" s="193"/>
      <c r="BB794" s="113" t="str">
        <f t="shared" si="257"/>
        <v/>
      </c>
    </row>
    <row r="795" spans="2:54">
      <c r="B795" s="119" t="s">
        <v>2218</v>
      </c>
      <c r="C795" s="120" t="s">
        <v>1092</v>
      </c>
      <c r="D795" s="120" t="s">
        <v>2262</v>
      </c>
      <c r="E795" s="138" t="s">
        <v>2258</v>
      </c>
      <c r="F795" s="133">
        <f t="shared" si="261"/>
        <v>53.285</v>
      </c>
      <c r="G795" s="133">
        <v>52.88</v>
      </c>
      <c r="H795" s="133">
        <v>52.72</v>
      </c>
      <c r="I795" s="144">
        <f t="shared" si="251"/>
        <v>0.160000000000004</v>
      </c>
      <c r="J795" s="115" t="str">
        <f t="shared" si="259"/>
        <v>295/80R22.5-18PR-ECOLINE A-I</v>
      </c>
      <c r="K795" s="193"/>
      <c r="L795" s="193"/>
      <c r="M795" s="193"/>
      <c r="N795" s="193"/>
      <c r="O795" s="193"/>
      <c r="P795" s="193"/>
      <c r="Q795" s="193"/>
      <c r="BB795" s="113" t="str">
        <f t="shared" si="257"/>
        <v/>
      </c>
    </row>
    <row r="796" spans="2:54">
      <c r="B796" s="119" t="s">
        <v>2218</v>
      </c>
      <c r="C796" s="120" t="s">
        <v>1092</v>
      </c>
      <c r="D796" s="120" t="s">
        <v>2263</v>
      </c>
      <c r="E796" s="125" t="s">
        <v>2264</v>
      </c>
      <c r="F796" s="133">
        <f t="shared" si="261"/>
        <v>53.999</v>
      </c>
      <c r="G796" s="133">
        <v>53.594</v>
      </c>
      <c r="H796" s="133">
        <v>52.91</v>
      </c>
      <c r="I796" s="144">
        <f t="shared" si="251"/>
        <v>0.684000000000005</v>
      </c>
      <c r="J796" s="115" t="str">
        <f t="shared" si="259"/>
        <v>295/80R22.5-18PR-AD156A</v>
      </c>
      <c r="K796" s="193"/>
      <c r="L796" s="193"/>
      <c r="M796" s="193"/>
      <c r="N796" s="193"/>
      <c r="O796" s="193"/>
      <c r="P796" s="193"/>
      <c r="Q796" s="193"/>
      <c r="BB796" s="113" t="str">
        <f t="shared" si="257"/>
        <v/>
      </c>
    </row>
    <row r="797" spans="2:54">
      <c r="B797" s="119" t="s">
        <v>2218</v>
      </c>
      <c r="C797" s="120" t="s">
        <v>1092</v>
      </c>
      <c r="D797" s="120" t="s">
        <v>2265</v>
      </c>
      <c r="E797" s="125" t="s">
        <v>2264</v>
      </c>
      <c r="F797" s="133">
        <f t="shared" si="261"/>
        <v>53.999</v>
      </c>
      <c r="G797" s="133">
        <v>53.594</v>
      </c>
      <c r="H797" s="133">
        <v>52.91</v>
      </c>
      <c r="I797" s="144">
        <f t="shared" si="251"/>
        <v>0.684000000000005</v>
      </c>
      <c r="J797" s="115" t="str">
        <f t="shared" si="259"/>
        <v>295/80R22.5-18PR-TUCSON D</v>
      </c>
      <c r="K797" s="193"/>
      <c r="L797" s="193"/>
      <c r="M797" s="193"/>
      <c r="N797" s="193"/>
      <c r="O797" s="193"/>
      <c r="P797" s="193"/>
      <c r="Q797" s="193"/>
      <c r="BB797" s="113" t="str">
        <f t="shared" si="257"/>
        <v/>
      </c>
    </row>
    <row r="798" spans="2:54">
      <c r="B798" s="119" t="s">
        <v>2218</v>
      </c>
      <c r="C798" s="120" t="s">
        <v>1092</v>
      </c>
      <c r="D798" s="120" t="s">
        <v>2266</v>
      </c>
      <c r="E798" s="125" t="s">
        <v>2264</v>
      </c>
      <c r="F798" s="133">
        <f t="shared" si="261"/>
        <v>53.999</v>
      </c>
      <c r="G798" s="133">
        <v>53.594</v>
      </c>
      <c r="H798" s="133">
        <v>52.91</v>
      </c>
      <c r="I798" s="144">
        <f t="shared" si="251"/>
        <v>0.684000000000005</v>
      </c>
      <c r="J798" s="115" t="str">
        <f t="shared" si="259"/>
        <v>295/80R22.5-18PR-ECOTRAX D-I</v>
      </c>
      <c r="K798" s="193"/>
      <c r="L798" s="193"/>
      <c r="M798" s="193"/>
      <c r="N798" s="193"/>
      <c r="O798" s="193"/>
      <c r="P798" s="193"/>
      <c r="Q798" s="193"/>
      <c r="BB798" s="113" t="str">
        <f t="shared" si="257"/>
        <v/>
      </c>
    </row>
    <row r="799" spans="2:54">
      <c r="B799" s="119" t="s">
        <v>2218</v>
      </c>
      <c r="C799" s="120" t="s">
        <v>1092</v>
      </c>
      <c r="D799" s="120" t="s">
        <v>2267</v>
      </c>
      <c r="E799" s="125" t="s">
        <v>2268</v>
      </c>
      <c r="F799" s="133">
        <f t="shared" ref="F799:F803" si="262">G799-3.093+3.498</f>
        <v>63.794</v>
      </c>
      <c r="G799" s="133">
        <v>63.389</v>
      </c>
      <c r="H799" s="133">
        <v>63.36</v>
      </c>
      <c r="I799" s="144">
        <f t="shared" si="251"/>
        <v>0.0290000000000035</v>
      </c>
      <c r="J799" s="115" t="str">
        <f t="shared" si="259"/>
        <v>295/80R22.5-18PR-WDR1</v>
      </c>
      <c r="K799" s="193"/>
      <c r="L799" s="193"/>
      <c r="M799" s="193"/>
      <c r="N799" s="193"/>
      <c r="O799" s="193"/>
      <c r="P799" s="193"/>
      <c r="Q799" s="193"/>
      <c r="BB799" s="113" t="str">
        <f t="shared" si="257"/>
        <v/>
      </c>
    </row>
    <row r="800" spans="2:54">
      <c r="B800" s="119" t="s">
        <v>2218</v>
      </c>
      <c r="C800" s="120" t="s">
        <v>1092</v>
      </c>
      <c r="D800" s="120" t="s">
        <v>2269</v>
      </c>
      <c r="E800" s="125" t="s">
        <v>2268</v>
      </c>
      <c r="F800" s="133">
        <f t="shared" si="262"/>
        <v>63.794</v>
      </c>
      <c r="G800" s="133">
        <v>63.389</v>
      </c>
      <c r="H800" s="133">
        <v>63.36</v>
      </c>
      <c r="I800" s="144">
        <f t="shared" si="251"/>
        <v>0.0290000000000035</v>
      </c>
      <c r="J800" s="115" t="str">
        <f t="shared" si="259"/>
        <v>295/80R22.5-18PR-BRD06 PRO</v>
      </c>
      <c r="K800" s="193"/>
      <c r="L800" s="193"/>
      <c r="M800" s="193"/>
      <c r="N800" s="193"/>
      <c r="O800" s="193"/>
      <c r="P800" s="193"/>
      <c r="Q800" s="193"/>
      <c r="BB800" s="113" t="str">
        <f t="shared" si="257"/>
        <v/>
      </c>
    </row>
    <row r="801" spans="2:54">
      <c r="B801" s="119" t="s">
        <v>2218</v>
      </c>
      <c r="C801" s="120" t="s">
        <v>1092</v>
      </c>
      <c r="D801" s="120" t="s">
        <v>2270</v>
      </c>
      <c r="E801" s="125" t="s">
        <v>2268</v>
      </c>
      <c r="F801" s="133">
        <f t="shared" si="262"/>
        <v>63.794</v>
      </c>
      <c r="G801" s="133">
        <v>63.389</v>
      </c>
      <c r="H801" s="133">
        <v>63.36</v>
      </c>
      <c r="I801" s="144">
        <f t="shared" si="251"/>
        <v>0.0290000000000035</v>
      </c>
      <c r="J801" s="115" t="str">
        <f t="shared" si="259"/>
        <v>295/80R22.5-18PR-RF45</v>
      </c>
      <c r="K801" s="193"/>
      <c r="L801" s="193"/>
      <c r="M801" s="193"/>
      <c r="N801" s="193"/>
      <c r="O801" s="193"/>
      <c r="P801" s="193"/>
      <c r="Q801" s="193"/>
      <c r="BB801" s="113" t="str">
        <f t="shared" si="257"/>
        <v/>
      </c>
    </row>
    <row r="802" spans="2:54">
      <c r="B802" s="119" t="s">
        <v>2218</v>
      </c>
      <c r="C802" s="120" t="s">
        <v>1092</v>
      </c>
      <c r="D802" s="120" t="s">
        <v>2271</v>
      </c>
      <c r="E802" s="125" t="s">
        <v>2268</v>
      </c>
      <c r="F802" s="133">
        <f t="shared" si="262"/>
        <v>63.794</v>
      </c>
      <c r="G802" s="133">
        <v>63.389</v>
      </c>
      <c r="H802" s="133">
        <v>63.36</v>
      </c>
      <c r="I802" s="144">
        <f t="shared" si="251"/>
        <v>0.0290000000000035</v>
      </c>
      <c r="J802" s="115" t="str">
        <f t="shared" si="259"/>
        <v>295/80R22.5-18PR-GDR1</v>
      </c>
      <c r="K802" s="193"/>
      <c r="L802" s="193"/>
      <c r="M802" s="193"/>
      <c r="N802" s="193"/>
      <c r="O802" s="193"/>
      <c r="P802" s="193"/>
      <c r="Q802" s="193"/>
      <c r="BB802" s="113" t="str">
        <f t="shared" si="257"/>
        <v/>
      </c>
    </row>
    <row r="803" spans="2:54">
      <c r="B803" s="119" t="s">
        <v>2218</v>
      </c>
      <c r="C803" s="120" t="s">
        <v>1092</v>
      </c>
      <c r="D803" s="120" t="s">
        <v>2272</v>
      </c>
      <c r="E803" s="120" t="s">
        <v>2273</v>
      </c>
      <c r="F803" s="133">
        <f t="shared" si="262"/>
        <v>69.265</v>
      </c>
      <c r="G803" s="133">
        <v>68.86</v>
      </c>
      <c r="H803" s="133">
        <v>68.2331</v>
      </c>
      <c r="I803" s="144">
        <f t="shared" si="251"/>
        <v>0.626900000000006</v>
      </c>
      <c r="J803" s="115" t="str">
        <f t="shared" si="259"/>
        <v>295/80R22.5-18PR-AD733pro</v>
      </c>
      <c r="K803" s="193"/>
      <c r="L803" s="193"/>
      <c r="M803" s="193"/>
      <c r="N803" s="193"/>
      <c r="O803" s="193"/>
      <c r="P803" s="193"/>
      <c r="Q803" s="193"/>
      <c r="BB803" s="113" t="str">
        <f t="shared" si="257"/>
        <v/>
      </c>
    </row>
    <row r="804" spans="2:54">
      <c r="B804" s="119" t="s">
        <v>2218</v>
      </c>
      <c r="C804" s="120" t="s">
        <v>1092</v>
      </c>
      <c r="D804" s="120" t="s">
        <v>1793</v>
      </c>
      <c r="E804" s="120" t="s">
        <v>2274</v>
      </c>
      <c r="F804" s="133">
        <f t="shared" ref="F804:F806" si="263">G804-2.68+3.099</f>
        <v>52.41</v>
      </c>
      <c r="G804" s="133">
        <v>51.991</v>
      </c>
      <c r="H804" s="133">
        <v>51.82</v>
      </c>
      <c r="I804" s="144">
        <f t="shared" si="251"/>
        <v>0.170999999999999</v>
      </c>
      <c r="J804" s="115" t="str">
        <f t="shared" si="259"/>
        <v>295/80R22.5-18PR-AT167</v>
      </c>
      <c r="K804" s="193"/>
      <c r="L804" s="193"/>
      <c r="M804" s="193"/>
      <c r="N804" s="193"/>
      <c r="O804" s="193"/>
      <c r="P804" s="193"/>
      <c r="Q804" s="193"/>
      <c r="BB804" s="113" t="str">
        <f t="shared" si="257"/>
        <v/>
      </c>
    </row>
    <row r="805" spans="2:54">
      <c r="B805" s="119" t="s">
        <v>2218</v>
      </c>
      <c r="C805" s="120" t="s">
        <v>1092</v>
      </c>
      <c r="D805" s="120" t="s">
        <v>2275</v>
      </c>
      <c r="E805" s="120" t="s">
        <v>2274</v>
      </c>
      <c r="F805" s="133">
        <f t="shared" si="263"/>
        <v>52.41</v>
      </c>
      <c r="G805" s="133">
        <v>51.991</v>
      </c>
      <c r="H805" s="133">
        <v>51.82</v>
      </c>
      <c r="I805" s="144">
        <f t="shared" si="251"/>
        <v>0.170999999999999</v>
      </c>
      <c r="J805" s="115" t="str">
        <f t="shared" si="259"/>
        <v>295/80R22.5-18PR-BRA02 ECO</v>
      </c>
      <c r="K805" s="193"/>
      <c r="L805" s="193"/>
      <c r="M805" s="193"/>
      <c r="N805" s="193"/>
      <c r="O805" s="193"/>
      <c r="P805" s="193"/>
      <c r="Q805" s="193"/>
      <c r="BB805" s="113" t="str">
        <f t="shared" si="257"/>
        <v/>
      </c>
    </row>
    <row r="806" spans="2:54">
      <c r="B806" s="119" t="s">
        <v>2218</v>
      </c>
      <c r="C806" s="120" t="s">
        <v>1092</v>
      </c>
      <c r="D806" s="120" t="s">
        <v>2276</v>
      </c>
      <c r="E806" s="120" t="s">
        <v>2277</v>
      </c>
      <c r="F806" s="133">
        <f t="shared" si="263"/>
        <v>62.703</v>
      </c>
      <c r="G806" s="133">
        <v>62.284</v>
      </c>
      <c r="H806" s="133">
        <v>61.91</v>
      </c>
      <c r="I806" s="144">
        <f t="shared" si="251"/>
        <v>0.374000000000002</v>
      </c>
      <c r="J806" s="115" t="str">
        <f t="shared" si="259"/>
        <v>295/80R22.5-18PR-CM997</v>
      </c>
      <c r="K806" s="193"/>
      <c r="L806" s="193"/>
      <c r="M806" s="193"/>
      <c r="N806" s="193"/>
      <c r="O806" s="193"/>
      <c r="P806" s="193"/>
      <c r="Q806" s="193"/>
      <c r="BB806" s="113" t="str">
        <f t="shared" si="257"/>
        <v/>
      </c>
    </row>
    <row r="807" spans="2:54">
      <c r="B807" s="119" t="s">
        <v>2218</v>
      </c>
      <c r="C807" s="120" t="s">
        <v>1092</v>
      </c>
      <c r="D807" s="120" t="s">
        <v>2278</v>
      </c>
      <c r="E807" s="120" t="s">
        <v>2279</v>
      </c>
      <c r="F807" s="133">
        <f t="shared" ref="F807:F812" si="264">G807-2.69+3.09</f>
        <v>55.476</v>
      </c>
      <c r="G807" s="133">
        <v>55.076</v>
      </c>
      <c r="H807" s="133">
        <v>55.04</v>
      </c>
      <c r="I807" s="144">
        <f t="shared" si="251"/>
        <v>0.0360000000000014</v>
      </c>
      <c r="J807" s="115" t="str">
        <f t="shared" si="259"/>
        <v>295/80R22.5-18PR-EZ177</v>
      </c>
      <c r="K807" s="193"/>
      <c r="L807" s="193"/>
      <c r="M807" s="193"/>
      <c r="N807" s="193"/>
      <c r="O807" s="193"/>
      <c r="P807" s="193"/>
      <c r="Q807" s="193"/>
      <c r="BB807" s="113" t="str">
        <f t="shared" si="257"/>
        <v/>
      </c>
    </row>
    <row r="808" spans="2:54">
      <c r="B808" s="119" t="s">
        <v>2218</v>
      </c>
      <c r="C808" s="120" t="s">
        <v>1092</v>
      </c>
      <c r="D808" s="120" t="s">
        <v>1559</v>
      </c>
      <c r="E808" s="120" t="s">
        <v>2280</v>
      </c>
      <c r="F808" s="133">
        <f>G808-2.68+3.099</f>
        <v>54.086</v>
      </c>
      <c r="G808" s="133">
        <v>53.667</v>
      </c>
      <c r="H808" s="133">
        <v>53.63</v>
      </c>
      <c r="I808" s="144">
        <f t="shared" si="251"/>
        <v>0.036999999999999</v>
      </c>
      <c r="J808" s="115" t="str">
        <f t="shared" si="259"/>
        <v>295/80R22.5-18PR-AS678</v>
      </c>
      <c r="K808" s="193"/>
      <c r="L808" s="193"/>
      <c r="M808" s="193"/>
      <c r="N808" s="193"/>
      <c r="O808" s="193"/>
      <c r="P808" s="193"/>
      <c r="Q808" s="193"/>
      <c r="BB808" s="113" t="str">
        <f t="shared" si="257"/>
        <v/>
      </c>
    </row>
    <row r="809" spans="2:54">
      <c r="B809" s="119" t="s">
        <v>2218</v>
      </c>
      <c r="C809" s="120" t="s">
        <v>1092</v>
      </c>
      <c r="D809" s="120" t="s">
        <v>2281</v>
      </c>
      <c r="E809" s="120" t="s">
        <v>2280</v>
      </c>
      <c r="F809" s="133">
        <f>G809-2.68+3.099</f>
        <v>54.086</v>
      </c>
      <c r="G809" s="133">
        <v>53.667</v>
      </c>
      <c r="H809" s="133">
        <v>53.63</v>
      </c>
      <c r="I809" s="144">
        <f t="shared" si="251"/>
        <v>0.036999999999999</v>
      </c>
      <c r="J809" s="115" t="str">
        <f t="shared" si="259"/>
        <v>295/80R22.5-18PR-RF35</v>
      </c>
      <c r="K809" s="193"/>
      <c r="L809" s="193"/>
      <c r="M809" s="193"/>
      <c r="N809" s="193"/>
      <c r="O809" s="193"/>
      <c r="P809" s="193"/>
      <c r="Q809" s="193"/>
      <c r="BB809" s="113" t="str">
        <f t="shared" si="257"/>
        <v/>
      </c>
    </row>
    <row r="810" spans="2:54">
      <c r="B810" s="119" t="s">
        <v>2218</v>
      </c>
      <c r="C810" s="120" t="s">
        <v>1092</v>
      </c>
      <c r="D810" s="120" t="s">
        <v>1375</v>
      </c>
      <c r="E810" s="120" t="s">
        <v>2282</v>
      </c>
      <c r="F810" s="133">
        <f>G810-2.688+3.093</f>
        <v>61.013</v>
      </c>
      <c r="G810" s="133">
        <v>60.608</v>
      </c>
      <c r="H810" s="133">
        <v>60.26</v>
      </c>
      <c r="I810" s="144">
        <f t="shared" si="251"/>
        <v>0.347999999999999</v>
      </c>
      <c r="J810" s="115" t="str">
        <f t="shared" si="259"/>
        <v>295/80R22.5-18PR-CB919</v>
      </c>
      <c r="K810" s="193"/>
      <c r="L810" s="193"/>
      <c r="M810" s="193"/>
      <c r="N810" s="193"/>
      <c r="O810" s="193"/>
      <c r="P810" s="193"/>
      <c r="Q810" s="193"/>
      <c r="BB810" s="113" t="str">
        <f t="shared" si="257"/>
        <v/>
      </c>
    </row>
    <row r="811" spans="2:54">
      <c r="B811" s="119" t="s">
        <v>2218</v>
      </c>
      <c r="C811" s="120" t="s">
        <v>1092</v>
      </c>
      <c r="D811" s="120" t="s">
        <v>1490</v>
      </c>
      <c r="E811" s="120" t="s">
        <v>2283</v>
      </c>
      <c r="F811" s="133">
        <f t="shared" si="264"/>
        <v>53.41</v>
      </c>
      <c r="G811" s="133">
        <v>53.01</v>
      </c>
      <c r="H811" s="133">
        <v>52.97</v>
      </c>
      <c r="I811" s="144">
        <f t="shared" si="251"/>
        <v>0.0399999999999991</v>
      </c>
      <c r="J811" s="115" t="str">
        <f t="shared" si="259"/>
        <v>295/80R22.5-18PR-AZ183</v>
      </c>
      <c r="K811" s="193"/>
      <c r="L811" s="193"/>
      <c r="M811" s="193"/>
      <c r="N811" s="193"/>
      <c r="O811" s="193"/>
      <c r="P811" s="193"/>
      <c r="Q811" s="193"/>
      <c r="BB811" s="113" t="str">
        <f t="shared" si="257"/>
        <v/>
      </c>
    </row>
    <row r="812" spans="2:54">
      <c r="B812" s="119" t="s">
        <v>2218</v>
      </c>
      <c r="C812" s="120" t="s">
        <v>1092</v>
      </c>
      <c r="D812" s="120" t="s">
        <v>2284</v>
      </c>
      <c r="E812" s="120" t="s">
        <v>2283</v>
      </c>
      <c r="F812" s="133">
        <f t="shared" si="264"/>
        <v>53.41</v>
      </c>
      <c r="G812" s="133">
        <v>53.01</v>
      </c>
      <c r="H812" s="133">
        <v>52.97</v>
      </c>
      <c r="I812" s="144">
        <f t="shared" si="251"/>
        <v>0.0399999999999991</v>
      </c>
      <c r="J812" s="115" t="str">
        <f t="shared" si="259"/>
        <v>295/80R22.5-18PR-BMA02 ECO</v>
      </c>
      <c r="K812" s="193"/>
      <c r="L812" s="193"/>
      <c r="M812" s="193"/>
      <c r="N812" s="193"/>
      <c r="O812" s="193"/>
      <c r="P812" s="193"/>
      <c r="Q812" s="193"/>
      <c r="BB812" s="113" t="str">
        <f t="shared" si="257"/>
        <v/>
      </c>
    </row>
    <row r="813" spans="2:54">
      <c r="B813" s="119" t="s">
        <v>2218</v>
      </c>
      <c r="C813" s="120" t="s">
        <v>1092</v>
      </c>
      <c r="D813" s="120" t="s">
        <v>2285</v>
      </c>
      <c r="E813" s="120" t="s">
        <v>2286</v>
      </c>
      <c r="F813" s="133">
        <f>G813-2.688+3.093</f>
        <v>50.366</v>
      </c>
      <c r="G813" s="133">
        <v>49.961</v>
      </c>
      <c r="H813" s="133">
        <v>49.3842</v>
      </c>
      <c r="I813" s="144">
        <f t="shared" si="251"/>
        <v>0.576799999999999</v>
      </c>
      <c r="J813" s="115" t="str">
        <f t="shared" si="259"/>
        <v>295/80R22.5-18PR-AT167T</v>
      </c>
      <c r="K813" s="193"/>
      <c r="L813" s="193"/>
      <c r="M813" s="193"/>
      <c r="N813" s="193"/>
      <c r="O813" s="193"/>
      <c r="P813" s="193"/>
      <c r="Q813" s="193"/>
      <c r="BB813" s="113" t="str">
        <f t="shared" si="257"/>
        <v/>
      </c>
    </row>
    <row r="814" spans="2:54">
      <c r="B814" s="119" t="s">
        <v>2218</v>
      </c>
      <c r="C814" s="120" t="s">
        <v>1092</v>
      </c>
      <c r="D814" s="120" t="s">
        <v>1047</v>
      </c>
      <c r="E814" s="120" t="s">
        <v>2287</v>
      </c>
      <c r="F814" s="133">
        <f>G814-2.69+3.09</f>
        <v>54.37</v>
      </c>
      <c r="G814" s="133">
        <v>53.97</v>
      </c>
      <c r="H814" s="133">
        <v>53.97</v>
      </c>
      <c r="I814" s="144">
        <f t="shared" si="251"/>
        <v>0</v>
      </c>
      <c r="J814" s="115" t="str">
        <f t="shared" si="259"/>
        <v>295/80R22.5-18PR-AZ126T</v>
      </c>
      <c r="K814" s="193"/>
      <c r="L814" s="193"/>
      <c r="M814" s="193"/>
      <c r="N814" s="193"/>
      <c r="O814" s="193"/>
      <c r="P814" s="193"/>
      <c r="Q814" s="193"/>
      <c r="BB814" s="113" t="str">
        <f t="shared" si="257"/>
        <v/>
      </c>
    </row>
    <row r="815" spans="2:54">
      <c r="B815" s="119" t="s">
        <v>2218</v>
      </c>
      <c r="C815" s="120" t="s">
        <v>1092</v>
      </c>
      <c r="D815" s="120" t="s">
        <v>2288</v>
      </c>
      <c r="E815" s="120" t="s">
        <v>2289</v>
      </c>
      <c r="F815" s="208">
        <f>G815-2.68+3.099</f>
        <v>53.578</v>
      </c>
      <c r="G815" s="208">
        <v>53.159</v>
      </c>
      <c r="H815" s="208">
        <v>52.26</v>
      </c>
      <c r="I815" s="144">
        <f t="shared" si="251"/>
        <v>0.899000000000001</v>
      </c>
      <c r="J815" s="115" t="str">
        <f t="shared" si="259"/>
        <v>295/80R22.5-18PR-ECOPLUS</v>
      </c>
      <c r="K815" s="193"/>
      <c r="L815" s="193"/>
      <c r="M815" s="193"/>
      <c r="N815" s="193"/>
      <c r="O815" s="193"/>
      <c r="P815" s="193"/>
      <c r="Q815" s="193"/>
      <c r="BB815" s="113" t="str">
        <f t="shared" si="257"/>
        <v/>
      </c>
    </row>
    <row r="816" spans="2:54">
      <c r="B816" s="119" t="s">
        <v>2218</v>
      </c>
      <c r="C816" s="120" t="s">
        <v>1092</v>
      </c>
      <c r="D816" s="120" t="s">
        <v>2290</v>
      </c>
      <c r="E816" s="120" t="s">
        <v>2291</v>
      </c>
      <c r="F816" s="133">
        <f>G816-2.688+3.093</f>
        <v>53.283</v>
      </c>
      <c r="G816" s="133">
        <v>52.878</v>
      </c>
      <c r="H816" s="133">
        <v>52.2936</v>
      </c>
      <c r="I816" s="144">
        <f t="shared" ref="I816:I826" si="265">G816-H816</f>
        <v>0.584400000000002</v>
      </c>
      <c r="J816" s="115" t="str">
        <f t="shared" si="259"/>
        <v>295/80R22.5-18PR-AD150</v>
      </c>
      <c r="K816" s="193"/>
      <c r="L816" s="193"/>
      <c r="M816" s="193"/>
      <c r="N816" s="193"/>
      <c r="O816" s="193"/>
      <c r="P816" s="193"/>
      <c r="Q816" s="193"/>
      <c r="BB816" s="113" t="str">
        <f t="shared" si="257"/>
        <v/>
      </c>
    </row>
    <row r="817" spans="2:54">
      <c r="B817" s="119" t="s">
        <v>2218</v>
      </c>
      <c r="C817" s="120" t="s">
        <v>1092</v>
      </c>
      <c r="D817" s="120" t="s">
        <v>2096</v>
      </c>
      <c r="E817" s="125" t="s">
        <v>2292</v>
      </c>
      <c r="F817" s="133">
        <f t="shared" ref="F817:F819" si="266">G817-3.09+3.5</f>
        <v>61.964</v>
      </c>
      <c r="G817" s="133">
        <v>61.554</v>
      </c>
      <c r="H817" s="133">
        <v>61.67</v>
      </c>
      <c r="I817" s="144">
        <f t="shared" si="265"/>
        <v>-0.116</v>
      </c>
      <c r="J817" s="115" t="str">
        <f t="shared" si="259"/>
        <v>295/80R22.5-18PR-AS898</v>
      </c>
      <c r="K817" s="193"/>
      <c r="L817" s="193"/>
      <c r="M817" s="193"/>
      <c r="N817" s="193"/>
      <c r="O817" s="193"/>
      <c r="P817" s="193"/>
      <c r="Q817" s="193"/>
      <c r="BB817" s="113" t="str">
        <f t="shared" si="257"/>
        <v/>
      </c>
    </row>
    <row r="818" spans="2:54">
      <c r="B818" s="119" t="s">
        <v>2218</v>
      </c>
      <c r="C818" s="120" t="s">
        <v>1092</v>
      </c>
      <c r="D818" s="120" t="s">
        <v>2293</v>
      </c>
      <c r="E818" s="125" t="s">
        <v>2292</v>
      </c>
      <c r="F818" s="133">
        <f t="shared" si="266"/>
        <v>61.964</v>
      </c>
      <c r="G818" s="133">
        <v>61.554</v>
      </c>
      <c r="H818" s="133">
        <v>61.67</v>
      </c>
      <c r="I818" s="144">
        <f t="shared" si="265"/>
        <v>-0.116</v>
      </c>
      <c r="J818" s="115" t="str">
        <f t="shared" si="259"/>
        <v>295/80R22.5-18PR-G-PRO S</v>
      </c>
      <c r="K818" s="193"/>
      <c r="L818" s="193"/>
      <c r="M818" s="193"/>
      <c r="N818" s="193"/>
      <c r="O818" s="193"/>
      <c r="P818" s="193"/>
      <c r="Q818" s="193"/>
      <c r="BB818" s="113" t="str">
        <f t="shared" si="257"/>
        <v/>
      </c>
    </row>
    <row r="819" spans="2:54">
      <c r="B819" s="119" t="s">
        <v>2218</v>
      </c>
      <c r="C819" s="120" t="s">
        <v>1092</v>
      </c>
      <c r="D819" s="120" t="s">
        <v>2294</v>
      </c>
      <c r="E819" s="125" t="s">
        <v>2292</v>
      </c>
      <c r="F819" s="133">
        <f t="shared" si="266"/>
        <v>61.964</v>
      </c>
      <c r="G819" s="133">
        <v>61.554</v>
      </c>
      <c r="H819" s="133">
        <v>61.67</v>
      </c>
      <c r="I819" s="144">
        <f t="shared" si="265"/>
        <v>-0.116</v>
      </c>
      <c r="J819" s="115" t="str">
        <f t="shared" si="259"/>
        <v>295/80R22.5-18PR-NEOLINE A-I</v>
      </c>
      <c r="K819" s="193"/>
      <c r="L819" s="193"/>
      <c r="M819" s="193"/>
      <c r="N819" s="193"/>
      <c r="O819" s="193"/>
      <c r="P819" s="193"/>
      <c r="Q819" s="193"/>
      <c r="BB819" s="113" t="str">
        <f t="shared" si="257"/>
        <v/>
      </c>
    </row>
    <row r="820" spans="2:54">
      <c r="B820" s="119" t="s">
        <v>2218</v>
      </c>
      <c r="C820" s="120" t="s">
        <v>1092</v>
      </c>
      <c r="D820" s="120" t="s">
        <v>2295</v>
      </c>
      <c r="E820" s="125" t="s">
        <v>2296</v>
      </c>
      <c r="F820" s="133">
        <f>G820-3.1+3.5</f>
        <v>69.206</v>
      </c>
      <c r="G820" s="133">
        <v>68.806</v>
      </c>
      <c r="H820" s="133">
        <v>68.2</v>
      </c>
      <c r="I820" s="144">
        <f t="shared" si="265"/>
        <v>0.605999999999995</v>
      </c>
      <c r="J820" s="115" t="str">
        <f t="shared" si="259"/>
        <v>295/80R22.5-18PR-AD818pro</v>
      </c>
      <c r="K820" s="193"/>
      <c r="L820" s="193"/>
      <c r="M820" s="193"/>
      <c r="N820" s="193"/>
      <c r="O820" s="193"/>
      <c r="P820" s="193"/>
      <c r="Q820" s="193"/>
      <c r="BB820" s="113" t="str">
        <f t="shared" si="257"/>
        <v/>
      </c>
    </row>
    <row r="821" spans="2:54">
      <c r="B821" s="119" t="s">
        <v>2218</v>
      </c>
      <c r="C821" s="120" t="s">
        <v>1092</v>
      </c>
      <c r="D821" s="121" t="s">
        <v>1791</v>
      </c>
      <c r="E821" s="120" t="s">
        <v>2297</v>
      </c>
      <c r="F821" s="127">
        <f>G821-2.68+3.1</f>
        <v>52.905</v>
      </c>
      <c r="G821" s="133">
        <v>52.485</v>
      </c>
      <c r="H821" s="133">
        <v>52.73</v>
      </c>
      <c r="I821" s="144">
        <f t="shared" si="265"/>
        <v>-0.244999999999997</v>
      </c>
      <c r="J821" s="115" t="str">
        <f t="shared" si="259"/>
        <v>295/80R22.5-18PR-AT194</v>
      </c>
      <c r="K821" s="193"/>
      <c r="L821" s="193"/>
      <c r="M821" s="193"/>
      <c r="N821" s="193"/>
      <c r="O821" s="193"/>
      <c r="P821" s="193"/>
      <c r="Q821" s="193"/>
      <c r="BB821" s="113" t="str">
        <f t="shared" si="257"/>
        <v/>
      </c>
    </row>
    <row r="822" spans="2:54">
      <c r="B822" s="119" t="s">
        <v>2218</v>
      </c>
      <c r="C822" s="120" t="s">
        <v>1092</v>
      </c>
      <c r="D822" s="121" t="s">
        <v>2298</v>
      </c>
      <c r="E822" s="120" t="s">
        <v>2299</v>
      </c>
      <c r="F822" s="127">
        <f>G822-2.69+3.09</f>
        <v>51.915</v>
      </c>
      <c r="G822" s="133">
        <v>51.515</v>
      </c>
      <c r="H822" s="133">
        <v>51.73</v>
      </c>
      <c r="I822" s="144">
        <f t="shared" si="265"/>
        <v>-0.214999999999996</v>
      </c>
      <c r="J822" s="115" t="str">
        <f t="shared" si="259"/>
        <v>295/80R22.5-18PR-AZ170A</v>
      </c>
      <c r="K822" s="193"/>
      <c r="L822" s="193"/>
      <c r="M822" s="193"/>
      <c r="N822" s="193"/>
      <c r="O822" s="193"/>
      <c r="P822" s="193"/>
      <c r="Q822" s="193"/>
      <c r="BB822" s="113" t="str">
        <f t="shared" si="257"/>
        <v/>
      </c>
    </row>
    <row r="823" spans="2:54">
      <c r="B823" s="119" t="s">
        <v>2218</v>
      </c>
      <c r="C823" s="120" t="s">
        <v>1092</v>
      </c>
      <c r="D823" s="121" t="s">
        <v>1857</v>
      </c>
      <c r="E823" s="120" t="s">
        <v>2300</v>
      </c>
      <c r="F823" s="127">
        <f>G823-3.09+3.5</f>
        <v>57.365</v>
      </c>
      <c r="G823" s="133">
        <v>56.955</v>
      </c>
      <c r="H823" s="133">
        <v>57.16</v>
      </c>
      <c r="I823" s="144">
        <f t="shared" si="265"/>
        <v>-0.204999999999998</v>
      </c>
      <c r="J823" s="115" t="str">
        <f t="shared" si="259"/>
        <v>295/80R22.5-18PR-H-RA</v>
      </c>
      <c r="K823" s="193"/>
      <c r="L823" s="193"/>
      <c r="M823" s="193"/>
      <c r="N823" s="193"/>
      <c r="O823" s="193"/>
      <c r="P823" s="193"/>
      <c r="Q823" s="193"/>
      <c r="BB823" s="113" t="str">
        <f t="shared" si="257"/>
        <v/>
      </c>
    </row>
    <row r="824" spans="2:54">
      <c r="B824" s="119" t="s">
        <v>2218</v>
      </c>
      <c r="C824" s="120" t="s">
        <v>1092</v>
      </c>
      <c r="D824" s="121" t="s">
        <v>2301</v>
      </c>
      <c r="E824" s="120" t="s">
        <v>2302</v>
      </c>
      <c r="F824" s="127">
        <f>G824-2.69+3.09</f>
        <v>53.345</v>
      </c>
      <c r="G824" s="133">
        <v>52.945</v>
      </c>
      <c r="H824" s="133">
        <v>53.16</v>
      </c>
      <c r="I824" s="144">
        <f t="shared" si="265"/>
        <v>-0.214999999999996</v>
      </c>
      <c r="J824" s="115" t="str">
        <f t="shared" si="259"/>
        <v>295/80R22.5-18PR-AZ137</v>
      </c>
      <c r="K824" s="193"/>
      <c r="L824" s="193"/>
      <c r="M824" s="193"/>
      <c r="N824" s="193"/>
      <c r="O824" s="193"/>
      <c r="P824" s="193"/>
      <c r="Q824" s="193"/>
      <c r="BB824" s="113" t="str">
        <f t="shared" si="257"/>
        <v/>
      </c>
    </row>
    <row r="825" spans="2:54">
      <c r="B825" s="119" t="s">
        <v>2218</v>
      </c>
      <c r="C825" s="120" t="s">
        <v>1092</v>
      </c>
      <c r="D825" s="120" t="s">
        <v>2303</v>
      </c>
      <c r="E825" s="125" t="s">
        <v>2304</v>
      </c>
      <c r="F825" s="208">
        <f>G825-2.688+3.093</f>
        <v>54.155</v>
      </c>
      <c r="G825" s="208">
        <v>53.75</v>
      </c>
      <c r="H825" s="133">
        <v>53.58</v>
      </c>
      <c r="I825" s="144">
        <f t="shared" si="265"/>
        <v>0.170000000000002</v>
      </c>
      <c r="J825" s="115" t="str">
        <f t="shared" si="259"/>
        <v>295/80R22.5-18PR-AT161</v>
      </c>
      <c r="K825" s="193"/>
      <c r="L825" s="193"/>
      <c r="M825" s="193"/>
      <c r="N825" s="193"/>
      <c r="O825" s="193"/>
      <c r="P825" s="193"/>
      <c r="Q825" s="193"/>
      <c r="BB825" s="113" t="str">
        <f t="shared" si="257"/>
        <v/>
      </c>
    </row>
    <row r="826" spans="2:54">
      <c r="B826" s="119" t="s">
        <v>2218</v>
      </c>
      <c r="C826" s="120" t="s">
        <v>1092</v>
      </c>
      <c r="D826" s="121" t="s">
        <v>2288</v>
      </c>
      <c r="E826" s="120" t="s">
        <v>2304</v>
      </c>
      <c r="F826" s="208">
        <f>G826-2.688+3.093</f>
        <v>54.155</v>
      </c>
      <c r="G826" s="208">
        <v>53.75</v>
      </c>
      <c r="H826" s="133">
        <v>53.58</v>
      </c>
      <c r="I826" s="144">
        <f t="shared" si="265"/>
        <v>0.170000000000002</v>
      </c>
      <c r="J826" s="115" t="str">
        <f t="shared" si="259"/>
        <v>295/80R22.5-18PR-ECOPLUS</v>
      </c>
      <c r="K826" s="193"/>
      <c r="L826" s="193"/>
      <c r="M826" s="193"/>
      <c r="N826" s="193"/>
      <c r="O826" s="193"/>
      <c r="P826" s="193"/>
      <c r="Q826" s="193"/>
      <c r="BB826" s="113" t="str">
        <f t="shared" si="257"/>
        <v/>
      </c>
    </row>
    <row r="827" spans="2:54">
      <c r="B827" s="214"/>
      <c r="C827" s="132"/>
      <c r="D827" s="132"/>
      <c r="E827" s="132"/>
      <c r="F827" s="215"/>
      <c r="G827" s="215"/>
      <c r="H827" s="129"/>
      <c r="I827" s="216"/>
      <c r="J827" s="115" t="str">
        <f t="shared" si="259"/>
        <v/>
      </c>
      <c r="K827" s="193"/>
      <c r="L827" s="193"/>
      <c r="M827" s="193"/>
      <c r="N827" s="193"/>
      <c r="O827" s="193"/>
      <c r="P827" s="193"/>
      <c r="Q827" s="193"/>
      <c r="BB827" s="113" t="str">
        <f t="shared" si="257"/>
        <v/>
      </c>
    </row>
    <row r="828" spans="2:54">
      <c r="B828" s="119" t="s">
        <v>2305</v>
      </c>
      <c r="C828" s="120" t="s">
        <v>1101</v>
      </c>
      <c r="D828" s="120" t="s">
        <v>2306</v>
      </c>
      <c r="E828" s="120" t="s">
        <v>2307</v>
      </c>
      <c r="F828" s="133">
        <f t="shared" ref="F828:F839" si="267">G828-2.771+3.487</f>
        <v>72.686</v>
      </c>
      <c r="G828" s="133">
        <v>71.97</v>
      </c>
      <c r="H828" s="133">
        <v>72.08</v>
      </c>
      <c r="I828" s="144">
        <f t="shared" ref="I828:I848" si="268">G828-H828</f>
        <v>-0.109999999999999</v>
      </c>
      <c r="J828" s="115" t="str">
        <f t="shared" si="259"/>
        <v>315/80R22.5-20PR-AD710A</v>
      </c>
      <c r="K828" s="193"/>
      <c r="L828" s="193"/>
      <c r="M828" s="193"/>
      <c r="N828" s="193"/>
      <c r="O828" s="193"/>
      <c r="P828" s="193"/>
      <c r="Q828" s="193"/>
      <c r="BB828" s="113" t="str">
        <f t="shared" si="257"/>
        <v/>
      </c>
    </row>
    <row r="829" spans="2:54">
      <c r="B829" s="119" t="s">
        <v>2305</v>
      </c>
      <c r="C829" s="120" t="s">
        <v>1101</v>
      </c>
      <c r="D829" s="120" t="s">
        <v>2255</v>
      </c>
      <c r="E829" s="120" t="s">
        <v>2308</v>
      </c>
      <c r="F829" s="133">
        <f t="shared" si="267"/>
        <v>69.039</v>
      </c>
      <c r="G829" s="133">
        <v>68.323</v>
      </c>
      <c r="H829" s="133">
        <v>69.3897</v>
      </c>
      <c r="I829" s="144">
        <f t="shared" si="268"/>
        <v>-1.06670000000001</v>
      </c>
      <c r="J829" s="115" t="str">
        <f t="shared" si="259"/>
        <v>315/80R22.5-20PR-AS668</v>
      </c>
      <c r="K829" s="193"/>
      <c r="L829" s="193"/>
      <c r="M829" s="193"/>
      <c r="N829" s="193"/>
      <c r="O829" s="193"/>
      <c r="P829" s="193"/>
      <c r="Q829" s="193"/>
      <c r="BB829" s="113" t="str">
        <f t="shared" si="257"/>
        <v/>
      </c>
    </row>
    <row r="830" spans="2:54">
      <c r="B830" s="119" t="s">
        <v>2305</v>
      </c>
      <c r="C830" s="120" t="s">
        <v>1101</v>
      </c>
      <c r="D830" s="120" t="s">
        <v>1554</v>
      </c>
      <c r="E830" s="120" t="s">
        <v>2309</v>
      </c>
      <c r="F830" s="133">
        <f>G830-2.74+3.441</f>
        <v>66.469</v>
      </c>
      <c r="G830" s="133">
        <v>65.768</v>
      </c>
      <c r="H830" s="133">
        <v>65.79</v>
      </c>
      <c r="I830" s="144">
        <f t="shared" si="268"/>
        <v>-0.0220000000000056</v>
      </c>
      <c r="J830" s="115" t="str">
        <f t="shared" si="259"/>
        <v>315/80R22.5-20PR-AS578</v>
      </c>
      <c r="K830" s="193"/>
      <c r="L830" s="193"/>
      <c r="M830" s="193"/>
      <c r="N830" s="193"/>
      <c r="O830" s="193"/>
      <c r="P830" s="193"/>
      <c r="Q830" s="193"/>
      <c r="BB830" s="113" t="str">
        <f t="shared" si="257"/>
        <v/>
      </c>
    </row>
    <row r="831" spans="2:54">
      <c r="B831" s="119" t="s">
        <v>2305</v>
      </c>
      <c r="C831" s="120" t="s">
        <v>1101</v>
      </c>
      <c r="D831" s="120" t="s">
        <v>1327</v>
      </c>
      <c r="E831" s="120" t="s">
        <v>2310</v>
      </c>
      <c r="F831" s="133">
        <f t="shared" si="267"/>
        <v>70.395</v>
      </c>
      <c r="G831" s="133">
        <v>69.679</v>
      </c>
      <c r="H831" s="133">
        <v>70.1191</v>
      </c>
      <c r="I831" s="144">
        <f t="shared" si="268"/>
        <v>-0.440100000000001</v>
      </c>
      <c r="J831" s="115" t="str">
        <f t="shared" si="259"/>
        <v>315/80R22.5-20PR-CM958</v>
      </c>
      <c r="K831" s="193"/>
      <c r="L831" s="193"/>
      <c r="M831" s="193"/>
      <c r="N831" s="193"/>
      <c r="O831" s="193"/>
      <c r="P831" s="193"/>
      <c r="Q831" s="193"/>
      <c r="BB831" s="113" t="str">
        <f t="shared" si="257"/>
        <v/>
      </c>
    </row>
    <row r="832" spans="2:54">
      <c r="B832" s="119" t="s">
        <v>2305</v>
      </c>
      <c r="C832" s="120" t="s">
        <v>1101</v>
      </c>
      <c r="D832" s="120" t="s">
        <v>2311</v>
      </c>
      <c r="E832" s="120" t="s">
        <v>2312</v>
      </c>
      <c r="F832" s="133">
        <f t="shared" si="267"/>
        <v>69.336</v>
      </c>
      <c r="G832" s="133">
        <v>68.62</v>
      </c>
      <c r="H832" s="133">
        <v>68.5219</v>
      </c>
      <c r="I832" s="144">
        <f t="shared" si="268"/>
        <v>0.0981000000000023</v>
      </c>
      <c r="J832" s="115" t="str">
        <f t="shared" si="259"/>
        <v>315/80R22.5-20PR-CM913A</v>
      </c>
      <c r="K832" s="193"/>
      <c r="L832" s="193"/>
      <c r="M832" s="193"/>
      <c r="N832" s="193"/>
      <c r="O832" s="193"/>
      <c r="P832" s="193"/>
      <c r="Q832" s="193"/>
      <c r="BB832" s="113" t="str">
        <f t="shared" si="257"/>
        <v/>
      </c>
    </row>
    <row r="833" spans="2:54">
      <c r="B833" s="119" t="s">
        <v>2305</v>
      </c>
      <c r="C833" s="120" t="s">
        <v>1101</v>
      </c>
      <c r="D833" s="120" t="s">
        <v>2313</v>
      </c>
      <c r="E833" s="120" t="s">
        <v>2314</v>
      </c>
      <c r="F833" s="133">
        <f t="shared" si="267"/>
        <v>69.095</v>
      </c>
      <c r="G833" s="133">
        <v>68.379</v>
      </c>
      <c r="H833" s="133">
        <v>68.6076</v>
      </c>
      <c r="I833" s="144">
        <f t="shared" si="268"/>
        <v>-0.2286</v>
      </c>
      <c r="J833" s="115" t="str">
        <f t="shared" si="259"/>
        <v>315/80R22.5-20PR-CM923</v>
      </c>
      <c r="K833" s="193"/>
      <c r="L833" s="193"/>
      <c r="M833" s="193"/>
      <c r="N833" s="193"/>
      <c r="O833" s="193"/>
      <c r="P833" s="193"/>
      <c r="Q833" s="193"/>
      <c r="BB833" s="113" t="str">
        <f t="shared" si="257"/>
        <v/>
      </c>
    </row>
    <row r="834" spans="2:54">
      <c r="B834" s="119" t="s">
        <v>2305</v>
      </c>
      <c r="C834" s="120" t="s">
        <v>1101</v>
      </c>
      <c r="D834" s="120" t="s">
        <v>2315</v>
      </c>
      <c r="E834" s="120" t="s">
        <v>2316</v>
      </c>
      <c r="F834" s="133">
        <f t="shared" si="267"/>
        <v>66.82</v>
      </c>
      <c r="G834" s="133">
        <v>66.104</v>
      </c>
      <c r="H834" s="133">
        <v>66.33</v>
      </c>
      <c r="I834" s="144">
        <f t="shared" si="268"/>
        <v>-0.225999999999999</v>
      </c>
      <c r="J834" s="115" t="str">
        <f t="shared" si="259"/>
        <v>315/80R22.5-20PR-CR926B</v>
      </c>
      <c r="K834" s="193"/>
      <c r="L834" s="193"/>
      <c r="M834" s="193"/>
      <c r="N834" s="193"/>
      <c r="O834" s="193"/>
      <c r="P834" s="193"/>
      <c r="Q834" s="193"/>
      <c r="BB834" s="113" t="str">
        <f t="shared" si="257"/>
        <v/>
      </c>
    </row>
    <row r="835" spans="2:54">
      <c r="B835" s="119" t="s">
        <v>2305</v>
      </c>
      <c r="C835" s="120" t="s">
        <v>1101</v>
      </c>
      <c r="D835" s="120" t="s">
        <v>1739</v>
      </c>
      <c r="E835" s="120" t="s">
        <v>2317</v>
      </c>
      <c r="F835" s="133">
        <f t="shared" si="267"/>
        <v>73.855</v>
      </c>
      <c r="G835" s="133">
        <v>73.139</v>
      </c>
      <c r="H835" s="133">
        <v>72.95</v>
      </c>
      <c r="I835" s="144">
        <f t="shared" si="268"/>
        <v>0.188999999999993</v>
      </c>
      <c r="J835" s="115" t="str">
        <f t="shared" si="259"/>
        <v>315/80R22.5-20PR-ZM41</v>
      </c>
      <c r="K835" s="193"/>
      <c r="L835" s="193"/>
      <c r="M835" s="193"/>
      <c r="N835" s="193"/>
      <c r="O835" s="193"/>
      <c r="P835" s="193"/>
      <c r="Q835" s="193"/>
      <c r="BB835" s="113" t="str">
        <f t="shared" si="257"/>
        <v/>
      </c>
    </row>
    <row r="836" spans="2:54">
      <c r="B836" s="119" t="s">
        <v>2305</v>
      </c>
      <c r="C836" s="120" t="s">
        <v>1101</v>
      </c>
      <c r="D836" s="120" t="s">
        <v>2222</v>
      </c>
      <c r="E836" s="120" t="s">
        <v>2318</v>
      </c>
      <c r="F836" s="133">
        <f t="shared" si="267"/>
        <v>71.471</v>
      </c>
      <c r="G836" s="133">
        <v>70.755</v>
      </c>
      <c r="H836" s="133">
        <v>73.0333</v>
      </c>
      <c r="I836" s="144">
        <f t="shared" si="268"/>
        <v>-2.2783</v>
      </c>
      <c r="J836" s="115" t="str">
        <f t="shared" si="259"/>
        <v>315/80R22.5-20PR-WSR1</v>
      </c>
      <c r="K836" s="193"/>
      <c r="L836" s="193"/>
      <c r="M836" s="193"/>
      <c r="N836" s="193"/>
      <c r="O836" s="193"/>
      <c r="P836" s="193"/>
      <c r="Q836" s="193"/>
      <c r="BB836" s="113" t="str">
        <f t="shared" si="257"/>
        <v/>
      </c>
    </row>
    <row r="837" spans="2:54">
      <c r="B837" s="119" t="s">
        <v>2305</v>
      </c>
      <c r="C837" s="120" t="s">
        <v>1101</v>
      </c>
      <c r="D837" s="120" t="s">
        <v>2319</v>
      </c>
      <c r="E837" s="120" t="s">
        <v>2318</v>
      </c>
      <c r="F837" s="133">
        <f t="shared" si="267"/>
        <v>71.471</v>
      </c>
      <c r="G837" s="133">
        <v>70.755</v>
      </c>
      <c r="H837" s="133">
        <v>73.0333</v>
      </c>
      <c r="I837" s="144">
        <f t="shared" si="268"/>
        <v>-2.2783</v>
      </c>
      <c r="J837" s="115" t="str">
        <f t="shared" si="259"/>
        <v>315/80R22.5-20PR-HA3 Plus</v>
      </c>
      <c r="K837" s="193"/>
      <c r="L837" s="193"/>
      <c r="M837" s="193"/>
      <c r="N837" s="193"/>
      <c r="O837" s="193"/>
      <c r="P837" s="193"/>
      <c r="Q837" s="193"/>
      <c r="BB837" s="113" t="str">
        <f t="shared" ref="BB837:BB900" si="269">_xlfn.TEXTJOIN("-",TRUE,AU837,AW837)</f>
        <v/>
      </c>
    </row>
    <row r="838" spans="2:54">
      <c r="B838" s="119" t="s">
        <v>2305</v>
      </c>
      <c r="C838" s="120" t="s">
        <v>1101</v>
      </c>
      <c r="D838" s="120" t="s">
        <v>1772</v>
      </c>
      <c r="E838" s="120" t="s">
        <v>2320</v>
      </c>
      <c r="F838" s="133">
        <f t="shared" si="267"/>
        <v>68.713</v>
      </c>
      <c r="G838" s="133">
        <v>67.997</v>
      </c>
      <c r="H838" s="133">
        <v>68.0421</v>
      </c>
      <c r="I838" s="144">
        <f t="shared" si="268"/>
        <v>-0.045100000000005</v>
      </c>
      <c r="J838" s="115" t="str">
        <f t="shared" si="259"/>
        <v>315/80R22.5-20PR-AZ692</v>
      </c>
      <c r="K838" s="193"/>
      <c r="L838" s="193"/>
      <c r="M838" s="193"/>
      <c r="N838" s="193"/>
      <c r="O838" s="193"/>
      <c r="P838" s="193"/>
      <c r="Q838" s="193"/>
      <c r="BB838" s="113" t="str">
        <f t="shared" si="269"/>
        <v/>
      </c>
    </row>
    <row r="839" spans="2:54">
      <c r="B839" s="119" t="s">
        <v>2305</v>
      </c>
      <c r="C839" s="120" t="s">
        <v>1101</v>
      </c>
      <c r="D839" s="120" t="s">
        <v>1765</v>
      </c>
      <c r="E839" s="120" t="s">
        <v>2321</v>
      </c>
      <c r="F839" s="133">
        <f t="shared" si="267"/>
        <v>72.277</v>
      </c>
      <c r="G839" s="133">
        <v>71.561</v>
      </c>
      <c r="H839" s="208">
        <v>71.8</v>
      </c>
      <c r="I839" s="144">
        <f t="shared" si="268"/>
        <v>-0.23899999999999</v>
      </c>
      <c r="J839" s="115" t="str">
        <f t="shared" si="259"/>
        <v>315/80R22.5-20PR-VDM924</v>
      </c>
      <c r="K839" s="193"/>
      <c r="L839" s="193"/>
      <c r="M839" s="193"/>
      <c r="N839" s="193"/>
      <c r="O839" s="193"/>
      <c r="P839" s="193"/>
      <c r="Q839" s="193"/>
      <c r="BB839" s="113" t="str">
        <f t="shared" si="269"/>
        <v/>
      </c>
    </row>
    <row r="840" spans="2:54">
      <c r="B840" s="119" t="s">
        <v>2305</v>
      </c>
      <c r="C840" s="120" t="s">
        <v>1101</v>
      </c>
      <c r="D840" s="120" t="s">
        <v>1751</v>
      </c>
      <c r="E840" s="125" t="s">
        <v>2322</v>
      </c>
      <c r="F840" s="133">
        <f t="shared" ref="F840:F848" si="270">G840-2.764+3.484</f>
        <v>65.708</v>
      </c>
      <c r="G840" s="133">
        <v>64.988</v>
      </c>
      <c r="H840" s="133">
        <v>64.52</v>
      </c>
      <c r="I840" s="144">
        <f t="shared" si="268"/>
        <v>0.468000000000004</v>
      </c>
      <c r="J840" s="115" t="str">
        <f t="shared" si="259"/>
        <v>315/80R22.5-20PR-CR960A</v>
      </c>
      <c r="K840" s="193"/>
      <c r="L840" s="193"/>
      <c r="M840" s="193"/>
      <c r="N840" s="193"/>
      <c r="O840" s="193"/>
      <c r="P840" s="193"/>
      <c r="Q840" s="193"/>
      <c r="BB840" s="113" t="str">
        <f t="shared" si="269"/>
        <v/>
      </c>
    </row>
    <row r="841" spans="2:54">
      <c r="B841" s="119" t="s">
        <v>2305</v>
      </c>
      <c r="C841" s="120" t="s">
        <v>1101</v>
      </c>
      <c r="D841" s="120" t="s">
        <v>1776</v>
      </c>
      <c r="E841" s="125" t="s">
        <v>2322</v>
      </c>
      <c r="F841" s="133">
        <f t="shared" si="270"/>
        <v>65.708</v>
      </c>
      <c r="G841" s="133">
        <v>64.988</v>
      </c>
      <c r="H841" s="133">
        <v>64.52</v>
      </c>
      <c r="I841" s="144">
        <f t="shared" si="268"/>
        <v>0.468000000000004</v>
      </c>
      <c r="J841" s="115" t="str">
        <f t="shared" si="259"/>
        <v>315/80R22.5-20PR-AZ599</v>
      </c>
      <c r="K841" s="193"/>
      <c r="L841" s="193"/>
      <c r="M841" s="193"/>
      <c r="N841" s="193"/>
      <c r="O841" s="193"/>
      <c r="P841" s="193"/>
      <c r="Q841" s="193"/>
      <c r="BB841" s="113" t="str">
        <f t="shared" si="269"/>
        <v/>
      </c>
    </row>
    <row r="842" spans="2:54">
      <c r="B842" s="119" t="s">
        <v>2305</v>
      </c>
      <c r="C842" s="120" t="s">
        <v>1101</v>
      </c>
      <c r="D842" s="120" t="s">
        <v>1047</v>
      </c>
      <c r="E842" s="120" t="s">
        <v>2323</v>
      </c>
      <c r="F842" s="133">
        <f t="shared" ref="F842:F844" si="271">G842-2.747+3.434</f>
        <v>63.009</v>
      </c>
      <c r="G842" s="133">
        <v>62.322</v>
      </c>
      <c r="H842" s="133">
        <v>62.33</v>
      </c>
      <c r="I842" s="144">
        <f t="shared" si="268"/>
        <v>-0.00799999999999557</v>
      </c>
      <c r="J842" s="115" t="str">
        <f t="shared" ref="J842:J862" si="272">_xlfn.TEXTJOIN("-",TRUE,B842,C842,D842)</f>
        <v>315/80R22.5-20PR-AZ126T</v>
      </c>
      <c r="K842" s="193">
        <v>49.065</v>
      </c>
      <c r="L842" s="193"/>
      <c r="M842" s="193"/>
      <c r="N842" s="193" t="s">
        <v>2324</v>
      </c>
      <c r="O842" s="193"/>
      <c r="P842" s="193"/>
      <c r="Q842" s="193"/>
      <c r="BB842" s="113" t="str">
        <f t="shared" si="269"/>
        <v/>
      </c>
    </row>
    <row r="843" spans="2:54">
      <c r="B843" s="119" t="s">
        <v>2305</v>
      </c>
      <c r="C843" s="120" t="s">
        <v>1101</v>
      </c>
      <c r="D843" s="120" t="s">
        <v>1788</v>
      </c>
      <c r="E843" s="120" t="s">
        <v>2323</v>
      </c>
      <c r="F843" s="133">
        <f t="shared" si="271"/>
        <v>63.009</v>
      </c>
      <c r="G843" s="133">
        <v>62.322</v>
      </c>
      <c r="H843" s="133">
        <v>62.33</v>
      </c>
      <c r="I843" s="144">
        <f t="shared" si="268"/>
        <v>-0.00799999999999557</v>
      </c>
      <c r="J843" s="115" t="str">
        <f t="shared" si="272"/>
        <v>315/80R22.5-20PR-HCC1 PlusX</v>
      </c>
      <c r="K843" s="193">
        <v>54.244</v>
      </c>
      <c r="L843" s="193"/>
      <c r="M843" s="193"/>
      <c r="N843" s="193" t="s">
        <v>2325</v>
      </c>
      <c r="O843" s="193"/>
      <c r="P843" s="193"/>
      <c r="Q843" s="193"/>
      <c r="BB843" s="113" t="str">
        <f t="shared" si="269"/>
        <v/>
      </c>
    </row>
    <row r="844" spans="2:54">
      <c r="B844" s="119" t="s">
        <v>2305</v>
      </c>
      <c r="C844" s="120" t="s">
        <v>1092</v>
      </c>
      <c r="D844" s="120" t="s">
        <v>2326</v>
      </c>
      <c r="E844" s="120" t="s">
        <v>2327</v>
      </c>
      <c r="F844" s="133">
        <f t="shared" si="271"/>
        <v>60.342</v>
      </c>
      <c r="G844" s="133">
        <v>59.655</v>
      </c>
      <c r="H844" s="133">
        <v>59.74</v>
      </c>
      <c r="I844" s="144">
        <f t="shared" si="268"/>
        <v>-0.0850000000000009</v>
      </c>
      <c r="J844" s="115" t="str">
        <f t="shared" si="272"/>
        <v>315/80R22.5-18PR-AZ170</v>
      </c>
      <c r="K844" s="193">
        <v>51.024</v>
      </c>
      <c r="L844" s="193"/>
      <c r="M844" s="193"/>
      <c r="N844" s="193" t="s">
        <v>2328</v>
      </c>
      <c r="O844" s="193"/>
      <c r="P844" s="193"/>
      <c r="Q844" s="193"/>
      <c r="BB844" s="113" t="str">
        <f t="shared" si="269"/>
        <v/>
      </c>
    </row>
    <row r="845" spans="2:54">
      <c r="B845" s="119" t="s">
        <v>2305</v>
      </c>
      <c r="C845" s="120" t="s">
        <v>1101</v>
      </c>
      <c r="D845" s="120" t="s">
        <v>1802</v>
      </c>
      <c r="E845" s="120" t="s">
        <v>2329</v>
      </c>
      <c r="F845" s="133">
        <f t="shared" si="270"/>
        <v>66.94</v>
      </c>
      <c r="G845" s="133">
        <v>66.22</v>
      </c>
      <c r="H845" s="133">
        <v>66</v>
      </c>
      <c r="I845" s="144">
        <f t="shared" si="268"/>
        <v>0.219999999999999</v>
      </c>
      <c r="J845" s="115" t="str">
        <f t="shared" si="272"/>
        <v>315/80R22.5-20PR-AZ579</v>
      </c>
      <c r="K845" s="193">
        <v>60.324</v>
      </c>
      <c r="L845" s="193"/>
      <c r="M845" s="193"/>
      <c r="N845" s="193" t="s">
        <v>2330</v>
      </c>
      <c r="O845" s="193"/>
      <c r="P845" s="193"/>
      <c r="Q845" s="193"/>
      <c r="BB845" s="113" t="str">
        <f t="shared" si="269"/>
        <v/>
      </c>
    </row>
    <row r="846" spans="2:54">
      <c r="B846" s="119" t="s">
        <v>2305</v>
      </c>
      <c r="C846" s="120" t="s">
        <v>1101</v>
      </c>
      <c r="D846" s="120" t="s">
        <v>1724</v>
      </c>
      <c r="E846" s="120" t="s">
        <v>2331</v>
      </c>
      <c r="F846" s="133">
        <f t="shared" si="270"/>
        <v>70.043</v>
      </c>
      <c r="G846" s="133">
        <v>69.323</v>
      </c>
      <c r="H846" s="133">
        <v>67.91</v>
      </c>
      <c r="I846" s="144">
        <f t="shared" si="268"/>
        <v>1.413</v>
      </c>
      <c r="J846" s="115" t="str">
        <f t="shared" si="272"/>
        <v>315/80R22.5-20PR-VA996</v>
      </c>
      <c r="K846" s="193">
        <v>53.218</v>
      </c>
      <c r="L846" s="193"/>
      <c r="M846" s="193"/>
      <c r="N846" s="193" t="s">
        <v>2332</v>
      </c>
      <c r="O846" s="193"/>
      <c r="P846" s="193"/>
      <c r="Q846" s="193"/>
      <c r="BB846" s="113" t="str">
        <f t="shared" si="269"/>
        <v/>
      </c>
    </row>
    <row r="847" spans="2:54">
      <c r="B847" s="119" t="s">
        <v>2305</v>
      </c>
      <c r="C847" s="120" t="s">
        <v>1101</v>
      </c>
      <c r="D847" s="120" t="s">
        <v>1842</v>
      </c>
      <c r="E847" s="120" t="s">
        <v>2333</v>
      </c>
      <c r="F847" s="133">
        <f t="shared" si="270"/>
        <v>68.838</v>
      </c>
      <c r="G847" s="133">
        <v>68.118</v>
      </c>
      <c r="H847" s="133">
        <v>67.71</v>
      </c>
      <c r="I847" s="144">
        <f t="shared" si="268"/>
        <v>0.408000000000001</v>
      </c>
      <c r="J847" s="115" t="str">
        <f t="shared" si="272"/>
        <v>315/80R22.5-20PR-I-52A</v>
      </c>
      <c r="K847" s="193">
        <v>64.868</v>
      </c>
      <c r="L847" s="193"/>
      <c r="M847" s="193"/>
      <c r="N847" s="193" t="s">
        <v>2334</v>
      </c>
      <c r="O847" s="193"/>
      <c r="P847" s="193"/>
      <c r="Q847" s="193"/>
      <c r="BB847" s="113" t="str">
        <f t="shared" si="269"/>
        <v/>
      </c>
    </row>
    <row r="848" spans="2:54">
      <c r="B848" s="119" t="s">
        <v>2305</v>
      </c>
      <c r="C848" s="120" t="s">
        <v>1101</v>
      </c>
      <c r="D848" s="120" t="s">
        <v>1844</v>
      </c>
      <c r="E848" s="120" t="s">
        <v>2335</v>
      </c>
      <c r="F848" s="133">
        <f t="shared" si="270"/>
        <v>68.903</v>
      </c>
      <c r="G848" s="133">
        <v>68.183</v>
      </c>
      <c r="H848" s="133">
        <v>67.5</v>
      </c>
      <c r="I848" s="144">
        <f t="shared" si="268"/>
        <v>0.683000000000007</v>
      </c>
      <c r="J848" s="115" t="str">
        <f t="shared" si="272"/>
        <v>315/80R22.5-20PR-I-31M</v>
      </c>
      <c r="K848" s="193">
        <v>57.716</v>
      </c>
      <c r="L848" s="193"/>
      <c r="M848" s="193"/>
      <c r="N848" s="193" t="s">
        <v>2336</v>
      </c>
      <c r="O848" s="193"/>
      <c r="P848" s="193"/>
      <c r="Q848" s="193"/>
      <c r="BB848" s="113" t="str">
        <f t="shared" si="269"/>
        <v/>
      </c>
    </row>
    <row r="849" spans="2:54">
      <c r="B849" s="146" t="s">
        <v>2305</v>
      </c>
      <c r="C849" s="147" t="s">
        <v>1101</v>
      </c>
      <c r="D849" s="147" t="s">
        <v>1863</v>
      </c>
      <c r="E849" s="147" t="s">
        <v>2337</v>
      </c>
      <c r="F849" s="218">
        <v>63.58</v>
      </c>
      <c r="G849" s="218">
        <v>62.86</v>
      </c>
      <c r="H849" s="138">
        <v>62.57</v>
      </c>
      <c r="I849" s="164">
        <v>0.28</v>
      </c>
      <c r="J849" s="115" t="str">
        <f t="shared" si="272"/>
        <v>315/80R22.5-20PR-H-RD</v>
      </c>
      <c r="K849" s="193">
        <v>49.12</v>
      </c>
      <c r="L849" s="193"/>
      <c r="M849" s="193"/>
      <c r="N849" s="193" t="s">
        <v>2338</v>
      </c>
      <c r="O849" s="193"/>
      <c r="P849" s="193"/>
      <c r="Q849" s="193"/>
      <c r="BB849" s="113" t="str">
        <f t="shared" si="269"/>
        <v/>
      </c>
    </row>
    <row r="850" spans="2:54">
      <c r="B850" s="214"/>
      <c r="C850" s="132"/>
      <c r="D850" s="132"/>
      <c r="E850" s="132"/>
      <c r="F850" s="215"/>
      <c r="G850" s="215"/>
      <c r="H850" s="129"/>
      <c r="I850" s="216"/>
      <c r="J850" s="115" t="str">
        <f t="shared" si="272"/>
        <v/>
      </c>
      <c r="K850" s="193">
        <v>68.72</v>
      </c>
      <c r="L850" s="193"/>
      <c r="M850" s="193"/>
      <c r="N850" s="193" t="s">
        <v>2339</v>
      </c>
      <c r="O850" s="193"/>
      <c r="P850" s="193"/>
      <c r="Q850" s="193"/>
      <c r="BB850" s="113" t="str">
        <f t="shared" si="269"/>
        <v/>
      </c>
    </row>
    <row r="851" spans="2:54">
      <c r="B851" s="119" t="s">
        <v>2340</v>
      </c>
      <c r="C851" s="120" t="s">
        <v>1925</v>
      </c>
      <c r="D851" s="120" t="s">
        <v>1958</v>
      </c>
      <c r="E851" s="177" t="s">
        <v>2341</v>
      </c>
      <c r="F851" s="128">
        <f>G851-5.19+6.02</f>
        <v>94.042</v>
      </c>
      <c r="G851" s="128">
        <v>93.212</v>
      </c>
      <c r="H851" s="133">
        <v>93.31</v>
      </c>
      <c r="I851" s="205">
        <f t="shared" ref="I851:I863" si="273">G851-H851</f>
        <v>-0.097999999999999</v>
      </c>
      <c r="J851" s="115" t="str">
        <f t="shared" si="272"/>
        <v>325/95R24-22PR-CB972E</v>
      </c>
      <c r="K851" s="193">
        <v>28.65</v>
      </c>
      <c r="L851" s="193"/>
      <c r="M851" s="193"/>
      <c r="N851" s="193" t="s">
        <v>2342</v>
      </c>
      <c r="O851" s="193"/>
      <c r="P851" s="193"/>
      <c r="Q851" s="193"/>
      <c r="BB851" s="113" t="str">
        <f t="shared" si="269"/>
        <v/>
      </c>
    </row>
    <row r="852" spans="2:54">
      <c r="B852" s="119" t="s">
        <v>2340</v>
      </c>
      <c r="C852" s="120" t="s">
        <v>1925</v>
      </c>
      <c r="D852" s="125" t="s">
        <v>1375</v>
      </c>
      <c r="E852" s="177" t="s">
        <v>2341</v>
      </c>
      <c r="F852" s="128">
        <f>G852-5.19+6.02</f>
        <v>94.042</v>
      </c>
      <c r="G852" s="128">
        <v>93.212</v>
      </c>
      <c r="H852" s="133">
        <v>93.31</v>
      </c>
      <c r="I852" s="205">
        <f t="shared" si="273"/>
        <v>-0.097999999999999</v>
      </c>
      <c r="J852" s="115" t="str">
        <f t="shared" si="272"/>
        <v>325/95R24-22PR-CB919</v>
      </c>
      <c r="K852" s="193">
        <v>29.488</v>
      </c>
      <c r="L852" s="193"/>
      <c r="M852" s="193"/>
      <c r="N852" s="193" t="s">
        <v>2343</v>
      </c>
      <c r="O852" s="193"/>
      <c r="P852" s="193"/>
      <c r="Q852" s="193"/>
      <c r="BB852" s="113" t="str">
        <f t="shared" si="269"/>
        <v/>
      </c>
    </row>
    <row r="853" spans="2:54">
      <c r="B853" s="119" t="s">
        <v>2340</v>
      </c>
      <c r="C853" s="121" t="s">
        <v>1925</v>
      </c>
      <c r="D853" s="120" t="s">
        <v>2344</v>
      </c>
      <c r="E853" s="209" t="s">
        <v>2345</v>
      </c>
      <c r="F853" s="128">
        <f t="shared" ref="F853:F860" si="274">G853-5.187+6.024</f>
        <v>81.67</v>
      </c>
      <c r="G853" s="162">
        <v>80.833</v>
      </c>
      <c r="H853" s="162">
        <v>80.1639</v>
      </c>
      <c r="I853" s="205">
        <f t="shared" si="273"/>
        <v>0.6691</v>
      </c>
      <c r="J853" s="115" t="str">
        <f t="shared" si="272"/>
        <v>325/95R24-22PR-AZ272</v>
      </c>
      <c r="K853" s="193">
        <v>33.283</v>
      </c>
      <c r="L853" s="193"/>
      <c r="M853" s="193"/>
      <c r="N853" s="193" t="s">
        <v>2346</v>
      </c>
      <c r="O853" s="193"/>
      <c r="P853" s="193"/>
      <c r="Q853" s="193"/>
      <c r="BB853" s="113" t="str">
        <f t="shared" si="269"/>
        <v/>
      </c>
    </row>
    <row r="854" spans="2:54">
      <c r="B854" s="119" t="s">
        <v>2340</v>
      </c>
      <c r="C854" s="120" t="s">
        <v>1925</v>
      </c>
      <c r="D854" s="138" t="s">
        <v>2347</v>
      </c>
      <c r="E854" s="121" t="s">
        <v>2348</v>
      </c>
      <c r="F854" s="128">
        <f t="shared" si="274"/>
        <v>87.889</v>
      </c>
      <c r="G854" s="133">
        <v>87.052</v>
      </c>
      <c r="H854" s="133">
        <v>85.6607</v>
      </c>
      <c r="I854" s="205">
        <f t="shared" si="273"/>
        <v>1.3913</v>
      </c>
      <c r="J854" s="115" t="str">
        <f t="shared" si="272"/>
        <v>325/95R24-22PR-AZ691</v>
      </c>
      <c r="K854" s="193">
        <v>41.378</v>
      </c>
      <c r="L854" s="193"/>
      <c r="M854" s="193"/>
      <c r="N854" s="193" t="s">
        <v>2349</v>
      </c>
      <c r="O854" s="193"/>
      <c r="P854" s="193"/>
      <c r="Q854" s="193"/>
      <c r="BB854" s="113" t="str">
        <f t="shared" si="269"/>
        <v/>
      </c>
    </row>
    <row r="855" spans="2:54">
      <c r="B855" s="119" t="s">
        <v>2340</v>
      </c>
      <c r="C855" s="120" t="s">
        <v>1925</v>
      </c>
      <c r="D855" s="125" t="s">
        <v>2350</v>
      </c>
      <c r="E855" s="120" t="s">
        <v>2351</v>
      </c>
      <c r="F855" s="128">
        <f>G855-5.184+6.019</f>
        <v>87.265</v>
      </c>
      <c r="G855" s="218">
        <v>86.43</v>
      </c>
      <c r="H855" s="133">
        <v>86.35</v>
      </c>
      <c r="I855" s="205">
        <f t="shared" si="273"/>
        <v>0.0800000000000125</v>
      </c>
      <c r="J855" s="115" t="str">
        <f t="shared" si="272"/>
        <v>325/95R24-22PR-AZ828</v>
      </c>
      <c r="K855" s="193">
        <v>47.43</v>
      </c>
      <c r="L855" s="193"/>
      <c r="M855" s="193"/>
      <c r="N855" s="193" t="s">
        <v>2352</v>
      </c>
      <c r="O855" s="193"/>
      <c r="P855" s="193"/>
      <c r="Q855" s="193"/>
      <c r="BB855" s="113" t="str">
        <f t="shared" si="269"/>
        <v/>
      </c>
    </row>
    <row r="856" spans="2:54">
      <c r="B856" s="119" t="s">
        <v>2340</v>
      </c>
      <c r="C856" s="120" t="s">
        <v>1925</v>
      </c>
      <c r="D856" s="125" t="s">
        <v>1405</v>
      </c>
      <c r="E856" s="120" t="s">
        <v>2353</v>
      </c>
      <c r="F856" s="128">
        <f t="shared" si="274"/>
        <v>94.546</v>
      </c>
      <c r="G856" s="160">
        <v>93.709</v>
      </c>
      <c r="H856" s="133">
        <v>93.0394</v>
      </c>
      <c r="I856" s="205">
        <f t="shared" si="273"/>
        <v>0.669600000000003</v>
      </c>
      <c r="J856" s="115" t="str">
        <f t="shared" si="272"/>
        <v>325/95R24-22PR-CB332</v>
      </c>
      <c r="K856" s="193">
        <v>55.991</v>
      </c>
      <c r="L856" s="193"/>
      <c r="M856" s="193"/>
      <c r="N856" s="193" t="s">
        <v>2354</v>
      </c>
      <c r="O856" s="193"/>
      <c r="P856" s="193"/>
      <c r="Q856" s="193"/>
      <c r="BB856" s="113" t="str">
        <f t="shared" si="269"/>
        <v/>
      </c>
    </row>
    <row r="857" spans="2:54">
      <c r="B857" s="119" t="s">
        <v>2340</v>
      </c>
      <c r="C857" s="120" t="s">
        <v>1925</v>
      </c>
      <c r="D857" s="125" t="s">
        <v>1096</v>
      </c>
      <c r="E857" s="120" t="s">
        <v>2355</v>
      </c>
      <c r="F857" s="128">
        <f t="shared" si="274"/>
        <v>89.262</v>
      </c>
      <c r="G857" s="160">
        <v>88.425</v>
      </c>
      <c r="H857" s="133">
        <v>89.9588</v>
      </c>
      <c r="I857" s="205">
        <f t="shared" si="273"/>
        <v>-1.5338</v>
      </c>
      <c r="J857" s="115" t="str">
        <f t="shared" si="272"/>
        <v>325/95R24-22PR-CB972</v>
      </c>
      <c r="K857" s="193">
        <v>78.87</v>
      </c>
      <c r="L857" s="193"/>
      <c r="M857" s="193"/>
      <c r="N857" s="193" t="s">
        <v>2356</v>
      </c>
      <c r="O857" s="193"/>
      <c r="P857" s="193"/>
      <c r="Q857" s="193"/>
      <c r="BB857" s="113" t="str">
        <f t="shared" si="269"/>
        <v/>
      </c>
    </row>
    <row r="858" spans="2:54">
      <c r="B858" s="119" t="s">
        <v>2340</v>
      </c>
      <c r="C858" s="120" t="s">
        <v>1925</v>
      </c>
      <c r="D858" s="125" t="s">
        <v>2357</v>
      </c>
      <c r="E858" s="120" t="s">
        <v>2358</v>
      </c>
      <c r="F858" s="128">
        <f t="shared" si="274"/>
        <v>84.661</v>
      </c>
      <c r="G858" s="160">
        <v>83.824</v>
      </c>
      <c r="H858" s="133">
        <v>83.1537</v>
      </c>
      <c r="I858" s="205">
        <f t="shared" si="273"/>
        <v>0.670299999999997</v>
      </c>
      <c r="J858" s="115" t="str">
        <f t="shared" si="272"/>
        <v>325/95R24-22PR-CM912A</v>
      </c>
      <c r="K858" s="193">
        <v>93.68</v>
      </c>
      <c r="L858" s="193"/>
      <c r="M858" s="193"/>
      <c r="N858" s="193" t="s">
        <v>2359</v>
      </c>
      <c r="O858" s="193"/>
      <c r="P858" s="193"/>
      <c r="Q858" s="193"/>
      <c r="BB858" s="113" t="str">
        <f t="shared" si="269"/>
        <v/>
      </c>
    </row>
    <row r="859" spans="2:54">
      <c r="B859" s="119" t="s">
        <v>2340</v>
      </c>
      <c r="C859" s="120" t="s">
        <v>1925</v>
      </c>
      <c r="D859" s="125" t="s">
        <v>2311</v>
      </c>
      <c r="E859" s="120" t="s">
        <v>2360</v>
      </c>
      <c r="F859" s="128">
        <f t="shared" si="274"/>
        <v>83.833</v>
      </c>
      <c r="G859" s="160">
        <v>82.996</v>
      </c>
      <c r="H859" s="133">
        <v>82.3262</v>
      </c>
      <c r="I859" s="205">
        <f t="shared" si="273"/>
        <v>0.669799999999995</v>
      </c>
      <c r="J859" s="115" t="str">
        <f t="shared" si="272"/>
        <v>325/95R24-22PR-CM913A</v>
      </c>
      <c r="K859" s="193">
        <v>99.52</v>
      </c>
      <c r="L859" s="193"/>
      <c r="M859" s="193"/>
      <c r="N859" s="193" t="s">
        <v>2361</v>
      </c>
      <c r="O859" s="193"/>
      <c r="P859" s="193"/>
      <c r="Q859" s="193"/>
      <c r="BB859" s="113" t="str">
        <f t="shared" si="269"/>
        <v/>
      </c>
    </row>
    <row r="860" spans="2:54">
      <c r="B860" s="119" t="s">
        <v>2340</v>
      </c>
      <c r="C860" s="120" t="s">
        <v>1925</v>
      </c>
      <c r="D860" s="125" t="s">
        <v>1568</v>
      </c>
      <c r="E860" s="120" t="s">
        <v>2362</v>
      </c>
      <c r="F860" s="128">
        <f t="shared" si="274"/>
        <v>94.191</v>
      </c>
      <c r="G860" s="160">
        <v>93.354</v>
      </c>
      <c r="H860" s="133">
        <v>92.6849</v>
      </c>
      <c r="I860" s="205">
        <f t="shared" si="273"/>
        <v>0.6691</v>
      </c>
      <c r="J860" s="115" t="str">
        <f t="shared" si="272"/>
        <v>325/95R24-22PR-EZ336</v>
      </c>
      <c r="K860" s="193">
        <v>67.872</v>
      </c>
      <c r="L860" s="193"/>
      <c r="M860" s="193"/>
      <c r="N860" s="193" t="s">
        <v>2363</v>
      </c>
      <c r="O860" s="193"/>
      <c r="P860" s="193"/>
      <c r="Q860" s="193"/>
      <c r="BB860" s="113" t="str">
        <f t="shared" si="269"/>
        <v/>
      </c>
    </row>
    <row r="861" spans="2:54">
      <c r="B861" s="148" t="s">
        <v>2340</v>
      </c>
      <c r="C861" s="125" t="s">
        <v>1925</v>
      </c>
      <c r="D861" s="125" t="s">
        <v>2364</v>
      </c>
      <c r="E861" s="125" t="s">
        <v>2365</v>
      </c>
      <c r="F861" s="128">
        <f>G861-5.184+6.019</f>
        <v>82.242</v>
      </c>
      <c r="G861" s="160">
        <v>81.407</v>
      </c>
      <c r="H861" s="133">
        <v>81.25</v>
      </c>
      <c r="I861" s="205">
        <f t="shared" si="273"/>
        <v>0.156999999999996</v>
      </c>
      <c r="J861" s="115" t="str">
        <f t="shared" si="272"/>
        <v>325/95R24-22PR-MD752</v>
      </c>
      <c r="K861" s="193">
        <v>68.91</v>
      </c>
      <c r="L861" s="193"/>
      <c r="M861" s="193"/>
      <c r="N861" s="193" t="s">
        <v>2366</v>
      </c>
      <c r="O861" s="193"/>
      <c r="P861" s="193"/>
      <c r="Q861" s="193"/>
      <c r="BB861" s="113" t="str">
        <f t="shared" si="269"/>
        <v/>
      </c>
    </row>
    <row r="862" spans="2:54">
      <c r="B862" s="119" t="s">
        <v>2340</v>
      </c>
      <c r="C862" s="120" t="s">
        <v>1925</v>
      </c>
      <c r="D862" s="120" t="s">
        <v>1176</v>
      </c>
      <c r="E862" s="120" t="s">
        <v>2367</v>
      </c>
      <c r="F862" s="128">
        <f>G862-5.19+6.02</f>
        <v>88.497</v>
      </c>
      <c r="G862" s="133">
        <v>87.667</v>
      </c>
      <c r="H862" s="133">
        <v>87.84</v>
      </c>
      <c r="I862" s="205">
        <f t="shared" si="273"/>
        <v>-0.173000000000002</v>
      </c>
      <c r="J862" s="115" t="str">
        <f t="shared" si="272"/>
        <v>325/95R24-22PR-EZ865</v>
      </c>
      <c r="K862" s="193">
        <v>25.523</v>
      </c>
      <c r="L862" s="193"/>
      <c r="M862" s="193"/>
      <c r="N862" s="193" t="s">
        <v>2368</v>
      </c>
      <c r="O862" s="193"/>
      <c r="P862" s="193"/>
      <c r="Q862" s="193"/>
      <c r="BB862" s="113" t="str">
        <f t="shared" si="269"/>
        <v/>
      </c>
    </row>
    <row r="863" spans="2:54">
      <c r="B863" s="119" t="s">
        <v>2340</v>
      </c>
      <c r="C863" s="120" t="s">
        <v>1925</v>
      </c>
      <c r="D863" s="120" t="s">
        <v>2369</v>
      </c>
      <c r="E863" s="120" t="s">
        <v>2370</v>
      </c>
      <c r="F863" s="128">
        <f>G863-5.187+6.024</f>
        <v>85.444</v>
      </c>
      <c r="G863" s="133">
        <v>84.607</v>
      </c>
      <c r="H863" s="133">
        <v>84.69</v>
      </c>
      <c r="I863" s="205">
        <f t="shared" si="273"/>
        <v>-0.0829999999999984</v>
      </c>
      <c r="J863" s="115" t="str">
        <f t="shared" ref="J863:J881" si="275">_xlfn.TEXTJOIN("-",TRUE,B863,C863,D863)</f>
        <v>325/95R24-22PR-EZ509</v>
      </c>
      <c r="K863" s="193">
        <v>29.488</v>
      </c>
      <c r="L863" s="193"/>
      <c r="M863" s="193"/>
      <c r="N863" s="193" t="s">
        <v>2371</v>
      </c>
      <c r="O863" s="193"/>
      <c r="P863" s="193"/>
      <c r="Q863" s="193"/>
      <c r="BB863" s="113" t="str">
        <f t="shared" si="269"/>
        <v/>
      </c>
    </row>
    <row r="864" spans="2:54">
      <c r="B864" s="217"/>
      <c r="C864" s="129"/>
      <c r="D864" s="129"/>
      <c r="E864" s="129"/>
      <c r="F864" s="215"/>
      <c r="G864" s="215"/>
      <c r="H864" s="219"/>
      <c r="I864" s="220"/>
      <c r="J864" s="115" t="str">
        <f t="shared" si="275"/>
        <v/>
      </c>
      <c r="K864" s="193">
        <v>34.45</v>
      </c>
      <c r="L864" s="193"/>
      <c r="M864" s="193"/>
      <c r="N864" s="193" t="s">
        <v>2372</v>
      </c>
      <c r="O864" s="193"/>
      <c r="P864" s="193"/>
      <c r="Q864" s="193"/>
      <c r="BB864" s="113" t="str">
        <f t="shared" si="269"/>
        <v/>
      </c>
    </row>
    <row r="865" spans="2:54">
      <c r="B865" s="119" t="s">
        <v>2373</v>
      </c>
      <c r="C865" s="124" t="s">
        <v>1101</v>
      </c>
      <c r="D865" s="120" t="s">
        <v>2374</v>
      </c>
      <c r="E865" s="120" t="s">
        <v>2375</v>
      </c>
      <c r="F865" s="128">
        <f t="shared" ref="F865:F868" si="276">G865-3.08+3.37</f>
        <v>67.38</v>
      </c>
      <c r="G865" s="133">
        <v>67.09</v>
      </c>
      <c r="H865" s="133">
        <v>67.09</v>
      </c>
      <c r="I865" s="168">
        <f t="shared" ref="I865:I868" si="277">G865-H865</f>
        <v>0</v>
      </c>
      <c r="J865" s="115" t="str">
        <f t="shared" si="275"/>
        <v>385/55R22.5-20PR-AT502</v>
      </c>
      <c r="K865" s="193">
        <v>35.03</v>
      </c>
      <c r="L865" s="193"/>
      <c r="M865" s="193"/>
      <c r="N865" s="193" t="s">
        <v>2376</v>
      </c>
      <c r="O865" s="193"/>
      <c r="P865" s="193"/>
      <c r="Q865" s="193"/>
      <c r="BB865" s="113" t="str">
        <f t="shared" si="269"/>
        <v/>
      </c>
    </row>
    <row r="866" spans="2:54">
      <c r="B866" s="119" t="s">
        <v>2373</v>
      </c>
      <c r="C866" s="124" t="s">
        <v>1101</v>
      </c>
      <c r="D866" s="120" t="s">
        <v>2377</v>
      </c>
      <c r="E866" s="120" t="s">
        <v>2375</v>
      </c>
      <c r="F866" s="128">
        <f t="shared" si="276"/>
        <v>67.38</v>
      </c>
      <c r="G866" s="133">
        <v>67.09</v>
      </c>
      <c r="H866" s="133">
        <v>67.09</v>
      </c>
      <c r="I866" s="168">
        <f t="shared" si="277"/>
        <v>0</v>
      </c>
      <c r="J866" s="115" t="str">
        <f t="shared" si="275"/>
        <v>385/55R22.5-20PR-MultiAp T1</v>
      </c>
      <c r="K866" s="193">
        <v>35.701</v>
      </c>
      <c r="L866" s="193"/>
      <c r="M866" s="193"/>
      <c r="N866" s="193" t="s">
        <v>2378</v>
      </c>
      <c r="O866" s="193"/>
      <c r="P866" s="193"/>
      <c r="Q866" s="193"/>
      <c r="BB866" s="113" t="str">
        <f t="shared" si="269"/>
        <v/>
      </c>
    </row>
    <row r="867" spans="2:54">
      <c r="B867" s="119" t="s">
        <v>2373</v>
      </c>
      <c r="C867" s="124" t="s">
        <v>1101</v>
      </c>
      <c r="D867" s="120" t="s">
        <v>2379</v>
      </c>
      <c r="E867" s="120" t="s">
        <v>2375</v>
      </c>
      <c r="F867" s="128">
        <f t="shared" si="276"/>
        <v>67.38</v>
      </c>
      <c r="G867" s="133">
        <v>67.09</v>
      </c>
      <c r="H867" s="133">
        <v>67.09</v>
      </c>
      <c r="I867" s="168">
        <f t="shared" si="277"/>
        <v>0</v>
      </c>
      <c r="J867" s="115" t="str">
        <f t="shared" si="275"/>
        <v>385/55R22.5-20PR-Novo Trans T47</v>
      </c>
      <c r="K867" s="193">
        <v>29.461</v>
      </c>
      <c r="L867" s="193"/>
      <c r="M867" s="193"/>
      <c r="N867" s="193" t="s">
        <v>2380</v>
      </c>
      <c r="O867" s="193"/>
      <c r="P867" s="193"/>
      <c r="Q867" s="193"/>
      <c r="BB867" s="113" t="str">
        <f t="shared" si="269"/>
        <v/>
      </c>
    </row>
    <row r="868" spans="2:54">
      <c r="B868" s="119" t="s">
        <v>2373</v>
      </c>
      <c r="C868" s="124" t="s">
        <v>1101</v>
      </c>
      <c r="D868" s="120" t="s">
        <v>2326</v>
      </c>
      <c r="E868" s="120" t="s">
        <v>2381</v>
      </c>
      <c r="F868" s="128">
        <f t="shared" si="276"/>
        <v>61.96</v>
      </c>
      <c r="G868" s="133">
        <v>61.67</v>
      </c>
      <c r="H868" s="133">
        <v>61.65</v>
      </c>
      <c r="I868" s="168">
        <f t="shared" si="277"/>
        <v>0.0200000000000031</v>
      </c>
      <c r="J868" s="115" t="str">
        <f t="shared" si="275"/>
        <v>385/55R22.5-20PR-AZ170</v>
      </c>
      <c r="K868" s="193">
        <v>30.795</v>
      </c>
      <c r="L868" s="193"/>
      <c r="M868" s="193"/>
      <c r="N868" s="193" t="s">
        <v>2382</v>
      </c>
      <c r="O868" s="193"/>
      <c r="P868" s="193"/>
      <c r="Q868" s="193"/>
      <c r="BB868" s="113" t="str">
        <f t="shared" si="269"/>
        <v/>
      </c>
    </row>
    <row r="869" spans="2:54">
      <c r="B869" s="217"/>
      <c r="C869" s="129"/>
      <c r="D869" s="129"/>
      <c r="E869" s="129"/>
      <c r="F869" s="215"/>
      <c r="G869" s="215"/>
      <c r="H869" s="219"/>
      <c r="I869" s="221"/>
      <c r="J869" s="115" t="str">
        <f t="shared" si="275"/>
        <v/>
      </c>
      <c r="K869" s="193">
        <v>28.65</v>
      </c>
      <c r="L869" s="193"/>
      <c r="M869" s="193"/>
      <c r="N869" s="193" t="s">
        <v>2383</v>
      </c>
      <c r="O869" s="193"/>
      <c r="P869" s="193"/>
      <c r="Q869" s="193"/>
      <c r="BB869" s="113" t="str">
        <f t="shared" si="269"/>
        <v/>
      </c>
    </row>
    <row r="870" spans="2:54">
      <c r="B870" s="119" t="s">
        <v>2384</v>
      </c>
      <c r="C870" s="124" t="s">
        <v>1101</v>
      </c>
      <c r="D870" s="120" t="s">
        <v>2385</v>
      </c>
      <c r="E870" s="120" t="s">
        <v>2386</v>
      </c>
      <c r="F870" s="133">
        <f t="shared" ref="F870:F872" si="278">G870-4.41+4.92</f>
        <v>75.6</v>
      </c>
      <c r="G870" s="133">
        <v>75.09</v>
      </c>
      <c r="H870" s="128">
        <v>74.7502</v>
      </c>
      <c r="I870" s="168">
        <f t="shared" ref="I870:I880" si="279">G870-H870</f>
        <v>0.339799999999997</v>
      </c>
      <c r="J870" s="115" t="str">
        <f t="shared" si="275"/>
        <v>385/65R22.5-20PR-ZM42</v>
      </c>
      <c r="K870" s="193">
        <v>57.19</v>
      </c>
      <c r="L870" s="193"/>
      <c r="M870" s="193"/>
      <c r="N870" s="193" t="s">
        <v>2387</v>
      </c>
      <c r="O870" s="193"/>
      <c r="P870" s="193"/>
      <c r="Q870" s="193"/>
      <c r="BB870" s="113" t="str">
        <f t="shared" si="269"/>
        <v/>
      </c>
    </row>
    <row r="871" spans="2:54">
      <c r="B871" s="119" t="s">
        <v>2384</v>
      </c>
      <c r="C871" s="124" t="s">
        <v>1101</v>
      </c>
      <c r="D871" s="120" t="s">
        <v>2388</v>
      </c>
      <c r="E871" s="120" t="s">
        <v>2386</v>
      </c>
      <c r="F871" s="133">
        <f t="shared" si="278"/>
        <v>75.6</v>
      </c>
      <c r="G871" s="133">
        <v>75.09</v>
      </c>
      <c r="H871" s="128">
        <v>74.9</v>
      </c>
      <c r="I871" s="168">
        <f t="shared" si="279"/>
        <v>0.189999999999998</v>
      </c>
      <c r="J871" s="115" t="str">
        <f t="shared" si="275"/>
        <v>385/65R22.5-20PR-VA916</v>
      </c>
      <c r="K871" s="193">
        <v>80.414</v>
      </c>
      <c r="L871" s="193"/>
      <c r="M871" s="193"/>
      <c r="N871" s="193" t="s">
        <v>2389</v>
      </c>
      <c r="O871" s="193"/>
      <c r="P871" s="193"/>
      <c r="Q871" s="193"/>
      <c r="BB871" s="113" t="str">
        <f t="shared" si="269"/>
        <v/>
      </c>
    </row>
    <row r="872" spans="2:54">
      <c r="B872" s="119" t="s">
        <v>2384</v>
      </c>
      <c r="C872" s="124" t="s">
        <v>1101</v>
      </c>
      <c r="D872" s="120" t="s">
        <v>2390</v>
      </c>
      <c r="E872" s="120" t="s">
        <v>2386</v>
      </c>
      <c r="F872" s="133">
        <f t="shared" si="278"/>
        <v>75.6</v>
      </c>
      <c r="G872" s="133">
        <v>75.09</v>
      </c>
      <c r="H872" s="128">
        <v>74.9</v>
      </c>
      <c r="I872" s="168">
        <f t="shared" si="279"/>
        <v>0.189999999999998</v>
      </c>
      <c r="J872" s="115" t="str">
        <f t="shared" si="275"/>
        <v>385/65R22.5-20PR-AZ577</v>
      </c>
      <c r="K872" s="193">
        <v>70.118</v>
      </c>
      <c r="L872" s="193"/>
      <c r="M872" s="193"/>
      <c r="N872" s="193" t="s">
        <v>2391</v>
      </c>
      <c r="O872" s="193"/>
      <c r="P872" s="193"/>
      <c r="Q872" s="193"/>
      <c r="BB872" s="113" t="str">
        <f t="shared" si="269"/>
        <v/>
      </c>
    </row>
    <row r="873" spans="2:54">
      <c r="B873" s="119" t="s">
        <v>2384</v>
      </c>
      <c r="C873" s="124" t="s">
        <v>1101</v>
      </c>
      <c r="D873" s="120" t="s">
        <v>2045</v>
      </c>
      <c r="E873" s="120" t="s">
        <v>2392</v>
      </c>
      <c r="F873" s="133">
        <f>G873-3.78+4.269</f>
        <v>75.296</v>
      </c>
      <c r="G873" s="133">
        <v>74.807</v>
      </c>
      <c r="H873" s="128">
        <v>74.8946</v>
      </c>
      <c r="I873" s="168">
        <f t="shared" si="279"/>
        <v>-0.0875999999999948</v>
      </c>
      <c r="J873" s="115" t="str">
        <f t="shared" si="275"/>
        <v>385/65R22.5-20PR-AT557</v>
      </c>
      <c r="K873" s="193">
        <v>50.496</v>
      </c>
      <c r="L873" s="193"/>
      <c r="M873" s="193"/>
      <c r="N873" s="193" t="s">
        <v>2393</v>
      </c>
      <c r="O873" s="193"/>
      <c r="P873" s="193"/>
      <c r="Q873" s="193"/>
      <c r="BB873" s="113" t="str">
        <f t="shared" si="269"/>
        <v/>
      </c>
    </row>
    <row r="874" spans="2:54">
      <c r="B874" s="119" t="s">
        <v>2384</v>
      </c>
      <c r="C874" s="124" t="s">
        <v>1101</v>
      </c>
      <c r="D874" s="120" t="s">
        <v>2394</v>
      </c>
      <c r="E874" s="120" t="s">
        <v>2395</v>
      </c>
      <c r="F874" s="133">
        <f>G874-4.104+4.925</f>
        <v>72.603</v>
      </c>
      <c r="G874" s="133">
        <v>71.782</v>
      </c>
      <c r="H874" s="128">
        <v>71.8837</v>
      </c>
      <c r="I874" s="168">
        <f t="shared" si="279"/>
        <v>-0.101700000000008</v>
      </c>
      <c r="J874" s="115" t="str">
        <f t="shared" si="275"/>
        <v>385/65R22.5-20PR-AT532</v>
      </c>
      <c r="K874" s="193">
        <v>53.185</v>
      </c>
      <c r="L874" s="193"/>
      <c r="M874" s="193"/>
      <c r="N874" s="193" t="s">
        <v>2396</v>
      </c>
      <c r="O874" s="193"/>
      <c r="P874" s="193"/>
      <c r="Q874" s="193"/>
      <c r="BB874" s="113" t="str">
        <f t="shared" si="269"/>
        <v/>
      </c>
    </row>
    <row r="875" spans="2:54">
      <c r="B875" s="119" t="s">
        <v>2384</v>
      </c>
      <c r="C875" s="124" t="s">
        <v>1101</v>
      </c>
      <c r="D875" s="120" t="s">
        <v>2222</v>
      </c>
      <c r="E875" s="120" t="s">
        <v>2397</v>
      </c>
      <c r="F875" s="133">
        <f>G875-3.78+4.269</f>
        <v>72.989</v>
      </c>
      <c r="G875" s="133">
        <v>72.5</v>
      </c>
      <c r="H875" s="128">
        <v>72.62</v>
      </c>
      <c r="I875" s="168">
        <f t="shared" si="279"/>
        <v>-0.120000000000005</v>
      </c>
      <c r="J875" s="115" t="str">
        <f t="shared" si="275"/>
        <v>385/65R22.5-20PR-WSR1</v>
      </c>
      <c r="K875" s="193">
        <v>53.67</v>
      </c>
      <c r="L875" s="193"/>
      <c r="M875" s="193"/>
      <c r="N875" s="193" t="s">
        <v>2398</v>
      </c>
      <c r="O875" s="193"/>
      <c r="P875" s="193"/>
      <c r="Q875" s="193"/>
      <c r="BB875" s="113" t="str">
        <f t="shared" si="269"/>
        <v/>
      </c>
    </row>
    <row r="876" spans="2:54">
      <c r="B876" s="119" t="s">
        <v>2384</v>
      </c>
      <c r="C876" s="124" t="s">
        <v>1101</v>
      </c>
      <c r="D876" s="120" t="s">
        <v>2399</v>
      </c>
      <c r="E876" s="120" t="s">
        <v>2400</v>
      </c>
      <c r="F876" s="133">
        <f>G876-4.104+4.925</f>
        <v>74.75</v>
      </c>
      <c r="G876" s="133">
        <v>73.929</v>
      </c>
      <c r="H876" s="128">
        <v>74.0314</v>
      </c>
      <c r="I876" s="168">
        <f t="shared" si="279"/>
        <v>-0.102400000000003</v>
      </c>
      <c r="J876" s="115" t="str">
        <f t="shared" si="275"/>
        <v>385/65R22.5-20PR-I-42W</v>
      </c>
      <c r="K876" s="193">
        <v>53.67</v>
      </c>
      <c r="L876" s="193"/>
      <c r="M876" s="193"/>
      <c r="N876" s="193" t="s">
        <v>2401</v>
      </c>
      <c r="O876" s="193"/>
      <c r="P876" s="193"/>
      <c r="Q876" s="193"/>
      <c r="BB876" s="113" t="str">
        <f t="shared" si="269"/>
        <v/>
      </c>
    </row>
    <row r="877" spans="2:54">
      <c r="B877" s="119" t="s">
        <v>2384</v>
      </c>
      <c r="C877" s="124" t="s">
        <v>1101</v>
      </c>
      <c r="D877" s="120" t="s">
        <v>2402</v>
      </c>
      <c r="E877" s="120" t="s">
        <v>2403</v>
      </c>
      <c r="F877" s="133">
        <f>G877-4.11+4.92</f>
        <v>79.68</v>
      </c>
      <c r="G877" s="133">
        <v>78.87</v>
      </c>
      <c r="H877" s="128">
        <v>78.85</v>
      </c>
      <c r="I877" s="168">
        <f t="shared" si="279"/>
        <v>0.0200000000000102</v>
      </c>
      <c r="J877" s="115" t="str">
        <f t="shared" si="275"/>
        <v>385/65R22.5-20PR-H-MW</v>
      </c>
      <c r="K877" s="193"/>
      <c r="L877" s="193"/>
      <c r="M877" s="193"/>
      <c r="N877" s="193"/>
      <c r="O877" s="193"/>
      <c r="P877" s="193"/>
      <c r="Q877" s="193"/>
      <c r="BB877" s="113" t="str">
        <f t="shared" si="269"/>
        <v/>
      </c>
    </row>
    <row r="878" spans="2:54">
      <c r="B878" s="119" t="s">
        <v>2384</v>
      </c>
      <c r="C878" s="124" t="s">
        <v>1101</v>
      </c>
      <c r="D878" s="120" t="s">
        <v>1461</v>
      </c>
      <c r="E878" s="120" t="s">
        <v>2404</v>
      </c>
      <c r="F878" s="133">
        <f>G878-3.39+4.18</f>
        <v>72.71</v>
      </c>
      <c r="G878" s="133">
        <v>71.92</v>
      </c>
      <c r="H878" s="128">
        <v>71.88</v>
      </c>
      <c r="I878" s="168">
        <f t="shared" si="279"/>
        <v>0.0400000000000063</v>
      </c>
      <c r="J878" s="115" t="str">
        <f t="shared" si="275"/>
        <v>385/65R22.5-20PR-CR976A</v>
      </c>
      <c r="K878" s="193"/>
      <c r="L878" s="193"/>
      <c r="M878" s="193"/>
      <c r="N878" s="193"/>
      <c r="O878" s="193"/>
      <c r="P878" s="193"/>
      <c r="Q878" s="193"/>
      <c r="BB878" s="113" t="str">
        <f t="shared" si="269"/>
        <v/>
      </c>
    </row>
    <row r="879" spans="2:54">
      <c r="B879" s="119" t="s">
        <v>2384</v>
      </c>
      <c r="C879" s="124" t="s">
        <v>1101</v>
      </c>
      <c r="D879" s="120" t="s">
        <v>2405</v>
      </c>
      <c r="E879" s="120" t="s">
        <v>2404</v>
      </c>
      <c r="F879" s="133">
        <f>G879-3.39+4.18</f>
        <v>72.71</v>
      </c>
      <c r="G879" s="133">
        <v>71.92</v>
      </c>
      <c r="H879" s="128">
        <v>71.88</v>
      </c>
      <c r="I879" s="168">
        <f t="shared" si="279"/>
        <v>0.0400000000000063</v>
      </c>
      <c r="J879" s="115" t="str">
        <f t="shared" si="275"/>
        <v>385/65R22.5-20PR-HA4 Plus</v>
      </c>
      <c r="K879" s="193"/>
      <c r="L879" s="193"/>
      <c r="M879" s="193"/>
      <c r="N879" s="193"/>
      <c r="O879" s="193"/>
      <c r="P879" s="193"/>
      <c r="Q879" s="193"/>
      <c r="BB879" s="113" t="str">
        <f t="shared" si="269"/>
        <v/>
      </c>
    </row>
    <row r="880" spans="2:54">
      <c r="B880" s="119" t="s">
        <v>2384</v>
      </c>
      <c r="C880" s="124" t="s">
        <v>1584</v>
      </c>
      <c r="D880" s="120" t="s">
        <v>2406</v>
      </c>
      <c r="E880" s="120" t="s">
        <v>2407</v>
      </c>
      <c r="F880" s="133" t="s">
        <v>66</v>
      </c>
      <c r="G880" s="133">
        <v>79.35</v>
      </c>
      <c r="H880" s="128">
        <v>79.35</v>
      </c>
      <c r="I880" s="168">
        <f t="shared" si="279"/>
        <v>0</v>
      </c>
      <c r="J880" s="115" t="str">
        <f t="shared" si="275"/>
        <v>385/65R22.5-24PR-WTR1</v>
      </c>
      <c r="K880" s="193"/>
      <c r="L880" s="193"/>
      <c r="M880" s="193"/>
      <c r="N880" s="193"/>
      <c r="O880" s="193"/>
      <c r="P880" s="193"/>
      <c r="Q880" s="193"/>
      <c r="BB880" s="113" t="str">
        <f t="shared" si="269"/>
        <v/>
      </c>
    </row>
    <row r="881" spans="2:54">
      <c r="B881" s="122"/>
      <c r="C881" s="207"/>
      <c r="D881" s="123"/>
      <c r="E881" s="123"/>
      <c r="F881" s="130"/>
      <c r="G881" s="130"/>
      <c r="H881" s="131"/>
      <c r="I881" s="220"/>
      <c r="J881" s="115" t="str">
        <f t="shared" si="275"/>
        <v/>
      </c>
      <c r="K881" s="193"/>
      <c r="L881" s="193"/>
      <c r="M881" s="193"/>
      <c r="N881" s="193"/>
      <c r="O881" s="193"/>
      <c r="P881" s="193"/>
      <c r="Q881" s="193"/>
      <c r="BB881" s="113" t="str">
        <f t="shared" si="269"/>
        <v/>
      </c>
    </row>
    <row r="882" spans="2:54">
      <c r="B882" s="119" t="s">
        <v>2408</v>
      </c>
      <c r="C882" s="124" t="s">
        <v>1101</v>
      </c>
      <c r="D882" s="120" t="s">
        <v>2409</v>
      </c>
      <c r="E882" s="125" t="s">
        <v>2410</v>
      </c>
      <c r="F882" s="133">
        <f t="shared" ref="F882:F885" si="280">G882-4.893+5.782</f>
        <v>90.67</v>
      </c>
      <c r="G882" s="133">
        <v>89.781</v>
      </c>
      <c r="H882" s="128">
        <v>89.97</v>
      </c>
      <c r="I882" s="168">
        <f t="shared" ref="I882:I891" si="281">G882-H882</f>
        <v>-0.188999999999993</v>
      </c>
      <c r="J882" s="115" t="str">
        <f t="shared" ref="J882:J913" si="282">_xlfn.TEXTJOIN("-",TRUE,B882,C882,D882)</f>
        <v>425/65R22.5-20PR-W-Elite ZM42</v>
      </c>
      <c r="K882" s="193"/>
      <c r="L882" s="193"/>
      <c r="M882" s="193"/>
      <c r="N882" s="193"/>
      <c r="O882" s="193"/>
      <c r="P882" s="193"/>
      <c r="Q882" s="193"/>
      <c r="BB882" s="113" t="str">
        <f t="shared" si="269"/>
        <v/>
      </c>
    </row>
    <row r="883" spans="2:54">
      <c r="B883" s="119" t="s">
        <v>2408</v>
      </c>
      <c r="C883" s="124" t="s">
        <v>1101</v>
      </c>
      <c r="D883" s="120" t="s">
        <v>2388</v>
      </c>
      <c r="E883" s="125" t="s">
        <v>2410</v>
      </c>
      <c r="F883" s="133">
        <f t="shared" si="280"/>
        <v>90.67</v>
      </c>
      <c r="G883" s="133">
        <v>89.781</v>
      </c>
      <c r="H883" s="128">
        <v>89.97</v>
      </c>
      <c r="I883" s="168">
        <f t="shared" si="281"/>
        <v>-0.188999999999993</v>
      </c>
      <c r="J883" s="115" t="str">
        <f t="shared" si="282"/>
        <v>425/65R22.5-20PR-VA916</v>
      </c>
      <c r="K883" s="193"/>
      <c r="L883" s="193"/>
      <c r="M883" s="193"/>
      <c r="N883" s="193"/>
      <c r="O883" s="193"/>
      <c r="P883" s="193"/>
      <c r="Q883" s="193"/>
      <c r="BB883" s="113" t="str">
        <f t="shared" si="269"/>
        <v/>
      </c>
    </row>
    <row r="884" spans="2:54">
      <c r="B884" s="119" t="s">
        <v>2408</v>
      </c>
      <c r="C884" s="124" t="s">
        <v>1101</v>
      </c>
      <c r="D884" s="120" t="s">
        <v>2390</v>
      </c>
      <c r="E884" s="125" t="s">
        <v>2410</v>
      </c>
      <c r="F884" s="133">
        <f t="shared" si="280"/>
        <v>90.67</v>
      </c>
      <c r="G884" s="133">
        <v>89.781</v>
      </c>
      <c r="H884" s="128">
        <v>89.97</v>
      </c>
      <c r="I884" s="168">
        <f t="shared" si="281"/>
        <v>-0.188999999999993</v>
      </c>
      <c r="J884" s="115" t="str">
        <f t="shared" si="282"/>
        <v>425/65R22.5-20PR-AZ577</v>
      </c>
      <c r="K884" s="193"/>
      <c r="L884" s="193"/>
      <c r="M884" s="193"/>
      <c r="N884" s="193"/>
      <c r="O884" s="193"/>
      <c r="P884" s="193"/>
      <c r="Q884" s="193"/>
      <c r="BB884" s="113" t="str">
        <f t="shared" si="269"/>
        <v/>
      </c>
    </row>
    <row r="885" spans="2:54">
      <c r="B885" s="119" t="s">
        <v>2408</v>
      </c>
      <c r="C885" s="124" t="s">
        <v>1101</v>
      </c>
      <c r="D885" s="120" t="s">
        <v>2411</v>
      </c>
      <c r="E885" s="125" t="s">
        <v>2410</v>
      </c>
      <c r="F885" s="133">
        <f t="shared" si="280"/>
        <v>90.67</v>
      </c>
      <c r="G885" s="133">
        <v>89.781</v>
      </c>
      <c r="H885" s="128">
        <v>89.97</v>
      </c>
      <c r="I885" s="168">
        <f t="shared" si="281"/>
        <v>-0.188999999999993</v>
      </c>
      <c r="J885" s="115" t="str">
        <f t="shared" si="282"/>
        <v>425/65R22.5-20PR-TMA-134</v>
      </c>
      <c r="K885" s="193"/>
      <c r="L885" s="193"/>
      <c r="M885" s="193"/>
      <c r="N885" s="193"/>
      <c r="O885" s="193"/>
      <c r="P885" s="193"/>
      <c r="Q885" s="193"/>
      <c r="R885" s="193"/>
      <c r="BB885" s="113" t="str">
        <f t="shared" si="269"/>
        <v/>
      </c>
    </row>
    <row r="886" spans="2:54">
      <c r="B886" s="119" t="s">
        <v>2408</v>
      </c>
      <c r="C886" s="124" t="s">
        <v>1101</v>
      </c>
      <c r="D886" s="120" t="s">
        <v>2045</v>
      </c>
      <c r="E886" s="125" t="s">
        <v>2412</v>
      </c>
      <c r="F886" s="133">
        <f t="shared" ref="F886:F888" si="283">G886-4.891+5.779</f>
        <v>89.868</v>
      </c>
      <c r="G886" s="133">
        <v>88.98</v>
      </c>
      <c r="H886" s="128">
        <v>89.05</v>
      </c>
      <c r="I886" s="168">
        <f t="shared" si="281"/>
        <v>-0.0699999999999932</v>
      </c>
      <c r="J886" s="115" t="str">
        <f t="shared" si="282"/>
        <v>425/65R22.5-20PR-AT557</v>
      </c>
      <c r="K886" s="193"/>
      <c r="L886" s="193"/>
      <c r="M886" s="193"/>
      <c r="N886" s="193"/>
      <c r="O886" s="193"/>
      <c r="P886" s="193"/>
      <c r="Q886" s="193"/>
      <c r="R886" s="193"/>
      <c r="BB886" s="113" t="str">
        <f t="shared" si="269"/>
        <v/>
      </c>
    </row>
    <row r="887" spans="2:54">
      <c r="B887" s="119" t="s">
        <v>2408</v>
      </c>
      <c r="C887" s="124" t="s">
        <v>1101</v>
      </c>
      <c r="D887" s="120" t="s">
        <v>2399</v>
      </c>
      <c r="E887" s="125" t="s">
        <v>2412</v>
      </c>
      <c r="F887" s="133">
        <f t="shared" si="283"/>
        <v>89.868</v>
      </c>
      <c r="G887" s="133">
        <v>88.98</v>
      </c>
      <c r="H887" s="128">
        <v>89.05</v>
      </c>
      <c r="I887" s="168">
        <f t="shared" si="281"/>
        <v>-0.0699999999999932</v>
      </c>
      <c r="J887" s="115" t="str">
        <f t="shared" si="282"/>
        <v>425/65R22.5-20PR-I-42W</v>
      </c>
      <c r="K887" s="193"/>
      <c r="L887" s="193"/>
      <c r="M887" s="193"/>
      <c r="N887" s="193"/>
      <c r="O887" s="193"/>
      <c r="P887" s="193"/>
      <c r="Q887" s="193"/>
      <c r="R887" s="193"/>
      <c r="BB887" s="113" t="str">
        <f t="shared" si="269"/>
        <v/>
      </c>
    </row>
    <row r="888" spans="2:54">
      <c r="B888" s="119" t="s">
        <v>2408</v>
      </c>
      <c r="C888" s="124" t="s">
        <v>1101</v>
      </c>
      <c r="D888" s="120" t="s">
        <v>2047</v>
      </c>
      <c r="E888" s="125" t="s">
        <v>2412</v>
      </c>
      <c r="F888" s="133">
        <f t="shared" si="283"/>
        <v>89.868</v>
      </c>
      <c r="G888" s="133">
        <v>88.98</v>
      </c>
      <c r="H888" s="128">
        <v>89.05</v>
      </c>
      <c r="I888" s="168">
        <f t="shared" si="281"/>
        <v>-0.0699999999999932</v>
      </c>
      <c r="J888" s="115" t="str">
        <f t="shared" si="282"/>
        <v>425/65R22.5-20PR-RLINE-M2</v>
      </c>
      <c r="K888" s="193"/>
      <c r="L888" s="193"/>
      <c r="M888" s="193"/>
      <c r="N888" s="193"/>
      <c r="O888" s="193"/>
      <c r="P888" s="193"/>
      <c r="Q888" s="193"/>
      <c r="R888" s="193"/>
      <c r="BB888" s="113" t="str">
        <f t="shared" si="269"/>
        <v/>
      </c>
    </row>
    <row r="889" spans="2:54">
      <c r="B889" s="119" t="s">
        <v>2408</v>
      </c>
      <c r="C889" s="124" t="s">
        <v>1101</v>
      </c>
      <c r="D889" s="120" t="s">
        <v>2402</v>
      </c>
      <c r="E889" s="125" t="s">
        <v>2413</v>
      </c>
      <c r="F889" s="133">
        <f t="shared" ref="F889:F891" si="284">G889-4.89+5.78</f>
        <v>94.57</v>
      </c>
      <c r="G889" s="133">
        <v>93.68</v>
      </c>
      <c r="H889" s="128">
        <v>93.69</v>
      </c>
      <c r="I889" s="168">
        <f t="shared" si="281"/>
        <v>-0.00999999999999091</v>
      </c>
      <c r="J889" s="115" t="str">
        <f t="shared" si="282"/>
        <v>425/65R22.5-20PR-H-MW</v>
      </c>
      <c r="K889" s="193"/>
      <c r="L889" s="193"/>
      <c r="M889" s="193"/>
      <c r="N889" s="193"/>
      <c r="O889" s="193"/>
      <c r="P889" s="193"/>
      <c r="Q889" s="193"/>
      <c r="R889" s="193"/>
      <c r="BB889" s="113" t="str">
        <f t="shared" si="269"/>
        <v/>
      </c>
    </row>
    <row r="890" spans="2:54">
      <c r="B890" s="119" t="s">
        <v>2408</v>
      </c>
      <c r="C890" s="124" t="s">
        <v>1101</v>
      </c>
      <c r="D890" s="120" t="s">
        <v>1461</v>
      </c>
      <c r="E890" s="125" t="s">
        <v>2414</v>
      </c>
      <c r="F890" s="133">
        <f t="shared" si="284"/>
        <v>84.12</v>
      </c>
      <c r="G890" s="133">
        <v>83.23</v>
      </c>
      <c r="H890" s="128">
        <v>83.23</v>
      </c>
      <c r="I890" s="168">
        <f t="shared" si="281"/>
        <v>0</v>
      </c>
      <c r="J890" s="115" t="str">
        <f t="shared" si="282"/>
        <v>425/65R22.5-20PR-CR976A</v>
      </c>
      <c r="K890" s="193"/>
      <c r="L890" s="193"/>
      <c r="M890" s="193"/>
      <c r="N890" s="193"/>
      <c r="O890" s="193"/>
      <c r="P890" s="193"/>
      <c r="Q890" s="193"/>
      <c r="R890" s="193"/>
      <c r="BB890" s="113" t="str">
        <f t="shared" si="269"/>
        <v/>
      </c>
    </row>
    <row r="891" spans="2:54">
      <c r="B891" s="119" t="s">
        <v>2408</v>
      </c>
      <c r="C891" s="124" t="s">
        <v>1101</v>
      </c>
      <c r="D891" s="120" t="s">
        <v>2405</v>
      </c>
      <c r="E891" s="125" t="s">
        <v>2414</v>
      </c>
      <c r="F891" s="133">
        <f t="shared" si="284"/>
        <v>84.12</v>
      </c>
      <c r="G891" s="133">
        <v>83.23</v>
      </c>
      <c r="H891" s="128">
        <v>83.23</v>
      </c>
      <c r="I891" s="168">
        <f t="shared" si="281"/>
        <v>0</v>
      </c>
      <c r="J891" s="115" t="str">
        <f t="shared" si="282"/>
        <v>425/65R22.5-20PR-HA4 Plus</v>
      </c>
      <c r="K891" s="193"/>
      <c r="L891" s="193"/>
      <c r="M891" s="193"/>
      <c r="N891" s="193"/>
      <c r="O891" s="193"/>
      <c r="P891" s="193"/>
      <c r="Q891" s="193"/>
      <c r="R891" s="193"/>
      <c r="BB891" s="113" t="str">
        <f t="shared" si="269"/>
        <v/>
      </c>
    </row>
    <row r="892" spans="2:54">
      <c r="B892" s="122"/>
      <c r="C892" s="207"/>
      <c r="D892" s="123"/>
      <c r="E892" s="123"/>
      <c r="F892" s="130"/>
      <c r="G892" s="130"/>
      <c r="H892" s="131"/>
      <c r="I892" s="145"/>
      <c r="J892" s="115" t="str">
        <f t="shared" si="282"/>
        <v/>
      </c>
      <c r="K892" s="193"/>
      <c r="L892" s="193"/>
      <c r="M892" s="193"/>
      <c r="N892" s="193"/>
      <c r="O892" s="193"/>
      <c r="P892" s="193"/>
      <c r="Q892" s="193"/>
      <c r="R892" s="193"/>
      <c r="BB892" s="113" t="str">
        <f t="shared" si="269"/>
        <v/>
      </c>
    </row>
    <row r="893" spans="2:54">
      <c r="B893" s="119" t="s">
        <v>2415</v>
      </c>
      <c r="C893" s="124" t="s">
        <v>1101</v>
      </c>
      <c r="D893" s="120" t="s">
        <v>2416</v>
      </c>
      <c r="E893" s="120" t="s">
        <v>2417</v>
      </c>
      <c r="F893" s="133">
        <f t="shared" ref="F893:F905" si="285">G893-3.768+4.578</f>
        <v>92.244</v>
      </c>
      <c r="G893" s="133">
        <v>91.434</v>
      </c>
      <c r="H893" s="128">
        <v>91.3988</v>
      </c>
      <c r="I893" s="144">
        <f t="shared" ref="I893:I905" si="286">G893-H893</f>
        <v>0.0352000000000032</v>
      </c>
      <c r="J893" s="115" t="str">
        <f t="shared" si="282"/>
        <v>445/50R22.5-20PR-AD781</v>
      </c>
      <c r="K893" s="193"/>
      <c r="L893" s="193"/>
      <c r="M893" s="193"/>
      <c r="N893" s="193"/>
      <c r="O893" s="193"/>
      <c r="P893" s="193"/>
      <c r="Q893" s="193"/>
      <c r="R893" s="193"/>
      <c r="BB893" s="113" t="str">
        <f t="shared" si="269"/>
        <v/>
      </c>
    </row>
    <row r="894" spans="2:54">
      <c r="B894" s="119" t="s">
        <v>2415</v>
      </c>
      <c r="C894" s="124" t="s">
        <v>1101</v>
      </c>
      <c r="D894" s="120" t="s">
        <v>2418</v>
      </c>
      <c r="E894" s="120" t="s">
        <v>2417</v>
      </c>
      <c r="F894" s="133">
        <f t="shared" si="285"/>
        <v>92.244</v>
      </c>
      <c r="G894" s="133">
        <v>91.434</v>
      </c>
      <c r="H894" s="128">
        <v>91.3988</v>
      </c>
      <c r="I894" s="144">
        <f t="shared" si="286"/>
        <v>0.0352000000000032</v>
      </c>
      <c r="J894" s="115" t="str">
        <f t="shared" si="282"/>
        <v>445/50R22.5-20PR-HD4 Plus</v>
      </c>
      <c r="K894" s="193"/>
      <c r="L894" s="193"/>
      <c r="M894" s="193"/>
      <c r="N894" s="193"/>
      <c r="O894" s="193"/>
      <c r="P894" s="193"/>
      <c r="Q894" s="193"/>
      <c r="R894" s="193"/>
      <c r="BB894" s="113" t="str">
        <f t="shared" si="269"/>
        <v/>
      </c>
    </row>
    <row r="895" spans="2:54">
      <c r="B895" s="119" t="s">
        <v>2415</v>
      </c>
      <c r="C895" s="124" t="s">
        <v>1101</v>
      </c>
      <c r="D895" s="120" t="s">
        <v>2419</v>
      </c>
      <c r="E895" s="120" t="s">
        <v>2417</v>
      </c>
      <c r="F895" s="133">
        <f t="shared" si="285"/>
        <v>92.244</v>
      </c>
      <c r="G895" s="133">
        <v>91.434</v>
      </c>
      <c r="H895" s="128">
        <v>91.3988</v>
      </c>
      <c r="I895" s="144">
        <f t="shared" si="286"/>
        <v>0.0352000000000032</v>
      </c>
      <c r="J895" s="115" t="str">
        <f t="shared" si="282"/>
        <v>445/50R22.5-20PR-AD755</v>
      </c>
      <c r="K895" s="193"/>
      <c r="L895" s="193"/>
      <c r="M895" s="193"/>
      <c r="N895" s="193"/>
      <c r="O895" s="193"/>
      <c r="P895" s="193"/>
      <c r="Q895" s="193"/>
      <c r="R895" s="193"/>
      <c r="BB895" s="113" t="str">
        <f t="shared" si="269"/>
        <v/>
      </c>
    </row>
    <row r="896" spans="2:54">
      <c r="B896" s="119" t="s">
        <v>2415</v>
      </c>
      <c r="C896" s="124" t="s">
        <v>1101</v>
      </c>
      <c r="D896" s="120" t="s">
        <v>2420</v>
      </c>
      <c r="E896" s="120" t="s">
        <v>2417</v>
      </c>
      <c r="F896" s="133">
        <f t="shared" si="285"/>
        <v>92.244</v>
      </c>
      <c r="G896" s="133">
        <v>91.434</v>
      </c>
      <c r="H896" s="128">
        <v>91.3988</v>
      </c>
      <c r="I896" s="144">
        <f t="shared" si="286"/>
        <v>0.0352000000000032</v>
      </c>
      <c r="J896" s="115" t="str">
        <f t="shared" si="282"/>
        <v>445/50R22.5-20PR-RLINE-WD1</v>
      </c>
      <c r="K896" s="193"/>
      <c r="L896" s="193"/>
      <c r="M896" s="193"/>
      <c r="N896" s="193"/>
      <c r="O896" s="193"/>
      <c r="P896" s="193"/>
      <c r="Q896" s="193"/>
      <c r="R896" s="193"/>
      <c r="BB896" s="113" t="str">
        <f t="shared" si="269"/>
        <v/>
      </c>
    </row>
    <row r="897" spans="2:54">
      <c r="B897" s="148" t="s">
        <v>2415</v>
      </c>
      <c r="C897" s="222" t="s">
        <v>1101</v>
      </c>
      <c r="D897" s="125" t="s">
        <v>2421</v>
      </c>
      <c r="E897" s="125" t="s">
        <v>2422</v>
      </c>
      <c r="F897" s="160">
        <f t="shared" si="285"/>
        <v>76.368</v>
      </c>
      <c r="G897" s="160">
        <v>75.558</v>
      </c>
      <c r="H897" s="224">
        <v>75.63</v>
      </c>
      <c r="I897" s="144">
        <f t="shared" si="286"/>
        <v>-0.0719999999999885</v>
      </c>
      <c r="J897" s="115" t="str">
        <f t="shared" si="282"/>
        <v>445/50R22.5-20PR-TL32</v>
      </c>
      <c r="K897" s="193"/>
      <c r="L897" s="193"/>
      <c r="M897" s="193"/>
      <c r="N897" s="193"/>
      <c r="O897" s="193"/>
      <c r="P897" s="193"/>
      <c r="Q897" s="193"/>
      <c r="R897" s="193"/>
      <c r="BB897" s="113" t="str">
        <f t="shared" si="269"/>
        <v/>
      </c>
    </row>
    <row r="898" spans="2:54">
      <c r="B898" s="148" t="s">
        <v>2415</v>
      </c>
      <c r="C898" s="222" t="s">
        <v>1101</v>
      </c>
      <c r="D898" s="177" t="s">
        <v>2423</v>
      </c>
      <c r="E898" s="120" t="s">
        <v>2422</v>
      </c>
      <c r="F898" s="183">
        <f t="shared" si="285"/>
        <v>76.368</v>
      </c>
      <c r="G898" s="160">
        <v>75.558</v>
      </c>
      <c r="H898" s="224">
        <v>75.63</v>
      </c>
      <c r="I898" s="144">
        <f t="shared" si="286"/>
        <v>-0.0719999999999885</v>
      </c>
      <c r="J898" s="115" t="str">
        <f t="shared" si="282"/>
        <v>445/50R22.5-20PR-AT566</v>
      </c>
      <c r="K898" s="193"/>
      <c r="L898" s="193"/>
      <c r="M898" s="193"/>
      <c r="N898" s="193"/>
      <c r="O898" s="193"/>
      <c r="P898" s="193"/>
      <c r="Q898" s="193"/>
      <c r="R898" s="193"/>
      <c r="BB898" s="113" t="str">
        <f t="shared" si="269"/>
        <v/>
      </c>
    </row>
    <row r="899" spans="2:54">
      <c r="B899" s="148" t="s">
        <v>2415</v>
      </c>
      <c r="C899" s="222" t="s">
        <v>1101</v>
      </c>
      <c r="D899" s="125" t="s">
        <v>2424</v>
      </c>
      <c r="E899" s="138" t="s">
        <v>2422</v>
      </c>
      <c r="F899" s="160">
        <f t="shared" si="285"/>
        <v>76.368</v>
      </c>
      <c r="G899" s="160">
        <v>75.558</v>
      </c>
      <c r="H899" s="224">
        <v>75.63</v>
      </c>
      <c r="I899" s="144">
        <f t="shared" si="286"/>
        <v>-0.0719999999999885</v>
      </c>
      <c r="J899" s="115" t="str">
        <f t="shared" si="282"/>
        <v>445/50R22.5-20PR-VA905</v>
      </c>
      <c r="K899" s="193"/>
      <c r="L899" s="193"/>
      <c r="M899" s="193"/>
      <c r="N899" s="193"/>
      <c r="O899" s="193"/>
      <c r="P899" s="193"/>
      <c r="Q899" s="193"/>
      <c r="R899" s="193"/>
      <c r="BB899" s="113" t="str">
        <f t="shared" si="269"/>
        <v/>
      </c>
    </row>
    <row r="900" spans="2:54">
      <c r="B900" s="148" t="s">
        <v>2415</v>
      </c>
      <c r="C900" s="222" t="s">
        <v>1101</v>
      </c>
      <c r="D900" s="125" t="s">
        <v>2425</v>
      </c>
      <c r="E900" s="125" t="s">
        <v>2422</v>
      </c>
      <c r="F900" s="160">
        <f t="shared" si="285"/>
        <v>76.368</v>
      </c>
      <c r="G900" s="160">
        <v>75.558</v>
      </c>
      <c r="H900" s="224">
        <v>75.63</v>
      </c>
      <c r="I900" s="144">
        <f t="shared" si="286"/>
        <v>-0.0719999999999885</v>
      </c>
      <c r="J900" s="115" t="str">
        <f t="shared" si="282"/>
        <v>445/50R22.5-20PR-HT2 Plus</v>
      </c>
      <c r="K900" s="193"/>
      <c r="L900" s="193"/>
      <c r="M900" s="193"/>
      <c r="N900" s="193"/>
      <c r="O900" s="193"/>
      <c r="P900" s="193"/>
      <c r="Q900" s="193"/>
      <c r="R900" s="193"/>
      <c r="BB900" s="113" t="str">
        <f t="shared" si="269"/>
        <v/>
      </c>
    </row>
    <row r="901" spans="2:54">
      <c r="B901" s="148" t="s">
        <v>2415</v>
      </c>
      <c r="C901" s="222" t="s">
        <v>1101</v>
      </c>
      <c r="D901" s="125" t="s">
        <v>2426</v>
      </c>
      <c r="E901" s="125" t="s">
        <v>2422</v>
      </c>
      <c r="F901" s="160">
        <f t="shared" si="285"/>
        <v>76.368</v>
      </c>
      <c r="G901" s="160">
        <v>75.558</v>
      </c>
      <c r="H901" s="224">
        <v>75.63</v>
      </c>
      <c r="I901" s="144">
        <f t="shared" si="286"/>
        <v>-0.0719999999999885</v>
      </c>
      <c r="J901" s="115" t="str">
        <f t="shared" si="282"/>
        <v>445/50R22.5-20PR-AT570</v>
      </c>
      <c r="K901" s="193"/>
      <c r="L901" s="193"/>
      <c r="M901" s="193"/>
      <c r="N901" s="193"/>
      <c r="O901" s="193"/>
      <c r="P901" s="193"/>
      <c r="Q901" s="193"/>
      <c r="R901" s="193"/>
      <c r="BB901" s="113" t="str">
        <f t="shared" ref="BB901:BB964" si="287">_xlfn.TEXTJOIN("-",TRUE,AU901,AW901)</f>
        <v/>
      </c>
    </row>
    <row r="902" spans="2:54">
      <c r="B902" s="148" t="s">
        <v>2415</v>
      </c>
      <c r="C902" s="222" t="s">
        <v>1101</v>
      </c>
      <c r="D902" s="125" t="s">
        <v>2427</v>
      </c>
      <c r="E902" s="125" t="s">
        <v>2422</v>
      </c>
      <c r="F902" s="160">
        <f t="shared" si="285"/>
        <v>76.368</v>
      </c>
      <c r="G902" s="160">
        <v>75.558</v>
      </c>
      <c r="H902" s="224">
        <v>75.63</v>
      </c>
      <c r="I902" s="144">
        <f t="shared" si="286"/>
        <v>-0.0719999999999885</v>
      </c>
      <c r="J902" s="115" t="str">
        <f t="shared" si="282"/>
        <v>445/50R22.5-20PR-RLINE WA1</v>
      </c>
      <c r="K902" s="193"/>
      <c r="L902" s="193"/>
      <c r="M902" s="193"/>
      <c r="N902" s="193"/>
      <c r="O902" s="193"/>
      <c r="P902" s="193"/>
      <c r="Q902" s="193"/>
      <c r="R902" s="193"/>
      <c r="BB902" s="113" t="str">
        <f t="shared" si="287"/>
        <v/>
      </c>
    </row>
    <row r="903" spans="2:54">
      <c r="B903" s="148" t="s">
        <v>2415</v>
      </c>
      <c r="C903" s="222" t="s">
        <v>1101</v>
      </c>
      <c r="D903" s="125" t="s">
        <v>2428</v>
      </c>
      <c r="E903" s="125" t="s">
        <v>2422</v>
      </c>
      <c r="F903" s="160">
        <f t="shared" si="285"/>
        <v>76.368</v>
      </c>
      <c r="G903" s="160">
        <v>75.558</v>
      </c>
      <c r="H903" s="224">
        <v>75.63</v>
      </c>
      <c r="I903" s="144">
        <f t="shared" si="286"/>
        <v>-0.0719999999999885</v>
      </c>
      <c r="J903" s="115" t="str">
        <f t="shared" si="282"/>
        <v>445/50R22.5-20PR-M-TRAC WBT</v>
      </c>
      <c r="K903" s="193"/>
      <c r="L903" s="193"/>
      <c r="M903" s="193"/>
      <c r="N903" s="193"/>
      <c r="O903" s="193"/>
      <c r="P903" s="193"/>
      <c r="Q903" s="193"/>
      <c r="R903" s="193"/>
      <c r="BB903" s="113" t="str">
        <f t="shared" si="287"/>
        <v/>
      </c>
    </row>
    <row r="904" spans="2:54">
      <c r="B904" s="148" t="s">
        <v>2415</v>
      </c>
      <c r="C904" s="222" t="s">
        <v>1101</v>
      </c>
      <c r="D904" s="125" t="s">
        <v>2421</v>
      </c>
      <c r="E904" s="125" t="s">
        <v>2422</v>
      </c>
      <c r="F904" s="160">
        <f t="shared" si="285"/>
        <v>76.368</v>
      </c>
      <c r="G904" s="160">
        <v>75.558</v>
      </c>
      <c r="H904" s="224">
        <v>75.63</v>
      </c>
      <c r="I904" s="144">
        <f t="shared" si="286"/>
        <v>-0.0719999999999885</v>
      </c>
      <c r="J904" s="115" t="str">
        <f t="shared" si="282"/>
        <v>445/50R22.5-20PR-TL32</v>
      </c>
      <c r="K904" s="193"/>
      <c r="L904" s="193"/>
      <c r="M904" s="193"/>
      <c r="N904" s="193"/>
      <c r="O904" s="193"/>
      <c r="P904" s="193"/>
      <c r="Q904" s="193"/>
      <c r="R904" s="193"/>
      <c r="BB904" s="113" t="str">
        <f t="shared" si="287"/>
        <v/>
      </c>
    </row>
    <row r="905" spans="2:54">
      <c r="B905" s="148" t="s">
        <v>2415</v>
      </c>
      <c r="C905" s="222" t="s">
        <v>1101</v>
      </c>
      <c r="D905" s="125" t="s">
        <v>2429</v>
      </c>
      <c r="E905" s="125" t="s">
        <v>2422</v>
      </c>
      <c r="F905" s="160">
        <f t="shared" si="285"/>
        <v>76.368</v>
      </c>
      <c r="G905" s="160">
        <v>75.558</v>
      </c>
      <c r="H905" s="224">
        <v>75.63</v>
      </c>
      <c r="I905" s="144">
        <f t="shared" si="286"/>
        <v>-0.0719999999999885</v>
      </c>
      <c r="J905" s="115" t="str">
        <f t="shared" si="282"/>
        <v>445/50R22.5-20PR-ATL21</v>
      </c>
      <c r="K905" s="193"/>
      <c r="L905" s="193"/>
      <c r="M905" s="193"/>
      <c r="N905" s="193"/>
      <c r="O905" s="193"/>
      <c r="P905" s="193"/>
      <c r="Q905" s="193"/>
      <c r="R905" s="193"/>
      <c r="BB905" s="113" t="str">
        <f t="shared" si="287"/>
        <v/>
      </c>
    </row>
    <row r="906" spans="2:54">
      <c r="B906" s="191"/>
      <c r="C906" s="123"/>
      <c r="D906" s="123"/>
      <c r="E906" s="123"/>
      <c r="F906" s="130"/>
      <c r="G906" s="130"/>
      <c r="H906" s="123"/>
      <c r="I906" s="151"/>
      <c r="J906" s="115" t="str">
        <f t="shared" si="282"/>
        <v/>
      </c>
      <c r="K906" s="193"/>
      <c r="L906" s="193"/>
      <c r="M906" s="193"/>
      <c r="N906" s="193"/>
      <c r="O906" s="193"/>
      <c r="P906" s="193"/>
      <c r="Q906" s="193"/>
      <c r="R906" s="193"/>
      <c r="BB906" s="113" t="str">
        <f t="shared" si="287"/>
        <v/>
      </c>
    </row>
    <row r="907" spans="2:54">
      <c r="B907" s="223" t="s">
        <v>2430</v>
      </c>
      <c r="C907" s="120" t="s">
        <v>1101</v>
      </c>
      <c r="D907" s="120" t="s">
        <v>2409</v>
      </c>
      <c r="E907" s="125" t="s">
        <v>2431</v>
      </c>
      <c r="F907" s="133">
        <f t="shared" ref="F907:F909" si="288">G907-5.45+6.198</f>
        <v>92.027</v>
      </c>
      <c r="G907" s="133">
        <v>91.279</v>
      </c>
      <c r="H907" s="133">
        <v>91.2801</v>
      </c>
      <c r="I907" s="144">
        <f t="shared" ref="I907:I912" si="289">G907-H907</f>
        <v>-0.00110000000000809</v>
      </c>
      <c r="J907" s="115" t="str">
        <f t="shared" si="282"/>
        <v>445/65R22.5-20PR-W-Elite ZM42</v>
      </c>
      <c r="K907" s="193"/>
      <c r="L907" s="193"/>
      <c r="M907" s="193"/>
      <c r="N907" s="193"/>
      <c r="O907" s="193"/>
      <c r="P907" s="193"/>
      <c r="Q907" s="193"/>
      <c r="R907" s="193"/>
      <c r="BB907" s="113" t="str">
        <f t="shared" si="287"/>
        <v/>
      </c>
    </row>
    <row r="908" spans="2:54">
      <c r="B908" s="223" t="s">
        <v>2430</v>
      </c>
      <c r="C908" s="120" t="s">
        <v>1101</v>
      </c>
      <c r="D908" s="120" t="s">
        <v>2390</v>
      </c>
      <c r="E908" s="125" t="s">
        <v>2431</v>
      </c>
      <c r="F908" s="133">
        <f t="shared" si="288"/>
        <v>92.027</v>
      </c>
      <c r="G908" s="133">
        <v>91.279</v>
      </c>
      <c r="H908" s="133">
        <v>91.2801</v>
      </c>
      <c r="I908" s="144">
        <f t="shared" si="289"/>
        <v>-0.00110000000000809</v>
      </c>
      <c r="J908" s="115" t="str">
        <f t="shared" si="282"/>
        <v>445/65R22.5-20PR-AZ577</v>
      </c>
      <c r="K908" s="193"/>
      <c r="L908" s="193"/>
      <c r="M908" s="193"/>
      <c r="N908" s="193"/>
      <c r="O908" s="193"/>
      <c r="P908" s="193"/>
      <c r="Q908" s="193"/>
      <c r="R908" s="193"/>
      <c r="BB908" s="113" t="str">
        <f t="shared" si="287"/>
        <v/>
      </c>
    </row>
    <row r="909" spans="2:54">
      <c r="B909" s="223" t="s">
        <v>2430</v>
      </c>
      <c r="C909" s="120" t="s">
        <v>1101</v>
      </c>
      <c r="D909" s="120" t="s">
        <v>2399</v>
      </c>
      <c r="E909" s="125" t="s">
        <v>2431</v>
      </c>
      <c r="F909" s="133">
        <f t="shared" si="288"/>
        <v>92.027</v>
      </c>
      <c r="G909" s="133">
        <v>91.279</v>
      </c>
      <c r="H909" s="133">
        <v>91.2801</v>
      </c>
      <c r="I909" s="144">
        <f t="shared" si="289"/>
        <v>-0.00110000000000809</v>
      </c>
      <c r="J909" s="115" t="str">
        <f t="shared" si="282"/>
        <v>445/65R22.5-20PR-I-42W</v>
      </c>
      <c r="K909" s="193"/>
      <c r="L909" s="193"/>
      <c r="M909" s="193"/>
      <c r="N909" s="193"/>
      <c r="O909" s="193"/>
      <c r="P909" s="193"/>
      <c r="Q909" s="193"/>
      <c r="R909" s="193"/>
      <c r="BB909" s="113" t="str">
        <f t="shared" si="287"/>
        <v/>
      </c>
    </row>
    <row r="910" spans="2:54">
      <c r="B910" s="223" t="s">
        <v>2430</v>
      </c>
      <c r="C910" s="120" t="s">
        <v>1101</v>
      </c>
      <c r="D910" s="120" t="s">
        <v>2402</v>
      </c>
      <c r="E910" s="125" t="s">
        <v>2432</v>
      </c>
      <c r="F910" s="133">
        <f t="shared" ref="F910:F912" si="290">G910-5.45+6.2</f>
        <v>100.27</v>
      </c>
      <c r="G910" s="133">
        <v>99.52</v>
      </c>
      <c r="H910" s="133">
        <v>99.5</v>
      </c>
      <c r="I910" s="144">
        <f t="shared" si="289"/>
        <v>0.019999999999996</v>
      </c>
      <c r="J910" s="115" t="str">
        <f t="shared" si="282"/>
        <v>445/65R22.5-20PR-H-MW</v>
      </c>
      <c r="K910" s="193"/>
      <c r="L910" s="193"/>
      <c r="M910" s="193"/>
      <c r="N910" s="193"/>
      <c r="O910" s="193"/>
      <c r="P910" s="193"/>
      <c r="Q910" s="193"/>
      <c r="R910" s="193"/>
      <c r="BB910" s="113" t="str">
        <f t="shared" si="287"/>
        <v/>
      </c>
    </row>
    <row r="911" spans="2:54">
      <c r="B911" s="223" t="s">
        <v>2430</v>
      </c>
      <c r="C911" s="120" t="s">
        <v>1101</v>
      </c>
      <c r="D911" s="120" t="s">
        <v>1461</v>
      </c>
      <c r="E911" s="125" t="s">
        <v>2433</v>
      </c>
      <c r="F911" s="133">
        <f t="shared" si="290"/>
        <v>86.17</v>
      </c>
      <c r="G911" s="133">
        <v>85.42</v>
      </c>
      <c r="H911" s="133">
        <v>85.41</v>
      </c>
      <c r="I911" s="144">
        <f t="shared" si="289"/>
        <v>0.0100000000000051</v>
      </c>
      <c r="J911" s="115" t="str">
        <f t="shared" si="282"/>
        <v>445/65R22.5-20PR-CR976A</v>
      </c>
      <c r="K911" s="193"/>
      <c r="L911" s="193"/>
      <c r="M911" s="193"/>
      <c r="N911" s="193"/>
      <c r="O911" s="193"/>
      <c r="P911" s="193"/>
      <c r="Q911" s="193"/>
      <c r="R911" s="193"/>
      <c r="BB911" s="113" t="str">
        <f t="shared" si="287"/>
        <v/>
      </c>
    </row>
    <row r="912" spans="2:54">
      <c r="B912" s="223" t="s">
        <v>2430</v>
      </c>
      <c r="C912" s="120" t="s">
        <v>1101</v>
      </c>
      <c r="D912" s="120" t="s">
        <v>2405</v>
      </c>
      <c r="E912" s="125" t="s">
        <v>2433</v>
      </c>
      <c r="F912" s="133">
        <f t="shared" si="290"/>
        <v>86.17</v>
      </c>
      <c r="G912" s="133">
        <v>85.42</v>
      </c>
      <c r="H912" s="133">
        <v>85.41</v>
      </c>
      <c r="I912" s="144">
        <f t="shared" si="289"/>
        <v>0.0100000000000051</v>
      </c>
      <c r="J912" s="115" t="str">
        <f t="shared" si="282"/>
        <v>445/65R22.5-20PR-HA4 Plus</v>
      </c>
      <c r="K912" s="193"/>
      <c r="L912" s="193"/>
      <c r="M912" s="193"/>
      <c r="N912" s="193"/>
      <c r="O912" s="193"/>
      <c r="P912" s="193"/>
      <c r="Q912" s="193"/>
      <c r="R912" s="193"/>
      <c r="BB912" s="113" t="str">
        <f t="shared" si="287"/>
        <v/>
      </c>
    </row>
    <row r="913" spans="2:54">
      <c r="B913" s="191"/>
      <c r="C913" s="123"/>
      <c r="D913" s="123"/>
      <c r="E913" s="123"/>
      <c r="F913" s="130"/>
      <c r="G913" s="130"/>
      <c r="H913" s="123"/>
      <c r="I913" s="151"/>
      <c r="J913" s="115" t="str">
        <f t="shared" si="282"/>
        <v/>
      </c>
      <c r="K913" s="193"/>
      <c r="L913" s="193"/>
      <c r="M913" s="193"/>
      <c r="N913" s="193"/>
      <c r="O913" s="193"/>
      <c r="P913" s="193"/>
      <c r="Q913" s="193"/>
      <c r="R913" s="193"/>
      <c r="BB913" s="113" t="str">
        <f t="shared" si="287"/>
        <v/>
      </c>
    </row>
    <row r="914" spans="2:54">
      <c r="B914" s="223" t="s">
        <v>1542</v>
      </c>
      <c r="C914" s="120" t="s">
        <v>958</v>
      </c>
      <c r="D914" s="120" t="s">
        <v>1751</v>
      </c>
      <c r="E914" s="125" t="s">
        <v>2434</v>
      </c>
      <c r="F914" s="133">
        <f>G914-1.44+1.68</f>
        <v>21.29</v>
      </c>
      <c r="G914" s="133">
        <v>21.05</v>
      </c>
      <c r="H914" s="133">
        <v>21.05</v>
      </c>
      <c r="I914" s="144">
        <f t="shared" ref="I914:I917" si="291">G914-H914</f>
        <v>0</v>
      </c>
      <c r="J914" s="115" t="str">
        <f t="shared" ref="J914:J935" si="292">_xlfn.TEXTJOIN("-",TRUE,B914,C914,D914)</f>
        <v>ST225/75R15-14PR-CR960A</v>
      </c>
      <c r="K914" s="193"/>
      <c r="L914" s="193"/>
      <c r="M914" s="193"/>
      <c r="N914" s="193"/>
      <c r="O914" s="193"/>
      <c r="P914" s="193"/>
      <c r="Q914" s="193"/>
      <c r="R914" s="193"/>
      <c r="BB914" s="113" t="str">
        <f t="shared" si="287"/>
        <v/>
      </c>
    </row>
    <row r="915" spans="2:54">
      <c r="B915" s="223" t="s">
        <v>1616</v>
      </c>
      <c r="C915" s="120" t="s">
        <v>1074</v>
      </c>
      <c r="D915" s="121" t="s">
        <v>1751</v>
      </c>
      <c r="E915" s="120" t="s">
        <v>2435</v>
      </c>
      <c r="F915" s="133" t="s">
        <v>66</v>
      </c>
      <c r="G915" s="133">
        <v>24.786</v>
      </c>
      <c r="H915" s="133">
        <v>24.709</v>
      </c>
      <c r="I915" s="144">
        <f t="shared" si="291"/>
        <v>0.0770000000000017</v>
      </c>
      <c r="J915" s="115" t="str">
        <f t="shared" si="292"/>
        <v>ST235/80R16-16PR-CR960A</v>
      </c>
      <c r="K915" s="193"/>
      <c r="L915" s="193"/>
      <c r="M915" s="193"/>
      <c r="N915" s="193"/>
      <c r="O915" s="193"/>
      <c r="P915" s="193"/>
      <c r="Q915" s="193"/>
      <c r="R915" s="193"/>
      <c r="BB915" s="113" t="str">
        <f t="shared" si="287"/>
        <v/>
      </c>
    </row>
    <row r="916" spans="2:54">
      <c r="B916" s="223" t="s">
        <v>1674</v>
      </c>
      <c r="C916" s="120" t="s">
        <v>1074</v>
      </c>
      <c r="D916" s="120" t="s">
        <v>1751</v>
      </c>
      <c r="E916" s="138" t="s">
        <v>2436</v>
      </c>
      <c r="F916" s="133" t="s">
        <v>66</v>
      </c>
      <c r="G916" s="133">
        <v>25.362</v>
      </c>
      <c r="H916" s="133">
        <v>25.28</v>
      </c>
      <c r="I916" s="144">
        <f t="shared" si="291"/>
        <v>0.0819999999999972</v>
      </c>
      <c r="J916" s="115" t="str">
        <f t="shared" si="292"/>
        <v>ST235/85R16-16PR-CR960A</v>
      </c>
      <c r="K916" s="193"/>
      <c r="L916" s="193"/>
      <c r="M916" s="193"/>
      <c r="N916" s="193"/>
      <c r="O916" s="193"/>
      <c r="P916" s="193"/>
      <c r="Q916" s="193"/>
      <c r="R916" s="193"/>
      <c r="BB916" s="113" t="str">
        <f t="shared" si="287"/>
        <v/>
      </c>
    </row>
    <row r="917" spans="2:54">
      <c r="B917" s="223" t="s">
        <v>1674</v>
      </c>
      <c r="C917" s="120" t="s">
        <v>1074</v>
      </c>
      <c r="D917" s="121" t="s">
        <v>2437</v>
      </c>
      <c r="E917" s="120" t="s">
        <v>2436</v>
      </c>
      <c r="F917" s="133" t="s">
        <v>66</v>
      </c>
      <c r="G917" s="133">
        <v>25.362</v>
      </c>
      <c r="H917" s="133">
        <v>25.28</v>
      </c>
      <c r="I917" s="144">
        <f t="shared" si="291"/>
        <v>0.0819999999999972</v>
      </c>
      <c r="J917" s="115" t="str">
        <f t="shared" si="292"/>
        <v>ST235/85R16-16PR-RT809</v>
      </c>
      <c r="K917" s="193"/>
      <c r="L917" s="193"/>
      <c r="M917" s="193"/>
      <c r="N917" s="193"/>
      <c r="O917" s="193"/>
      <c r="P917" s="193"/>
      <c r="Q917" s="193"/>
      <c r="R917" s="193"/>
      <c r="BB917" s="113" t="str">
        <f t="shared" si="287"/>
        <v/>
      </c>
    </row>
    <row r="918" spans="2:54">
      <c r="B918" s="191"/>
      <c r="C918" s="123"/>
      <c r="D918" s="123"/>
      <c r="E918" s="123"/>
      <c r="F918" s="130"/>
      <c r="G918" s="130"/>
      <c r="H918" s="123"/>
      <c r="I918" s="151"/>
      <c r="J918" s="115" t="str">
        <f t="shared" si="292"/>
        <v/>
      </c>
      <c r="K918" s="193"/>
      <c r="L918" s="193"/>
      <c r="M918" s="193"/>
      <c r="N918" s="193"/>
      <c r="O918" s="193"/>
      <c r="P918" s="193"/>
      <c r="Q918" s="193"/>
      <c r="R918" s="193"/>
      <c r="BB918" s="113" t="str">
        <f t="shared" si="287"/>
        <v/>
      </c>
    </row>
    <row r="919" spans="2:54">
      <c r="B919" s="119" t="s">
        <v>2438</v>
      </c>
      <c r="C919" s="120" t="s">
        <v>1925</v>
      </c>
      <c r="D919" s="120" t="s">
        <v>2439</v>
      </c>
      <c r="E919" s="125" t="s">
        <v>2440</v>
      </c>
      <c r="F919" s="133" t="s">
        <v>66</v>
      </c>
      <c r="G919" s="133">
        <v>55.56</v>
      </c>
      <c r="H919" s="133">
        <v>57.02</v>
      </c>
      <c r="I919" s="144">
        <f>G919-H919</f>
        <v>-1.46</v>
      </c>
      <c r="J919" s="115" t="str">
        <f t="shared" si="292"/>
        <v>41x13R20-22PR-AR97</v>
      </c>
      <c r="K919" s="193"/>
      <c r="L919" s="193"/>
      <c r="M919" s="193"/>
      <c r="N919" s="193"/>
      <c r="O919" s="193"/>
      <c r="P919" s="193"/>
      <c r="Q919" s="193"/>
      <c r="R919" s="193"/>
      <c r="BB919" s="113" t="str">
        <f t="shared" si="287"/>
        <v/>
      </c>
    </row>
    <row r="920" ht="17.75" spans="2:54">
      <c r="B920" s="198"/>
      <c r="C920" s="199"/>
      <c r="D920" s="199"/>
      <c r="E920" s="199"/>
      <c r="F920" s="202"/>
      <c r="G920" s="202"/>
      <c r="H920" s="199"/>
      <c r="I920" s="203"/>
      <c r="J920" s="115" t="str">
        <f t="shared" si="292"/>
        <v/>
      </c>
      <c r="K920" s="193"/>
      <c r="L920" s="193"/>
      <c r="M920" s="193"/>
      <c r="N920" s="193"/>
      <c r="O920" s="193"/>
      <c r="P920" s="193"/>
      <c r="Q920" s="193"/>
      <c r="R920" s="193"/>
      <c r="BB920" s="113" t="str">
        <f t="shared" si="287"/>
        <v/>
      </c>
    </row>
    <row r="921" spans="10:54">
      <c r="J921" s="115" t="str">
        <f t="shared" si="292"/>
        <v/>
      </c>
      <c r="K921" s="193"/>
      <c r="L921" s="193"/>
      <c r="M921" s="193"/>
      <c r="N921" s="193"/>
      <c r="O921" s="193"/>
      <c r="P921" s="193"/>
      <c r="Q921" s="193"/>
      <c r="R921" s="193"/>
      <c r="BB921" s="113" t="str">
        <f t="shared" si="287"/>
        <v/>
      </c>
    </row>
    <row r="922" spans="2:54">
      <c r="B922" s="193"/>
      <c r="C922" s="193"/>
      <c r="D922" s="193"/>
      <c r="E922" s="193"/>
      <c r="F922" s="193"/>
      <c r="G922" s="193"/>
      <c r="H922" s="193"/>
      <c r="I922" s="193"/>
      <c r="J922" s="115" t="str">
        <f t="shared" si="292"/>
        <v/>
      </c>
      <c r="K922" s="193"/>
      <c r="L922" s="193"/>
      <c r="M922" s="193"/>
      <c r="N922" s="193"/>
      <c r="O922" s="193"/>
      <c r="P922" s="193"/>
      <c r="Q922" s="193"/>
      <c r="R922" s="193"/>
      <c r="BB922" s="113" t="str">
        <f t="shared" si="287"/>
        <v/>
      </c>
    </row>
    <row r="923" spans="2:54">
      <c r="B923" s="193"/>
      <c r="C923" s="193"/>
      <c r="D923" s="193"/>
      <c r="E923" s="193"/>
      <c r="F923" s="193"/>
      <c r="G923" s="193"/>
      <c r="H923" s="193"/>
      <c r="I923" s="193"/>
      <c r="J923" s="115" t="str">
        <f t="shared" si="292"/>
        <v/>
      </c>
      <c r="K923" s="193"/>
      <c r="L923" s="193"/>
      <c r="M923" s="193"/>
      <c r="N923" s="193"/>
      <c r="O923" s="193"/>
      <c r="P923" s="193"/>
      <c r="Q923" s="193"/>
      <c r="R923" s="193"/>
      <c r="BB923" s="113" t="str">
        <f t="shared" si="287"/>
        <v/>
      </c>
    </row>
    <row r="924" spans="2:54">
      <c r="B924" s="193"/>
      <c r="C924" s="193"/>
      <c r="D924" s="193"/>
      <c r="E924" s="193"/>
      <c r="F924" s="193"/>
      <c r="G924" s="193"/>
      <c r="H924" s="193"/>
      <c r="I924" s="193"/>
      <c r="J924" s="115" t="str">
        <f t="shared" si="292"/>
        <v/>
      </c>
      <c r="K924" s="193"/>
      <c r="L924" s="193"/>
      <c r="M924" s="193"/>
      <c r="N924" s="193"/>
      <c r="O924" s="193"/>
      <c r="P924" s="193"/>
      <c r="Q924" s="193"/>
      <c r="R924" s="193"/>
      <c r="BB924" s="113" t="str">
        <f t="shared" si="287"/>
        <v/>
      </c>
    </row>
    <row r="925" spans="2:54">
      <c r="B925" s="193"/>
      <c r="C925" s="193"/>
      <c r="D925" s="193"/>
      <c r="E925" s="193"/>
      <c r="F925" s="193"/>
      <c r="G925" s="193">
        <v>49.065</v>
      </c>
      <c r="H925" s="193"/>
      <c r="I925" s="193"/>
      <c r="J925" s="115" t="s">
        <v>2324</v>
      </c>
      <c r="K925" s="193"/>
      <c r="L925" s="193"/>
      <c r="M925" s="193"/>
      <c r="N925" s="193"/>
      <c r="O925" s="193"/>
      <c r="P925" s="193"/>
      <c r="Q925" s="193"/>
      <c r="R925" s="193"/>
      <c r="BB925" s="113" t="str">
        <f t="shared" si="287"/>
        <v/>
      </c>
    </row>
    <row r="926" spans="2:54">
      <c r="B926" s="193"/>
      <c r="C926" s="193"/>
      <c r="D926" s="193"/>
      <c r="E926" s="193"/>
      <c r="F926" s="193"/>
      <c r="G926" s="193">
        <v>54.244</v>
      </c>
      <c r="H926" s="193"/>
      <c r="I926" s="193"/>
      <c r="J926" s="115" t="s">
        <v>2325</v>
      </c>
      <c r="K926" s="193"/>
      <c r="L926" s="193"/>
      <c r="M926" s="193"/>
      <c r="N926" s="193"/>
      <c r="O926" s="193"/>
      <c r="P926" s="193"/>
      <c r="Q926" s="193"/>
      <c r="R926" s="193"/>
      <c r="BB926" s="113" t="str">
        <f t="shared" si="287"/>
        <v/>
      </c>
    </row>
    <row r="927" spans="2:54">
      <c r="B927" s="193"/>
      <c r="C927" s="193"/>
      <c r="D927" s="193"/>
      <c r="E927" s="193"/>
      <c r="F927" s="193"/>
      <c r="G927" s="193">
        <v>51.024</v>
      </c>
      <c r="H927" s="193"/>
      <c r="I927" s="193"/>
      <c r="J927" s="115" t="s">
        <v>2328</v>
      </c>
      <c r="K927" s="193"/>
      <c r="L927" s="193"/>
      <c r="M927" s="193"/>
      <c r="N927" s="193"/>
      <c r="O927" s="193"/>
      <c r="P927" s="193"/>
      <c r="Q927" s="193"/>
      <c r="R927" s="193"/>
      <c r="BB927" s="113" t="str">
        <f t="shared" si="287"/>
        <v/>
      </c>
    </row>
    <row r="928" spans="2:54">
      <c r="B928" s="193"/>
      <c r="C928" s="193"/>
      <c r="D928" s="193"/>
      <c r="E928" s="193"/>
      <c r="F928" s="193"/>
      <c r="G928" s="193">
        <v>60.324</v>
      </c>
      <c r="H928" s="193"/>
      <c r="I928" s="193"/>
      <c r="J928" s="115" t="s">
        <v>2330</v>
      </c>
      <c r="K928" s="193"/>
      <c r="L928" s="193"/>
      <c r="M928" s="193"/>
      <c r="N928" s="193"/>
      <c r="O928" s="193"/>
      <c r="P928" s="193"/>
      <c r="Q928" s="193"/>
      <c r="R928" s="193"/>
      <c r="BB928" s="113" t="str">
        <f t="shared" si="287"/>
        <v/>
      </c>
    </row>
    <row r="929" spans="2:54">
      <c r="B929" s="193"/>
      <c r="C929" s="193"/>
      <c r="D929" s="193"/>
      <c r="E929" s="193"/>
      <c r="F929" s="193"/>
      <c r="G929" s="193">
        <v>53.218</v>
      </c>
      <c r="H929" s="193"/>
      <c r="I929" s="193"/>
      <c r="J929" s="115" t="s">
        <v>2332</v>
      </c>
      <c r="K929" s="193"/>
      <c r="L929" s="193"/>
      <c r="M929" s="193"/>
      <c r="N929" s="193"/>
      <c r="O929" s="193"/>
      <c r="P929" s="193"/>
      <c r="Q929" s="193"/>
      <c r="R929" s="193"/>
      <c r="BB929" s="113" t="str">
        <f t="shared" si="287"/>
        <v/>
      </c>
    </row>
    <row r="930" spans="2:54">
      <c r="B930" s="193"/>
      <c r="C930" s="193"/>
      <c r="D930" s="193"/>
      <c r="E930" s="193"/>
      <c r="F930" s="193"/>
      <c r="G930" s="193">
        <v>64.868</v>
      </c>
      <c r="H930" s="193"/>
      <c r="I930" s="193"/>
      <c r="J930" s="115" t="s">
        <v>2334</v>
      </c>
      <c r="K930" s="193"/>
      <c r="L930" s="193"/>
      <c r="M930" s="193"/>
      <c r="N930" s="193"/>
      <c r="O930" s="193"/>
      <c r="P930" s="193"/>
      <c r="Q930" s="193"/>
      <c r="R930" s="193"/>
      <c r="BB930" s="113" t="str">
        <f t="shared" si="287"/>
        <v/>
      </c>
    </row>
    <row r="931" spans="2:54">
      <c r="B931" s="193"/>
      <c r="C931" s="193"/>
      <c r="D931" s="193"/>
      <c r="E931" s="193"/>
      <c r="F931" s="193"/>
      <c r="G931" s="193">
        <v>57.716</v>
      </c>
      <c r="H931" s="193"/>
      <c r="I931" s="193"/>
      <c r="J931" s="115" t="s">
        <v>2336</v>
      </c>
      <c r="K931" s="193"/>
      <c r="L931" s="193"/>
      <c r="M931" s="193"/>
      <c r="N931" s="193"/>
      <c r="O931" s="193"/>
      <c r="P931" s="193"/>
      <c r="Q931" s="193"/>
      <c r="R931" s="193"/>
      <c r="BB931" s="113" t="str">
        <f t="shared" si="287"/>
        <v/>
      </c>
    </row>
    <row r="932" spans="2:54">
      <c r="B932" s="193"/>
      <c r="C932" s="193"/>
      <c r="D932" s="193"/>
      <c r="E932" s="193"/>
      <c r="F932" s="193"/>
      <c r="G932" s="193">
        <v>49.12</v>
      </c>
      <c r="H932" s="193"/>
      <c r="I932" s="193"/>
      <c r="J932" s="115" t="s">
        <v>2338</v>
      </c>
      <c r="K932" s="193"/>
      <c r="L932" s="193"/>
      <c r="M932" s="193"/>
      <c r="N932" s="193"/>
      <c r="O932" s="193"/>
      <c r="P932" s="193"/>
      <c r="Q932" s="193"/>
      <c r="R932" s="193"/>
      <c r="BB932" s="113" t="str">
        <f t="shared" si="287"/>
        <v/>
      </c>
    </row>
    <row r="933" spans="2:54">
      <c r="B933" s="193"/>
      <c r="C933" s="193"/>
      <c r="D933" s="193"/>
      <c r="E933" s="193"/>
      <c r="F933" s="193"/>
      <c r="G933" s="193">
        <v>68.72</v>
      </c>
      <c r="H933" s="193"/>
      <c r="I933" s="193"/>
      <c r="J933" s="115" t="s">
        <v>2339</v>
      </c>
      <c r="K933" s="193"/>
      <c r="L933" s="193"/>
      <c r="M933" s="193"/>
      <c r="N933" s="193"/>
      <c r="O933" s="193"/>
      <c r="P933" s="193"/>
      <c r="Q933" s="193"/>
      <c r="R933" s="193"/>
      <c r="BB933" s="113" t="str">
        <f t="shared" si="287"/>
        <v/>
      </c>
    </row>
    <row r="934" spans="2:54">
      <c r="B934" s="193"/>
      <c r="C934" s="193"/>
      <c r="D934" s="193"/>
      <c r="E934" s="193"/>
      <c r="F934" s="193"/>
      <c r="G934" s="193">
        <v>28.65</v>
      </c>
      <c r="H934" s="193"/>
      <c r="I934" s="193"/>
      <c r="J934" s="115" t="s">
        <v>2342</v>
      </c>
      <c r="K934" s="193"/>
      <c r="L934" s="193"/>
      <c r="M934" s="193"/>
      <c r="N934" s="193"/>
      <c r="O934" s="193"/>
      <c r="P934" s="193"/>
      <c r="Q934" s="193"/>
      <c r="R934" s="193"/>
      <c r="BB934" s="113" t="str">
        <f t="shared" si="287"/>
        <v/>
      </c>
    </row>
    <row r="935" spans="2:54">
      <c r="B935" s="193"/>
      <c r="C935" s="193"/>
      <c r="D935" s="193"/>
      <c r="E935" s="193"/>
      <c r="F935" s="193"/>
      <c r="G935" s="193">
        <v>29.488</v>
      </c>
      <c r="H935" s="193"/>
      <c r="I935" s="193"/>
      <c r="J935" s="115" t="s">
        <v>2343</v>
      </c>
      <c r="K935" s="193"/>
      <c r="L935" s="193"/>
      <c r="M935" s="193"/>
      <c r="N935" s="193"/>
      <c r="O935" s="193"/>
      <c r="P935" s="193"/>
      <c r="Q935" s="193"/>
      <c r="R935" s="193"/>
      <c r="BB935" s="113" t="str">
        <f t="shared" si="287"/>
        <v/>
      </c>
    </row>
    <row r="936" spans="2:54">
      <c r="B936" s="193"/>
      <c r="C936" s="193"/>
      <c r="D936" s="193"/>
      <c r="E936" s="193"/>
      <c r="F936" s="193"/>
      <c r="G936" s="193">
        <v>33.283</v>
      </c>
      <c r="H936" s="193"/>
      <c r="I936" s="193"/>
      <c r="J936" s="115" t="s">
        <v>2346</v>
      </c>
      <c r="K936" s="193"/>
      <c r="L936" s="193"/>
      <c r="M936" s="193"/>
      <c r="N936" s="193"/>
      <c r="O936" s="193"/>
      <c r="P936" s="193"/>
      <c r="Q936" s="193"/>
      <c r="R936" s="193"/>
      <c r="BB936" s="113" t="str">
        <f t="shared" si="287"/>
        <v/>
      </c>
    </row>
    <row r="937" spans="2:54">
      <c r="B937" s="193"/>
      <c r="C937" s="193"/>
      <c r="D937" s="193"/>
      <c r="E937" s="193"/>
      <c r="F937" s="193"/>
      <c r="G937" s="193">
        <v>41.378</v>
      </c>
      <c r="H937" s="193"/>
      <c r="I937" s="193"/>
      <c r="J937" s="115" t="s">
        <v>2349</v>
      </c>
      <c r="K937" s="193"/>
      <c r="L937" s="193"/>
      <c r="M937" s="193"/>
      <c r="N937" s="193"/>
      <c r="O937" s="193"/>
      <c r="P937" s="193"/>
      <c r="Q937" s="193"/>
      <c r="R937" s="193"/>
      <c r="BB937" s="113" t="str">
        <f t="shared" si="287"/>
        <v/>
      </c>
    </row>
    <row r="938" spans="2:54">
      <c r="B938" s="193"/>
      <c r="C938" s="193"/>
      <c r="D938" s="193"/>
      <c r="E938" s="193"/>
      <c r="F938" s="193"/>
      <c r="G938" s="193">
        <v>47.43</v>
      </c>
      <c r="H938" s="193"/>
      <c r="I938" s="193"/>
      <c r="J938" s="115" t="s">
        <v>2352</v>
      </c>
      <c r="K938" s="193"/>
      <c r="L938" s="193"/>
      <c r="M938" s="193"/>
      <c r="N938" s="193"/>
      <c r="O938" s="193"/>
      <c r="P938" s="193"/>
      <c r="Q938" s="193"/>
      <c r="R938" s="193"/>
      <c r="BB938" s="113" t="str">
        <f t="shared" si="287"/>
        <v/>
      </c>
    </row>
    <row r="939" spans="2:54">
      <c r="B939" s="193"/>
      <c r="C939" s="193"/>
      <c r="D939" s="193"/>
      <c r="E939" s="193"/>
      <c r="F939" s="193"/>
      <c r="G939" s="193">
        <v>55.991</v>
      </c>
      <c r="H939" s="193"/>
      <c r="I939" s="193"/>
      <c r="J939" s="115" t="s">
        <v>2354</v>
      </c>
      <c r="K939" s="193"/>
      <c r="L939" s="193"/>
      <c r="M939" s="193"/>
      <c r="N939" s="193"/>
      <c r="O939" s="193"/>
      <c r="P939" s="193"/>
      <c r="Q939" s="193"/>
      <c r="R939" s="193"/>
      <c r="BB939" s="113" t="str">
        <f t="shared" si="287"/>
        <v/>
      </c>
    </row>
    <row r="940" spans="2:54">
      <c r="B940" s="193"/>
      <c r="C940" s="193"/>
      <c r="D940" s="193"/>
      <c r="E940" s="193"/>
      <c r="F940" s="193"/>
      <c r="G940" s="193">
        <v>78.87</v>
      </c>
      <c r="H940" s="193"/>
      <c r="I940" s="193"/>
      <c r="J940" s="115" t="s">
        <v>2356</v>
      </c>
      <c r="K940" s="193"/>
      <c r="L940" s="193"/>
      <c r="M940" s="193"/>
      <c r="N940" s="193"/>
      <c r="O940" s="193"/>
      <c r="P940" s="193"/>
      <c r="Q940" s="193"/>
      <c r="R940" s="193"/>
      <c r="BB940" s="113" t="str">
        <f t="shared" si="287"/>
        <v/>
      </c>
    </row>
    <row r="941" spans="2:54">
      <c r="B941" s="193"/>
      <c r="C941" s="193"/>
      <c r="D941" s="193"/>
      <c r="E941" s="193"/>
      <c r="F941" s="193"/>
      <c r="G941" s="193">
        <v>93.68</v>
      </c>
      <c r="H941" s="193"/>
      <c r="I941" s="193"/>
      <c r="J941" s="115" t="s">
        <v>2359</v>
      </c>
      <c r="K941" s="193"/>
      <c r="L941" s="193"/>
      <c r="M941" s="193"/>
      <c r="N941" s="193"/>
      <c r="O941" s="193"/>
      <c r="P941" s="193"/>
      <c r="Q941" s="193"/>
      <c r="R941" s="193"/>
      <c r="BB941" s="113" t="str">
        <f t="shared" si="287"/>
        <v/>
      </c>
    </row>
    <row r="942" spans="2:54">
      <c r="B942" s="193"/>
      <c r="C942" s="193"/>
      <c r="D942" s="193"/>
      <c r="E942" s="193"/>
      <c r="F942" s="193"/>
      <c r="G942" s="193">
        <v>99.52</v>
      </c>
      <c r="H942" s="193"/>
      <c r="I942" s="193"/>
      <c r="J942" s="115" t="s">
        <v>2361</v>
      </c>
      <c r="K942" s="193"/>
      <c r="L942" s="193"/>
      <c r="M942" s="193"/>
      <c r="N942" s="193"/>
      <c r="O942" s="193"/>
      <c r="P942" s="193"/>
      <c r="Q942" s="193"/>
      <c r="R942" s="193"/>
      <c r="BB942" s="113" t="str">
        <f t="shared" si="287"/>
        <v/>
      </c>
    </row>
    <row r="943" spans="2:54">
      <c r="B943" s="193"/>
      <c r="C943" s="193"/>
      <c r="D943" s="193"/>
      <c r="E943" s="193"/>
      <c r="F943" s="193"/>
      <c r="G943" s="193">
        <v>67.872</v>
      </c>
      <c r="H943" s="193"/>
      <c r="I943" s="193"/>
      <c r="J943" s="115" t="s">
        <v>2363</v>
      </c>
      <c r="K943" s="193"/>
      <c r="L943" s="193"/>
      <c r="M943" s="193"/>
      <c r="N943" s="193"/>
      <c r="O943" s="193"/>
      <c r="P943" s="193"/>
      <c r="Q943" s="193"/>
      <c r="R943" s="193"/>
      <c r="BB943" s="113" t="str">
        <f t="shared" si="287"/>
        <v/>
      </c>
    </row>
    <row r="944" spans="2:54">
      <c r="B944" s="193"/>
      <c r="C944" s="193"/>
      <c r="D944" s="193"/>
      <c r="E944" s="193"/>
      <c r="F944" s="193"/>
      <c r="G944" s="193">
        <v>68.91</v>
      </c>
      <c r="H944" s="193"/>
      <c r="I944" s="193"/>
      <c r="J944" s="115" t="s">
        <v>2366</v>
      </c>
      <c r="K944" s="193"/>
      <c r="L944" s="193"/>
      <c r="M944" s="193"/>
      <c r="N944" s="193"/>
      <c r="O944" s="193"/>
      <c r="P944" s="193"/>
      <c r="Q944" s="193"/>
      <c r="R944" s="193"/>
      <c r="BB944" s="113" t="str">
        <f t="shared" si="287"/>
        <v/>
      </c>
    </row>
    <row r="945" spans="2:54">
      <c r="B945" s="193"/>
      <c r="C945" s="193"/>
      <c r="D945" s="193"/>
      <c r="E945" s="193"/>
      <c r="F945" s="193"/>
      <c r="G945" s="193">
        <v>25.523</v>
      </c>
      <c r="H945" s="193"/>
      <c r="I945" s="193"/>
      <c r="J945" s="115" t="s">
        <v>2368</v>
      </c>
      <c r="K945" s="193"/>
      <c r="L945" s="193"/>
      <c r="M945" s="193"/>
      <c r="N945" s="193"/>
      <c r="O945" s="193"/>
      <c r="P945" s="193"/>
      <c r="Q945" s="193"/>
      <c r="R945" s="193"/>
      <c r="BB945" s="113" t="str">
        <f t="shared" si="287"/>
        <v/>
      </c>
    </row>
    <row r="946" spans="2:54">
      <c r="B946" s="193"/>
      <c r="C946" s="193"/>
      <c r="D946" s="193"/>
      <c r="E946" s="193"/>
      <c r="F946" s="193"/>
      <c r="G946" s="193">
        <v>29.488</v>
      </c>
      <c r="H946" s="193"/>
      <c r="I946" s="193"/>
      <c r="J946" s="115" t="s">
        <v>2371</v>
      </c>
      <c r="K946" s="193"/>
      <c r="L946" s="193"/>
      <c r="M946" s="193"/>
      <c r="N946" s="193"/>
      <c r="O946" s="193"/>
      <c r="P946" s="193"/>
      <c r="Q946" s="193"/>
      <c r="R946" s="193"/>
      <c r="BB946" s="113" t="str">
        <f t="shared" si="287"/>
        <v/>
      </c>
    </row>
    <row r="947" spans="2:54">
      <c r="B947" s="193"/>
      <c r="C947" s="193"/>
      <c r="D947" s="193"/>
      <c r="E947" s="193"/>
      <c r="F947" s="193"/>
      <c r="G947" s="193">
        <v>34.45</v>
      </c>
      <c r="H947" s="193"/>
      <c r="I947" s="193"/>
      <c r="J947" s="115" t="s">
        <v>2372</v>
      </c>
      <c r="K947" s="193"/>
      <c r="L947" s="193"/>
      <c r="M947" s="193"/>
      <c r="N947" s="193"/>
      <c r="O947" s="193"/>
      <c r="P947" s="193"/>
      <c r="Q947" s="193"/>
      <c r="R947" s="193"/>
      <c r="BB947" s="113" t="str">
        <f t="shared" si="287"/>
        <v/>
      </c>
    </row>
    <row r="948" spans="2:54">
      <c r="B948" s="193"/>
      <c r="C948" s="193"/>
      <c r="D948" s="193"/>
      <c r="E948" s="193"/>
      <c r="F948" s="193"/>
      <c r="G948" s="193">
        <v>35.03</v>
      </c>
      <c r="H948" s="193"/>
      <c r="I948" s="193"/>
      <c r="J948" s="115" t="s">
        <v>2376</v>
      </c>
      <c r="K948" s="193"/>
      <c r="L948" s="193"/>
      <c r="M948" s="193"/>
      <c r="N948" s="193"/>
      <c r="O948" s="193"/>
      <c r="P948" s="193"/>
      <c r="Q948" s="193"/>
      <c r="R948" s="193"/>
      <c r="BB948" s="113" t="str">
        <f t="shared" si="287"/>
        <v/>
      </c>
    </row>
    <row r="949" spans="2:54">
      <c r="B949" s="193"/>
      <c r="C949" s="193"/>
      <c r="D949" s="193"/>
      <c r="E949" s="193"/>
      <c r="F949" s="193"/>
      <c r="G949" s="193">
        <v>35.701</v>
      </c>
      <c r="H949" s="193"/>
      <c r="I949" s="193"/>
      <c r="J949" s="115" t="s">
        <v>2378</v>
      </c>
      <c r="K949" s="193"/>
      <c r="L949" s="193"/>
      <c r="M949" s="193"/>
      <c r="N949" s="193"/>
      <c r="O949" s="193"/>
      <c r="P949" s="193"/>
      <c r="Q949" s="193"/>
      <c r="R949" s="193"/>
      <c r="BB949" s="113" t="str">
        <f t="shared" si="287"/>
        <v/>
      </c>
    </row>
    <row r="950" spans="2:54">
      <c r="B950" s="193"/>
      <c r="C950" s="193"/>
      <c r="D950" s="193"/>
      <c r="E950" s="193"/>
      <c r="F950" s="193"/>
      <c r="G950" s="193">
        <v>29.461</v>
      </c>
      <c r="H950" s="193"/>
      <c r="I950" s="193"/>
      <c r="J950" s="115" t="s">
        <v>2380</v>
      </c>
      <c r="K950" s="193"/>
      <c r="L950" s="193"/>
      <c r="M950" s="193"/>
      <c r="N950" s="193"/>
      <c r="O950" s="193"/>
      <c r="P950" s="193"/>
      <c r="Q950" s="193"/>
      <c r="R950" s="193"/>
      <c r="BB950" s="113" t="str">
        <f t="shared" si="287"/>
        <v/>
      </c>
    </row>
    <row r="951" spans="2:54">
      <c r="B951" s="193"/>
      <c r="C951" s="193"/>
      <c r="D951" s="193"/>
      <c r="E951" s="193"/>
      <c r="F951" s="193"/>
      <c r="G951" s="193">
        <v>30.795</v>
      </c>
      <c r="H951" s="193"/>
      <c r="I951" s="193"/>
      <c r="J951" s="115" t="s">
        <v>2382</v>
      </c>
      <c r="K951" s="193"/>
      <c r="L951" s="193"/>
      <c r="M951" s="193"/>
      <c r="N951" s="193"/>
      <c r="O951" s="193"/>
      <c r="P951" s="193"/>
      <c r="Q951" s="193"/>
      <c r="R951" s="193"/>
      <c r="BB951" s="113" t="str">
        <f t="shared" si="287"/>
        <v/>
      </c>
    </row>
    <row r="952" spans="2:54">
      <c r="B952" s="193"/>
      <c r="C952" s="193"/>
      <c r="D952" s="193"/>
      <c r="E952" s="193"/>
      <c r="F952" s="193"/>
      <c r="G952" s="193">
        <v>28.65</v>
      </c>
      <c r="H952" s="193"/>
      <c r="I952" s="193"/>
      <c r="J952" s="115" t="s">
        <v>2383</v>
      </c>
      <c r="K952" s="193"/>
      <c r="L952" s="193"/>
      <c r="M952" s="193"/>
      <c r="N952" s="193"/>
      <c r="O952" s="193"/>
      <c r="P952" s="193"/>
      <c r="Q952" s="193"/>
      <c r="R952" s="193"/>
      <c r="BB952" s="113" t="str">
        <f t="shared" si="287"/>
        <v/>
      </c>
    </row>
    <row r="953" spans="2:54">
      <c r="B953" s="193"/>
      <c r="C953" s="193"/>
      <c r="D953" s="193"/>
      <c r="E953" s="193"/>
      <c r="F953" s="193"/>
      <c r="G953" s="193">
        <v>57.19</v>
      </c>
      <c r="H953" s="193"/>
      <c r="I953" s="193"/>
      <c r="J953" s="115" t="s">
        <v>2387</v>
      </c>
      <c r="K953" s="193"/>
      <c r="L953" s="193"/>
      <c r="M953" s="193"/>
      <c r="N953" s="193"/>
      <c r="O953" s="193"/>
      <c r="P953" s="193"/>
      <c r="Q953" s="193"/>
      <c r="R953" s="193"/>
      <c r="BB953" s="113" t="str">
        <f t="shared" si="287"/>
        <v/>
      </c>
    </row>
    <row r="954" spans="2:54">
      <c r="B954" s="193"/>
      <c r="C954" s="193"/>
      <c r="D954" s="193"/>
      <c r="E954" s="193"/>
      <c r="F954" s="193"/>
      <c r="G954" s="193">
        <v>80.414</v>
      </c>
      <c r="H954" s="193"/>
      <c r="I954" s="193"/>
      <c r="J954" s="115" t="s">
        <v>2389</v>
      </c>
      <c r="K954" s="193"/>
      <c r="L954" s="193"/>
      <c r="M954" s="193"/>
      <c r="N954" s="193"/>
      <c r="O954" s="193"/>
      <c r="P954" s="193"/>
      <c r="Q954" s="193"/>
      <c r="R954" s="193"/>
      <c r="BB954" s="113" t="str">
        <f t="shared" si="287"/>
        <v/>
      </c>
    </row>
    <row r="955" spans="2:54">
      <c r="B955" s="193"/>
      <c r="C955" s="193"/>
      <c r="D955" s="193"/>
      <c r="E955" s="193"/>
      <c r="F955" s="193"/>
      <c r="G955" s="193">
        <v>70.118</v>
      </c>
      <c r="H955" s="193"/>
      <c r="I955" s="193"/>
      <c r="J955" s="115" t="s">
        <v>2391</v>
      </c>
      <c r="K955" s="193"/>
      <c r="L955" s="193"/>
      <c r="M955" s="193"/>
      <c r="N955" s="193"/>
      <c r="O955" s="193"/>
      <c r="P955" s="193"/>
      <c r="Q955" s="193"/>
      <c r="R955" s="193"/>
      <c r="BB955" s="113" t="str">
        <f t="shared" si="287"/>
        <v/>
      </c>
    </row>
    <row r="956" spans="2:54">
      <c r="B956" s="193"/>
      <c r="C956" s="193"/>
      <c r="D956" s="193"/>
      <c r="E956" s="193"/>
      <c r="F956" s="193"/>
      <c r="G956" s="193">
        <v>50.496</v>
      </c>
      <c r="H956" s="193"/>
      <c r="I956" s="193"/>
      <c r="J956" s="115" t="s">
        <v>2393</v>
      </c>
      <c r="K956" s="193"/>
      <c r="L956" s="193"/>
      <c r="M956" s="193"/>
      <c r="N956" s="193"/>
      <c r="O956" s="193"/>
      <c r="P956" s="193"/>
      <c r="Q956" s="193"/>
      <c r="R956" s="193"/>
      <c r="BB956" s="113" t="str">
        <f t="shared" si="287"/>
        <v/>
      </c>
    </row>
    <row r="957" spans="2:54">
      <c r="B957" s="193"/>
      <c r="C957" s="193"/>
      <c r="D957" s="193"/>
      <c r="E957" s="193"/>
      <c r="F957" s="193"/>
      <c r="G957" s="193">
        <v>53.185</v>
      </c>
      <c r="H957" s="193"/>
      <c r="I957" s="193"/>
      <c r="J957" s="115" t="s">
        <v>2396</v>
      </c>
      <c r="K957" s="193"/>
      <c r="L957" s="193"/>
      <c r="M957" s="193"/>
      <c r="N957" s="193"/>
      <c r="O957" s="193"/>
      <c r="P957" s="193"/>
      <c r="Q957" s="193"/>
      <c r="R957" s="193"/>
      <c r="BB957" s="113" t="str">
        <f t="shared" si="287"/>
        <v/>
      </c>
    </row>
    <row r="958" spans="2:54">
      <c r="B958" s="193"/>
      <c r="C958" s="193"/>
      <c r="D958" s="193"/>
      <c r="E958" s="193"/>
      <c r="F958" s="193"/>
      <c r="G958" s="193">
        <v>53.67</v>
      </c>
      <c r="H958" s="193"/>
      <c r="I958" s="193"/>
      <c r="J958" s="115" t="s">
        <v>2398</v>
      </c>
      <c r="K958" s="193"/>
      <c r="L958" s="193"/>
      <c r="M958" s="193"/>
      <c r="N958" s="193"/>
      <c r="O958" s="193"/>
      <c r="P958" s="193"/>
      <c r="Q958" s="193"/>
      <c r="R958" s="193"/>
      <c r="BB958" s="113" t="str">
        <f t="shared" si="287"/>
        <v/>
      </c>
    </row>
    <row r="959" spans="2:54">
      <c r="B959" s="193"/>
      <c r="C959" s="193"/>
      <c r="D959" s="193"/>
      <c r="E959" s="193"/>
      <c r="F959" s="193"/>
      <c r="G959" s="193">
        <v>53.67</v>
      </c>
      <c r="H959" s="193"/>
      <c r="I959" s="193"/>
      <c r="J959" s="115" t="s">
        <v>2401</v>
      </c>
      <c r="K959" s="193"/>
      <c r="L959" s="193"/>
      <c r="M959" s="193"/>
      <c r="N959" s="193"/>
      <c r="O959" s="193"/>
      <c r="P959" s="193"/>
      <c r="Q959" s="193"/>
      <c r="R959" s="193"/>
      <c r="BB959" s="113" t="str">
        <f t="shared" si="287"/>
        <v/>
      </c>
    </row>
    <row r="960" spans="2:54">
      <c r="B960" s="193"/>
      <c r="C960" s="193"/>
      <c r="D960" s="193"/>
      <c r="E960" s="193"/>
      <c r="F960" s="193"/>
      <c r="G960" s="193">
        <v>30.86</v>
      </c>
      <c r="H960" s="193"/>
      <c r="I960" s="193"/>
      <c r="J960" s="115" t="s">
        <v>2441</v>
      </c>
      <c r="K960" s="193"/>
      <c r="L960" s="193"/>
      <c r="M960" s="193"/>
      <c r="N960" s="193"/>
      <c r="O960" s="193"/>
      <c r="P960" s="193"/>
      <c r="Q960" s="193"/>
      <c r="R960" s="193"/>
      <c r="BB960" s="113" t="str">
        <f t="shared" si="287"/>
        <v/>
      </c>
    </row>
    <row r="961" spans="2:54">
      <c r="B961" s="193"/>
      <c r="C961" s="193"/>
      <c r="D961" s="193"/>
      <c r="E961" s="193"/>
      <c r="F961" s="193"/>
      <c r="G961" s="193">
        <v>74.807</v>
      </c>
      <c r="H961" s="193"/>
      <c r="I961" s="193"/>
      <c r="J961" s="115" t="s">
        <v>2442</v>
      </c>
      <c r="K961" s="193"/>
      <c r="L961" s="193"/>
      <c r="M961" s="193"/>
      <c r="N961" s="193"/>
      <c r="O961" s="193"/>
      <c r="P961" s="193"/>
      <c r="Q961" s="193"/>
      <c r="R961" s="193"/>
      <c r="BB961" s="113" t="str">
        <f t="shared" si="287"/>
        <v/>
      </c>
    </row>
    <row r="962" spans="2:54">
      <c r="B962" s="193"/>
      <c r="C962" s="193"/>
      <c r="D962" s="193"/>
      <c r="E962" s="193"/>
      <c r="F962" s="193"/>
      <c r="G962" s="193">
        <v>93.68</v>
      </c>
      <c r="H962" s="193"/>
      <c r="I962" s="193"/>
      <c r="J962" s="115" t="s">
        <v>2359</v>
      </c>
      <c r="K962" s="193"/>
      <c r="L962" s="193"/>
      <c r="M962" s="193"/>
      <c r="N962" s="193"/>
      <c r="O962" s="193"/>
      <c r="P962" s="193"/>
      <c r="Q962" s="193"/>
      <c r="R962" s="193"/>
      <c r="BB962" s="113" t="str">
        <f t="shared" si="287"/>
        <v/>
      </c>
    </row>
    <row r="963" spans="2:54">
      <c r="B963" s="193"/>
      <c r="C963" s="193"/>
      <c r="D963" s="193"/>
      <c r="E963" s="193"/>
      <c r="F963" s="193"/>
      <c r="G963" s="193">
        <v>93.68</v>
      </c>
      <c r="H963" s="193"/>
      <c r="I963" s="193"/>
      <c r="J963" s="115" t="s">
        <v>2443</v>
      </c>
      <c r="K963" s="193"/>
      <c r="L963" s="193"/>
      <c r="M963" s="193"/>
      <c r="N963" s="193"/>
      <c r="O963" s="193"/>
      <c r="P963" s="193"/>
      <c r="Q963" s="193"/>
      <c r="R963" s="193"/>
      <c r="BB963" s="113" t="str">
        <f t="shared" si="287"/>
        <v/>
      </c>
    </row>
    <row r="964" spans="2:54">
      <c r="B964" s="193"/>
      <c r="C964" s="193"/>
      <c r="D964" s="193"/>
      <c r="E964" s="193"/>
      <c r="F964" s="193"/>
      <c r="G964" s="193">
        <v>62.322</v>
      </c>
      <c r="H964" s="193"/>
      <c r="I964" s="193"/>
      <c r="J964" s="115" t="s">
        <v>2444</v>
      </c>
      <c r="K964" s="193"/>
      <c r="L964" s="193"/>
      <c r="M964" s="193"/>
      <c r="N964" s="193"/>
      <c r="O964" s="193"/>
      <c r="P964" s="193"/>
      <c r="Q964" s="193"/>
      <c r="R964" s="193"/>
      <c r="BB964" s="113" t="str">
        <f t="shared" si="287"/>
        <v/>
      </c>
    </row>
    <row r="965" spans="2:54">
      <c r="B965" s="193"/>
      <c r="C965" s="193"/>
      <c r="D965" s="193"/>
      <c r="E965" s="193"/>
      <c r="F965" s="193"/>
      <c r="G965" s="193">
        <v>59.57</v>
      </c>
      <c r="H965" s="193"/>
      <c r="I965" s="193"/>
      <c r="J965" s="115" t="s">
        <v>2445</v>
      </c>
      <c r="K965" s="193"/>
      <c r="L965" s="193"/>
      <c r="M965" s="193"/>
      <c r="N965" s="193"/>
      <c r="O965" s="193"/>
      <c r="P965" s="193"/>
      <c r="Q965" s="193"/>
      <c r="R965" s="193"/>
      <c r="BB965" s="113" t="str">
        <f t="shared" ref="BB965:BB991" si="293">_xlfn.TEXTJOIN("-",TRUE,AU965,AW965)</f>
        <v/>
      </c>
    </row>
    <row r="966" spans="2:54">
      <c r="B966" s="193"/>
      <c r="C966" s="193"/>
      <c r="D966" s="193"/>
      <c r="E966" s="193"/>
      <c r="F966" s="193"/>
      <c r="G966" s="193">
        <v>59.57</v>
      </c>
      <c r="H966" s="193"/>
      <c r="I966" s="193"/>
      <c r="J966" s="115" t="s">
        <v>2446</v>
      </c>
      <c r="K966" s="193"/>
      <c r="L966" s="193"/>
      <c r="M966" s="193"/>
      <c r="N966" s="193"/>
      <c r="O966" s="193"/>
      <c r="P966" s="193"/>
      <c r="Q966" s="193"/>
      <c r="R966" s="193"/>
      <c r="BB966" s="113" t="str">
        <f t="shared" si="293"/>
        <v/>
      </c>
    </row>
    <row r="967" spans="2:54">
      <c r="B967" s="193"/>
      <c r="C967" s="193"/>
      <c r="D967" s="193"/>
      <c r="E967" s="193"/>
      <c r="F967" s="193"/>
      <c r="G967" s="193">
        <v>59.57</v>
      </c>
      <c r="H967" s="193"/>
      <c r="I967" s="193"/>
      <c r="J967" s="115" t="s">
        <v>2447</v>
      </c>
      <c r="K967" s="193"/>
      <c r="L967" s="193"/>
      <c r="M967" s="193"/>
      <c r="N967" s="193"/>
      <c r="O967" s="193"/>
      <c r="P967" s="193"/>
      <c r="Q967" s="193"/>
      <c r="R967" s="193"/>
      <c r="BB967" s="113" t="str">
        <f t="shared" si="293"/>
        <v/>
      </c>
    </row>
    <row r="968" spans="2:54">
      <c r="B968" s="193"/>
      <c r="C968" s="193"/>
      <c r="D968" s="193"/>
      <c r="E968" s="193"/>
      <c r="F968" s="193"/>
      <c r="G968" s="193">
        <v>59.57</v>
      </c>
      <c r="H968" s="193"/>
      <c r="I968" s="193"/>
      <c r="J968" s="115" t="s">
        <v>2448</v>
      </c>
      <c r="K968" s="193"/>
      <c r="L968" s="193"/>
      <c r="M968" s="193"/>
      <c r="N968" s="193"/>
      <c r="O968" s="193"/>
      <c r="P968" s="193"/>
      <c r="Q968" s="193"/>
      <c r="R968" s="193"/>
      <c r="BB968" s="113" t="str">
        <f t="shared" si="293"/>
        <v/>
      </c>
    </row>
    <row r="969" spans="2:54">
      <c r="B969" s="193"/>
      <c r="C969" s="193"/>
      <c r="D969" s="193"/>
      <c r="E969" s="193"/>
      <c r="F969" s="193"/>
      <c r="G969" s="193">
        <v>59.57</v>
      </c>
      <c r="H969" s="193"/>
      <c r="I969" s="193"/>
      <c r="J969" s="115" t="s">
        <v>2449</v>
      </c>
      <c r="K969" s="193"/>
      <c r="L969" s="193"/>
      <c r="M969" s="193"/>
      <c r="N969" s="193"/>
      <c r="O969" s="193"/>
      <c r="P969" s="193"/>
      <c r="Q969" s="193"/>
      <c r="R969" s="193"/>
      <c r="BB969" s="113" t="str">
        <f t="shared" si="293"/>
        <v/>
      </c>
    </row>
    <row r="970" spans="2:54">
      <c r="B970" s="193"/>
      <c r="C970" s="193"/>
      <c r="D970" s="193"/>
      <c r="E970" s="193"/>
      <c r="F970" s="193"/>
      <c r="G970" s="193">
        <v>61.2</v>
      </c>
      <c r="H970" s="193"/>
      <c r="I970" s="193"/>
      <c r="J970" s="115" t="s">
        <v>2450</v>
      </c>
      <c r="K970" s="193"/>
      <c r="L970" s="193"/>
      <c r="M970" s="193"/>
      <c r="N970" s="193"/>
      <c r="O970" s="193"/>
      <c r="P970" s="193"/>
      <c r="Q970" s="193"/>
      <c r="R970" s="193"/>
      <c r="BB970" s="113" t="str">
        <f t="shared" si="293"/>
        <v/>
      </c>
    </row>
    <row r="971" spans="2:54">
      <c r="B971" s="193"/>
      <c r="C971" s="193"/>
      <c r="D971" s="193"/>
      <c r="E971" s="193"/>
      <c r="F971" s="193"/>
      <c r="G971" s="193">
        <v>61.2</v>
      </c>
      <c r="H971" s="193"/>
      <c r="I971" s="193"/>
      <c r="J971" s="115" t="s">
        <v>2451</v>
      </c>
      <c r="K971" s="193"/>
      <c r="L971" s="193"/>
      <c r="M971" s="193"/>
      <c r="N971" s="193"/>
      <c r="O971" s="193"/>
      <c r="P971" s="193"/>
      <c r="Q971" s="193"/>
      <c r="R971" s="193"/>
      <c r="BB971" s="113" t="str">
        <f t="shared" si="293"/>
        <v/>
      </c>
    </row>
    <row r="972" spans="2:54">
      <c r="B972" s="193"/>
      <c r="C972" s="193"/>
      <c r="D972" s="193"/>
      <c r="E972" s="193"/>
      <c r="F972" s="193"/>
      <c r="G972" s="193">
        <v>61.2</v>
      </c>
      <c r="H972" s="193"/>
      <c r="I972" s="193"/>
      <c r="J972" s="115" t="s">
        <v>2452</v>
      </c>
      <c r="K972" s="193"/>
      <c r="L972" s="193"/>
      <c r="M972" s="193"/>
      <c r="N972" s="193"/>
      <c r="O972" s="193"/>
      <c r="P972" s="193"/>
      <c r="Q972" s="193"/>
      <c r="R972" s="193"/>
      <c r="BB972" s="113" t="str">
        <f t="shared" si="293"/>
        <v/>
      </c>
    </row>
    <row r="973" spans="2:54">
      <c r="B973" s="193"/>
      <c r="C973" s="193"/>
      <c r="D973" s="193"/>
      <c r="E973" s="193"/>
      <c r="F973" s="193"/>
      <c r="G973" s="193">
        <v>61.2</v>
      </c>
      <c r="H973" s="193"/>
      <c r="I973" s="193"/>
      <c r="J973" s="115" t="s">
        <v>2453</v>
      </c>
      <c r="K973" s="193"/>
      <c r="L973" s="193"/>
      <c r="M973" s="193"/>
      <c r="N973" s="193"/>
      <c r="O973" s="193"/>
      <c r="P973" s="193"/>
      <c r="Q973" s="193"/>
      <c r="R973" s="193"/>
      <c r="BB973" s="113" t="str">
        <f t="shared" si="293"/>
        <v/>
      </c>
    </row>
    <row r="974" spans="2:54">
      <c r="B974" s="193"/>
      <c r="C974" s="193"/>
      <c r="D974" s="193"/>
      <c r="E974" s="193"/>
      <c r="F974" s="193"/>
      <c r="G974" s="193">
        <v>61.2</v>
      </c>
      <c r="H974" s="193"/>
      <c r="I974" s="193"/>
      <c r="J974" s="115" t="s">
        <v>2454</v>
      </c>
      <c r="K974" s="193"/>
      <c r="L974" s="193"/>
      <c r="M974" s="193"/>
      <c r="N974" s="193"/>
      <c r="O974" s="193"/>
      <c r="P974" s="193"/>
      <c r="Q974" s="193"/>
      <c r="R974" s="193"/>
      <c r="BB974" s="113" t="str">
        <f t="shared" si="293"/>
        <v/>
      </c>
    </row>
    <row r="975" spans="2:54">
      <c r="B975" s="193"/>
      <c r="C975" s="193"/>
      <c r="D975" s="193"/>
      <c r="E975" s="193"/>
      <c r="F975" s="193"/>
      <c r="G975" s="193">
        <v>30.2</v>
      </c>
      <c r="H975" s="193"/>
      <c r="I975" s="193"/>
      <c r="J975" s="115" t="s">
        <v>2455</v>
      </c>
      <c r="K975" s="193"/>
      <c r="L975" s="193"/>
      <c r="M975" s="193"/>
      <c r="N975" s="193"/>
      <c r="O975" s="193"/>
      <c r="P975" s="193"/>
      <c r="Q975" s="193"/>
      <c r="R975" s="193"/>
      <c r="BB975" s="113" t="str">
        <f t="shared" si="293"/>
        <v/>
      </c>
    </row>
    <row r="976" spans="2:54">
      <c r="B976" s="193"/>
      <c r="C976" s="193"/>
      <c r="D976" s="193"/>
      <c r="E976" s="193"/>
      <c r="F976" s="193"/>
      <c r="G976" s="193">
        <v>30.2</v>
      </c>
      <c r="H976" s="193"/>
      <c r="I976" s="193"/>
      <c r="J976" s="115" t="s">
        <v>2456</v>
      </c>
      <c r="K976" s="193"/>
      <c r="L976" s="193"/>
      <c r="M976" s="193"/>
      <c r="N976" s="193"/>
      <c r="O976" s="193"/>
      <c r="P976" s="193"/>
      <c r="Q976" s="193"/>
      <c r="R976" s="193"/>
      <c r="BB976" s="113" t="str">
        <f t="shared" si="293"/>
        <v/>
      </c>
    </row>
    <row r="977" spans="7:54">
      <c r="G977" s="114">
        <v>29.5</v>
      </c>
      <c r="J977" s="115" t="s">
        <v>2457</v>
      </c>
      <c r="K977" s="193"/>
      <c r="L977" s="193"/>
      <c r="M977" s="193"/>
      <c r="N977" s="193"/>
      <c r="O977" s="193"/>
      <c r="P977" s="193"/>
      <c r="Q977" s="193"/>
      <c r="R977" s="193"/>
      <c r="BB977" s="113" t="str">
        <f t="shared" si="293"/>
        <v/>
      </c>
    </row>
    <row r="978" spans="7:54">
      <c r="G978" s="114">
        <v>34.6</v>
      </c>
      <c r="J978" s="115" t="s">
        <v>2458</v>
      </c>
      <c r="K978" s="193"/>
      <c r="L978" s="193"/>
      <c r="M978" s="193"/>
      <c r="N978" s="193"/>
      <c r="O978" s="193"/>
      <c r="P978" s="193"/>
      <c r="Q978" s="193"/>
      <c r="R978" s="193"/>
      <c r="BB978" s="113" t="str">
        <f t="shared" si="293"/>
        <v/>
      </c>
    </row>
    <row r="979" spans="7:54">
      <c r="G979" s="114">
        <v>34.6</v>
      </c>
      <c r="J979" s="115" t="s">
        <v>2459</v>
      </c>
      <c r="K979" s="193"/>
      <c r="L979" s="193"/>
      <c r="M979" s="193"/>
      <c r="N979" s="193"/>
      <c r="O979" s="193"/>
      <c r="P979" s="193"/>
      <c r="Q979" s="193"/>
      <c r="R979" s="193"/>
      <c r="BB979" s="113" t="str">
        <f t="shared" si="293"/>
        <v/>
      </c>
    </row>
    <row r="980" spans="7:54">
      <c r="G980" s="114">
        <v>34.6</v>
      </c>
      <c r="J980" s="115" t="s">
        <v>2460</v>
      </c>
      <c r="K980" s="193"/>
      <c r="L980" s="193"/>
      <c r="M980" s="193"/>
      <c r="N980" s="193"/>
      <c r="O980" s="193"/>
      <c r="P980" s="193"/>
      <c r="Q980" s="193"/>
      <c r="R980" s="193"/>
      <c r="BB980" s="113" t="str">
        <f t="shared" si="293"/>
        <v/>
      </c>
    </row>
    <row r="981" spans="7:54">
      <c r="G981" s="114">
        <v>34.6</v>
      </c>
      <c r="J981" s="115" t="s">
        <v>2461</v>
      </c>
      <c r="K981" s="193"/>
      <c r="L981" s="193"/>
      <c r="M981" s="193"/>
      <c r="N981" s="193"/>
      <c r="O981" s="193"/>
      <c r="P981" s="193"/>
      <c r="Q981" s="193"/>
      <c r="R981" s="193"/>
      <c r="BB981" s="113" t="str">
        <f t="shared" si="293"/>
        <v/>
      </c>
    </row>
    <row r="982" spans="7:54">
      <c r="G982" s="114">
        <v>39.33</v>
      </c>
      <c r="J982" s="115" t="s">
        <v>2462</v>
      </c>
      <c r="K982" s="193"/>
      <c r="L982" s="193"/>
      <c r="M982" s="193"/>
      <c r="N982" s="193"/>
      <c r="O982" s="193"/>
      <c r="P982" s="193"/>
      <c r="Q982" s="193"/>
      <c r="R982" s="193"/>
      <c r="BB982" s="113" t="str">
        <f t="shared" si="293"/>
        <v/>
      </c>
    </row>
    <row r="983" spans="7:54">
      <c r="G983" s="114">
        <v>41.34</v>
      </c>
      <c r="J983" s="115" t="s">
        <v>2463</v>
      </c>
      <c r="K983" s="193"/>
      <c r="L983" s="193"/>
      <c r="M983" s="193"/>
      <c r="N983" s="193"/>
      <c r="O983" s="193"/>
      <c r="P983" s="193"/>
      <c r="Q983" s="193"/>
      <c r="R983" s="193"/>
      <c r="BB983" s="113" t="str">
        <f t="shared" si="293"/>
        <v/>
      </c>
    </row>
    <row r="984" spans="7:54">
      <c r="G984" s="114">
        <v>47.04</v>
      </c>
      <c r="J984" s="115" t="s">
        <v>2464</v>
      </c>
      <c r="K984" s="193"/>
      <c r="L984" s="193"/>
      <c r="M984" s="193"/>
      <c r="N984" s="193"/>
      <c r="O984" s="193"/>
      <c r="P984" s="193"/>
      <c r="Q984" s="193"/>
      <c r="R984" s="193"/>
      <c r="BB984" s="113" t="str">
        <f t="shared" si="293"/>
        <v/>
      </c>
    </row>
    <row r="985" spans="7:54">
      <c r="G985" s="114">
        <v>52.95</v>
      </c>
      <c r="J985" s="115" t="s">
        <v>2465</v>
      </c>
      <c r="K985" s="193"/>
      <c r="L985" s="193"/>
      <c r="M985" s="193"/>
      <c r="N985" s="193"/>
      <c r="O985" s="193"/>
      <c r="P985" s="193"/>
      <c r="Q985" s="193"/>
      <c r="R985" s="193"/>
      <c r="BB985" s="113" t="str">
        <f t="shared" si="293"/>
        <v/>
      </c>
    </row>
    <row r="986" spans="7:54">
      <c r="G986" s="114">
        <v>52.95</v>
      </c>
      <c r="J986" s="115" t="s">
        <v>2466</v>
      </c>
      <c r="K986" s="193"/>
      <c r="L986" s="193"/>
      <c r="M986" s="193"/>
      <c r="N986" s="193"/>
      <c r="O986" s="193"/>
      <c r="P986" s="193"/>
      <c r="Q986" s="193"/>
      <c r="R986" s="193"/>
      <c r="BB986" s="113" t="str">
        <f t="shared" si="293"/>
        <v/>
      </c>
    </row>
    <row r="987" spans="7:54">
      <c r="G987" s="114">
        <v>52.95</v>
      </c>
      <c r="J987" s="115" t="s">
        <v>2467</v>
      </c>
      <c r="K987" s="193"/>
      <c r="L987" s="193"/>
      <c r="M987" s="193"/>
      <c r="N987" s="193"/>
      <c r="O987" s="193"/>
      <c r="P987" s="193"/>
      <c r="Q987" s="193"/>
      <c r="R987" s="193"/>
      <c r="BB987" s="113" t="str">
        <f t="shared" si="293"/>
        <v/>
      </c>
    </row>
    <row r="988" spans="7:54">
      <c r="G988" s="114">
        <v>52.95</v>
      </c>
      <c r="J988" s="115" t="s">
        <v>2468</v>
      </c>
      <c r="BB988" s="113" t="str">
        <f t="shared" si="293"/>
        <v/>
      </c>
    </row>
    <row r="989" spans="7:54">
      <c r="G989" s="114">
        <v>52.95</v>
      </c>
      <c r="J989" s="115" t="s">
        <v>2469</v>
      </c>
      <c r="BB989" s="113" t="str">
        <f t="shared" si="293"/>
        <v/>
      </c>
    </row>
    <row r="990" spans="7:54">
      <c r="G990" s="114">
        <v>52.95</v>
      </c>
      <c r="J990" s="115" t="s">
        <v>2470</v>
      </c>
      <c r="BB990" s="113" t="str">
        <f t="shared" si="293"/>
        <v/>
      </c>
    </row>
    <row r="991" spans="7:54">
      <c r="G991" s="114">
        <v>52.95</v>
      </c>
      <c r="J991" s="115" t="s">
        <v>2471</v>
      </c>
      <c r="BB991" s="113" t="str">
        <f t="shared" si="293"/>
        <v/>
      </c>
    </row>
    <row r="992" spans="7:10">
      <c r="G992" s="114">
        <v>59.57</v>
      </c>
      <c r="J992" s="115" t="s">
        <v>2472</v>
      </c>
    </row>
    <row r="993" spans="7:10">
      <c r="G993" s="114">
        <v>59.57</v>
      </c>
      <c r="J993" s="115" t="s">
        <v>2473</v>
      </c>
    </row>
    <row r="994" spans="7:10">
      <c r="G994" s="114">
        <v>59.57</v>
      </c>
      <c r="J994" s="115" t="s">
        <v>2474</v>
      </c>
    </row>
    <row r="995" spans="7:10">
      <c r="G995" s="114">
        <v>51.992</v>
      </c>
      <c r="J995" s="115" t="s">
        <v>2475</v>
      </c>
    </row>
    <row r="996" spans="7:10">
      <c r="G996" s="114">
        <v>59.57</v>
      </c>
      <c r="J996" s="115" t="s">
        <v>2476</v>
      </c>
    </row>
    <row r="997" spans="7:10">
      <c r="G997" s="114">
        <v>59.57</v>
      </c>
      <c r="J997" s="115" t="s">
        <v>2477</v>
      </c>
    </row>
    <row r="998" spans="7:10">
      <c r="G998" s="114">
        <v>60.01</v>
      </c>
      <c r="J998" s="115" t="s">
        <v>2478</v>
      </c>
    </row>
    <row r="999" spans="7:10">
      <c r="G999" s="114">
        <v>64.622</v>
      </c>
      <c r="J999" s="115" t="s">
        <v>2479</v>
      </c>
    </row>
    <row r="1000" spans="7:10">
      <c r="G1000" s="114">
        <v>91.295</v>
      </c>
      <c r="J1000" s="115" t="s">
        <v>2480</v>
      </c>
    </row>
    <row r="1001" spans="7:10">
      <c r="G1001" s="114">
        <v>70.118</v>
      </c>
      <c r="J1001" s="115" t="s">
        <v>2481</v>
      </c>
    </row>
    <row r="1002" spans="7:10">
      <c r="G1002" s="114">
        <v>91.295</v>
      </c>
      <c r="J1002" s="115" t="s">
        <v>2482</v>
      </c>
    </row>
    <row r="1003" spans="7:10">
      <c r="G1003" s="114">
        <v>88.39</v>
      </c>
      <c r="J1003" s="115" t="s">
        <v>2483</v>
      </c>
    </row>
    <row r="1004" spans="7:10">
      <c r="G1004" s="114">
        <v>92.56</v>
      </c>
      <c r="J1004" s="115" t="s">
        <v>2484</v>
      </c>
    </row>
    <row r="1037" spans="20:21">
      <c r="T1037" s="193"/>
      <c r="U1037" s="193"/>
    </row>
    <row r="1038" spans="20:21">
      <c r="T1038" s="193"/>
      <c r="U1038" s="193"/>
    </row>
    <row r="1040" spans="20:27">
      <c r="T1040" s="193"/>
      <c r="U1040" s="193"/>
      <c r="V1040" s="193"/>
      <c r="W1040" s="193"/>
      <c r="X1040" s="193"/>
      <c r="Y1040" s="193"/>
      <c r="Z1040" s="193"/>
      <c r="AA1040" s="193"/>
    </row>
    <row r="1041" spans="20:27">
      <c r="T1041" s="193"/>
      <c r="U1041" s="193"/>
      <c r="V1041" s="193"/>
      <c r="W1041" s="193"/>
      <c r="X1041" s="193"/>
      <c r="Y1041" s="193"/>
      <c r="Z1041" s="193"/>
      <c r="AA1041" s="193"/>
    </row>
    <row r="1042" spans="20:27">
      <c r="T1042" s="193"/>
      <c r="U1042" s="193"/>
      <c r="V1042" s="193"/>
      <c r="W1042" s="193"/>
      <c r="X1042" s="193"/>
      <c r="Y1042" s="193"/>
      <c r="Z1042" s="193"/>
      <c r="AA1042" s="193"/>
    </row>
    <row r="1043" spans="20:27">
      <c r="T1043" s="193"/>
      <c r="U1043" s="193"/>
      <c r="V1043" s="193"/>
      <c r="W1043" s="193"/>
      <c r="X1043" s="193"/>
      <c r="Y1043" s="193"/>
      <c r="Z1043" s="193"/>
      <c r="AA1043" s="193"/>
    </row>
    <row r="1044" spans="20:27">
      <c r="T1044" s="193"/>
      <c r="U1044" s="193"/>
      <c r="V1044" s="193"/>
      <c r="W1044" s="193"/>
      <c r="X1044" s="193"/>
      <c r="Y1044" s="193"/>
      <c r="Z1044" s="193"/>
      <c r="AA1044" s="193"/>
    </row>
    <row r="1045" spans="20:27">
      <c r="T1045" s="193"/>
      <c r="U1045" s="193"/>
      <c r="V1045" s="193"/>
      <c r="W1045" s="193"/>
      <c r="X1045" s="193"/>
      <c r="Y1045" s="193"/>
      <c r="Z1045" s="193"/>
      <c r="AA1045" s="193"/>
    </row>
    <row r="1046" spans="20:27">
      <c r="T1046" s="193"/>
      <c r="U1046" s="193"/>
      <c r="V1046" s="193"/>
      <c r="W1046" s="193"/>
      <c r="X1046" s="193"/>
      <c r="Y1046" s="193"/>
      <c r="Z1046" s="193"/>
      <c r="AA1046" s="193"/>
    </row>
    <row r="1047" spans="20:27">
      <c r="T1047" s="193"/>
      <c r="U1047" s="193"/>
      <c r="V1047" s="193"/>
      <c r="W1047" s="193"/>
      <c r="X1047" s="193"/>
      <c r="Y1047" s="193"/>
      <c r="Z1047" s="193"/>
      <c r="AA1047" s="193"/>
    </row>
    <row r="1048" spans="20:27">
      <c r="T1048" s="193"/>
      <c r="U1048" s="193"/>
      <c r="V1048" s="193"/>
      <c r="W1048" s="193"/>
      <c r="X1048" s="193"/>
      <c r="Y1048" s="193"/>
      <c r="Z1048" s="193"/>
      <c r="AA1048" s="193"/>
    </row>
    <row r="1049" spans="20:27">
      <c r="T1049" s="193"/>
      <c r="U1049" s="193"/>
      <c r="V1049" s="193"/>
      <c r="W1049" s="193"/>
      <c r="X1049" s="193"/>
      <c r="Y1049" s="193"/>
      <c r="Z1049" s="193"/>
      <c r="AA1049" s="193"/>
    </row>
    <row r="1050" spans="20:27">
      <c r="T1050" s="193"/>
      <c r="U1050" s="193"/>
      <c r="V1050" s="193"/>
      <c r="W1050" s="193"/>
      <c r="X1050" s="193"/>
      <c r="Y1050" s="193"/>
      <c r="Z1050" s="193"/>
      <c r="AA1050" s="193"/>
    </row>
    <row r="1051" spans="20:27">
      <c r="T1051" s="193"/>
      <c r="U1051" s="193"/>
      <c r="V1051" s="193"/>
      <c r="W1051" s="193"/>
      <c r="X1051" s="193"/>
      <c r="Y1051" s="193"/>
      <c r="Z1051" s="193"/>
      <c r="AA1051" s="193"/>
    </row>
    <row r="1052" spans="20:27">
      <c r="T1052" s="193"/>
      <c r="U1052" s="193"/>
      <c r="V1052" s="193"/>
      <c r="W1052" s="193"/>
      <c r="X1052" s="193"/>
      <c r="Y1052" s="193"/>
      <c r="Z1052" s="193"/>
      <c r="AA1052" s="193"/>
    </row>
    <row r="1053" spans="20:27">
      <c r="T1053" s="193"/>
      <c r="U1053" s="193"/>
      <c r="V1053" s="193"/>
      <c r="W1053" s="193"/>
      <c r="X1053" s="193"/>
      <c r="Y1053" s="193"/>
      <c r="Z1053" s="193"/>
      <c r="AA1053" s="193"/>
    </row>
    <row r="1054" spans="20:27">
      <c r="T1054" s="193"/>
      <c r="U1054" s="193"/>
      <c r="V1054" s="193"/>
      <c r="W1054" s="193"/>
      <c r="X1054" s="193"/>
      <c r="Y1054" s="193"/>
      <c r="Z1054" s="193"/>
      <c r="AA1054" s="193"/>
    </row>
    <row r="1055" spans="20:27">
      <c r="T1055" s="193"/>
      <c r="U1055" s="193"/>
      <c r="V1055" s="193"/>
      <c r="W1055" s="193"/>
      <c r="X1055" s="193"/>
      <c r="Y1055" s="193"/>
      <c r="Z1055" s="193"/>
      <c r="AA1055" s="193"/>
    </row>
    <row r="1056" spans="20:27">
      <c r="T1056" s="193"/>
      <c r="U1056" s="193"/>
      <c r="V1056" s="193"/>
      <c r="W1056" s="193"/>
      <c r="X1056" s="193"/>
      <c r="Y1056" s="193"/>
      <c r="Z1056" s="193"/>
      <c r="AA1056" s="193"/>
    </row>
    <row r="1057" spans="20:27">
      <c r="T1057" s="193"/>
      <c r="U1057" s="193"/>
      <c r="V1057" s="193"/>
      <c r="W1057" s="193"/>
      <c r="X1057" s="193"/>
      <c r="Y1057" s="193"/>
      <c r="Z1057" s="193"/>
      <c r="AA1057" s="193"/>
    </row>
    <row r="1058" spans="20:27">
      <c r="T1058" s="193"/>
      <c r="U1058" s="193"/>
      <c r="V1058" s="193"/>
      <c r="W1058" s="193"/>
      <c r="X1058" s="193"/>
      <c r="Y1058" s="193"/>
      <c r="Z1058" s="193"/>
      <c r="AA1058" s="193"/>
    </row>
    <row r="1059" spans="20:27">
      <c r="T1059" s="193"/>
      <c r="U1059" s="193"/>
      <c r="V1059" s="193"/>
      <c r="W1059" s="193"/>
      <c r="X1059" s="193"/>
      <c r="Y1059" s="193"/>
      <c r="Z1059" s="193"/>
      <c r="AA1059" s="193"/>
    </row>
    <row r="1060" spans="20:27">
      <c r="T1060" s="193"/>
      <c r="U1060" s="193"/>
      <c r="V1060" s="193"/>
      <c r="W1060" s="193"/>
      <c r="X1060" s="193"/>
      <c r="Y1060" s="193"/>
      <c r="Z1060" s="193"/>
      <c r="AA1060" s="193"/>
    </row>
    <row r="1061" spans="20:27">
      <c r="T1061" s="193"/>
      <c r="U1061" s="193"/>
      <c r="V1061" s="193"/>
      <c r="W1061" s="193"/>
      <c r="X1061" s="193"/>
      <c r="Y1061" s="193"/>
      <c r="Z1061" s="193"/>
      <c r="AA1061" s="193"/>
    </row>
    <row r="1062" spans="20:27">
      <c r="T1062" s="193"/>
      <c r="U1062" s="193"/>
      <c r="V1062" s="193"/>
      <c r="W1062" s="193"/>
      <c r="X1062" s="193"/>
      <c r="Y1062" s="193"/>
      <c r="Z1062" s="193"/>
      <c r="AA1062" s="193"/>
    </row>
    <row r="1063" spans="20:27">
      <c r="T1063" s="193"/>
      <c r="U1063" s="193"/>
      <c r="V1063" s="193"/>
      <c r="W1063" s="193"/>
      <c r="X1063" s="193"/>
      <c r="Y1063" s="193"/>
      <c r="Z1063" s="193"/>
      <c r="AA1063" s="193"/>
    </row>
    <row r="1064" spans="20:27">
      <c r="T1064" s="193"/>
      <c r="U1064" s="193"/>
      <c r="V1064" s="193"/>
      <c r="W1064" s="193"/>
      <c r="X1064" s="193"/>
      <c r="Y1064" s="193"/>
      <c r="Z1064" s="193"/>
      <c r="AA1064" s="193"/>
    </row>
    <row r="1065" spans="20:27">
      <c r="T1065" s="193"/>
      <c r="U1065" s="193"/>
      <c r="V1065" s="193"/>
      <c r="W1065" s="193"/>
      <c r="X1065" s="193"/>
      <c r="Y1065" s="193"/>
      <c r="Z1065" s="193"/>
      <c r="AA1065" s="193"/>
    </row>
    <row r="1066" spans="20:27">
      <c r="T1066" s="193"/>
      <c r="U1066" s="193"/>
      <c r="V1066" s="193"/>
      <c r="W1066" s="193"/>
      <c r="X1066" s="193"/>
      <c r="Y1066" s="193"/>
      <c r="Z1066" s="193"/>
      <c r="AA1066" s="193"/>
    </row>
    <row r="1067" spans="20:27">
      <c r="T1067" s="193"/>
      <c r="U1067" s="193"/>
      <c r="V1067" s="193"/>
      <c r="W1067" s="193"/>
      <c r="X1067" s="193"/>
      <c r="Y1067" s="193"/>
      <c r="Z1067" s="193"/>
      <c r="AA1067" s="193"/>
    </row>
    <row r="1068" spans="20:27">
      <c r="T1068" s="193"/>
      <c r="U1068" s="193"/>
      <c r="V1068" s="193"/>
      <c r="W1068" s="193"/>
      <c r="X1068" s="193"/>
      <c r="Y1068" s="193"/>
      <c r="Z1068" s="193"/>
      <c r="AA1068" s="193"/>
    </row>
    <row r="1069" spans="20:27">
      <c r="T1069" s="193"/>
      <c r="U1069" s="193"/>
      <c r="V1069" s="193"/>
      <c r="W1069" s="193"/>
      <c r="X1069" s="193"/>
      <c r="Y1069" s="193"/>
      <c r="Z1069" s="193"/>
      <c r="AA1069" s="193"/>
    </row>
    <row r="1070" spans="20:27">
      <c r="T1070" s="193"/>
      <c r="U1070" s="193"/>
      <c r="V1070" s="193"/>
      <c r="W1070" s="193"/>
      <c r="X1070" s="193"/>
      <c r="Y1070" s="193"/>
      <c r="Z1070" s="193"/>
      <c r="AA1070" s="193"/>
    </row>
    <row r="1071" spans="20:27">
      <c r="T1071" s="193"/>
      <c r="U1071" s="193"/>
      <c r="V1071" s="193"/>
      <c r="W1071" s="193"/>
      <c r="X1071" s="193"/>
      <c r="Y1071" s="193"/>
      <c r="Z1071" s="193"/>
      <c r="AA1071" s="193"/>
    </row>
    <row r="1072" spans="20:27">
      <c r="T1072" s="193"/>
      <c r="U1072" s="193"/>
      <c r="V1072" s="193"/>
      <c r="W1072" s="193"/>
      <c r="X1072" s="193"/>
      <c r="Y1072" s="193"/>
      <c r="Z1072" s="193"/>
      <c r="AA1072" s="193"/>
    </row>
    <row r="1073" spans="20:27">
      <c r="T1073" s="193"/>
      <c r="U1073" s="193"/>
      <c r="V1073" s="193"/>
      <c r="W1073" s="193"/>
      <c r="X1073" s="193"/>
      <c r="Y1073" s="193"/>
      <c r="Z1073" s="193"/>
      <c r="AA1073" s="193"/>
    </row>
    <row r="1074" spans="20:27">
      <c r="T1074" s="193"/>
      <c r="U1074" s="193"/>
      <c r="V1074" s="193"/>
      <c r="W1074" s="193"/>
      <c r="X1074" s="193"/>
      <c r="Y1074" s="193"/>
      <c r="Z1074" s="193"/>
      <c r="AA1074" s="193"/>
    </row>
    <row r="1075" spans="20:27">
      <c r="T1075" s="193"/>
      <c r="U1075" s="193"/>
      <c r="V1075" s="193"/>
      <c r="W1075" s="193"/>
      <c r="X1075" s="193"/>
      <c r="Y1075" s="193"/>
      <c r="Z1075" s="193"/>
      <c r="AA1075" s="193"/>
    </row>
    <row r="1076" spans="2:27">
      <c r="B1076" s="193"/>
      <c r="C1076" s="193"/>
      <c r="D1076" s="193"/>
      <c r="E1076" s="193"/>
      <c r="F1076" s="193"/>
      <c r="G1076" s="193"/>
      <c r="H1076" s="193"/>
      <c r="I1076" s="193"/>
      <c r="T1076" s="193"/>
      <c r="U1076" s="193"/>
      <c r="V1076" s="193"/>
      <c r="W1076" s="193"/>
      <c r="X1076" s="193"/>
      <c r="Y1076" s="193"/>
      <c r="Z1076" s="193"/>
      <c r="AA1076" s="193"/>
    </row>
    <row r="1077" spans="2:27">
      <c r="B1077" s="193"/>
      <c r="C1077" s="193"/>
      <c r="D1077" s="193"/>
      <c r="E1077" s="193"/>
      <c r="F1077" s="193"/>
      <c r="G1077" s="193"/>
      <c r="H1077" s="193"/>
      <c r="I1077" s="193"/>
      <c r="T1077" s="193"/>
      <c r="U1077" s="193"/>
      <c r="V1077" s="193"/>
      <c r="W1077" s="193"/>
      <c r="X1077" s="193"/>
      <c r="Y1077" s="193"/>
      <c r="Z1077" s="193"/>
      <c r="AA1077" s="193"/>
    </row>
    <row r="1078" spans="2:27">
      <c r="B1078" s="193"/>
      <c r="C1078" s="193"/>
      <c r="D1078" s="193"/>
      <c r="E1078" s="193"/>
      <c r="F1078" s="193"/>
      <c r="G1078" s="193"/>
      <c r="H1078" s="193"/>
      <c r="I1078" s="193"/>
      <c r="T1078" s="193"/>
      <c r="U1078" s="193"/>
      <c r="V1078" s="193"/>
      <c r="W1078" s="193"/>
      <c r="X1078" s="193"/>
      <c r="Y1078" s="193"/>
      <c r="Z1078" s="193"/>
      <c r="AA1078" s="193"/>
    </row>
    <row r="1079" spans="2:27">
      <c r="B1079" s="193"/>
      <c r="C1079" s="193"/>
      <c r="D1079" s="193"/>
      <c r="E1079" s="193"/>
      <c r="F1079" s="193"/>
      <c r="G1079" s="193"/>
      <c r="H1079" s="193"/>
      <c r="I1079" s="193"/>
      <c r="T1079" s="193"/>
      <c r="U1079" s="193"/>
      <c r="V1079" s="193"/>
      <c r="W1079" s="193"/>
      <c r="X1079" s="193"/>
      <c r="Y1079" s="193"/>
      <c r="Z1079" s="193"/>
      <c r="AA1079" s="193"/>
    </row>
    <row r="1080" spans="20:27">
      <c r="T1080" s="193"/>
      <c r="U1080" s="193"/>
      <c r="V1080" s="193"/>
      <c r="W1080" s="193"/>
      <c r="X1080" s="193"/>
      <c r="Y1080" s="193"/>
      <c r="Z1080" s="193"/>
      <c r="AA1080" s="193"/>
    </row>
    <row r="1081" spans="20:27">
      <c r="T1081" s="193"/>
      <c r="U1081" s="193"/>
      <c r="V1081" s="193"/>
      <c r="W1081" s="193"/>
      <c r="X1081" s="193"/>
      <c r="Y1081" s="193"/>
      <c r="Z1081" s="193"/>
      <c r="AA1081" s="193"/>
    </row>
    <row r="1082" spans="20:27">
      <c r="T1082" s="193"/>
      <c r="U1082" s="193"/>
      <c r="V1082" s="193"/>
      <c r="W1082" s="193"/>
      <c r="X1082" s="193"/>
      <c r="Y1082" s="193"/>
      <c r="Z1082" s="193"/>
      <c r="AA1082" s="193"/>
    </row>
    <row r="1083" spans="20:27">
      <c r="T1083" s="193"/>
      <c r="U1083" s="193"/>
      <c r="V1083" s="193"/>
      <c r="W1083" s="193"/>
      <c r="X1083" s="193"/>
      <c r="Y1083" s="193"/>
      <c r="Z1083" s="193"/>
      <c r="AA1083" s="193"/>
    </row>
    <row r="1084" spans="20:27">
      <c r="T1084" s="193"/>
      <c r="U1084" s="193"/>
      <c r="V1084" s="193"/>
      <c r="W1084" s="193"/>
      <c r="X1084" s="193"/>
      <c r="Y1084" s="193"/>
      <c r="Z1084" s="193"/>
      <c r="AA1084" s="193"/>
    </row>
    <row r="1085" spans="20:27">
      <c r="T1085" s="193"/>
      <c r="U1085" s="193"/>
      <c r="V1085" s="193"/>
      <c r="W1085" s="193"/>
      <c r="X1085" s="193"/>
      <c r="Y1085" s="193"/>
      <c r="Z1085" s="193"/>
      <c r="AA1085" s="193"/>
    </row>
    <row r="1086" spans="20:27">
      <c r="T1086" s="193"/>
      <c r="U1086" s="193"/>
      <c r="V1086" s="193"/>
      <c r="W1086" s="193"/>
      <c r="X1086" s="193"/>
      <c r="Y1086" s="193"/>
      <c r="Z1086" s="193"/>
      <c r="AA1086" s="193"/>
    </row>
    <row r="1087" spans="20:27">
      <c r="T1087" s="193"/>
      <c r="U1087" s="193"/>
      <c r="V1087" s="193"/>
      <c r="W1087" s="193"/>
      <c r="X1087" s="193"/>
      <c r="Y1087" s="193"/>
      <c r="Z1087" s="193"/>
      <c r="AA1087" s="193"/>
    </row>
    <row r="1088" spans="20:27">
      <c r="T1088" s="193"/>
      <c r="U1088" s="193"/>
      <c r="V1088" s="193"/>
      <c r="W1088" s="193"/>
      <c r="X1088" s="193"/>
      <c r="Y1088" s="193"/>
      <c r="Z1088" s="193"/>
      <c r="AA1088" s="193"/>
    </row>
    <row r="1089" spans="20:27">
      <c r="T1089" s="193"/>
      <c r="U1089" s="193"/>
      <c r="V1089" s="193"/>
      <c r="W1089" s="193"/>
      <c r="X1089" s="193"/>
      <c r="Y1089" s="193"/>
      <c r="Z1089" s="193"/>
      <c r="AA1089" s="193"/>
    </row>
    <row r="1090" spans="20:27">
      <c r="T1090" s="193"/>
      <c r="U1090" s="193"/>
      <c r="V1090" s="193"/>
      <c r="W1090" s="193"/>
      <c r="X1090" s="193"/>
      <c r="Y1090" s="193"/>
      <c r="Z1090" s="193"/>
      <c r="AA1090" s="193"/>
    </row>
    <row r="1091" spans="20:27">
      <c r="T1091" s="193"/>
      <c r="U1091" s="193"/>
      <c r="V1091" s="193"/>
      <c r="W1091" s="193"/>
      <c r="X1091" s="193"/>
      <c r="Y1091" s="193"/>
      <c r="Z1091" s="193"/>
      <c r="AA1091" s="193"/>
    </row>
    <row r="1092" spans="20:27">
      <c r="T1092" s="193"/>
      <c r="U1092" s="193"/>
      <c r="V1092" s="193"/>
      <c r="W1092" s="193"/>
      <c r="X1092" s="193"/>
      <c r="Y1092" s="193"/>
      <c r="Z1092" s="193"/>
      <c r="AA1092" s="193"/>
    </row>
    <row r="1093" spans="20:27">
      <c r="T1093" s="193"/>
      <c r="U1093" s="193"/>
      <c r="V1093" s="193"/>
      <c r="W1093" s="193"/>
      <c r="X1093" s="193"/>
      <c r="Y1093" s="193"/>
      <c r="Z1093" s="193"/>
      <c r="AA1093" s="193"/>
    </row>
    <row r="1094" spans="20:27">
      <c r="T1094" s="193"/>
      <c r="U1094" s="193"/>
      <c r="V1094" s="193"/>
      <c r="W1094" s="193"/>
      <c r="X1094" s="193"/>
      <c r="Y1094" s="193"/>
      <c r="Z1094" s="193"/>
      <c r="AA1094" s="193"/>
    </row>
    <row r="1095" spans="20:27">
      <c r="T1095" s="193"/>
      <c r="U1095" s="193"/>
      <c r="V1095" s="193"/>
      <c r="W1095" s="193"/>
      <c r="X1095" s="193"/>
      <c r="Y1095" s="193"/>
      <c r="Z1095" s="193"/>
      <c r="AA1095" s="193"/>
    </row>
    <row r="1096" spans="20:27">
      <c r="T1096" s="193"/>
      <c r="U1096" s="193"/>
      <c r="V1096" s="193"/>
      <c r="W1096" s="193"/>
      <c r="X1096" s="193"/>
      <c r="Y1096" s="193"/>
      <c r="Z1096" s="193"/>
      <c r="AA1096" s="193"/>
    </row>
    <row r="1097" spans="20:27">
      <c r="T1097" s="193"/>
      <c r="U1097" s="193"/>
      <c r="V1097" s="193"/>
      <c r="W1097" s="193"/>
      <c r="X1097" s="193"/>
      <c r="Y1097" s="193"/>
      <c r="Z1097" s="193"/>
      <c r="AA1097" s="193"/>
    </row>
    <row r="1098" spans="20:27">
      <c r="T1098" s="193"/>
      <c r="U1098" s="193"/>
      <c r="V1098" s="193"/>
      <c r="W1098" s="193"/>
      <c r="X1098" s="193"/>
      <c r="Y1098" s="193"/>
      <c r="Z1098" s="193"/>
      <c r="AA1098" s="193"/>
    </row>
    <row r="1099" spans="20:27">
      <c r="T1099" s="193"/>
      <c r="U1099" s="193"/>
      <c r="V1099" s="193"/>
      <c r="W1099" s="193"/>
      <c r="X1099" s="193"/>
      <c r="Y1099" s="193"/>
      <c r="Z1099" s="193"/>
      <c r="AA1099" s="193"/>
    </row>
    <row r="1100" spans="20:27">
      <c r="T1100" s="193"/>
      <c r="U1100" s="193"/>
      <c r="V1100" s="193"/>
      <c r="W1100" s="193"/>
      <c r="X1100" s="193"/>
      <c r="Y1100" s="193"/>
      <c r="Z1100" s="193"/>
      <c r="AA1100" s="193"/>
    </row>
    <row r="1101" spans="20:27">
      <c r="T1101" s="193"/>
      <c r="U1101" s="193"/>
      <c r="V1101" s="193"/>
      <c r="W1101" s="193"/>
      <c r="X1101" s="193"/>
      <c r="Y1101" s="193"/>
      <c r="Z1101" s="193"/>
      <c r="AA1101" s="193"/>
    </row>
    <row r="1102" spans="20:27">
      <c r="T1102" s="193"/>
      <c r="U1102" s="193"/>
      <c r="V1102" s="193"/>
      <c r="W1102" s="193"/>
      <c r="X1102" s="193"/>
      <c r="Y1102" s="193"/>
      <c r="Z1102" s="193"/>
      <c r="AA1102" s="193"/>
    </row>
    <row r="1103" spans="20:27">
      <c r="T1103" s="193"/>
      <c r="U1103" s="193"/>
      <c r="V1103" s="193"/>
      <c r="W1103" s="193"/>
      <c r="X1103" s="193"/>
      <c r="Y1103" s="193"/>
      <c r="Z1103" s="193"/>
      <c r="AA1103" s="193"/>
    </row>
    <row r="1104" spans="20:27">
      <c r="T1104" s="193"/>
      <c r="U1104" s="193"/>
      <c r="V1104" s="193"/>
      <c r="W1104" s="193"/>
      <c r="X1104" s="193"/>
      <c r="Y1104" s="193"/>
      <c r="Z1104" s="193"/>
      <c r="AA1104" s="193"/>
    </row>
    <row r="1105" spans="20:27">
      <c r="T1105" s="193"/>
      <c r="U1105" s="193"/>
      <c r="V1105" s="193"/>
      <c r="W1105" s="193"/>
      <c r="X1105" s="193"/>
      <c r="Y1105" s="193"/>
      <c r="Z1105" s="193"/>
      <c r="AA1105" s="193"/>
    </row>
    <row r="1106" spans="20:27">
      <c r="T1106" s="193"/>
      <c r="U1106" s="193"/>
      <c r="V1106" s="193"/>
      <c r="W1106" s="193"/>
      <c r="X1106" s="193"/>
      <c r="Y1106" s="193"/>
      <c r="Z1106" s="193"/>
      <c r="AA1106" s="193"/>
    </row>
    <row r="1107" spans="20:27">
      <c r="T1107" s="193"/>
      <c r="U1107" s="193"/>
      <c r="V1107" s="193"/>
      <c r="W1107" s="193"/>
      <c r="X1107" s="193"/>
      <c r="Y1107" s="193"/>
      <c r="Z1107" s="193"/>
      <c r="AA1107" s="193"/>
    </row>
    <row r="1108" spans="20:27">
      <c r="T1108" s="193"/>
      <c r="U1108" s="193"/>
      <c r="V1108" s="193"/>
      <c r="W1108" s="193"/>
      <c r="X1108" s="193"/>
      <c r="Y1108" s="193"/>
      <c r="Z1108" s="193"/>
      <c r="AA1108" s="193"/>
    </row>
    <row r="1109" spans="20:27">
      <c r="T1109" s="193"/>
      <c r="U1109" s="193"/>
      <c r="V1109" s="193"/>
      <c r="W1109" s="193"/>
      <c r="X1109" s="193"/>
      <c r="Y1109" s="193"/>
      <c r="Z1109" s="193"/>
      <c r="AA1109" s="193"/>
    </row>
    <row r="1110" spans="20:27">
      <c r="T1110" s="193"/>
      <c r="U1110" s="193"/>
      <c r="V1110" s="193"/>
      <c r="W1110" s="193"/>
      <c r="X1110" s="193"/>
      <c r="Y1110" s="193"/>
      <c r="Z1110" s="193"/>
      <c r="AA1110" s="193"/>
    </row>
    <row r="1111" spans="20:27">
      <c r="T1111" s="193"/>
      <c r="U1111" s="193"/>
      <c r="V1111" s="193"/>
      <c r="W1111" s="193"/>
      <c r="X1111" s="193"/>
      <c r="Y1111" s="193"/>
      <c r="Z1111" s="193"/>
      <c r="AA1111" s="193"/>
    </row>
    <row r="1112" spans="20:27">
      <c r="T1112" s="193"/>
      <c r="U1112" s="193"/>
      <c r="V1112" s="193"/>
      <c r="W1112" s="193"/>
      <c r="X1112" s="193"/>
      <c r="Y1112" s="193"/>
      <c r="Z1112" s="193"/>
      <c r="AA1112" s="193"/>
    </row>
    <row r="1113" spans="20:27">
      <c r="T1113" s="193"/>
      <c r="U1113" s="193"/>
      <c r="V1113" s="193"/>
      <c r="W1113" s="193"/>
      <c r="X1113" s="193"/>
      <c r="Y1113" s="193"/>
      <c r="Z1113" s="193"/>
      <c r="AA1113" s="193"/>
    </row>
    <row r="1114" spans="20:27">
      <c r="T1114" s="193"/>
      <c r="U1114" s="193"/>
      <c r="V1114" s="193"/>
      <c r="W1114" s="193"/>
      <c r="X1114" s="193"/>
      <c r="Y1114" s="193"/>
      <c r="Z1114" s="193"/>
      <c r="AA1114" s="193"/>
    </row>
    <row r="1115" spans="20:27">
      <c r="T1115" s="193"/>
      <c r="U1115" s="193"/>
      <c r="V1115" s="193"/>
      <c r="W1115" s="193"/>
      <c r="X1115" s="193"/>
      <c r="Y1115" s="193"/>
      <c r="Z1115" s="193"/>
      <c r="AA1115" s="193"/>
    </row>
    <row r="1116" spans="20:27">
      <c r="T1116" s="193"/>
      <c r="U1116" s="193"/>
      <c r="V1116" s="193"/>
      <c r="W1116" s="193"/>
      <c r="X1116" s="193"/>
      <c r="Y1116" s="193"/>
      <c r="Z1116" s="193"/>
      <c r="AA1116" s="193"/>
    </row>
    <row r="1117" spans="20:27">
      <c r="T1117" s="193"/>
      <c r="U1117" s="193"/>
      <c r="V1117" s="193"/>
      <c r="W1117" s="193"/>
      <c r="X1117" s="193"/>
      <c r="Y1117" s="193"/>
      <c r="Z1117" s="193"/>
      <c r="AA1117" s="193"/>
    </row>
    <row r="1118" spans="20:27">
      <c r="T1118" s="193"/>
      <c r="U1118" s="193"/>
      <c r="V1118" s="193"/>
      <c r="W1118" s="193"/>
      <c r="X1118" s="193"/>
      <c r="Y1118" s="193"/>
      <c r="Z1118" s="193"/>
      <c r="AA1118" s="193"/>
    </row>
    <row r="1119" spans="20:27">
      <c r="T1119" s="193"/>
      <c r="U1119" s="193"/>
      <c r="V1119" s="193"/>
      <c r="W1119" s="193"/>
      <c r="X1119" s="193"/>
      <c r="Y1119" s="193"/>
      <c r="Z1119" s="193"/>
      <c r="AA1119" s="193"/>
    </row>
    <row r="1120" spans="20:27">
      <c r="T1120" s="193"/>
      <c r="U1120" s="193"/>
      <c r="V1120" s="193"/>
      <c r="W1120" s="193"/>
      <c r="X1120" s="193"/>
      <c r="Y1120" s="193"/>
      <c r="Z1120" s="193"/>
      <c r="AA1120" s="193"/>
    </row>
    <row r="1121" spans="20:27">
      <c r="T1121" s="193"/>
      <c r="U1121" s="193"/>
      <c r="V1121" s="193"/>
      <c r="W1121" s="193"/>
      <c r="X1121" s="193"/>
      <c r="Y1121" s="193"/>
      <c r="Z1121" s="193"/>
      <c r="AA1121" s="193"/>
    </row>
    <row r="1122" spans="20:27">
      <c r="T1122" s="193"/>
      <c r="U1122" s="193"/>
      <c r="V1122" s="193"/>
      <c r="W1122" s="193"/>
      <c r="X1122" s="193"/>
      <c r="Y1122" s="193"/>
      <c r="Z1122" s="193"/>
      <c r="AA1122" s="193"/>
    </row>
    <row r="1123" spans="20:27">
      <c r="T1123" s="193"/>
      <c r="U1123" s="193"/>
      <c r="V1123" s="193"/>
      <c r="W1123" s="193"/>
      <c r="X1123" s="193"/>
      <c r="Y1123" s="193"/>
      <c r="Z1123" s="193"/>
      <c r="AA1123" s="193"/>
    </row>
    <row r="1124" spans="20:27">
      <c r="T1124" s="193"/>
      <c r="U1124" s="193"/>
      <c r="V1124" s="193"/>
      <c r="W1124" s="193"/>
      <c r="X1124" s="193"/>
      <c r="Y1124" s="193"/>
      <c r="Z1124" s="193"/>
      <c r="AA1124" s="193"/>
    </row>
    <row r="1125" spans="20:27">
      <c r="T1125" s="193"/>
      <c r="U1125" s="193"/>
      <c r="V1125" s="193"/>
      <c r="W1125" s="193"/>
      <c r="X1125" s="193"/>
      <c r="Y1125" s="193"/>
      <c r="Z1125" s="193"/>
      <c r="AA1125" s="193"/>
    </row>
    <row r="1126" spans="20:27">
      <c r="T1126" s="193"/>
      <c r="U1126" s="193"/>
      <c r="V1126" s="193"/>
      <c r="W1126" s="193"/>
      <c r="X1126" s="193"/>
      <c r="Y1126" s="193"/>
      <c r="Z1126" s="193"/>
      <c r="AA1126" s="193"/>
    </row>
    <row r="1127" spans="20:27">
      <c r="T1127" s="193"/>
      <c r="U1127" s="193"/>
      <c r="V1127" s="193"/>
      <c r="W1127" s="193"/>
      <c r="X1127" s="193"/>
      <c r="Y1127" s="193"/>
      <c r="Z1127" s="193"/>
      <c r="AA1127" s="193"/>
    </row>
    <row r="1128" spans="20:27">
      <c r="T1128" s="193"/>
      <c r="U1128" s="193"/>
      <c r="V1128" s="193"/>
      <c r="W1128" s="193"/>
      <c r="X1128" s="193"/>
      <c r="Y1128" s="193"/>
      <c r="Z1128" s="193"/>
      <c r="AA1128" s="193"/>
    </row>
    <row r="1129" spans="20:27">
      <c r="T1129" s="193"/>
      <c r="U1129" s="193"/>
      <c r="V1129" s="193"/>
      <c r="W1129" s="193"/>
      <c r="X1129" s="193"/>
      <c r="Y1129" s="193"/>
      <c r="Z1129" s="193"/>
      <c r="AA1129" s="193"/>
    </row>
    <row r="1130" spans="20:27">
      <c r="T1130" s="193"/>
      <c r="U1130" s="193"/>
      <c r="V1130" s="193"/>
      <c r="W1130" s="193"/>
      <c r="X1130" s="193"/>
      <c r="Y1130" s="193"/>
      <c r="Z1130" s="193"/>
      <c r="AA1130" s="193"/>
    </row>
    <row r="1131" spans="20:27">
      <c r="T1131" s="193"/>
      <c r="U1131" s="193"/>
      <c r="V1131" s="193"/>
      <c r="W1131" s="193"/>
      <c r="X1131" s="193"/>
      <c r="Y1131" s="193"/>
      <c r="Z1131" s="193"/>
      <c r="AA1131" s="193"/>
    </row>
    <row r="1132" spans="20:27">
      <c r="T1132" s="193"/>
      <c r="U1132" s="193"/>
      <c r="V1132" s="193"/>
      <c r="W1132" s="193"/>
      <c r="X1132" s="193"/>
      <c r="Y1132" s="193"/>
      <c r="Z1132" s="193"/>
      <c r="AA1132" s="193"/>
    </row>
    <row r="1133" spans="20:27">
      <c r="T1133" s="193"/>
      <c r="U1133" s="193"/>
      <c r="V1133" s="193"/>
      <c r="W1133" s="193"/>
      <c r="X1133" s="193"/>
      <c r="Y1133" s="193"/>
      <c r="Z1133" s="193"/>
      <c r="AA1133" s="193"/>
    </row>
    <row r="1134" spans="20:27">
      <c r="T1134" s="193"/>
      <c r="U1134" s="193"/>
      <c r="V1134" s="193"/>
      <c r="W1134" s="193"/>
      <c r="X1134" s="193"/>
      <c r="Y1134" s="193"/>
      <c r="Z1134" s="193"/>
      <c r="AA1134" s="193"/>
    </row>
    <row r="1135" spans="20:27">
      <c r="T1135" s="193"/>
      <c r="U1135" s="193"/>
      <c r="V1135" s="193"/>
      <c r="W1135" s="193"/>
      <c r="X1135" s="193"/>
      <c r="Y1135" s="193"/>
      <c r="Z1135" s="193"/>
      <c r="AA1135" s="193"/>
    </row>
    <row r="1136" spans="20:27">
      <c r="T1136" s="193"/>
      <c r="U1136" s="193"/>
      <c r="V1136" s="193"/>
      <c r="W1136" s="193"/>
      <c r="X1136" s="193"/>
      <c r="Y1136" s="193"/>
      <c r="Z1136" s="193"/>
      <c r="AA1136" s="193"/>
    </row>
    <row r="1137" spans="20:27">
      <c r="T1137" s="193"/>
      <c r="U1137" s="193"/>
      <c r="V1137" s="193"/>
      <c r="W1137" s="193"/>
      <c r="X1137" s="193"/>
      <c r="Y1137" s="193"/>
      <c r="Z1137" s="193"/>
      <c r="AA1137" s="193"/>
    </row>
    <row r="1138" spans="20:27">
      <c r="T1138" s="193"/>
      <c r="U1138" s="193"/>
      <c r="V1138" s="193"/>
      <c r="W1138" s="193"/>
      <c r="X1138" s="193"/>
      <c r="Y1138" s="193"/>
      <c r="Z1138" s="193"/>
      <c r="AA1138" s="193"/>
    </row>
    <row r="1139" spans="20:27">
      <c r="T1139" s="193"/>
      <c r="U1139" s="193"/>
      <c r="V1139" s="193"/>
      <c r="W1139" s="193"/>
      <c r="X1139" s="193"/>
      <c r="Y1139" s="193"/>
      <c r="Z1139" s="193"/>
      <c r="AA1139" s="193"/>
    </row>
    <row r="1140" spans="20:27">
      <c r="T1140" s="193"/>
      <c r="U1140" s="193"/>
      <c r="V1140" s="193"/>
      <c r="W1140" s="193"/>
      <c r="X1140" s="193"/>
      <c r="Y1140" s="193"/>
      <c r="Z1140" s="193"/>
      <c r="AA1140" s="193"/>
    </row>
    <row r="1141" spans="20:27">
      <c r="T1141" s="193"/>
      <c r="U1141" s="193"/>
      <c r="V1141" s="193"/>
      <c r="W1141" s="193"/>
      <c r="X1141" s="193"/>
      <c r="Y1141" s="193"/>
      <c r="Z1141" s="193"/>
      <c r="AA1141" s="193"/>
    </row>
    <row r="1142" spans="20:27">
      <c r="T1142" s="193"/>
      <c r="U1142" s="193"/>
      <c r="V1142" s="193"/>
      <c r="W1142" s="193"/>
      <c r="X1142" s="193"/>
      <c r="Y1142" s="193"/>
      <c r="Z1142" s="193"/>
      <c r="AA1142" s="193"/>
    </row>
    <row r="1143" spans="20:27">
      <c r="T1143" s="193"/>
      <c r="U1143" s="193"/>
      <c r="V1143" s="193"/>
      <c r="W1143" s="193"/>
      <c r="X1143" s="193"/>
      <c r="Y1143" s="193"/>
      <c r="Z1143" s="193"/>
      <c r="AA1143" s="193"/>
    </row>
    <row r="1144" spans="20:27">
      <c r="T1144" s="193"/>
      <c r="U1144" s="193"/>
      <c r="V1144" s="193"/>
      <c r="W1144" s="193"/>
      <c r="X1144" s="193"/>
      <c r="Y1144" s="193"/>
      <c r="Z1144" s="193"/>
      <c r="AA1144" s="193"/>
    </row>
    <row r="1145" spans="20:27">
      <c r="T1145" s="193"/>
      <c r="U1145" s="193"/>
      <c r="V1145" s="193"/>
      <c r="W1145" s="193"/>
      <c r="X1145" s="193"/>
      <c r="Y1145" s="193"/>
      <c r="Z1145" s="193"/>
      <c r="AA1145" s="193"/>
    </row>
    <row r="1146" spans="20:27">
      <c r="T1146" s="193"/>
      <c r="U1146" s="193"/>
      <c r="V1146" s="193"/>
      <c r="W1146" s="193"/>
      <c r="X1146" s="193"/>
      <c r="Y1146" s="193"/>
      <c r="Z1146" s="193"/>
      <c r="AA1146" s="193"/>
    </row>
    <row r="1147" spans="20:27">
      <c r="T1147" s="193"/>
      <c r="U1147" s="193"/>
      <c r="V1147" s="193"/>
      <c r="W1147" s="193"/>
      <c r="X1147" s="193"/>
      <c r="Y1147" s="193"/>
      <c r="Z1147" s="193"/>
      <c r="AA1147" s="193"/>
    </row>
    <row r="1148" spans="20:27">
      <c r="T1148" s="193"/>
      <c r="U1148" s="193"/>
      <c r="V1148" s="193"/>
      <c r="W1148" s="193"/>
      <c r="X1148" s="193"/>
      <c r="Y1148" s="193"/>
      <c r="Z1148" s="193"/>
      <c r="AA1148" s="193"/>
    </row>
    <row r="1149" spans="20:27">
      <c r="T1149" s="193"/>
      <c r="U1149" s="193"/>
      <c r="V1149" s="193"/>
      <c r="W1149" s="193"/>
      <c r="X1149" s="193"/>
      <c r="Y1149" s="193"/>
      <c r="Z1149" s="193"/>
      <c r="AA1149" s="193"/>
    </row>
    <row r="1150" spans="20:27">
      <c r="T1150" s="193"/>
      <c r="U1150" s="193"/>
      <c r="V1150" s="193"/>
      <c r="W1150" s="193"/>
      <c r="X1150" s="193"/>
      <c r="Y1150" s="193"/>
      <c r="Z1150" s="193"/>
      <c r="AA1150" s="193"/>
    </row>
    <row r="1151" spans="20:27">
      <c r="T1151" s="193"/>
      <c r="U1151" s="193"/>
      <c r="V1151" s="193"/>
      <c r="W1151" s="193"/>
      <c r="X1151" s="193"/>
      <c r="Y1151" s="193"/>
      <c r="Z1151" s="193"/>
      <c r="AA1151" s="193"/>
    </row>
    <row r="1152" spans="20:27">
      <c r="T1152" s="193"/>
      <c r="U1152" s="193"/>
      <c r="V1152" s="193"/>
      <c r="W1152" s="193"/>
      <c r="X1152" s="193"/>
      <c r="Y1152" s="193"/>
      <c r="Z1152" s="193"/>
      <c r="AA1152" s="193"/>
    </row>
    <row r="1153" spans="20:27">
      <c r="T1153" s="193"/>
      <c r="U1153" s="193"/>
      <c r="V1153" s="193"/>
      <c r="W1153" s="193"/>
      <c r="X1153" s="193"/>
      <c r="Y1153" s="193"/>
      <c r="Z1153" s="193"/>
      <c r="AA1153" s="193"/>
    </row>
    <row r="1154" spans="20:27">
      <c r="T1154" s="193"/>
      <c r="U1154" s="193"/>
      <c r="V1154" s="193"/>
      <c r="W1154" s="193"/>
      <c r="X1154" s="193"/>
      <c r="Y1154" s="193"/>
      <c r="Z1154" s="193"/>
      <c r="AA1154" s="193"/>
    </row>
    <row r="1155" spans="20:27">
      <c r="T1155" s="193"/>
      <c r="U1155" s="193"/>
      <c r="V1155" s="193"/>
      <c r="W1155" s="193"/>
      <c r="X1155" s="193"/>
      <c r="Y1155" s="193"/>
      <c r="Z1155" s="193"/>
      <c r="AA1155" s="193"/>
    </row>
    <row r="1156" spans="20:27">
      <c r="T1156" s="193"/>
      <c r="U1156" s="193"/>
      <c r="V1156" s="193"/>
      <c r="W1156" s="193"/>
      <c r="X1156" s="193"/>
      <c r="Y1156" s="193"/>
      <c r="Z1156" s="193"/>
      <c r="AA1156" s="193"/>
    </row>
    <row r="1157" spans="20:27">
      <c r="T1157" s="193"/>
      <c r="U1157" s="193"/>
      <c r="V1157" s="193"/>
      <c r="W1157" s="193"/>
      <c r="X1157" s="193"/>
      <c r="Y1157" s="193"/>
      <c r="Z1157" s="193"/>
      <c r="AA1157" s="193"/>
    </row>
    <row r="1158" spans="20:27">
      <c r="T1158" s="193"/>
      <c r="U1158" s="193"/>
      <c r="V1158" s="193"/>
      <c r="W1158" s="193"/>
      <c r="X1158" s="193"/>
      <c r="Y1158" s="193"/>
      <c r="Z1158" s="193"/>
      <c r="AA1158" s="193"/>
    </row>
    <row r="1159" spans="20:27">
      <c r="T1159" s="193"/>
      <c r="U1159" s="193"/>
      <c r="V1159" s="193"/>
      <c r="W1159" s="193"/>
      <c r="X1159" s="193"/>
      <c r="Y1159" s="193"/>
      <c r="Z1159" s="193"/>
      <c r="AA1159" s="193"/>
    </row>
    <row r="1160" spans="20:27">
      <c r="T1160" s="193"/>
      <c r="U1160" s="193"/>
      <c r="V1160" s="193"/>
      <c r="W1160" s="193"/>
      <c r="X1160" s="193"/>
      <c r="Y1160" s="193"/>
      <c r="Z1160" s="193"/>
      <c r="AA1160" s="193"/>
    </row>
    <row r="1161" spans="20:27">
      <c r="T1161" s="193"/>
      <c r="U1161" s="193"/>
      <c r="V1161" s="193"/>
      <c r="W1161" s="193"/>
      <c r="X1161" s="193"/>
      <c r="Y1161" s="193"/>
      <c r="Z1161" s="193"/>
      <c r="AA1161" s="193"/>
    </row>
    <row r="1162" spans="20:27">
      <c r="T1162" s="193"/>
      <c r="U1162" s="193"/>
      <c r="V1162" s="193"/>
      <c r="W1162" s="193"/>
      <c r="X1162" s="193"/>
      <c r="Y1162" s="193"/>
      <c r="Z1162" s="193"/>
      <c r="AA1162" s="193"/>
    </row>
    <row r="1163" spans="20:27">
      <c r="T1163" s="193"/>
      <c r="U1163" s="193"/>
      <c r="V1163" s="193"/>
      <c r="W1163" s="193"/>
      <c r="X1163" s="193"/>
      <c r="Y1163" s="193"/>
      <c r="Z1163" s="193"/>
      <c r="AA1163" s="193"/>
    </row>
    <row r="1164" spans="20:27">
      <c r="T1164" s="193"/>
      <c r="U1164" s="193"/>
      <c r="V1164" s="193"/>
      <c r="W1164" s="193"/>
      <c r="X1164" s="193"/>
      <c r="Y1164" s="193"/>
      <c r="Z1164" s="193"/>
      <c r="AA1164" s="193"/>
    </row>
    <row r="1165" spans="20:27">
      <c r="T1165" s="193"/>
      <c r="U1165" s="193"/>
      <c r="V1165" s="193"/>
      <c r="W1165" s="193"/>
      <c r="X1165" s="193"/>
      <c r="Y1165" s="193"/>
      <c r="Z1165" s="193"/>
      <c r="AA1165" s="193"/>
    </row>
    <row r="1166" spans="20:27">
      <c r="T1166" s="193"/>
      <c r="U1166" s="193"/>
      <c r="V1166" s="193"/>
      <c r="W1166" s="193"/>
      <c r="X1166" s="193"/>
      <c r="Y1166" s="193"/>
      <c r="Z1166" s="193"/>
      <c r="AA1166" s="193"/>
    </row>
    <row r="1167" spans="20:27">
      <c r="T1167" s="193"/>
      <c r="U1167" s="193"/>
      <c r="V1167" s="193"/>
      <c r="W1167" s="193"/>
      <c r="X1167" s="193"/>
      <c r="Y1167" s="193"/>
      <c r="Z1167" s="193"/>
      <c r="AA1167" s="193"/>
    </row>
    <row r="1168" spans="20:27">
      <c r="T1168" s="193"/>
      <c r="U1168" s="193"/>
      <c r="V1168" s="193"/>
      <c r="W1168" s="193"/>
      <c r="X1168" s="193"/>
      <c r="Y1168" s="193"/>
      <c r="Z1168" s="193"/>
      <c r="AA1168" s="193"/>
    </row>
    <row r="1169" spans="20:27">
      <c r="T1169" s="193"/>
      <c r="U1169" s="193"/>
      <c r="V1169" s="193"/>
      <c r="W1169" s="193"/>
      <c r="X1169" s="193"/>
      <c r="Y1169" s="193"/>
      <c r="Z1169" s="193"/>
      <c r="AA1169" s="193"/>
    </row>
    <row r="1170" spans="20:27">
      <c r="T1170" s="193"/>
      <c r="U1170" s="193"/>
      <c r="V1170" s="193"/>
      <c r="W1170" s="193"/>
      <c r="X1170" s="193"/>
      <c r="Y1170" s="193"/>
      <c r="Z1170" s="193"/>
      <c r="AA1170" s="193"/>
    </row>
    <row r="1171" spans="20:27">
      <c r="T1171" s="193"/>
      <c r="U1171" s="193"/>
      <c r="V1171" s="193"/>
      <c r="W1171" s="193"/>
      <c r="X1171" s="193"/>
      <c r="Y1171" s="193"/>
      <c r="Z1171" s="193"/>
      <c r="AA1171" s="193"/>
    </row>
    <row r="1172" spans="20:27">
      <c r="T1172" s="193"/>
      <c r="U1172" s="193"/>
      <c r="V1172" s="193"/>
      <c r="W1172" s="193"/>
      <c r="X1172" s="193"/>
      <c r="Y1172" s="193"/>
      <c r="Z1172" s="193"/>
      <c r="AA1172" s="193"/>
    </row>
    <row r="1173" spans="20:27">
      <c r="T1173" s="193"/>
      <c r="U1173" s="193"/>
      <c r="V1173" s="193"/>
      <c r="W1173" s="193"/>
      <c r="X1173" s="193"/>
      <c r="Y1173" s="193"/>
      <c r="Z1173" s="193"/>
      <c r="AA1173" s="193"/>
    </row>
    <row r="1174" spans="20:27">
      <c r="T1174" s="193"/>
      <c r="U1174" s="193"/>
      <c r="V1174" s="193"/>
      <c r="W1174" s="193"/>
      <c r="X1174" s="193"/>
      <c r="Y1174" s="193"/>
      <c r="Z1174" s="193"/>
      <c r="AA1174" s="193"/>
    </row>
    <row r="1175" spans="20:27">
      <c r="T1175" s="193"/>
      <c r="U1175" s="193"/>
      <c r="V1175" s="193"/>
      <c r="W1175" s="193"/>
      <c r="X1175" s="193"/>
      <c r="Y1175" s="193"/>
      <c r="Z1175" s="193"/>
      <c r="AA1175" s="193"/>
    </row>
    <row r="1176" spans="20:27">
      <c r="T1176" s="193"/>
      <c r="U1176" s="193"/>
      <c r="V1176" s="193"/>
      <c r="W1176" s="193"/>
      <c r="X1176" s="193"/>
      <c r="Y1176" s="193"/>
      <c r="Z1176" s="193"/>
      <c r="AA1176" s="193"/>
    </row>
    <row r="1177" spans="20:27">
      <c r="T1177" s="193"/>
      <c r="U1177" s="193"/>
      <c r="V1177" s="193"/>
      <c r="W1177" s="193"/>
      <c r="X1177" s="193"/>
      <c r="Y1177" s="193"/>
      <c r="Z1177" s="193"/>
      <c r="AA1177" s="193"/>
    </row>
    <row r="1178" spans="20:27">
      <c r="T1178" s="193"/>
      <c r="U1178" s="193"/>
      <c r="V1178" s="193"/>
      <c r="W1178" s="193"/>
      <c r="X1178" s="193"/>
      <c r="Y1178" s="193"/>
      <c r="Z1178" s="193"/>
      <c r="AA1178" s="193"/>
    </row>
    <row r="1179" spans="20:27">
      <c r="T1179" s="193"/>
      <c r="U1179" s="193"/>
      <c r="V1179" s="193"/>
      <c r="W1179" s="193"/>
      <c r="X1179" s="193"/>
      <c r="Y1179" s="193"/>
      <c r="Z1179" s="193"/>
      <c r="AA1179" s="193"/>
    </row>
    <row r="1180" spans="20:27">
      <c r="T1180" s="193"/>
      <c r="U1180" s="193"/>
      <c r="V1180" s="193"/>
      <c r="W1180" s="193"/>
      <c r="X1180" s="193"/>
      <c r="Y1180" s="193"/>
      <c r="Z1180" s="193"/>
      <c r="AA1180" s="193"/>
    </row>
    <row r="1181" spans="20:27">
      <c r="T1181" s="193"/>
      <c r="U1181" s="193"/>
      <c r="V1181" s="193"/>
      <c r="W1181" s="193"/>
      <c r="X1181" s="193"/>
      <c r="Y1181" s="193"/>
      <c r="Z1181" s="193"/>
      <c r="AA1181" s="193"/>
    </row>
    <row r="1182" spans="20:27">
      <c r="T1182" s="193"/>
      <c r="U1182" s="193"/>
      <c r="V1182" s="193"/>
      <c r="W1182" s="193"/>
      <c r="X1182" s="193"/>
      <c r="Y1182" s="193"/>
      <c r="Z1182" s="193"/>
      <c r="AA1182" s="193"/>
    </row>
  </sheetData>
  <autoFilter xmlns:etc="http://www.wps.cn/officeDocument/2017/etCustomData" ref="B3:H750" etc:filterBottomFollowUsedRange="0">
    <extLst/>
  </autoFilter>
  <mergeCells count="12">
    <mergeCell ref="B2:I2"/>
    <mergeCell ref="K2:R2"/>
    <mergeCell ref="T2:AA2"/>
    <mergeCell ref="AC2:AJ2"/>
    <mergeCell ref="AL2:AS2"/>
    <mergeCell ref="AU2:BA2"/>
    <mergeCell ref="N126:N127"/>
    <mergeCell ref="N128:N129"/>
    <mergeCell ref="N130:N131"/>
    <mergeCell ref="N136:N137"/>
    <mergeCell ref="N138:N139"/>
    <mergeCell ref="N140:N143"/>
  </mergeCells>
  <pageMargins left="0.75" right="0.75" top="1" bottom="1" header="0.5" footer="0.5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B1:M1921"/>
  <sheetViews>
    <sheetView workbookViewId="0">
      <pane ySplit="1" topLeftCell="A558" activePane="bottomLeft" state="frozen"/>
      <selection/>
      <selection pane="bottomLeft" activeCell="C581" sqref="C581"/>
    </sheetView>
  </sheetViews>
  <sheetFormatPr defaultColWidth="8" defaultRowHeight="17.6"/>
  <cols>
    <col min="1" max="1" width="8" style="69"/>
    <col min="2" max="2" width="46.1015625" style="70" customWidth="1"/>
    <col min="3" max="3" width="7.328125" style="71" customWidth="1"/>
    <col min="4" max="4" width="7.328125" style="72" customWidth="1"/>
    <col min="5" max="5" width="7.328125" style="73" customWidth="1"/>
    <col min="6" max="7" width="7.328125" style="71" customWidth="1"/>
    <col min="8" max="8" width="13.296875" style="74" customWidth="1"/>
    <col min="9" max="9" width="26.8984375" style="75" customWidth="1"/>
    <col min="10" max="10" width="11.6015625" style="76" customWidth="1"/>
    <col min="11" max="11" width="8" style="69"/>
    <col min="12" max="12" width="26.203125" style="77" customWidth="1"/>
    <col min="13" max="13" width="8.796875" style="77"/>
    <col min="14" max="16384" width="8" style="69"/>
  </cols>
  <sheetData>
    <row r="1" s="69" customFormat="1" ht="18.35" spans="2:13">
      <c r="B1" s="70"/>
      <c r="C1" s="71">
        <v>500</v>
      </c>
      <c r="D1" s="72"/>
      <c r="E1" s="73"/>
      <c r="F1" s="71"/>
      <c r="G1" s="71"/>
      <c r="H1" s="74"/>
      <c r="I1" s="75"/>
      <c r="J1" s="76"/>
      <c r="L1" s="77"/>
      <c r="M1" s="77">
        <f>SUM(M3:M6000)</f>
        <v>1440</v>
      </c>
    </row>
    <row r="2" s="69" customFormat="1" ht="18.35" spans="2:13">
      <c r="B2" s="78" t="s">
        <v>2485</v>
      </c>
      <c r="C2" s="79" t="s">
        <v>2486</v>
      </c>
      <c r="D2" s="80" t="s">
        <v>678</v>
      </c>
      <c r="E2" s="87" t="s">
        <v>2487</v>
      </c>
      <c r="F2" s="88" t="s">
        <v>674</v>
      </c>
      <c r="G2" s="89" t="s">
        <v>913</v>
      </c>
      <c r="H2" s="74" t="e">
        <f t="shared" ref="H2:H65" si="0">_xlfn.XLOOKUP(G2,I:I,J:J)</f>
        <v>#N/A</v>
      </c>
      <c r="I2" s="96" t="s">
        <v>2488</v>
      </c>
      <c r="J2" s="97">
        <v>1286.120703</v>
      </c>
      <c r="L2" s="77"/>
      <c r="M2" s="77"/>
    </row>
    <row r="3" s="69" customFormat="1" spans="2:13">
      <c r="B3" s="81" t="s">
        <v>2489</v>
      </c>
      <c r="C3" s="82">
        <v>26</v>
      </c>
      <c r="D3" s="83">
        <f t="shared" ref="D3:D66" si="1">IF(C3="","",C3/(C3+$C$1/60))</f>
        <v>0.757281553398058</v>
      </c>
      <c r="E3" s="90">
        <f t="shared" ref="E3:E66" si="2">IFERROR(ROUND(1440/C3*2*D3,0),"")</f>
        <v>84</v>
      </c>
      <c r="F3" s="91">
        <v>2</v>
      </c>
      <c r="G3" s="92"/>
      <c r="H3" s="74">
        <f t="shared" si="0"/>
        <v>0</v>
      </c>
      <c r="I3" s="96" t="s">
        <v>2490</v>
      </c>
      <c r="J3" s="97">
        <v>422.515688</v>
      </c>
      <c r="L3" s="77" t="s">
        <v>2491</v>
      </c>
      <c r="M3" s="77">
        <v>2</v>
      </c>
    </row>
    <row r="4" s="69" customFormat="1" spans="2:13">
      <c r="B4" s="84" t="s">
        <v>2492</v>
      </c>
      <c r="C4" s="85">
        <v>26</v>
      </c>
      <c r="D4" s="86">
        <f t="shared" si="1"/>
        <v>0.757281553398058</v>
      </c>
      <c r="E4" s="93">
        <f t="shared" si="2"/>
        <v>84</v>
      </c>
      <c r="F4" s="94">
        <v>6</v>
      </c>
      <c r="G4" s="95"/>
      <c r="H4" s="74">
        <f t="shared" si="0"/>
        <v>0</v>
      </c>
      <c r="I4" s="96" t="s">
        <v>2492</v>
      </c>
      <c r="J4" s="97">
        <v>419.988009</v>
      </c>
      <c r="L4" s="77" t="s">
        <v>2493</v>
      </c>
      <c r="M4" s="77">
        <v>2</v>
      </c>
    </row>
    <row r="5" s="69" customFormat="1" spans="2:13">
      <c r="B5" s="84" t="s">
        <v>2494</v>
      </c>
      <c r="C5" s="85">
        <v>27</v>
      </c>
      <c r="D5" s="86">
        <f t="shared" si="1"/>
        <v>0.764150943396226</v>
      </c>
      <c r="E5" s="93">
        <f t="shared" si="2"/>
        <v>82</v>
      </c>
      <c r="F5" s="94">
        <v>2</v>
      </c>
      <c r="G5" s="95"/>
      <c r="H5" s="74">
        <f t="shared" si="0"/>
        <v>0</v>
      </c>
      <c r="I5" s="96" t="s">
        <v>2495</v>
      </c>
      <c r="J5" s="97">
        <v>410.5381</v>
      </c>
      <c r="L5" s="77" t="s">
        <v>2496</v>
      </c>
      <c r="M5" s="77">
        <v>4</v>
      </c>
    </row>
    <row r="6" s="69" customFormat="1" spans="2:13">
      <c r="B6" s="84" t="s">
        <v>2497</v>
      </c>
      <c r="C6" s="85">
        <v>26.5</v>
      </c>
      <c r="D6" s="86">
        <f t="shared" si="1"/>
        <v>0.760765550239234</v>
      </c>
      <c r="E6" s="93">
        <f t="shared" si="2"/>
        <v>83</v>
      </c>
      <c r="F6" s="94">
        <v>4</v>
      </c>
      <c r="G6" s="95"/>
      <c r="H6" s="74">
        <f t="shared" si="0"/>
        <v>0</v>
      </c>
      <c r="I6" s="96" t="s">
        <v>2498</v>
      </c>
      <c r="J6" s="97">
        <v>450.1651</v>
      </c>
      <c r="L6" s="77" t="s">
        <v>2499</v>
      </c>
      <c r="M6" s="77">
        <v>2</v>
      </c>
    </row>
    <row r="7" s="69" customFormat="1" spans="2:13">
      <c r="B7" s="84" t="s">
        <v>2500</v>
      </c>
      <c r="C7" s="85">
        <v>28</v>
      </c>
      <c r="D7" s="86">
        <f t="shared" si="1"/>
        <v>0.770642201834862</v>
      </c>
      <c r="E7" s="93">
        <f t="shared" si="2"/>
        <v>79</v>
      </c>
      <c r="F7" s="94">
        <v>2</v>
      </c>
      <c r="G7" s="95"/>
      <c r="H7" s="74">
        <f t="shared" si="0"/>
        <v>0</v>
      </c>
      <c r="I7" s="96" t="s">
        <v>2501</v>
      </c>
      <c r="J7" s="97">
        <v>419.988009</v>
      </c>
      <c r="L7" s="77" t="s">
        <v>2502</v>
      </c>
      <c r="M7" s="77">
        <v>2</v>
      </c>
    </row>
    <row r="8" s="69" customFormat="1" spans="2:13">
      <c r="B8" s="84" t="s">
        <v>2495</v>
      </c>
      <c r="C8" s="85">
        <v>27.5</v>
      </c>
      <c r="D8" s="86">
        <f t="shared" si="1"/>
        <v>0.767441860465116</v>
      </c>
      <c r="E8" s="93">
        <f t="shared" si="2"/>
        <v>80</v>
      </c>
      <c r="F8" s="94">
        <v>2</v>
      </c>
      <c r="G8" s="95"/>
      <c r="H8" s="74">
        <f t="shared" si="0"/>
        <v>0</v>
      </c>
      <c r="I8" s="96" t="s">
        <v>2494</v>
      </c>
      <c r="J8" s="97">
        <v>437.655582</v>
      </c>
      <c r="L8" s="77" t="s">
        <v>2503</v>
      </c>
      <c r="M8" s="77">
        <v>6</v>
      </c>
    </row>
    <row r="9" s="69" customFormat="1" spans="2:13">
      <c r="B9" s="84" t="s">
        <v>2498</v>
      </c>
      <c r="C9" s="85">
        <v>27.5</v>
      </c>
      <c r="D9" s="86">
        <f t="shared" si="1"/>
        <v>0.767441860465116</v>
      </c>
      <c r="E9" s="93">
        <f t="shared" si="2"/>
        <v>80</v>
      </c>
      <c r="F9" s="94">
        <v>2</v>
      </c>
      <c r="G9" s="95"/>
      <c r="H9" s="74">
        <f t="shared" si="0"/>
        <v>0</v>
      </c>
      <c r="I9" s="96" t="s">
        <v>2504</v>
      </c>
      <c r="J9" s="97">
        <v>419.988009</v>
      </c>
      <c r="L9" s="77" t="s">
        <v>2505</v>
      </c>
      <c r="M9" s="77">
        <v>6</v>
      </c>
    </row>
    <row r="10" s="69" customFormat="1" spans="2:13">
      <c r="B10" s="84" t="s">
        <v>2506</v>
      </c>
      <c r="C10" s="85">
        <v>30</v>
      </c>
      <c r="D10" s="86">
        <f t="shared" si="1"/>
        <v>0.782608695652174</v>
      </c>
      <c r="E10" s="93">
        <f t="shared" si="2"/>
        <v>75</v>
      </c>
      <c r="F10" s="94">
        <v>2</v>
      </c>
      <c r="G10" s="95"/>
      <c r="H10" s="74">
        <f t="shared" si="0"/>
        <v>0</v>
      </c>
      <c r="I10" s="96" t="s">
        <v>2497</v>
      </c>
      <c r="J10" s="97">
        <v>419.92958</v>
      </c>
      <c r="L10" s="77" t="s">
        <v>2507</v>
      </c>
      <c r="M10" s="77">
        <v>2</v>
      </c>
    </row>
    <row r="11" s="69" customFormat="1" spans="2:13">
      <c r="B11" s="84" t="s">
        <v>2504</v>
      </c>
      <c r="C11" s="85">
        <v>27</v>
      </c>
      <c r="D11" s="86">
        <f t="shared" si="1"/>
        <v>0.764150943396226</v>
      </c>
      <c r="E11" s="93">
        <f t="shared" si="2"/>
        <v>82</v>
      </c>
      <c r="F11" s="94">
        <v>2</v>
      </c>
      <c r="G11" s="95"/>
      <c r="H11" s="74">
        <f t="shared" si="0"/>
        <v>0</v>
      </c>
      <c r="I11" s="96" t="s">
        <v>2508</v>
      </c>
      <c r="J11" s="97">
        <v>1292.7208</v>
      </c>
      <c r="L11" s="77" t="s">
        <v>2509</v>
      </c>
      <c r="M11" s="77">
        <v>2</v>
      </c>
    </row>
    <row r="12" s="69" customFormat="1" spans="2:13">
      <c r="B12" s="84" t="s">
        <v>2490</v>
      </c>
      <c r="C12" s="85">
        <v>30</v>
      </c>
      <c r="D12" s="86">
        <f t="shared" si="1"/>
        <v>0.782608695652174</v>
      </c>
      <c r="E12" s="93">
        <f t="shared" si="2"/>
        <v>75</v>
      </c>
      <c r="F12" s="94">
        <v>4</v>
      </c>
      <c r="G12" s="95"/>
      <c r="H12" s="74">
        <f t="shared" si="0"/>
        <v>0</v>
      </c>
      <c r="I12" s="96" t="s">
        <v>2510</v>
      </c>
      <c r="J12" s="97">
        <v>949.263</v>
      </c>
      <c r="L12" s="77" t="s">
        <v>2511</v>
      </c>
      <c r="M12" s="77">
        <v>2</v>
      </c>
    </row>
    <row r="13" s="69" customFormat="1" spans="2:13">
      <c r="B13" s="84" t="s">
        <v>2501</v>
      </c>
      <c r="C13" s="85">
        <v>29.5</v>
      </c>
      <c r="D13" s="86">
        <f t="shared" si="1"/>
        <v>0.779735682819383</v>
      </c>
      <c r="E13" s="93">
        <f t="shared" si="2"/>
        <v>76</v>
      </c>
      <c r="F13" s="94">
        <v>2</v>
      </c>
      <c r="G13" s="95"/>
      <c r="H13" s="74">
        <f t="shared" si="0"/>
        <v>0</v>
      </c>
      <c r="I13" s="96" t="s">
        <v>2512</v>
      </c>
      <c r="J13" s="97">
        <v>841.9964</v>
      </c>
      <c r="L13" s="77" t="s">
        <v>2513</v>
      </c>
      <c r="M13" s="77">
        <v>2</v>
      </c>
    </row>
    <row r="14" s="69" customFormat="1" spans="2:13">
      <c r="B14" s="84" t="s">
        <v>2514</v>
      </c>
      <c r="C14" s="85">
        <v>29</v>
      </c>
      <c r="D14" s="86">
        <f t="shared" si="1"/>
        <v>0.776785714285714</v>
      </c>
      <c r="E14" s="93">
        <f t="shared" si="2"/>
        <v>77</v>
      </c>
      <c r="F14" s="94">
        <v>2</v>
      </c>
      <c r="G14" s="95"/>
      <c r="H14" s="74">
        <f t="shared" si="0"/>
        <v>0</v>
      </c>
      <c r="I14" s="96" t="s">
        <v>2515</v>
      </c>
      <c r="J14" s="97">
        <v>842.3805</v>
      </c>
      <c r="L14" s="77" t="s">
        <v>2516</v>
      </c>
      <c r="M14" s="77">
        <v>2</v>
      </c>
    </row>
    <row r="15" s="69" customFormat="1" spans="2:13">
      <c r="B15" s="84" t="s">
        <v>2517</v>
      </c>
      <c r="C15" s="85">
        <v>26</v>
      </c>
      <c r="D15" s="86">
        <f t="shared" si="1"/>
        <v>0.757281553398058</v>
      </c>
      <c r="E15" s="93">
        <f t="shared" si="2"/>
        <v>84</v>
      </c>
      <c r="F15" s="94">
        <v>2</v>
      </c>
      <c r="G15" s="95"/>
      <c r="H15" s="74">
        <f t="shared" si="0"/>
        <v>0</v>
      </c>
      <c r="I15" s="96" t="s">
        <v>2518</v>
      </c>
      <c r="J15" s="97">
        <v>883.751</v>
      </c>
      <c r="L15" s="77" t="s">
        <v>2519</v>
      </c>
      <c r="M15" s="77">
        <v>2</v>
      </c>
    </row>
    <row r="16" s="69" customFormat="1" spans="2:13">
      <c r="B16" s="84" t="s">
        <v>2520</v>
      </c>
      <c r="C16" s="85">
        <v>26</v>
      </c>
      <c r="D16" s="86">
        <f t="shared" si="1"/>
        <v>0.757281553398058</v>
      </c>
      <c r="E16" s="93">
        <f t="shared" si="2"/>
        <v>84</v>
      </c>
      <c r="F16" s="94">
        <v>2</v>
      </c>
      <c r="G16" s="95"/>
      <c r="H16" s="74">
        <f t="shared" si="0"/>
        <v>0</v>
      </c>
      <c r="I16" s="96" t="s">
        <v>2521</v>
      </c>
      <c r="J16" s="97">
        <v>959.854</v>
      </c>
      <c r="L16" s="77" t="s">
        <v>2522</v>
      </c>
      <c r="M16" s="77">
        <v>2</v>
      </c>
    </row>
    <row r="17" s="69" customFormat="1" spans="2:13">
      <c r="B17" s="84" t="s">
        <v>2523</v>
      </c>
      <c r="C17" s="85">
        <v>30</v>
      </c>
      <c r="D17" s="86">
        <f t="shared" si="1"/>
        <v>0.782608695652174</v>
      </c>
      <c r="E17" s="93">
        <f t="shared" si="2"/>
        <v>75</v>
      </c>
      <c r="F17" s="94">
        <v>2</v>
      </c>
      <c r="G17" s="95"/>
      <c r="H17" s="74">
        <f t="shared" si="0"/>
        <v>0</v>
      </c>
      <c r="I17" s="96" t="s">
        <v>2524</v>
      </c>
      <c r="J17" s="97">
        <v>899.759</v>
      </c>
      <c r="L17" s="77" t="s">
        <v>2525</v>
      </c>
      <c r="M17" s="77">
        <v>2</v>
      </c>
    </row>
    <row r="18" s="69" customFormat="1" spans="2:13">
      <c r="B18" s="84" t="s">
        <v>2526</v>
      </c>
      <c r="C18" s="85">
        <v>30</v>
      </c>
      <c r="D18" s="86">
        <f t="shared" si="1"/>
        <v>0.782608695652174</v>
      </c>
      <c r="E18" s="93">
        <f t="shared" si="2"/>
        <v>75</v>
      </c>
      <c r="F18" s="94">
        <v>2</v>
      </c>
      <c r="G18" s="95"/>
      <c r="H18" s="74">
        <f t="shared" si="0"/>
        <v>0</v>
      </c>
      <c r="I18" s="96" t="s">
        <v>2527</v>
      </c>
      <c r="J18" s="97">
        <v>864.6183</v>
      </c>
      <c r="L18" s="77" t="s">
        <v>2528</v>
      </c>
      <c r="M18" s="77">
        <v>4</v>
      </c>
    </row>
    <row r="19" s="69" customFormat="1" spans="2:13">
      <c r="B19" s="84" t="s">
        <v>2529</v>
      </c>
      <c r="C19" s="85">
        <v>28.5</v>
      </c>
      <c r="D19" s="86">
        <f t="shared" si="1"/>
        <v>0.773755656108597</v>
      </c>
      <c r="E19" s="93">
        <f t="shared" si="2"/>
        <v>78</v>
      </c>
      <c r="F19" s="94">
        <v>2</v>
      </c>
      <c r="G19" s="95"/>
      <c r="H19" s="74">
        <f t="shared" si="0"/>
        <v>0</v>
      </c>
      <c r="I19" s="96" t="s">
        <v>2530</v>
      </c>
      <c r="J19" s="97">
        <v>828.597</v>
      </c>
      <c r="L19" s="77" t="s">
        <v>2531</v>
      </c>
      <c r="M19" s="77">
        <v>4</v>
      </c>
    </row>
    <row r="20" s="69" customFormat="1" spans="2:13">
      <c r="B20" s="84" t="s">
        <v>2527</v>
      </c>
      <c r="C20" s="85">
        <v>39</v>
      </c>
      <c r="D20" s="86">
        <f t="shared" si="1"/>
        <v>0.823943661971831</v>
      </c>
      <c r="E20" s="93">
        <f t="shared" si="2"/>
        <v>61</v>
      </c>
      <c r="F20" s="94">
        <v>8</v>
      </c>
      <c r="G20" s="95"/>
      <c r="H20" s="74">
        <f t="shared" si="0"/>
        <v>0</v>
      </c>
      <c r="I20" s="96" t="s">
        <v>2532</v>
      </c>
      <c r="J20" s="97">
        <v>828.597</v>
      </c>
      <c r="L20" s="77" t="s">
        <v>2533</v>
      </c>
      <c r="M20" s="77">
        <v>2</v>
      </c>
    </row>
    <row r="21" s="69" customFormat="1" spans="2:13">
      <c r="B21" s="84" t="s">
        <v>2534</v>
      </c>
      <c r="C21" s="85">
        <v>38.5</v>
      </c>
      <c r="D21" s="86">
        <f t="shared" si="1"/>
        <v>0.822064056939502</v>
      </c>
      <c r="E21" s="93">
        <f t="shared" si="2"/>
        <v>61</v>
      </c>
      <c r="F21" s="94">
        <v>2</v>
      </c>
      <c r="G21" s="95"/>
      <c r="H21" s="74">
        <f t="shared" si="0"/>
        <v>0</v>
      </c>
      <c r="I21" s="96" t="s">
        <v>2535</v>
      </c>
      <c r="J21" s="97">
        <v>859.178334</v>
      </c>
      <c r="L21" s="77" t="s">
        <v>2536</v>
      </c>
      <c r="M21" s="77">
        <v>2</v>
      </c>
    </row>
    <row r="22" s="69" customFormat="1" spans="2:13">
      <c r="B22" s="84" t="s">
        <v>2537</v>
      </c>
      <c r="C22" s="85">
        <v>41</v>
      </c>
      <c r="D22" s="86">
        <f t="shared" si="1"/>
        <v>0.831081081081081</v>
      </c>
      <c r="E22" s="93">
        <f t="shared" si="2"/>
        <v>58</v>
      </c>
      <c r="F22" s="94">
        <v>2</v>
      </c>
      <c r="G22" s="95"/>
      <c r="H22" s="74">
        <f t="shared" si="0"/>
        <v>0</v>
      </c>
      <c r="I22" s="96" t="s">
        <v>2538</v>
      </c>
      <c r="J22" s="97">
        <v>896.5579</v>
      </c>
      <c r="L22" s="77" t="s">
        <v>2539</v>
      </c>
      <c r="M22" s="77">
        <v>2</v>
      </c>
    </row>
    <row r="23" s="69" customFormat="1" spans="2:13">
      <c r="B23" s="84" t="s">
        <v>2540</v>
      </c>
      <c r="C23" s="85">
        <v>41</v>
      </c>
      <c r="D23" s="86">
        <f t="shared" si="1"/>
        <v>0.831081081081081</v>
      </c>
      <c r="E23" s="93">
        <f t="shared" si="2"/>
        <v>58</v>
      </c>
      <c r="F23" s="94">
        <v>2</v>
      </c>
      <c r="G23" s="95"/>
      <c r="H23" s="74">
        <f t="shared" si="0"/>
        <v>0</v>
      </c>
      <c r="I23" s="96" t="s">
        <v>2541</v>
      </c>
      <c r="J23" s="97">
        <v>896.5579</v>
      </c>
      <c r="L23" s="77" t="s">
        <v>2542</v>
      </c>
      <c r="M23" s="77">
        <v>2</v>
      </c>
    </row>
    <row r="24" s="69" customFormat="1" spans="2:13">
      <c r="B24" s="84" t="s">
        <v>2543</v>
      </c>
      <c r="C24" s="85">
        <v>41</v>
      </c>
      <c r="D24" s="86">
        <f t="shared" si="1"/>
        <v>0.831081081081081</v>
      </c>
      <c r="E24" s="93">
        <f t="shared" si="2"/>
        <v>58</v>
      </c>
      <c r="F24" s="94">
        <v>2</v>
      </c>
      <c r="G24" s="95"/>
      <c r="H24" s="74">
        <f t="shared" si="0"/>
        <v>0</v>
      </c>
      <c r="I24" s="96" t="s">
        <v>2544</v>
      </c>
      <c r="J24" s="97">
        <v>1065.044</v>
      </c>
      <c r="L24" s="77" t="s">
        <v>2545</v>
      </c>
      <c r="M24" s="77">
        <v>2</v>
      </c>
    </row>
    <row r="25" s="69" customFormat="1" spans="2:13">
      <c r="B25" s="84" t="s">
        <v>2546</v>
      </c>
      <c r="C25" s="85">
        <v>41</v>
      </c>
      <c r="D25" s="86">
        <f t="shared" si="1"/>
        <v>0.831081081081081</v>
      </c>
      <c r="E25" s="93">
        <f t="shared" si="2"/>
        <v>58</v>
      </c>
      <c r="F25" s="94">
        <v>2</v>
      </c>
      <c r="G25" s="95"/>
      <c r="H25" s="74">
        <f t="shared" si="0"/>
        <v>0</v>
      </c>
      <c r="I25" s="96" t="s">
        <v>2547</v>
      </c>
      <c r="J25" s="97">
        <v>831.5165</v>
      </c>
      <c r="L25" s="77" t="s">
        <v>2548</v>
      </c>
      <c r="M25" s="77">
        <v>2</v>
      </c>
    </row>
    <row r="26" s="69" customFormat="1" spans="2:13">
      <c r="B26" s="84" t="s">
        <v>2549</v>
      </c>
      <c r="C26" s="85">
        <v>41</v>
      </c>
      <c r="D26" s="86">
        <f t="shared" si="1"/>
        <v>0.831081081081081</v>
      </c>
      <c r="E26" s="93">
        <f t="shared" si="2"/>
        <v>58</v>
      </c>
      <c r="F26" s="94">
        <v>2</v>
      </c>
      <c r="G26" s="95"/>
      <c r="H26" s="74">
        <f t="shared" si="0"/>
        <v>0</v>
      </c>
      <c r="I26" s="96" t="s">
        <v>2550</v>
      </c>
      <c r="J26" s="97">
        <v>1047.4618</v>
      </c>
      <c r="L26" s="77" t="s">
        <v>2551</v>
      </c>
      <c r="M26" s="77">
        <v>2</v>
      </c>
    </row>
    <row r="27" s="69" customFormat="1" spans="2:13">
      <c r="B27" s="84" t="s">
        <v>2552</v>
      </c>
      <c r="C27" s="85">
        <v>41</v>
      </c>
      <c r="D27" s="86">
        <f t="shared" si="1"/>
        <v>0.831081081081081</v>
      </c>
      <c r="E27" s="93">
        <f t="shared" si="2"/>
        <v>58</v>
      </c>
      <c r="F27" s="94">
        <v>2</v>
      </c>
      <c r="G27" s="95"/>
      <c r="H27" s="74">
        <f t="shared" si="0"/>
        <v>0</v>
      </c>
      <c r="I27" s="96" t="s">
        <v>2553</v>
      </c>
      <c r="J27" s="97">
        <v>708.673203</v>
      </c>
      <c r="L27" s="77" t="s">
        <v>2554</v>
      </c>
      <c r="M27" s="77">
        <v>2</v>
      </c>
    </row>
    <row r="28" s="69" customFormat="1" spans="2:13">
      <c r="B28" s="84" t="s">
        <v>2555</v>
      </c>
      <c r="C28" s="85">
        <v>41</v>
      </c>
      <c r="D28" s="86">
        <f t="shared" si="1"/>
        <v>0.831081081081081</v>
      </c>
      <c r="E28" s="93">
        <f t="shared" si="2"/>
        <v>58</v>
      </c>
      <c r="F28" s="94">
        <v>2</v>
      </c>
      <c r="G28" s="95"/>
      <c r="H28" s="74">
        <f t="shared" si="0"/>
        <v>0</v>
      </c>
      <c r="I28" s="96" t="s">
        <v>2556</v>
      </c>
      <c r="J28" s="97">
        <v>948.0784</v>
      </c>
      <c r="L28" s="77" t="s">
        <v>2557</v>
      </c>
      <c r="M28" s="77">
        <v>2</v>
      </c>
    </row>
    <row r="29" s="69" customFormat="1" spans="2:13">
      <c r="B29" s="84" t="s">
        <v>2558</v>
      </c>
      <c r="C29" s="85">
        <v>40.5</v>
      </c>
      <c r="D29" s="86">
        <f t="shared" si="1"/>
        <v>0.829351535836177</v>
      </c>
      <c r="E29" s="93">
        <f t="shared" si="2"/>
        <v>59</v>
      </c>
      <c r="F29" s="94">
        <v>2</v>
      </c>
      <c r="G29" s="95"/>
      <c r="H29" s="74">
        <f t="shared" si="0"/>
        <v>0</v>
      </c>
      <c r="I29" s="96" t="s">
        <v>2559</v>
      </c>
      <c r="J29" s="97">
        <v>940.3603</v>
      </c>
      <c r="L29" s="77" t="s">
        <v>2560</v>
      </c>
      <c r="M29" s="77">
        <v>2</v>
      </c>
    </row>
    <row r="30" s="69" customFormat="1" spans="2:13">
      <c r="B30" s="84" t="s">
        <v>2541</v>
      </c>
      <c r="C30" s="85">
        <v>42</v>
      </c>
      <c r="D30" s="86">
        <f t="shared" si="1"/>
        <v>0.834437086092715</v>
      </c>
      <c r="E30" s="93">
        <f t="shared" si="2"/>
        <v>57</v>
      </c>
      <c r="F30" s="94">
        <v>4</v>
      </c>
      <c r="G30" s="95"/>
      <c r="H30" s="74">
        <f t="shared" si="0"/>
        <v>0</v>
      </c>
      <c r="I30" s="96" t="s">
        <v>2561</v>
      </c>
      <c r="J30" s="97">
        <v>896.5579</v>
      </c>
      <c r="L30" s="77" t="s">
        <v>2562</v>
      </c>
      <c r="M30" s="77">
        <v>2</v>
      </c>
    </row>
    <row r="31" s="69" customFormat="1" spans="2:13">
      <c r="B31" s="84" t="s">
        <v>2538</v>
      </c>
      <c r="C31" s="85">
        <v>42</v>
      </c>
      <c r="D31" s="86">
        <f t="shared" si="1"/>
        <v>0.834437086092715</v>
      </c>
      <c r="E31" s="93">
        <f t="shared" si="2"/>
        <v>57</v>
      </c>
      <c r="F31" s="94">
        <v>4</v>
      </c>
      <c r="G31" s="95"/>
      <c r="H31" s="74">
        <f t="shared" si="0"/>
        <v>0</v>
      </c>
      <c r="I31" s="96" t="s">
        <v>2563</v>
      </c>
      <c r="J31" s="97">
        <v>1097.5727</v>
      </c>
      <c r="L31" s="77" t="s">
        <v>2564</v>
      </c>
      <c r="M31" s="77">
        <v>2</v>
      </c>
    </row>
    <row r="32" s="69" customFormat="1" spans="2:13">
      <c r="B32" s="84" t="s">
        <v>2512</v>
      </c>
      <c r="C32" s="85">
        <v>40.5</v>
      </c>
      <c r="D32" s="86">
        <f t="shared" si="1"/>
        <v>0.829351535836177</v>
      </c>
      <c r="E32" s="93">
        <f t="shared" si="2"/>
        <v>59</v>
      </c>
      <c r="F32" s="94">
        <v>4</v>
      </c>
      <c r="G32" s="95"/>
      <c r="H32" s="74">
        <f t="shared" si="0"/>
        <v>0</v>
      </c>
      <c r="I32" s="96" t="s">
        <v>2552</v>
      </c>
      <c r="J32" s="97">
        <v>841.9964</v>
      </c>
      <c r="L32" s="77" t="s">
        <v>2565</v>
      </c>
      <c r="M32" s="77">
        <v>2</v>
      </c>
    </row>
    <row r="33" s="69" customFormat="1" spans="2:13">
      <c r="B33" s="84" t="s">
        <v>2566</v>
      </c>
      <c r="C33" s="85">
        <v>41</v>
      </c>
      <c r="D33" s="86">
        <f t="shared" si="1"/>
        <v>0.831081081081081</v>
      </c>
      <c r="E33" s="93">
        <f t="shared" si="2"/>
        <v>58</v>
      </c>
      <c r="F33" s="94">
        <v>2</v>
      </c>
      <c r="G33" s="95"/>
      <c r="H33" s="74">
        <f t="shared" si="0"/>
        <v>0</v>
      </c>
      <c r="I33" s="96" t="s">
        <v>2549</v>
      </c>
      <c r="J33" s="97">
        <v>841.9964</v>
      </c>
      <c r="L33" s="77" t="s">
        <v>2567</v>
      </c>
      <c r="M33" s="77">
        <v>2</v>
      </c>
    </row>
    <row r="34" s="69" customFormat="1" spans="2:13">
      <c r="B34" s="84" t="s">
        <v>2510</v>
      </c>
      <c r="C34" s="85">
        <v>47.5</v>
      </c>
      <c r="D34" s="86">
        <f t="shared" si="1"/>
        <v>0.850746268656716</v>
      </c>
      <c r="E34" s="93">
        <f t="shared" si="2"/>
        <v>52</v>
      </c>
      <c r="F34" s="94">
        <v>4</v>
      </c>
      <c r="G34" s="95"/>
      <c r="H34" s="74">
        <f t="shared" si="0"/>
        <v>0</v>
      </c>
      <c r="I34" s="96" t="s">
        <v>2555</v>
      </c>
      <c r="J34" s="97">
        <v>841.9964</v>
      </c>
      <c r="L34" s="77" t="s">
        <v>2568</v>
      </c>
      <c r="M34" s="77">
        <v>2</v>
      </c>
    </row>
    <row r="35" s="69" customFormat="1" spans="2:13">
      <c r="B35" s="84" t="s">
        <v>2569</v>
      </c>
      <c r="C35" s="85">
        <v>48.5</v>
      </c>
      <c r="D35" s="86">
        <f t="shared" si="1"/>
        <v>0.853372434017595</v>
      </c>
      <c r="E35" s="93">
        <f t="shared" si="2"/>
        <v>51</v>
      </c>
      <c r="F35" s="94">
        <v>2</v>
      </c>
      <c r="G35" s="95"/>
      <c r="H35" s="74">
        <f t="shared" si="0"/>
        <v>0</v>
      </c>
      <c r="I35" s="96" t="s">
        <v>2570</v>
      </c>
      <c r="J35" s="97">
        <v>951.7501</v>
      </c>
      <c r="L35" s="77" t="s">
        <v>2571</v>
      </c>
      <c r="M35" s="77">
        <v>4</v>
      </c>
    </row>
    <row r="36" s="69" customFormat="1" spans="2:13">
      <c r="B36" s="84" t="s">
        <v>2521</v>
      </c>
      <c r="C36" s="85">
        <v>50.5</v>
      </c>
      <c r="D36" s="86">
        <f t="shared" si="1"/>
        <v>0.858356940509915</v>
      </c>
      <c r="E36" s="93">
        <f t="shared" si="2"/>
        <v>49</v>
      </c>
      <c r="F36" s="94">
        <v>2</v>
      </c>
      <c r="G36" s="95"/>
      <c r="H36" s="74">
        <f t="shared" si="0"/>
        <v>0</v>
      </c>
      <c r="I36" s="96" t="s">
        <v>2572</v>
      </c>
      <c r="J36" s="97">
        <v>1220.0356</v>
      </c>
      <c r="L36" s="77" t="s">
        <v>2573</v>
      </c>
      <c r="M36" s="77">
        <v>2</v>
      </c>
    </row>
    <row r="37" s="69" customFormat="1" spans="2:13">
      <c r="B37" s="84" t="s">
        <v>2574</v>
      </c>
      <c r="C37" s="85">
        <v>50.5</v>
      </c>
      <c r="D37" s="86">
        <f t="shared" si="1"/>
        <v>0.858356940509915</v>
      </c>
      <c r="E37" s="93">
        <f t="shared" si="2"/>
        <v>49</v>
      </c>
      <c r="F37" s="94">
        <v>2</v>
      </c>
      <c r="G37" s="95"/>
      <c r="H37" s="74">
        <f t="shared" si="0"/>
        <v>0</v>
      </c>
      <c r="I37" s="96" t="s">
        <v>2575</v>
      </c>
      <c r="J37" s="97">
        <v>973.094</v>
      </c>
      <c r="L37" s="77" t="s">
        <v>2576</v>
      </c>
      <c r="M37" s="77">
        <v>6</v>
      </c>
    </row>
    <row r="38" s="69" customFormat="1" spans="2:13">
      <c r="B38" s="84" t="s">
        <v>2577</v>
      </c>
      <c r="C38" s="85">
        <v>58</v>
      </c>
      <c r="D38" s="86">
        <f t="shared" si="1"/>
        <v>0.874371859296482</v>
      </c>
      <c r="E38" s="93">
        <f t="shared" si="2"/>
        <v>43</v>
      </c>
      <c r="F38" s="94">
        <v>2</v>
      </c>
      <c r="G38" s="95"/>
      <c r="H38" s="74">
        <f t="shared" si="0"/>
        <v>0</v>
      </c>
      <c r="I38" s="96" t="s">
        <v>2578</v>
      </c>
      <c r="J38" s="97">
        <v>733.3494</v>
      </c>
      <c r="L38" s="77" t="s">
        <v>2579</v>
      </c>
      <c r="M38" s="77">
        <v>2</v>
      </c>
    </row>
    <row r="39" s="69" customFormat="1" spans="2:13">
      <c r="B39" s="84" t="s">
        <v>2580</v>
      </c>
      <c r="C39" s="85">
        <v>41</v>
      </c>
      <c r="D39" s="86">
        <f t="shared" si="1"/>
        <v>0.831081081081081</v>
      </c>
      <c r="E39" s="93">
        <f t="shared" si="2"/>
        <v>58</v>
      </c>
      <c r="F39" s="94">
        <v>2</v>
      </c>
      <c r="G39" s="95"/>
      <c r="H39" s="74">
        <f t="shared" si="0"/>
        <v>0</v>
      </c>
      <c r="I39" s="96" t="s">
        <v>2581</v>
      </c>
      <c r="J39" s="97">
        <v>958.537</v>
      </c>
      <c r="L39" s="77" t="s">
        <v>2582</v>
      </c>
      <c r="M39" s="77">
        <v>2</v>
      </c>
    </row>
    <row r="40" s="69" customFormat="1" spans="2:13">
      <c r="B40" s="84" t="s">
        <v>2583</v>
      </c>
      <c r="C40" s="85">
        <v>41</v>
      </c>
      <c r="D40" s="86">
        <f t="shared" si="1"/>
        <v>0.831081081081081</v>
      </c>
      <c r="E40" s="93">
        <f t="shared" si="2"/>
        <v>58</v>
      </c>
      <c r="F40" s="94">
        <v>2</v>
      </c>
      <c r="G40" s="95"/>
      <c r="H40" s="74">
        <f t="shared" si="0"/>
        <v>0</v>
      </c>
      <c r="I40" s="96" t="s">
        <v>2584</v>
      </c>
      <c r="J40" s="97">
        <v>938.482</v>
      </c>
      <c r="L40" s="77" t="s">
        <v>2585</v>
      </c>
      <c r="M40" s="77">
        <v>2</v>
      </c>
    </row>
    <row r="41" s="69" customFormat="1" spans="2:13">
      <c r="B41" s="84" t="s">
        <v>2561</v>
      </c>
      <c r="C41" s="85">
        <v>48.5</v>
      </c>
      <c r="D41" s="86">
        <f t="shared" si="1"/>
        <v>0.853372434017595</v>
      </c>
      <c r="E41" s="93">
        <f t="shared" si="2"/>
        <v>51</v>
      </c>
      <c r="F41" s="94">
        <v>8</v>
      </c>
      <c r="G41" s="95"/>
      <c r="H41" s="74">
        <f t="shared" si="0"/>
        <v>0</v>
      </c>
      <c r="I41" s="96" t="s">
        <v>2586</v>
      </c>
      <c r="J41" s="97">
        <v>1418.123</v>
      </c>
      <c r="L41" s="77" t="s">
        <v>2587</v>
      </c>
      <c r="M41" s="77">
        <v>2</v>
      </c>
    </row>
    <row r="42" s="69" customFormat="1" spans="2:13">
      <c r="B42" s="84" t="s">
        <v>2588</v>
      </c>
      <c r="C42" s="85">
        <v>42</v>
      </c>
      <c r="D42" s="86">
        <f t="shared" si="1"/>
        <v>0.834437086092715</v>
      </c>
      <c r="E42" s="93">
        <f t="shared" si="2"/>
        <v>57</v>
      </c>
      <c r="F42" s="94">
        <v>2</v>
      </c>
      <c r="G42" s="95"/>
      <c r="H42" s="74">
        <f t="shared" si="0"/>
        <v>0</v>
      </c>
      <c r="I42" s="96" t="s">
        <v>2589</v>
      </c>
      <c r="J42" s="97">
        <v>1418.123</v>
      </c>
      <c r="L42" s="77" t="s">
        <v>2590</v>
      </c>
      <c r="M42" s="77">
        <v>2</v>
      </c>
    </row>
    <row r="43" s="69" customFormat="1" spans="2:13">
      <c r="B43" s="84" t="s">
        <v>2591</v>
      </c>
      <c r="C43" s="85">
        <v>42</v>
      </c>
      <c r="D43" s="86">
        <f t="shared" si="1"/>
        <v>0.834437086092715</v>
      </c>
      <c r="E43" s="93">
        <f t="shared" si="2"/>
        <v>57</v>
      </c>
      <c r="F43" s="94">
        <v>2</v>
      </c>
      <c r="G43" s="95"/>
      <c r="H43" s="74">
        <f t="shared" si="0"/>
        <v>0</v>
      </c>
      <c r="I43" s="96" t="s">
        <v>2506</v>
      </c>
      <c r="J43" s="97">
        <v>444.822</v>
      </c>
      <c r="L43" s="77" t="s">
        <v>2592</v>
      </c>
      <c r="M43" s="77">
        <v>8</v>
      </c>
    </row>
    <row r="44" s="69" customFormat="1" spans="2:13">
      <c r="B44" s="84" t="s">
        <v>2593</v>
      </c>
      <c r="C44" s="85">
        <v>44</v>
      </c>
      <c r="D44" s="86">
        <f t="shared" si="1"/>
        <v>0.840764331210191</v>
      </c>
      <c r="E44" s="93">
        <f t="shared" si="2"/>
        <v>55</v>
      </c>
      <c r="F44" s="94">
        <v>4</v>
      </c>
      <c r="G44" s="95"/>
      <c r="H44" s="74">
        <f t="shared" si="0"/>
        <v>0</v>
      </c>
      <c r="I44" s="96" t="s">
        <v>2594</v>
      </c>
      <c r="J44" s="97">
        <v>1418.123</v>
      </c>
      <c r="L44" s="77" t="s">
        <v>2595</v>
      </c>
      <c r="M44" s="77">
        <v>2</v>
      </c>
    </row>
    <row r="45" s="69" customFormat="1" spans="2:13">
      <c r="B45" s="84" t="s">
        <v>2550</v>
      </c>
      <c r="C45" s="85">
        <v>55</v>
      </c>
      <c r="D45" s="86">
        <f t="shared" si="1"/>
        <v>0.868421052631579</v>
      </c>
      <c r="E45" s="93">
        <f t="shared" si="2"/>
        <v>45</v>
      </c>
      <c r="F45" s="94">
        <v>2</v>
      </c>
      <c r="G45" s="95"/>
      <c r="H45" s="74">
        <f t="shared" si="0"/>
        <v>0</v>
      </c>
      <c r="I45" s="96" t="s">
        <v>2596</v>
      </c>
      <c r="J45" s="97">
        <v>711.2962</v>
      </c>
      <c r="L45" s="77" t="s">
        <v>2597</v>
      </c>
      <c r="M45" s="77">
        <v>2</v>
      </c>
    </row>
    <row r="46" s="69" customFormat="1" spans="2:13">
      <c r="B46" s="84" t="s">
        <v>2598</v>
      </c>
      <c r="C46" s="85">
        <v>55</v>
      </c>
      <c r="D46" s="86">
        <f t="shared" si="1"/>
        <v>0.868421052631579</v>
      </c>
      <c r="E46" s="93">
        <f t="shared" si="2"/>
        <v>45</v>
      </c>
      <c r="F46" s="94">
        <v>2</v>
      </c>
      <c r="G46" s="95"/>
      <c r="H46" s="74">
        <f t="shared" si="0"/>
        <v>0</v>
      </c>
      <c r="I46" s="96" t="s">
        <v>2599</v>
      </c>
      <c r="J46" s="97">
        <v>711.224</v>
      </c>
      <c r="L46" s="77" t="s">
        <v>2600</v>
      </c>
      <c r="M46" s="77">
        <v>2</v>
      </c>
    </row>
    <row r="47" s="69" customFormat="1" spans="2:13">
      <c r="B47" s="84" t="s">
        <v>2601</v>
      </c>
      <c r="C47" s="85">
        <v>55</v>
      </c>
      <c r="D47" s="86">
        <f t="shared" si="1"/>
        <v>0.868421052631579</v>
      </c>
      <c r="E47" s="93">
        <f t="shared" si="2"/>
        <v>45</v>
      </c>
      <c r="F47" s="94">
        <v>2</v>
      </c>
      <c r="G47" s="95"/>
      <c r="H47" s="74">
        <f t="shared" si="0"/>
        <v>0</v>
      </c>
      <c r="I47" s="96" t="s">
        <v>2598</v>
      </c>
      <c r="J47" s="97">
        <v>1170.9481</v>
      </c>
      <c r="L47" s="77" t="s">
        <v>2602</v>
      </c>
      <c r="M47" s="77">
        <v>2</v>
      </c>
    </row>
    <row r="48" s="69" customFormat="1" spans="2:13">
      <c r="B48" s="84" t="s">
        <v>2544</v>
      </c>
      <c r="C48" s="85">
        <v>54</v>
      </c>
      <c r="D48" s="86">
        <f t="shared" si="1"/>
        <v>0.866310160427808</v>
      </c>
      <c r="E48" s="93">
        <f t="shared" si="2"/>
        <v>46</v>
      </c>
      <c r="F48" s="94">
        <v>2</v>
      </c>
      <c r="G48" s="95"/>
      <c r="H48" s="74">
        <f t="shared" si="0"/>
        <v>0</v>
      </c>
      <c r="I48" s="96" t="s">
        <v>2603</v>
      </c>
      <c r="J48" s="97">
        <v>1418.123</v>
      </c>
      <c r="L48" s="77" t="s">
        <v>2604</v>
      </c>
      <c r="M48" s="77">
        <v>2</v>
      </c>
    </row>
    <row r="49" s="69" customFormat="1" spans="2:13">
      <c r="B49" s="84" t="s">
        <v>2605</v>
      </c>
      <c r="C49" s="85">
        <v>54.5</v>
      </c>
      <c r="D49" s="86">
        <f t="shared" si="1"/>
        <v>0.86737400530504</v>
      </c>
      <c r="E49" s="93">
        <f t="shared" si="2"/>
        <v>46</v>
      </c>
      <c r="F49" s="94">
        <v>6</v>
      </c>
      <c r="G49" s="95"/>
      <c r="H49" s="74">
        <f t="shared" si="0"/>
        <v>0</v>
      </c>
      <c r="I49" s="96" t="s">
        <v>2593</v>
      </c>
      <c r="J49" s="97">
        <v>985.5699</v>
      </c>
      <c r="L49" s="77" t="s">
        <v>2606</v>
      </c>
      <c r="M49" s="77">
        <v>2</v>
      </c>
    </row>
    <row r="50" s="69" customFormat="1" spans="2:13">
      <c r="B50" s="84" t="s">
        <v>2607</v>
      </c>
      <c r="C50" s="85">
        <v>41.5</v>
      </c>
      <c r="D50" s="86">
        <f t="shared" si="1"/>
        <v>0.832775919732441</v>
      </c>
      <c r="E50" s="93">
        <f t="shared" si="2"/>
        <v>58</v>
      </c>
      <c r="F50" s="94">
        <v>2</v>
      </c>
      <c r="G50" s="95"/>
      <c r="H50" s="74">
        <f t="shared" si="0"/>
        <v>0</v>
      </c>
      <c r="I50" s="96" t="s">
        <v>2608</v>
      </c>
      <c r="J50" s="97">
        <v>929.9017</v>
      </c>
      <c r="L50" s="77" t="s">
        <v>2609</v>
      </c>
      <c r="M50" s="77">
        <v>4</v>
      </c>
    </row>
    <row r="51" s="69" customFormat="1" spans="2:13">
      <c r="B51" s="84" t="s">
        <v>2553</v>
      </c>
      <c r="C51" s="85">
        <v>33.5</v>
      </c>
      <c r="D51" s="86">
        <f t="shared" si="1"/>
        <v>0.800796812749004</v>
      </c>
      <c r="E51" s="93">
        <f t="shared" si="2"/>
        <v>69</v>
      </c>
      <c r="F51" s="94">
        <v>8</v>
      </c>
      <c r="G51" s="95"/>
      <c r="H51" s="74">
        <f t="shared" si="0"/>
        <v>0</v>
      </c>
      <c r="I51" s="96" t="s">
        <v>2610</v>
      </c>
      <c r="J51" s="97">
        <v>929.9017</v>
      </c>
      <c r="L51" s="77" t="s">
        <v>2611</v>
      </c>
      <c r="M51" s="77">
        <v>2</v>
      </c>
    </row>
    <row r="52" s="69" customFormat="1" spans="2:13">
      <c r="B52" s="84" t="s">
        <v>2530</v>
      </c>
      <c r="C52" s="85">
        <v>41.5</v>
      </c>
      <c r="D52" s="86">
        <f t="shared" si="1"/>
        <v>0.832775919732441</v>
      </c>
      <c r="E52" s="93">
        <f t="shared" si="2"/>
        <v>58</v>
      </c>
      <c r="F52" s="94">
        <v>4</v>
      </c>
      <c r="G52" s="95"/>
      <c r="H52" s="74">
        <f t="shared" si="0"/>
        <v>0</v>
      </c>
      <c r="I52" s="96" t="s">
        <v>2612</v>
      </c>
      <c r="J52" s="97">
        <v>969.648</v>
      </c>
      <c r="L52" s="77" t="s">
        <v>2613</v>
      </c>
      <c r="M52" s="77">
        <v>8</v>
      </c>
    </row>
    <row r="53" s="69" customFormat="1" spans="2:13">
      <c r="B53" s="84" t="s">
        <v>2532</v>
      </c>
      <c r="C53" s="85">
        <v>41.5</v>
      </c>
      <c r="D53" s="86">
        <f t="shared" si="1"/>
        <v>0.832775919732441</v>
      </c>
      <c r="E53" s="93">
        <f t="shared" si="2"/>
        <v>58</v>
      </c>
      <c r="F53" s="94">
        <v>4</v>
      </c>
      <c r="G53" s="95"/>
      <c r="H53" s="74">
        <f t="shared" si="0"/>
        <v>0</v>
      </c>
      <c r="I53" s="96" t="s">
        <v>2614</v>
      </c>
      <c r="J53" s="97">
        <v>1282.9526</v>
      </c>
      <c r="L53" s="77" t="s">
        <v>2615</v>
      </c>
      <c r="M53" s="77">
        <v>18</v>
      </c>
    </row>
    <row r="54" s="69" customFormat="1" spans="2:13">
      <c r="B54" s="84" t="s">
        <v>2616</v>
      </c>
      <c r="C54" s="85">
        <v>38</v>
      </c>
      <c r="D54" s="86">
        <f t="shared" si="1"/>
        <v>0.820143884892086</v>
      </c>
      <c r="E54" s="93">
        <f t="shared" si="2"/>
        <v>62</v>
      </c>
      <c r="F54" s="94">
        <v>2</v>
      </c>
      <c r="G54" s="95"/>
      <c r="H54" s="74">
        <f t="shared" si="0"/>
        <v>0</v>
      </c>
      <c r="I54" s="96" t="s">
        <v>2617</v>
      </c>
      <c r="J54" s="97">
        <v>1274.3931</v>
      </c>
      <c r="L54" s="77" t="s">
        <v>2618</v>
      </c>
      <c r="M54" s="77">
        <v>6</v>
      </c>
    </row>
    <row r="55" s="69" customFormat="1" spans="2:13">
      <c r="B55" s="84" t="s">
        <v>2619</v>
      </c>
      <c r="C55" s="85">
        <v>44.5</v>
      </c>
      <c r="D55" s="86">
        <f t="shared" si="1"/>
        <v>0.842271293375394</v>
      </c>
      <c r="E55" s="93">
        <f t="shared" si="2"/>
        <v>55</v>
      </c>
      <c r="F55" s="94">
        <v>2</v>
      </c>
      <c r="G55" s="95"/>
      <c r="H55" s="74">
        <f t="shared" si="0"/>
        <v>0</v>
      </c>
      <c r="I55" s="96" t="s">
        <v>2620</v>
      </c>
      <c r="J55" s="97">
        <v>752.439</v>
      </c>
      <c r="L55" s="77" t="s">
        <v>2621</v>
      </c>
      <c r="M55" s="77">
        <v>2</v>
      </c>
    </row>
    <row r="56" s="69" customFormat="1" spans="2:13">
      <c r="B56" s="84" t="s">
        <v>2622</v>
      </c>
      <c r="C56" s="85">
        <v>39</v>
      </c>
      <c r="D56" s="86">
        <f t="shared" si="1"/>
        <v>0.823943661971831</v>
      </c>
      <c r="E56" s="93">
        <f t="shared" si="2"/>
        <v>61</v>
      </c>
      <c r="F56" s="94">
        <v>2</v>
      </c>
      <c r="G56" s="95"/>
      <c r="H56" s="74">
        <f t="shared" si="0"/>
        <v>0</v>
      </c>
      <c r="I56" s="96" t="s">
        <v>2623</v>
      </c>
      <c r="J56" s="97">
        <v>1047.4618</v>
      </c>
      <c r="L56" s="77" t="s">
        <v>2624</v>
      </c>
      <c r="M56" s="77">
        <v>8</v>
      </c>
    </row>
    <row r="57" s="69" customFormat="1" spans="2:13">
      <c r="B57" s="84" t="s">
        <v>2625</v>
      </c>
      <c r="C57" s="85">
        <v>46.5</v>
      </c>
      <c r="D57" s="86">
        <f t="shared" si="1"/>
        <v>0.848024316109422</v>
      </c>
      <c r="E57" s="93">
        <f t="shared" si="2"/>
        <v>53</v>
      </c>
      <c r="F57" s="94">
        <v>2</v>
      </c>
      <c r="G57" s="95"/>
      <c r="H57" s="74">
        <f t="shared" si="0"/>
        <v>0</v>
      </c>
      <c r="I57" s="96" t="s">
        <v>2626</v>
      </c>
      <c r="J57" s="97">
        <v>796.729</v>
      </c>
      <c r="L57" s="77" t="s">
        <v>2627</v>
      </c>
      <c r="M57" s="77">
        <v>2</v>
      </c>
    </row>
    <row r="58" s="69" customFormat="1" spans="2:13">
      <c r="B58" s="84" t="s">
        <v>2628</v>
      </c>
      <c r="C58" s="85">
        <v>44.5</v>
      </c>
      <c r="D58" s="86">
        <f t="shared" si="1"/>
        <v>0.842271293375394</v>
      </c>
      <c r="E58" s="93">
        <f t="shared" si="2"/>
        <v>55</v>
      </c>
      <c r="F58" s="94">
        <v>2</v>
      </c>
      <c r="G58" s="95"/>
      <c r="H58" s="74">
        <f t="shared" si="0"/>
        <v>0</v>
      </c>
      <c r="I58" s="96" t="s">
        <v>2629</v>
      </c>
      <c r="J58" s="97">
        <v>976.4426</v>
      </c>
      <c r="L58" s="77" t="s">
        <v>2630</v>
      </c>
      <c r="M58" s="77">
        <v>2</v>
      </c>
    </row>
    <row r="59" s="69" customFormat="1" spans="2:13">
      <c r="B59" s="84" t="s">
        <v>2631</v>
      </c>
      <c r="C59" s="85">
        <v>44.5</v>
      </c>
      <c r="D59" s="86">
        <f t="shared" si="1"/>
        <v>0.842271293375394</v>
      </c>
      <c r="E59" s="93">
        <f t="shared" si="2"/>
        <v>55</v>
      </c>
      <c r="F59" s="94">
        <v>2</v>
      </c>
      <c r="G59" s="95"/>
      <c r="H59" s="74">
        <f t="shared" si="0"/>
        <v>0</v>
      </c>
      <c r="I59" s="96" t="s">
        <v>2632</v>
      </c>
      <c r="J59" s="97">
        <v>735.896</v>
      </c>
      <c r="L59" s="77" t="s">
        <v>2633</v>
      </c>
      <c r="M59" s="77">
        <v>2</v>
      </c>
    </row>
    <row r="60" s="69" customFormat="1" spans="2:13">
      <c r="B60" s="84" t="s">
        <v>2634</v>
      </c>
      <c r="C60" s="85">
        <v>33</v>
      </c>
      <c r="D60" s="86">
        <f t="shared" si="1"/>
        <v>0.798387096774194</v>
      </c>
      <c r="E60" s="93">
        <f t="shared" si="2"/>
        <v>70</v>
      </c>
      <c r="F60" s="94">
        <v>2</v>
      </c>
      <c r="G60" s="95"/>
      <c r="H60" s="74">
        <f t="shared" si="0"/>
        <v>0</v>
      </c>
      <c r="I60" s="96" t="s">
        <v>2635</v>
      </c>
      <c r="J60" s="97">
        <v>792.6114</v>
      </c>
      <c r="L60" s="77" t="s">
        <v>2636</v>
      </c>
      <c r="M60" s="77">
        <v>2</v>
      </c>
    </row>
    <row r="61" s="69" customFormat="1" spans="2:13">
      <c r="B61" s="84" t="s">
        <v>2637</v>
      </c>
      <c r="C61" s="85">
        <v>40</v>
      </c>
      <c r="D61" s="86">
        <f t="shared" si="1"/>
        <v>0.827586206896552</v>
      </c>
      <c r="E61" s="93">
        <f t="shared" si="2"/>
        <v>60</v>
      </c>
      <c r="F61" s="94">
        <v>2</v>
      </c>
      <c r="G61" s="95"/>
      <c r="H61" s="74">
        <f t="shared" si="0"/>
        <v>0</v>
      </c>
      <c r="I61" s="96" t="s">
        <v>2638</v>
      </c>
      <c r="J61" s="97">
        <v>757.803</v>
      </c>
      <c r="L61" s="77" t="s">
        <v>2639</v>
      </c>
      <c r="M61" s="77">
        <v>8</v>
      </c>
    </row>
    <row r="62" s="69" customFormat="1" spans="2:13">
      <c r="B62" s="84" t="s">
        <v>2640</v>
      </c>
      <c r="C62" s="85">
        <v>44</v>
      </c>
      <c r="D62" s="86">
        <f t="shared" si="1"/>
        <v>0.840764331210191</v>
      </c>
      <c r="E62" s="93">
        <f t="shared" si="2"/>
        <v>55</v>
      </c>
      <c r="F62" s="94">
        <v>2</v>
      </c>
      <c r="G62" s="95"/>
      <c r="H62" s="74">
        <f t="shared" si="0"/>
        <v>0</v>
      </c>
      <c r="I62" s="96" t="s">
        <v>2534</v>
      </c>
      <c r="J62" s="97">
        <v>881.1236</v>
      </c>
      <c r="L62" s="77" t="s">
        <v>2641</v>
      </c>
      <c r="M62" s="77">
        <v>4</v>
      </c>
    </row>
    <row r="63" s="69" customFormat="1" spans="2:13">
      <c r="B63" s="84" t="s">
        <v>2642</v>
      </c>
      <c r="C63" s="85">
        <v>33.5</v>
      </c>
      <c r="D63" s="86">
        <f t="shared" si="1"/>
        <v>0.800796812749004</v>
      </c>
      <c r="E63" s="93">
        <f t="shared" si="2"/>
        <v>69</v>
      </c>
      <c r="F63" s="94">
        <v>4</v>
      </c>
      <c r="G63" s="95"/>
      <c r="H63" s="74">
        <f t="shared" si="0"/>
        <v>0</v>
      </c>
      <c r="I63" s="96" t="s">
        <v>2569</v>
      </c>
      <c r="J63" s="97">
        <v>979.5485</v>
      </c>
      <c r="L63" s="77" t="s">
        <v>2643</v>
      </c>
      <c r="M63" s="77">
        <v>10</v>
      </c>
    </row>
    <row r="64" s="69" customFormat="1" spans="2:13">
      <c r="B64" s="84" t="s">
        <v>2644</v>
      </c>
      <c r="C64" s="85">
        <v>38.5</v>
      </c>
      <c r="D64" s="86">
        <f t="shared" si="1"/>
        <v>0.822064056939502</v>
      </c>
      <c r="E64" s="93">
        <f t="shared" si="2"/>
        <v>61</v>
      </c>
      <c r="F64" s="94">
        <v>2</v>
      </c>
      <c r="G64" s="95"/>
      <c r="H64" s="74">
        <f t="shared" si="0"/>
        <v>0</v>
      </c>
      <c r="I64" s="96" t="s">
        <v>2574</v>
      </c>
      <c r="J64" s="97">
        <v>959.854</v>
      </c>
      <c r="L64" s="77" t="s">
        <v>2645</v>
      </c>
      <c r="M64" s="77">
        <v>8</v>
      </c>
    </row>
    <row r="65" s="69" customFormat="1" spans="2:13">
      <c r="B65" s="84" t="s">
        <v>2620</v>
      </c>
      <c r="C65" s="85">
        <v>38.5</v>
      </c>
      <c r="D65" s="86">
        <f t="shared" si="1"/>
        <v>0.822064056939502</v>
      </c>
      <c r="E65" s="93">
        <f t="shared" si="2"/>
        <v>61</v>
      </c>
      <c r="F65" s="94">
        <v>2</v>
      </c>
      <c r="G65" s="95"/>
      <c r="H65" s="74">
        <f t="shared" si="0"/>
        <v>0</v>
      </c>
      <c r="I65" s="96" t="s">
        <v>2646</v>
      </c>
      <c r="J65" s="97">
        <v>1172.1857</v>
      </c>
      <c r="L65" s="77" t="s">
        <v>2647</v>
      </c>
      <c r="M65" s="77">
        <v>2</v>
      </c>
    </row>
    <row r="66" s="69" customFormat="1" spans="2:13">
      <c r="B66" s="84" t="s">
        <v>2599</v>
      </c>
      <c r="C66" s="85">
        <v>36.5</v>
      </c>
      <c r="D66" s="86">
        <f t="shared" si="1"/>
        <v>0.814126394052045</v>
      </c>
      <c r="E66" s="93">
        <f t="shared" si="2"/>
        <v>64</v>
      </c>
      <c r="F66" s="94">
        <v>12</v>
      </c>
      <c r="G66" s="95"/>
      <c r="H66" s="74">
        <f t="shared" ref="H66:H129" si="3">_xlfn.XLOOKUP(G66,I:I,J:J)</f>
        <v>0</v>
      </c>
      <c r="I66" s="96" t="s">
        <v>2648</v>
      </c>
      <c r="J66" s="97">
        <v>1283.534</v>
      </c>
      <c r="L66" s="77" t="s">
        <v>2649</v>
      </c>
      <c r="M66" s="77">
        <v>2</v>
      </c>
    </row>
    <row r="67" s="69" customFormat="1" spans="2:13">
      <c r="B67" s="84" t="s">
        <v>2650</v>
      </c>
      <c r="C67" s="85">
        <v>38</v>
      </c>
      <c r="D67" s="86">
        <f t="shared" ref="D67:D130" si="4">IF(C67="","",C67/(C67+$C$1/60))</f>
        <v>0.820143884892086</v>
      </c>
      <c r="E67" s="93">
        <f t="shared" ref="E67:E130" si="5">IFERROR(ROUND(1440/C67*2*D67,0),"")</f>
        <v>62</v>
      </c>
      <c r="F67" s="94">
        <v>2</v>
      </c>
      <c r="G67" s="95"/>
      <c r="H67" s="74">
        <f t="shared" si="3"/>
        <v>0</v>
      </c>
      <c r="I67" s="96" t="s">
        <v>2489</v>
      </c>
      <c r="J67" s="97">
        <v>422.515688</v>
      </c>
      <c r="L67" s="77" t="s">
        <v>2651</v>
      </c>
      <c r="M67" s="77">
        <v>2</v>
      </c>
    </row>
    <row r="68" s="69" customFormat="1" spans="2:13">
      <c r="B68" s="84" t="s">
        <v>2652</v>
      </c>
      <c r="C68" s="85">
        <v>37</v>
      </c>
      <c r="D68" s="86">
        <f t="shared" si="4"/>
        <v>0.816176470588235</v>
      </c>
      <c r="E68" s="93">
        <f t="shared" si="5"/>
        <v>64</v>
      </c>
      <c r="F68" s="94">
        <v>2</v>
      </c>
      <c r="G68" s="95"/>
      <c r="H68" s="74">
        <f t="shared" si="3"/>
        <v>0</v>
      </c>
      <c r="I68" s="96" t="s">
        <v>2517</v>
      </c>
      <c r="J68" s="97">
        <v>429.2687</v>
      </c>
      <c r="L68" s="77" t="s">
        <v>2653</v>
      </c>
      <c r="M68" s="77">
        <v>20</v>
      </c>
    </row>
    <row r="69" s="69" customFormat="1" spans="2:13">
      <c r="B69" s="84" t="s">
        <v>2654</v>
      </c>
      <c r="C69" s="85">
        <v>38</v>
      </c>
      <c r="D69" s="86">
        <f t="shared" si="4"/>
        <v>0.820143884892086</v>
      </c>
      <c r="E69" s="93">
        <f t="shared" si="5"/>
        <v>62</v>
      </c>
      <c r="F69" s="94">
        <v>2</v>
      </c>
      <c r="G69" s="95"/>
      <c r="H69" s="74">
        <f t="shared" si="3"/>
        <v>0</v>
      </c>
      <c r="I69" s="96" t="s">
        <v>2520</v>
      </c>
      <c r="J69" s="97">
        <v>429.2687</v>
      </c>
      <c r="L69" s="77" t="s">
        <v>2655</v>
      </c>
      <c r="M69" s="77">
        <v>4</v>
      </c>
    </row>
    <row r="70" s="69" customFormat="1" spans="2:13">
      <c r="B70" s="84" t="s">
        <v>2572</v>
      </c>
      <c r="C70" s="85">
        <v>55.5</v>
      </c>
      <c r="D70" s="86">
        <f t="shared" si="4"/>
        <v>0.869451697127937</v>
      </c>
      <c r="E70" s="93">
        <f t="shared" si="5"/>
        <v>45</v>
      </c>
      <c r="F70" s="94">
        <v>10</v>
      </c>
      <c r="G70" s="95"/>
      <c r="H70" s="74">
        <f t="shared" si="3"/>
        <v>0</v>
      </c>
      <c r="I70" s="96" t="s">
        <v>2526</v>
      </c>
      <c r="J70" s="97">
        <v>429.2687</v>
      </c>
      <c r="L70" s="77" t="s">
        <v>2656</v>
      </c>
      <c r="M70" s="77">
        <v>14</v>
      </c>
    </row>
    <row r="71" s="69" customFormat="1" spans="2:13">
      <c r="B71" s="84" t="s">
        <v>2563</v>
      </c>
      <c r="C71" s="85">
        <v>53.5</v>
      </c>
      <c r="D71" s="86">
        <f t="shared" si="4"/>
        <v>0.865229110512129</v>
      </c>
      <c r="E71" s="93">
        <f t="shared" si="5"/>
        <v>47</v>
      </c>
      <c r="F71" s="94">
        <v>4</v>
      </c>
      <c r="G71" s="95"/>
      <c r="H71" s="74">
        <f t="shared" si="3"/>
        <v>0</v>
      </c>
      <c r="I71" s="96" t="s">
        <v>2523</v>
      </c>
      <c r="J71" s="97">
        <v>429.2687</v>
      </c>
      <c r="L71" s="77" t="s">
        <v>2657</v>
      </c>
      <c r="M71" s="77">
        <v>2</v>
      </c>
    </row>
    <row r="72" s="69" customFormat="1" spans="2:13">
      <c r="B72" s="84" t="s">
        <v>2570</v>
      </c>
      <c r="C72" s="85">
        <v>48</v>
      </c>
      <c r="D72" s="86">
        <f t="shared" si="4"/>
        <v>0.85207100591716</v>
      </c>
      <c r="E72" s="93">
        <f t="shared" si="5"/>
        <v>51</v>
      </c>
      <c r="F72" s="94">
        <v>6</v>
      </c>
      <c r="G72" s="95"/>
      <c r="H72" s="74">
        <f t="shared" si="3"/>
        <v>0</v>
      </c>
      <c r="I72" s="96" t="s">
        <v>2658</v>
      </c>
      <c r="J72" s="97">
        <v>884.404073</v>
      </c>
      <c r="L72" s="77" t="s">
        <v>2659</v>
      </c>
      <c r="M72" s="77">
        <v>2</v>
      </c>
    </row>
    <row r="73" s="69" customFormat="1" spans="2:13">
      <c r="B73" s="84" t="s">
        <v>2660</v>
      </c>
      <c r="C73" s="85">
        <v>66.5</v>
      </c>
      <c r="D73" s="86">
        <f t="shared" si="4"/>
        <v>0.888641425389755</v>
      </c>
      <c r="E73" s="93">
        <f t="shared" si="5"/>
        <v>38</v>
      </c>
      <c r="F73" s="94">
        <v>8</v>
      </c>
      <c r="G73" s="95"/>
      <c r="H73" s="74">
        <f t="shared" si="3"/>
        <v>0</v>
      </c>
      <c r="I73" s="96" t="s">
        <v>2661</v>
      </c>
      <c r="J73" s="97">
        <v>884.404073</v>
      </c>
      <c r="L73" s="77" t="s">
        <v>2662</v>
      </c>
      <c r="M73" s="77">
        <v>2</v>
      </c>
    </row>
    <row r="74" s="69" customFormat="1" spans="2:13">
      <c r="B74" s="84" t="s">
        <v>2663</v>
      </c>
      <c r="C74" s="85">
        <v>57.5</v>
      </c>
      <c r="D74" s="86">
        <f t="shared" si="4"/>
        <v>0.873417721518987</v>
      </c>
      <c r="E74" s="93">
        <f t="shared" si="5"/>
        <v>44</v>
      </c>
      <c r="F74" s="94">
        <v>2</v>
      </c>
      <c r="G74" s="95"/>
      <c r="H74" s="74">
        <f t="shared" si="3"/>
        <v>0</v>
      </c>
      <c r="I74" s="96" t="s">
        <v>2664</v>
      </c>
      <c r="J74" s="97">
        <v>789.2913</v>
      </c>
      <c r="L74" s="77" t="s">
        <v>2665</v>
      </c>
      <c r="M74" s="77">
        <v>2</v>
      </c>
    </row>
    <row r="75" s="69" customFormat="1" spans="2:13">
      <c r="B75" s="84" t="s">
        <v>2617</v>
      </c>
      <c r="C75" s="85">
        <v>54</v>
      </c>
      <c r="D75" s="86">
        <f t="shared" si="4"/>
        <v>0.866310160427808</v>
      </c>
      <c r="E75" s="93">
        <f t="shared" si="5"/>
        <v>46</v>
      </c>
      <c r="F75" s="94">
        <v>4</v>
      </c>
      <c r="G75" s="95"/>
      <c r="H75" s="74">
        <f t="shared" si="3"/>
        <v>0</v>
      </c>
      <c r="I75" s="96" t="s">
        <v>2666</v>
      </c>
      <c r="J75" s="97">
        <v>788.6249</v>
      </c>
      <c r="L75" s="77" t="s">
        <v>2667</v>
      </c>
      <c r="M75" s="77">
        <v>2</v>
      </c>
    </row>
    <row r="76" s="69" customFormat="1" spans="2:13">
      <c r="B76" s="84" t="s">
        <v>2614</v>
      </c>
      <c r="C76" s="85">
        <v>54</v>
      </c>
      <c r="D76" s="86">
        <f t="shared" si="4"/>
        <v>0.866310160427808</v>
      </c>
      <c r="E76" s="93">
        <f t="shared" si="5"/>
        <v>46</v>
      </c>
      <c r="F76" s="94">
        <v>2</v>
      </c>
      <c r="G76" s="95"/>
      <c r="H76" s="74">
        <f t="shared" si="3"/>
        <v>0</v>
      </c>
      <c r="I76" s="96" t="s">
        <v>2668</v>
      </c>
      <c r="J76" s="97">
        <v>925.1298</v>
      </c>
      <c r="L76" s="77" t="s">
        <v>2669</v>
      </c>
      <c r="M76" s="77">
        <v>2</v>
      </c>
    </row>
    <row r="77" s="69" customFormat="1" spans="2:13">
      <c r="B77" s="84" t="s">
        <v>2488</v>
      </c>
      <c r="C77" s="85">
        <v>56.5</v>
      </c>
      <c r="D77" s="86">
        <f t="shared" si="4"/>
        <v>0.87146529562982</v>
      </c>
      <c r="E77" s="93">
        <f t="shared" si="5"/>
        <v>44</v>
      </c>
      <c r="F77" s="94">
        <v>10</v>
      </c>
      <c r="G77" s="95"/>
      <c r="H77" s="74">
        <f t="shared" si="3"/>
        <v>0</v>
      </c>
      <c r="I77" s="96" t="s">
        <v>683</v>
      </c>
      <c r="J77" s="97"/>
      <c r="L77" s="77" t="s">
        <v>2670</v>
      </c>
      <c r="M77" s="77">
        <v>6</v>
      </c>
    </row>
    <row r="78" s="69" customFormat="1" spans="2:13">
      <c r="B78" s="84" t="s">
        <v>2508</v>
      </c>
      <c r="C78" s="85">
        <v>56.5</v>
      </c>
      <c r="D78" s="86">
        <f t="shared" si="4"/>
        <v>0.87146529562982</v>
      </c>
      <c r="E78" s="93">
        <f t="shared" si="5"/>
        <v>44</v>
      </c>
      <c r="F78" s="94">
        <v>6</v>
      </c>
      <c r="G78" s="95"/>
      <c r="H78" s="74">
        <f t="shared" si="3"/>
        <v>0</v>
      </c>
      <c r="I78" s="98" t="s">
        <v>671</v>
      </c>
      <c r="J78" s="99" t="s">
        <v>2671</v>
      </c>
      <c r="L78" s="77" t="s">
        <v>2672</v>
      </c>
      <c r="M78" s="77">
        <v>2</v>
      </c>
    </row>
    <row r="79" s="69" customFormat="1" spans="2:13">
      <c r="B79" s="84" t="s">
        <v>2648</v>
      </c>
      <c r="C79" s="85">
        <v>56.5</v>
      </c>
      <c r="D79" s="86">
        <f t="shared" si="4"/>
        <v>0.87146529562982</v>
      </c>
      <c r="E79" s="93">
        <f t="shared" si="5"/>
        <v>44</v>
      </c>
      <c r="F79" s="94">
        <v>8</v>
      </c>
      <c r="G79" s="95"/>
      <c r="H79" s="74">
        <f t="shared" si="3"/>
        <v>0</v>
      </c>
      <c r="I79" s="98" t="s">
        <v>1048</v>
      </c>
      <c r="J79" s="97">
        <v>356.493893</v>
      </c>
      <c r="L79" s="77" t="s">
        <v>2673</v>
      </c>
      <c r="M79" s="77">
        <v>2</v>
      </c>
    </row>
    <row r="80" s="69" customFormat="1" spans="2:13">
      <c r="B80" s="84" t="s">
        <v>2674</v>
      </c>
      <c r="C80" s="85">
        <v>63</v>
      </c>
      <c r="D80" s="86">
        <f t="shared" si="4"/>
        <v>0.883177570093458</v>
      </c>
      <c r="E80" s="93">
        <f t="shared" si="5"/>
        <v>40</v>
      </c>
      <c r="F80" s="94">
        <v>2</v>
      </c>
      <c r="G80" s="95"/>
      <c r="H80" s="74">
        <f t="shared" si="3"/>
        <v>0</v>
      </c>
      <c r="I80" s="98" t="s">
        <v>2675</v>
      </c>
      <c r="J80" s="97">
        <v>369.758704</v>
      </c>
      <c r="L80" s="77" t="s">
        <v>2676</v>
      </c>
      <c r="M80" s="77">
        <v>6</v>
      </c>
    </row>
    <row r="81" s="69" customFormat="1" spans="2:13">
      <c r="B81" s="84" t="s">
        <v>2677</v>
      </c>
      <c r="C81" s="85">
        <v>56.5</v>
      </c>
      <c r="D81" s="86">
        <f t="shared" si="4"/>
        <v>0.87146529562982</v>
      </c>
      <c r="E81" s="93">
        <f t="shared" si="5"/>
        <v>44</v>
      </c>
      <c r="F81" s="94">
        <v>6</v>
      </c>
      <c r="G81" s="95"/>
      <c r="H81" s="74">
        <f t="shared" si="3"/>
        <v>0</v>
      </c>
      <c r="I81" s="98" t="s">
        <v>2678</v>
      </c>
      <c r="J81" s="97">
        <v>405.031494</v>
      </c>
      <c r="L81" s="77" t="s">
        <v>2679</v>
      </c>
      <c r="M81" s="77">
        <v>12</v>
      </c>
    </row>
    <row r="82" s="69" customFormat="1" spans="2:13">
      <c r="B82" s="84" t="s">
        <v>2646</v>
      </c>
      <c r="C82" s="85">
        <v>51.5</v>
      </c>
      <c r="D82" s="86">
        <f t="shared" si="4"/>
        <v>0.860724233983287</v>
      </c>
      <c r="E82" s="93">
        <f t="shared" si="5"/>
        <v>48</v>
      </c>
      <c r="F82" s="94">
        <v>2</v>
      </c>
      <c r="G82" s="95"/>
      <c r="H82" s="74">
        <f t="shared" si="3"/>
        <v>0</v>
      </c>
      <c r="I82" s="98" t="s">
        <v>2680</v>
      </c>
      <c r="J82" s="97">
        <v>442.8823</v>
      </c>
      <c r="L82" s="77" t="s">
        <v>2681</v>
      </c>
      <c r="M82" s="77">
        <v>6</v>
      </c>
    </row>
    <row r="83" s="69" customFormat="1" spans="2:13">
      <c r="B83" s="84" t="s">
        <v>2608</v>
      </c>
      <c r="C83" s="85">
        <v>58</v>
      </c>
      <c r="D83" s="86">
        <f t="shared" si="4"/>
        <v>0.874371859296482</v>
      </c>
      <c r="E83" s="93">
        <f t="shared" si="5"/>
        <v>43</v>
      </c>
      <c r="F83" s="94">
        <v>2</v>
      </c>
      <c r="G83" s="95"/>
      <c r="H83" s="74">
        <f t="shared" si="3"/>
        <v>0</v>
      </c>
      <c r="I83" s="98" t="s">
        <v>1013</v>
      </c>
      <c r="J83" s="97">
        <v>367.795</v>
      </c>
      <c r="L83" s="77" t="s">
        <v>2682</v>
      </c>
      <c r="M83" s="77">
        <v>6</v>
      </c>
    </row>
    <row r="84" s="69" customFormat="1" spans="2:13">
      <c r="B84" s="84" t="s">
        <v>2610</v>
      </c>
      <c r="C84" s="85">
        <v>58</v>
      </c>
      <c r="D84" s="86">
        <f t="shared" si="4"/>
        <v>0.874371859296482</v>
      </c>
      <c r="E84" s="93">
        <f t="shared" si="5"/>
        <v>43</v>
      </c>
      <c r="F84" s="94">
        <v>2</v>
      </c>
      <c r="G84" s="95"/>
      <c r="H84" s="74">
        <f t="shared" si="3"/>
        <v>0</v>
      </c>
      <c r="I84" s="98" t="s">
        <v>1199</v>
      </c>
      <c r="J84" s="97">
        <v>1014.086</v>
      </c>
      <c r="L84" s="77" t="s">
        <v>2683</v>
      </c>
      <c r="M84" s="77">
        <v>4</v>
      </c>
    </row>
    <row r="85" s="69" customFormat="1" spans="2:13">
      <c r="B85" s="84" t="s">
        <v>2684</v>
      </c>
      <c r="C85" s="85">
        <v>41.5</v>
      </c>
      <c r="D85" s="86">
        <f t="shared" si="4"/>
        <v>0.832775919732441</v>
      </c>
      <c r="E85" s="93">
        <f t="shared" si="5"/>
        <v>58</v>
      </c>
      <c r="F85" s="94">
        <v>2</v>
      </c>
      <c r="G85" s="95"/>
      <c r="H85" s="74">
        <f t="shared" si="3"/>
        <v>0</v>
      </c>
      <c r="I85" s="98" t="s">
        <v>2685</v>
      </c>
      <c r="J85" s="97">
        <v>1034.449745</v>
      </c>
      <c r="L85" s="77" t="s">
        <v>2686</v>
      </c>
      <c r="M85" s="77">
        <v>2</v>
      </c>
    </row>
    <row r="86" s="69" customFormat="1" spans="2:13">
      <c r="B86" s="84" t="s">
        <v>2687</v>
      </c>
      <c r="C86" s="85">
        <v>39.5</v>
      </c>
      <c r="D86" s="86">
        <f t="shared" si="4"/>
        <v>0.825783972125436</v>
      </c>
      <c r="E86" s="93">
        <f t="shared" si="5"/>
        <v>60</v>
      </c>
      <c r="F86" s="94">
        <v>2</v>
      </c>
      <c r="G86" s="95"/>
      <c r="H86" s="74">
        <f t="shared" si="3"/>
        <v>0</v>
      </c>
      <c r="I86" s="98" t="s">
        <v>2688</v>
      </c>
      <c r="J86" s="97">
        <v>1034.449745</v>
      </c>
      <c r="L86" s="77" t="s">
        <v>2689</v>
      </c>
      <c r="M86" s="77">
        <v>4</v>
      </c>
    </row>
    <row r="87" s="69" customFormat="1" spans="2:13">
      <c r="B87" s="84" t="s">
        <v>2535</v>
      </c>
      <c r="C87" s="85">
        <v>34.7</v>
      </c>
      <c r="D87" s="86">
        <f t="shared" si="4"/>
        <v>0.806351665375678</v>
      </c>
      <c r="E87" s="93">
        <f t="shared" si="5"/>
        <v>67</v>
      </c>
      <c r="F87" s="94">
        <v>8</v>
      </c>
      <c r="G87" s="95"/>
      <c r="H87" s="74">
        <f t="shared" si="3"/>
        <v>0</v>
      </c>
      <c r="I87" s="98" t="s">
        <v>2690</v>
      </c>
      <c r="J87" s="97">
        <v>866.4033</v>
      </c>
      <c r="L87" s="77" t="s">
        <v>2691</v>
      </c>
      <c r="M87" s="77">
        <v>2</v>
      </c>
    </row>
    <row r="88" s="69" customFormat="1" spans="2:13">
      <c r="B88" s="84" t="s">
        <v>2626</v>
      </c>
      <c r="C88" s="85">
        <v>34.7</v>
      </c>
      <c r="D88" s="86">
        <f t="shared" si="4"/>
        <v>0.806351665375678</v>
      </c>
      <c r="E88" s="93">
        <f t="shared" si="5"/>
        <v>67</v>
      </c>
      <c r="F88" s="94">
        <v>10</v>
      </c>
      <c r="G88" s="95"/>
      <c r="H88" s="74">
        <f t="shared" si="3"/>
        <v>0</v>
      </c>
      <c r="I88" s="98" t="s">
        <v>2692</v>
      </c>
      <c r="J88" s="97">
        <v>1014.086</v>
      </c>
      <c r="L88" s="77" t="s">
        <v>2693</v>
      </c>
      <c r="M88" s="77">
        <v>2</v>
      </c>
    </row>
    <row r="89" s="69" customFormat="1" spans="2:13">
      <c r="B89" s="84" t="s">
        <v>2581</v>
      </c>
      <c r="C89" s="85">
        <v>46</v>
      </c>
      <c r="D89" s="86">
        <f t="shared" si="4"/>
        <v>0.846625766871166</v>
      </c>
      <c r="E89" s="93">
        <f t="shared" si="5"/>
        <v>53</v>
      </c>
      <c r="F89" s="94">
        <v>2</v>
      </c>
      <c r="G89" s="95"/>
      <c r="H89" s="74">
        <f t="shared" si="3"/>
        <v>0</v>
      </c>
      <c r="I89" s="98" t="s">
        <v>2694</v>
      </c>
      <c r="J89" s="97">
        <v>857.4783</v>
      </c>
      <c r="L89" s="77" t="s">
        <v>2695</v>
      </c>
      <c r="M89" s="77">
        <v>2</v>
      </c>
    </row>
    <row r="90" s="69" customFormat="1" spans="2:13">
      <c r="B90" s="84" t="s">
        <v>2629</v>
      </c>
      <c r="C90" s="85">
        <v>45.5</v>
      </c>
      <c r="D90" s="86">
        <f t="shared" si="4"/>
        <v>0.845201238390093</v>
      </c>
      <c r="E90" s="93">
        <f t="shared" si="5"/>
        <v>53</v>
      </c>
      <c r="F90" s="94">
        <v>2</v>
      </c>
      <c r="G90" s="95"/>
      <c r="H90" s="74">
        <f t="shared" si="3"/>
        <v>0</v>
      </c>
      <c r="I90" s="98" t="s">
        <v>2696</v>
      </c>
      <c r="J90" s="97">
        <v>1034.449745</v>
      </c>
      <c r="L90" s="77" t="s">
        <v>2697</v>
      </c>
      <c r="M90" s="77">
        <v>2</v>
      </c>
    </row>
    <row r="91" s="69" customFormat="1" spans="2:13">
      <c r="B91" s="84" t="s">
        <v>2556</v>
      </c>
      <c r="C91" s="85">
        <v>45.5</v>
      </c>
      <c r="D91" s="86">
        <f t="shared" si="4"/>
        <v>0.845201238390093</v>
      </c>
      <c r="E91" s="93">
        <f t="shared" si="5"/>
        <v>53</v>
      </c>
      <c r="F91" s="94">
        <v>2</v>
      </c>
      <c r="G91" s="95"/>
      <c r="H91" s="74">
        <f t="shared" si="3"/>
        <v>0</v>
      </c>
      <c r="I91" s="98" t="s">
        <v>2698</v>
      </c>
      <c r="J91" s="97">
        <v>425.068</v>
      </c>
      <c r="L91" s="77" t="s">
        <v>2699</v>
      </c>
      <c r="M91" s="77">
        <v>2</v>
      </c>
    </row>
    <row r="92" s="69" customFormat="1" spans="2:13">
      <c r="B92" s="84" t="s">
        <v>2559</v>
      </c>
      <c r="C92" s="85">
        <v>44.5</v>
      </c>
      <c r="D92" s="86">
        <f t="shared" si="4"/>
        <v>0.842271293375394</v>
      </c>
      <c r="E92" s="93">
        <f t="shared" si="5"/>
        <v>55</v>
      </c>
      <c r="F92" s="94">
        <v>4</v>
      </c>
      <c r="G92" s="95"/>
      <c r="H92" s="74">
        <f t="shared" si="3"/>
        <v>0</v>
      </c>
      <c r="I92" s="98" t="s">
        <v>2700</v>
      </c>
      <c r="J92" s="97">
        <v>130.0006</v>
      </c>
      <c r="L92" s="77" t="s">
        <v>2701</v>
      </c>
      <c r="M92" s="77">
        <v>2</v>
      </c>
    </row>
    <row r="93" s="69" customFormat="1" spans="2:13">
      <c r="B93" s="84" t="s">
        <v>2702</v>
      </c>
      <c r="C93" s="85">
        <v>37</v>
      </c>
      <c r="D93" s="86">
        <f t="shared" si="4"/>
        <v>0.816176470588235</v>
      </c>
      <c r="E93" s="93">
        <f t="shared" si="5"/>
        <v>64</v>
      </c>
      <c r="F93" s="94">
        <v>2</v>
      </c>
      <c r="G93" s="95"/>
      <c r="H93" s="74">
        <f t="shared" si="3"/>
        <v>0</v>
      </c>
      <c r="I93" s="98" t="s">
        <v>2703</v>
      </c>
      <c r="J93" s="97">
        <v>153.879</v>
      </c>
      <c r="L93" s="77" t="s">
        <v>2704</v>
      </c>
      <c r="M93" s="77">
        <v>2</v>
      </c>
    </row>
    <row r="94" s="69" customFormat="1" spans="2:13">
      <c r="B94" s="84" t="s">
        <v>2515</v>
      </c>
      <c r="C94" s="85">
        <v>37</v>
      </c>
      <c r="D94" s="86">
        <f t="shared" si="4"/>
        <v>0.816176470588235</v>
      </c>
      <c r="E94" s="93">
        <f t="shared" si="5"/>
        <v>64</v>
      </c>
      <c r="F94" s="94">
        <v>6</v>
      </c>
      <c r="G94" s="95"/>
      <c r="H94" s="74">
        <f t="shared" si="3"/>
        <v>0</v>
      </c>
      <c r="I94" s="98" t="s">
        <v>2705</v>
      </c>
      <c r="J94" s="97">
        <v>98.6806</v>
      </c>
      <c r="L94" s="77" t="s">
        <v>2706</v>
      </c>
      <c r="M94" s="77">
        <v>8</v>
      </c>
    </row>
    <row r="95" s="69" customFormat="1" spans="2:13">
      <c r="B95" s="84" t="s">
        <v>2707</v>
      </c>
      <c r="C95" s="85">
        <v>41.5</v>
      </c>
      <c r="D95" s="86">
        <f t="shared" si="4"/>
        <v>0.832775919732441</v>
      </c>
      <c r="E95" s="93">
        <f t="shared" si="5"/>
        <v>58</v>
      </c>
      <c r="F95" s="94">
        <v>2</v>
      </c>
      <c r="G95" s="95"/>
      <c r="H95" s="74">
        <f t="shared" si="3"/>
        <v>0</v>
      </c>
      <c r="I95" s="98" t="s">
        <v>2708</v>
      </c>
      <c r="J95" s="97">
        <v>851.5884</v>
      </c>
      <c r="L95" s="77" t="s">
        <v>2709</v>
      </c>
      <c r="M95" s="77">
        <v>6</v>
      </c>
    </row>
    <row r="96" s="69" customFormat="1" spans="2:13">
      <c r="B96" s="84" t="s">
        <v>2710</v>
      </c>
      <c r="C96" s="85">
        <v>43.5</v>
      </c>
      <c r="D96" s="86">
        <f t="shared" si="4"/>
        <v>0.839228295819936</v>
      </c>
      <c r="E96" s="93">
        <f t="shared" si="5"/>
        <v>56</v>
      </c>
      <c r="F96" s="94">
        <v>2</v>
      </c>
      <c r="G96" s="95"/>
      <c r="H96" s="74">
        <f t="shared" si="3"/>
        <v>0</v>
      </c>
      <c r="I96" s="98" t="s">
        <v>2711</v>
      </c>
      <c r="J96" s="97">
        <v>3082.7351</v>
      </c>
      <c r="L96" s="77" t="s">
        <v>2712</v>
      </c>
      <c r="M96" s="77">
        <v>4</v>
      </c>
    </row>
    <row r="97" s="69" customFormat="1" spans="2:13">
      <c r="B97" s="84" t="s">
        <v>2518</v>
      </c>
      <c r="C97" s="85">
        <v>38.7</v>
      </c>
      <c r="D97" s="86">
        <f t="shared" si="4"/>
        <v>0.822820694542877</v>
      </c>
      <c r="E97" s="93">
        <f t="shared" si="5"/>
        <v>61</v>
      </c>
      <c r="F97" s="94">
        <v>4</v>
      </c>
      <c r="G97" s="95"/>
      <c r="H97" s="74">
        <f t="shared" si="3"/>
        <v>0</v>
      </c>
      <c r="I97" s="75" t="s">
        <v>2713</v>
      </c>
      <c r="J97" s="97">
        <v>3138.852</v>
      </c>
      <c r="L97" s="77" t="s">
        <v>2714</v>
      </c>
      <c r="M97" s="77">
        <v>2</v>
      </c>
    </row>
    <row r="98" s="69" customFormat="1" spans="2:13">
      <c r="B98" s="84" t="s">
        <v>2584</v>
      </c>
      <c r="C98" s="85">
        <v>46</v>
      </c>
      <c r="D98" s="86">
        <f t="shared" si="4"/>
        <v>0.846625766871166</v>
      </c>
      <c r="E98" s="93">
        <f t="shared" si="5"/>
        <v>53</v>
      </c>
      <c r="F98" s="94">
        <v>2</v>
      </c>
      <c r="G98" s="95"/>
      <c r="H98" s="74">
        <f t="shared" si="3"/>
        <v>0</v>
      </c>
      <c r="I98" s="98" t="s">
        <v>2715</v>
      </c>
      <c r="J98" s="97">
        <v>3726.2449</v>
      </c>
      <c r="L98" s="77" t="s">
        <v>2716</v>
      </c>
      <c r="M98" s="77">
        <v>2</v>
      </c>
    </row>
    <row r="99" s="69" customFormat="1" spans="2:13">
      <c r="B99" s="84" t="s">
        <v>2575</v>
      </c>
      <c r="C99" s="85">
        <v>44.5</v>
      </c>
      <c r="D99" s="86">
        <f t="shared" si="4"/>
        <v>0.842271293375394</v>
      </c>
      <c r="E99" s="93">
        <f t="shared" si="5"/>
        <v>55</v>
      </c>
      <c r="F99" s="94">
        <v>2</v>
      </c>
      <c r="G99" s="95"/>
      <c r="H99" s="74">
        <f t="shared" si="3"/>
        <v>0</v>
      </c>
      <c r="I99" s="98" t="s">
        <v>2717</v>
      </c>
      <c r="J99" s="97">
        <v>2873.6494</v>
      </c>
      <c r="L99" s="77" t="s">
        <v>2718</v>
      </c>
      <c r="M99" s="77">
        <v>4</v>
      </c>
    </row>
    <row r="100" s="69" customFormat="1" spans="2:13">
      <c r="B100" s="84" t="s">
        <v>2547</v>
      </c>
      <c r="C100" s="85">
        <v>37</v>
      </c>
      <c r="D100" s="86">
        <f t="shared" si="4"/>
        <v>0.816176470588235</v>
      </c>
      <c r="E100" s="93">
        <f t="shared" si="5"/>
        <v>64</v>
      </c>
      <c r="F100" s="94">
        <v>2</v>
      </c>
      <c r="G100" s="95"/>
      <c r="H100" s="74">
        <f t="shared" si="3"/>
        <v>0</v>
      </c>
      <c r="I100" s="98" t="s">
        <v>2687</v>
      </c>
      <c r="J100" s="97">
        <v>893.3568</v>
      </c>
      <c r="L100" s="77" t="s">
        <v>2719</v>
      </c>
      <c r="M100" s="77">
        <v>2</v>
      </c>
    </row>
    <row r="101" s="69" customFormat="1" spans="2:13">
      <c r="B101" s="84" t="s">
        <v>2612</v>
      </c>
      <c r="C101" s="85">
        <v>44</v>
      </c>
      <c r="D101" s="86">
        <f t="shared" si="4"/>
        <v>0.840764331210191</v>
      </c>
      <c r="E101" s="93">
        <f t="shared" si="5"/>
        <v>55</v>
      </c>
      <c r="F101" s="94">
        <v>2</v>
      </c>
      <c r="G101" s="95"/>
      <c r="H101" s="74">
        <f t="shared" si="3"/>
        <v>0</v>
      </c>
      <c r="I101" s="98" t="s">
        <v>2720</v>
      </c>
      <c r="J101" s="97">
        <v>147.700063</v>
      </c>
      <c r="L101" s="77" t="s">
        <v>2721</v>
      </c>
      <c r="M101" s="77">
        <v>28</v>
      </c>
    </row>
    <row r="102" s="69" customFormat="1" spans="2:13">
      <c r="B102" s="84" t="s">
        <v>2635</v>
      </c>
      <c r="C102" s="85">
        <v>35</v>
      </c>
      <c r="D102" s="86">
        <f t="shared" si="4"/>
        <v>0.807692307692308</v>
      </c>
      <c r="E102" s="93">
        <f t="shared" si="5"/>
        <v>66</v>
      </c>
      <c r="F102" s="94">
        <v>4</v>
      </c>
      <c r="G102" s="95"/>
      <c r="H102" s="74">
        <f t="shared" si="3"/>
        <v>0</v>
      </c>
      <c r="I102" s="98" t="s">
        <v>2722</v>
      </c>
      <c r="J102" s="97">
        <v>147.700063</v>
      </c>
      <c r="L102" s="77" t="s">
        <v>2723</v>
      </c>
      <c r="M102" s="77">
        <v>2</v>
      </c>
    </row>
    <row r="103" s="69" customFormat="1" spans="2:13">
      <c r="B103" s="84" t="s">
        <v>2632</v>
      </c>
      <c r="C103" s="85">
        <v>35</v>
      </c>
      <c r="D103" s="86">
        <f t="shared" si="4"/>
        <v>0.807692307692308</v>
      </c>
      <c r="E103" s="93">
        <f t="shared" si="5"/>
        <v>66</v>
      </c>
      <c r="F103" s="94">
        <v>4</v>
      </c>
      <c r="G103" s="95"/>
      <c r="H103" s="74">
        <f t="shared" si="3"/>
        <v>0</v>
      </c>
      <c r="I103" s="98" t="s">
        <v>2724</v>
      </c>
      <c r="J103" s="97">
        <v>134.13442</v>
      </c>
      <c r="L103" s="77" t="s">
        <v>2725</v>
      </c>
      <c r="M103" s="77">
        <v>2</v>
      </c>
    </row>
    <row r="104" s="69" customFormat="1" spans="2:13">
      <c r="B104" s="84" t="s">
        <v>2726</v>
      </c>
      <c r="C104" s="85">
        <v>42</v>
      </c>
      <c r="D104" s="86">
        <f t="shared" si="4"/>
        <v>0.834437086092715</v>
      </c>
      <c r="E104" s="93">
        <f t="shared" si="5"/>
        <v>57</v>
      </c>
      <c r="F104" s="94">
        <v>4</v>
      </c>
      <c r="G104" s="95"/>
      <c r="H104" s="74">
        <f t="shared" si="3"/>
        <v>0</v>
      </c>
      <c r="I104" s="98" t="s">
        <v>2727</v>
      </c>
      <c r="J104" s="97">
        <v>134.13442</v>
      </c>
      <c r="L104" s="77" t="s">
        <v>2728</v>
      </c>
      <c r="M104" s="77">
        <v>4</v>
      </c>
    </row>
    <row r="105" s="69" customFormat="1" spans="2:13">
      <c r="B105" s="84" t="s">
        <v>2729</v>
      </c>
      <c r="C105" s="85">
        <v>56.5</v>
      </c>
      <c r="D105" s="86">
        <f t="shared" si="4"/>
        <v>0.87146529562982</v>
      </c>
      <c r="E105" s="93">
        <f t="shared" si="5"/>
        <v>44</v>
      </c>
      <c r="F105" s="94">
        <v>10</v>
      </c>
      <c r="G105" s="95"/>
      <c r="H105" s="74">
        <f t="shared" si="3"/>
        <v>0</v>
      </c>
      <c r="I105" s="98" t="s">
        <v>923</v>
      </c>
      <c r="J105" s="99" t="s">
        <v>2671</v>
      </c>
      <c r="L105" s="77" t="s">
        <v>2730</v>
      </c>
      <c r="M105" s="77">
        <v>2</v>
      </c>
    </row>
    <row r="106" s="69" customFormat="1" spans="2:13">
      <c r="B106" s="84" t="s">
        <v>2731</v>
      </c>
      <c r="C106" s="85">
        <v>52</v>
      </c>
      <c r="D106" s="86">
        <f t="shared" si="4"/>
        <v>0.861878453038674</v>
      </c>
      <c r="E106" s="93">
        <f t="shared" si="5"/>
        <v>48</v>
      </c>
      <c r="F106" s="94">
        <v>2</v>
      </c>
      <c r="G106" s="95"/>
      <c r="H106" s="74">
        <f t="shared" si="3"/>
        <v>0</v>
      </c>
      <c r="I106" s="98" t="s">
        <v>798</v>
      </c>
      <c r="J106" s="97">
        <v>70.806666</v>
      </c>
      <c r="L106" s="77" t="s">
        <v>2732</v>
      </c>
      <c r="M106" s="77">
        <v>6</v>
      </c>
    </row>
    <row r="107" s="69" customFormat="1" spans="2:13">
      <c r="B107" s="84" t="s">
        <v>2733</v>
      </c>
      <c r="C107" s="85">
        <v>43</v>
      </c>
      <c r="D107" s="86">
        <f t="shared" si="4"/>
        <v>0.837662337662338</v>
      </c>
      <c r="E107" s="93">
        <f t="shared" si="5"/>
        <v>56</v>
      </c>
      <c r="F107" s="94">
        <v>2</v>
      </c>
      <c r="G107" s="95"/>
      <c r="H107" s="74">
        <f t="shared" si="3"/>
        <v>0</v>
      </c>
      <c r="I107" s="98" t="s">
        <v>801</v>
      </c>
      <c r="J107" s="97">
        <v>70.806666</v>
      </c>
      <c r="L107" s="77" t="s">
        <v>2734</v>
      </c>
      <c r="M107" s="77">
        <v>8</v>
      </c>
    </row>
    <row r="108" s="69" customFormat="1" spans="2:13">
      <c r="B108" s="84" t="s">
        <v>2735</v>
      </c>
      <c r="C108" s="85">
        <v>41</v>
      </c>
      <c r="D108" s="86">
        <f t="shared" si="4"/>
        <v>0.831081081081081</v>
      </c>
      <c r="E108" s="93">
        <f t="shared" si="5"/>
        <v>58</v>
      </c>
      <c r="F108" s="94">
        <v>4</v>
      </c>
      <c r="G108" s="95"/>
      <c r="H108" s="74">
        <f t="shared" si="3"/>
        <v>0</v>
      </c>
      <c r="I108" s="98" t="s">
        <v>803</v>
      </c>
      <c r="J108" s="97">
        <v>59.922926</v>
      </c>
      <c r="L108" s="77" t="s">
        <v>2736</v>
      </c>
      <c r="M108" s="77">
        <v>8</v>
      </c>
    </row>
    <row r="109" s="69" customFormat="1" spans="2:13">
      <c r="B109" s="84" t="s">
        <v>2737</v>
      </c>
      <c r="C109" s="85">
        <v>40</v>
      </c>
      <c r="D109" s="86">
        <f t="shared" si="4"/>
        <v>0.827586206896552</v>
      </c>
      <c r="E109" s="93">
        <f t="shared" si="5"/>
        <v>60</v>
      </c>
      <c r="F109" s="94">
        <v>2</v>
      </c>
      <c r="G109" s="95"/>
      <c r="H109" s="74">
        <f t="shared" si="3"/>
        <v>0</v>
      </c>
      <c r="I109" s="98" t="s">
        <v>805</v>
      </c>
      <c r="J109" s="97">
        <v>53.727667</v>
      </c>
      <c r="L109" s="77" t="s">
        <v>2738</v>
      </c>
      <c r="M109" s="77">
        <v>2</v>
      </c>
    </row>
    <row r="110" s="69" customFormat="1" spans="2:13">
      <c r="B110" s="84" t="s">
        <v>2578</v>
      </c>
      <c r="C110" s="85">
        <v>34</v>
      </c>
      <c r="D110" s="86">
        <f t="shared" si="4"/>
        <v>0.803149606299213</v>
      </c>
      <c r="E110" s="93">
        <f t="shared" si="5"/>
        <v>68</v>
      </c>
      <c r="F110" s="94">
        <v>4</v>
      </c>
      <c r="G110" s="95"/>
      <c r="H110" s="74">
        <f t="shared" si="3"/>
        <v>0</v>
      </c>
      <c r="I110" s="98" t="s">
        <v>807</v>
      </c>
      <c r="J110" s="97">
        <v>31.310447</v>
      </c>
      <c r="L110" s="77" t="s">
        <v>2739</v>
      </c>
      <c r="M110" s="77">
        <v>10</v>
      </c>
    </row>
    <row r="111" s="69" customFormat="1" spans="2:13">
      <c r="B111" s="84" t="s">
        <v>2596</v>
      </c>
      <c r="C111" s="85">
        <v>34.5</v>
      </c>
      <c r="D111" s="86">
        <f t="shared" si="4"/>
        <v>0.805447470817121</v>
      </c>
      <c r="E111" s="93">
        <f t="shared" si="5"/>
        <v>67</v>
      </c>
      <c r="F111" s="94">
        <v>2</v>
      </c>
      <c r="G111" s="95"/>
      <c r="H111" s="74">
        <f t="shared" si="3"/>
        <v>0</v>
      </c>
      <c r="I111" s="98" t="s">
        <v>996</v>
      </c>
      <c r="J111" s="97">
        <v>26.491542</v>
      </c>
      <c r="L111" s="77" t="s">
        <v>2740</v>
      </c>
      <c r="M111" s="77">
        <v>10</v>
      </c>
    </row>
    <row r="112" s="69" customFormat="1" spans="2:13">
      <c r="B112" s="84" t="s">
        <v>2638</v>
      </c>
      <c r="C112" s="85">
        <v>36</v>
      </c>
      <c r="D112" s="86">
        <f t="shared" si="4"/>
        <v>0.81203007518797</v>
      </c>
      <c r="E112" s="93">
        <f t="shared" si="5"/>
        <v>65</v>
      </c>
      <c r="F112" s="94">
        <v>2</v>
      </c>
      <c r="G112" s="95"/>
      <c r="H112" s="74">
        <f t="shared" si="3"/>
        <v>0</v>
      </c>
      <c r="I112" s="98" t="s">
        <v>971</v>
      </c>
      <c r="J112" s="97">
        <v>28.779317</v>
      </c>
      <c r="L112" s="77" t="s">
        <v>2741</v>
      </c>
      <c r="M112" s="77">
        <v>8</v>
      </c>
    </row>
    <row r="113" s="69" customFormat="1" spans="2:13">
      <c r="B113" s="84" t="s">
        <v>2742</v>
      </c>
      <c r="C113" s="85">
        <v>32.5</v>
      </c>
      <c r="D113" s="86">
        <f t="shared" si="4"/>
        <v>0.795918367346939</v>
      </c>
      <c r="E113" s="93">
        <f t="shared" si="5"/>
        <v>71</v>
      </c>
      <c r="F113" s="94">
        <v>4</v>
      </c>
      <c r="G113" s="95"/>
      <c r="H113" s="74">
        <f t="shared" si="3"/>
        <v>0</v>
      </c>
      <c r="I113" s="98" t="s">
        <v>937</v>
      </c>
      <c r="J113" s="97">
        <v>26.491542</v>
      </c>
      <c r="L113" s="77" t="s">
        <v>2743</v>
      </c>
      <c r="M113" s="77">
        <v>4</v>
      </c>
    </row>
    <row r="114" s="69" customFormat="1" spans="2:13">
      <c r="B114" s="84" t="s">
        <v>2744</v>
      </c>
      <c r="C114" s="85">
        <v>43.5</v>
      </c>
      <c r="D114" s="86">
        <f t="shared" si="4"/>
        <v>0.839228295819936</v>
      </c>
      <c r="E114" s="93">
        <f t="shared" si="5"/>
        <v>56</v>
      </c>
      <c r="F114" s="94">
        <v>2</v>
      </c>
      <c r="G114" s="95"/>
      <c r="H114" s="74">
        <f t="shared" si="3"/>
        <v>0</v>
      </c>
      <c r="I114" s="98" t="s">
        <v>683</v>
      </c>
      <c r="J114" s="97"/>
      <c r="L114" s="77" t="s">
        <v>2745</v>
      </c>
      <c r="M114" s="77">
        <v>4</v>
      </c>
    </row>
    <row r="115" s="69" customFormat="1" spans="2:13">
      <c r="B115" s="84" t="s">
        <v>2746</v>
      </c>
      <c r="C115" s="85">
        <v>46</v>
      </c>
      <c r="D115" s="86">
        <f t="shared" si="4"/>
        <v>0.846625766871166</v>
      </c>
      <c r="E115" s="93">
        <f t="shared" si="5"/>
        <v>53</v>
      </c>
      <c r="F115" s="94">
        <v>2</v>
      </c>
      <c r="G115" s="95"/>
      <c r="H115" s="74">
        <f t="shared" si="3"/>
        <v>0</v>
      </c>
      <c r="I115" s="100"/>
      <c r="J115" s="101"/>
      <c r="L115" s="77" t="s">
        <v>2747</v>
      </c>
      <c r="M115" s="77">
        <v>2</v>
      </c>
    </row>
    <row r="116" s="69" customFormat="1" spans="2:13">
      <c r="B116" s="84" t="s">
        <v>2748</v>
      </c>
      <c r="C116" s="85">
        <v>43</v>
      </c>
      <c r="D116" s="86">
        <f t="shared" si="4"/>
        <v>0.837662337662338</v>
      </c>
      <c r="E116" s="93">
        <f t="shared" si="5"/>
        <v>56</v>
      </c>
      <c r="F116" s="94">
        <v>2</v>
      </c>
      <c r="G116" s="95"/>
      <c r="H116" s="74">
        <f t="shared" si="3"/>
        <v>0</v>
      </c>
      <c r="I116" s="98" t="s">
        <v>2652</v>
      </c>
      <c r="J116" s="102">
        <v>769.392</v>
      </c>
      <c r="L116" s="77" t="s">
        <v>2749</v>
      </c>
      <c r="M116" s="77">
        <v>2</v>
      </c>
    </row>
    <row r="117" s="69" customFormat="1" spans="2:13">
      <c r="B117" s="84" t="s">
        <v>2750</v>
      </c>
      <c r="C117" s="85">
        <v>43</v>
      </c>
      <c r="D117" s="86">
        <f t="shared" si="4"/>
        <v>0.837662337662338</v>
      </c>
      <c r="E117" s="93">
        <f t="shared" si="5"/>
        <v>56</v>
      </c>
      <c r="F117" s="94">
        <v>2</v>
      </c>
      <c r="G117" s="95"/>
      <c r="H117" s="74">
        <f t="shared" si="3"/>
        <v>0</v>
      </c>
      <c r="I117" s="98" t="s">
        <v>2751</v>
      </c>
      <c r="J117" s="102">
        <v>913.956</v>
      </c>
      <c r="L117" s="77" t="s">
        <v>2752</v>
      </c>
      <c r="M117" s="77">
        <v>2</v>
      </c>
    </row>
    <row r="118" s="69" customFormat="1" spans="2:13">
      <c r="B118" s="84" t="s">
        <v>2753</v>
      </c>
      <c r="C118" s="85">
        <v>43.5</v>
      </c>
      <c r="D118" s="86">
        <f t="shared" si="4"/>
        <v>0.839228295819936</v>
      </c>
      <c r="E118" s="93">
        <f t="shared" si="5"/>
        <v>56</v>
      </c>
      <c r="F118" s="94">
        <v>2</v>
      </c>
      <c r="G118" s="95"/>
      <c r="H118" s="74">
        <f t="shared" si="3"/>
        <v>0</v>
      </c>
      <c r="I118" s="98" t="s">
        <v>2754</v>
      </c>
      <c r="J118" s="102">
        <v>722.2743</v>
      </c>
      <c r="L118" s="77" t="s">
        <v>2755</v>
      </c>
      <c r="M118" s="77">
        <v>2</v>
      </c>
    </row>
    <row r="119" s="69" customFormat="1" spans="2:13">
      <c r="B119" s="84" t="s">
        <v>2756</v>
      </c>
      <c r="C119" s="85">
        <v>34.5</v>
      </c>
      <c r="D119" s="86">
        <f t="shared" si="4"/>
        <v>0.805447470817121</v>
      </c>
      <c r="E119" s="93">
        <f t="shared" si="5"/>
        <v>67</v>
      </c>
      <c r="F119" s="94">
        <v>2</v>
      </c>
      <c r="G119" s="95"/>
      <c r="H119" s="74">
        <f t="shared" si="3"/>
        <v>0</v>
      </c>
      <c r="I119" s="98" t="s">
        <v>2702</v>
      </c>
      <c r="J119" s="102">
        <v>602.0091</v>
      </c>
      <c r="L119" s="77" t="s">
        <v>2757</v>
      </c>
      <c r="M119" s="77">
        <v>2</v>
      </c>
    </row>
    <row r="120" s="69" customFormat="1" spans="2:13">
      <c r="B120" s="84" t="s">
        <v>2758</v>
      </c>
      <c r="C120" s="85">
        <v>39</v>
      </c>
      <c r="D120" s="86">
        <f t="shared" si="4"/>
        <v>0.823943661971831</v>
      </c>
      <c r="E120" s="93">
        <f t="shared" si="5"/>
        <v>61</v>
      </c>
      <c r="F120" s="94">
        <v>2</v>
      </c>
      <c r="G120" s="95"/>
      <c r="H120" s="74">
        <f t="shared" si="3"/>
        <v>0</v>
      </c>
      <c r="I120" s="98" t="s">
        <v>2733</v>
      </c>
      <c r="J120" s="102">
        <v>1175.735</v>
      </c>
      <c r="L120" s="77" t="s">
        <v>2759</v>
      </c>
      <c r="M120" s="77">
        <v>4</v>
      </c>
    </row>
    <row r="121" s="69" customFormat="1" spans="2:13">
      <c r="B121" s="84" t="s">
        <v>2760</v>
      </c>
      <c r="C121" s="85">
        <v>41.5</v>
      </c>
      <c r="D121" s="86">
        <f t="shared" si="4"/>
        <v>0.832775919732441</v>
      </c>
      <c r="E121" s="93">
        <f t="shared" si="5"/>
        <v>58</v>
      </c>
      <c r="F121" s="94">
        <v>2</v>
      </c>
      <c r="G121" s="95"/>
      <c r="H121" s="74">
        <f t="shared" si="3"/>
        <v>0</v>
      </c>
      <c r="I121" s="98" t="s">
        <v>2737</v>
      </c>
      <c r="J121" s="102">
        <v>1175.735</v>
      </c>
      <c r="L121" s="77" t="s">
        <v>2761</v>
      </c>
      <c r="M121" s="77">
        <v>2</v>
      </c>
    </row>
    <row r="122" s="69" customFormat="1" spans="2:13">
      <c r="B122" s="84" t="s">
        <v>2762</v>
      </c>
      <c r="C122" s="85">
        <v>36</v>
      </c>
      <c r="D122" s="86">
        <f t="shared" si="4"/>
        <v>0.81203007518797</v>
      </c>
      <c r="E122" s="93">
        <f t="shared" si="5"/>
        <v>65</v>
      </c>
      <c r="F122" s="94">
        <v>2</v>
      </c>
      <c r="G122" s="95"/>
      <c r="H122" s="74">
        <f t="shared" si="3"/>
        <v>0</v>
      </c>
      <c r="I122" s="98" t="s">
        <v>2763</v>
      </c>
      <c r="J122" s="102">
        <v>763.352</v>
      </c>
      <c r="L122" s="77" t="s">
        <v>2764</v>
      </c>
      <c r="M122" s="77">
        <v>6</v>
      </c>
    </row>
    <row r="123" s="69" customFormat="1" spans="2:13">
      <c r="B123" s="84" t="s">
        <v>2765</v>
      </c>
      <c r="C123" s="85">
        <v>34.5</v>
      </c>
      <c r="D123" s="86">
        <f t="shared" si="4"/>
        <v>0.805447470817121</v>
      </c>
      <c r="E123" s="93">
        <f t="shared" si="5"/>
        <v>67</v>
      </c>
      <c r="F123" s="94">
        <v>2</v>
      </c>
      <c r="G123" s="95"/>
      <c r="H123" s="74">
        <f t="shared" si="3"/>
        <v>0</v>
      </c>
      <c r="I123" s="98" t="s">
        <v>2634</v>
      </c>
      <c r="J123" s="102">
        <v>763.352</v>
      </c>
      <c r="L123" s="77" t="s">
        <v>2766</v>
      </c>
      <c r="M123" s="77">
        <v>2</v>
      </c>
    </row>
    <row r="124" s="69" customFormat="1" spans="2:13">
      <c r="B124" s="84" t="s">
        <v>2767</v>
      </c>
      <c r="C124" s="85">
        <v>30.3</v>
      </c>
      <c r="D124" s="86">
        <f t="shared" si="4"/>
        <v>0.784296807592752</v>
      </c>
      <c r="E124" s="93">
        <f t="shared" si="5"/>
        <v>75</v>
      </c>
      <c r="F124" s="94">
        <v>2</v>
      </c>
      <c r="G124" s="95"/>
      <c r="H124" s="74">
        <f t="shared" si="3"/>
        <v>0</v>
      </c>
      <c r="I124" s="98" t="s">
        <v>2768</v>
      </c>
      <c r="J124" s="102">
        <v>777.657</v>
      </c>
      <c r="L124" s="77" t="s">
        <v>2769</v>
      </c>
      <c r="M124" s="77">
        <v>2</v>
      </c>
    </row>
    <row r="125" s="69" customFormat="1" spans="2:13">
      <c r="B125" s="84" t="s">
        <v>2770</v>
      </c>
      <c r="C125" s="85">
        <v>30.3</v>
      </c>
      <c r="D125" s="86">
        <f t="shared" si="4"/>
        <v>0.784296807592752</v>
      </c>
      <c r="E125" s="93">
        <f t="shared" si="5"/>
        <v>75</v>
      </c>
      <c r="F125" s="94">
        <v>2</v>
      </c>
      <c r="G125" s="95"/>
      <c r="H125" s="74">
        <f t="shared" si="3"/>
        <v>0</v>
      </c>
      <c r="I125" s="98" t="s">
        <v>2742</v>
      </c>
      <c r="J125" s="102">
        <v>713.564</v>
      </c>
      <c r="L125" s="77" t="s">
        <v>2771</v>
      </c>
      <c r="M125" s="77">
        <v>2</v>
      </c>
    </row>
    <row r="126" s="69" customFormat="1" spans="2:13">
      <c r="B126" s="84" t="s">
        <v>2772</v>
      </c>
      <c r="C126" s="85">
        <v>30</v>
      </c>
      <c r="D126" s="86">
        <f t="shared" si="4"/>
        <v>0.782608695652174</v>
      </c>
      <c r="E126" s="93">
        <f t="shared" si="5"/>
        <v>75</v>
      </c>
      <c r="F126" s="94">
        <v>2</v>
      </c>
      <c r="G126" s="95"/>
      <c r="H126" s="74">
        <f t="shared" si="3"/>
        <v>0</v>
      </c>
      <c r="I126" s="98" t="s">
        <v>2773</v>
      </c>
      <c r="J126" s="102">
        <v>429.2687</v>
      </c>
      <c r="L126" s="77" t="s">
        <v>2774</v>
      </c>
      <c r="M126" s="77">
        <v>2</v>
      </c>
    </row>
    <row r="127" s="69" customFormat="1" spans="2:13">
      <c r="B127" s="84" t="s">
        <v>2775</v>
      </c>
      <c r="C127" s="85">
        <v>29.5</v>
      </c>
      <c r="D127" s="86">
        <f t="shared" si="4"/>
        <v>0.779735682819383</v>
      </c>
      <c r="E127" s="93">
        <f t="shared" si="5"/>
        <v>76</v>
      </c>
      <c r="F127" s="94">
        <v>2</v>
      </c>
      <c r="G127" s="95"/>
      <c r="H127" s="74">
        <f t="shared" si="3"/>
        <v>0</v>
      </c>
      <c r="I127" s="98" t="s">
        <v>2776</v>
      </c>
      <c r="J127" s="102">
        <v>758.7747</v>
      </c>
      <c r="L127" s="77" t="s">
        <v>2777</v>
      </c>
      <c r="M127" s="77">
        <v>2</v>
      </c>
    </row>
    <row r="128" s="69" customFormat="1" spans="2:13">
      <c r="B128" s="84" t="s">
        <v>2778</v>
      </c>
      <c r="C128" s="85">
        <v>29.5</v>
      </c>
      <c r="D128" s="86">
        <f t="shared" si="4"/>
        <v>0.779735682819383</v>
      </c>
      <c r="E128" s="93">
        <f t="shared" si="5"/>
        <v>76</v>
      </c>
      <c r="F128" s="94">
        <v>2</v>
      </c>
      <c r="G128" s="95"/>
      <c r="H128" s="74">
        <f t="shared" si="3"/>
        <v>0</v>
      </c>
      <c r="I128" s="98" t="s">
        <v>2779</v>
      </c>
      <c r="J128" s="102">
        <v>1163.8081</v>
      </c>
      <c r="L128" s="77" t="s">
        <v>2780</v>
      </c>
      <c r="M128" s="77">
        <v>2</v>
      </c>
    </row>
    <row r="129" s="69" customFormat="1" spans="2:13">
      <c r="B129" s="84" t="s">
        <v>2781</v>
      </c>
      <c r="C129" s="85">
        <v>32.5</v>
      </c>
      <c r="D129" s="86">
        <f t="shared" si="4"/>
        <v>0.795918367346939</v>
      </c>
      <c r="E129" s="93">
        <f t="shared" si="5"/>
        <v>71</v>
      </c>
      <c r="F129" s="94">
        <v>2</v>
      </c>
      <c r="G129" s="95"/>
      <c r="H129" s="74">
        <f t="shared" si="3"/>
        <v>0</v>
      </c>
      <c r="I129" s="98" t="s">
        <v>2735</v>
      </c>
      <c r="J129" s="102">
        <v>1175.735</v>
      </c>
      <c r="L129" s="77" t="s">
        <v>2782</v>
      </c>
      <c r="M129" s="77">
        <v>2</v>
      </c>
    </row>
    <row r="130" s="69" customFormat="1" spans="2:13">
      <c r="B130" s="84" t="s">
        <v>2783</v>
      </c>
      <c r="C130" s="85">
        <v>31.9</v>
      </c>
      <c r="D130" s="86">
        <f t="shared" si="4"/>
        <v>0.792874896437448</v>
      </c>
      <c r="E130" s="93">
        <f t="shared" si="5"/>
        <v>72</v>
      </c>
      <c r="F130" s="94">
        <v>2</v>
      </c>
      <c r="G130" s="95"/>
      <c r="H130" s="74">
        <f t="shared" ref="H130:H193" si="6">_xlfn.XLOOKUP(G130,I:I,J:J)</f>
        <v>0</v>
      </c>
      <c r="I130" s="98" t="s">
        <v>2784</v>
      </c>
      <c r="J130" s="102">
        <v>1300.0988</v>
      </c>
      <c r="L130" s="77" t="s">
        <v>2785</v>
      </c>
      <c r="M130" s="77">
        <v>2</v>
      </c>
    </row>
    <row r="131" s="69" customFormat="1" spans="2:13">
      <c r="B131" s="84" t="s">
        <v>2786</v>
      </c>
      <c r="C131" s="85">
        <v>30</v>
      </c>
      <c r="D131" s="86">
        <f t="shared" ref="D131:D194" si="7">IF(C131="","",C131/(C131+$C$1/60))</f>
        <v>0.782608695652174</v>
      </c>
      <c r="E131" s="93">
        <f t="shared" ref="E131:E194" si="8">IFERROR(ROUND(1440/C131*2*D131,0),"")</f>
        <v>75</v>
      </c>
      <c r="F131" s="94">
        <v>2</v>
      </c>
      <c r="G131" s="95"/>
      <c r="H131" s="74">
        <f t="shared" si="6"/>
        <v>0</v>
      </c>
      <c r="I131" s="98" t="s">
        <v>2787</v>
      </c>
      <c r="J131" s="102">
        <v>859.9654</v>
      </c>
      <c r="L131" s="77" t="s">
        <v>2788</v>
      </c>
      <c r="M131" s="77">
        <v>2</v>
      </c>
    </row>
    <row r="132" s="69" customFormat="1" spans="2:13">
      <c r="B132" s="84" t="s">
        <v>2789</v>
      </c>
      <c r="C132" s="85">
        <v>30</v>
      </c>
      <c r="D132" s="86">
        <f t="shared" si="7"/>
        <v>0.782608695652174</v>
      </c>
      <c r="E132" s="93">
        <f t="shared" si="8"/>
        <v>75</v>
      </c>
      <c r="F132" s="94">
        <v>2</v>
      </c>
      <c r="G132" s="95"/>
      <c r="H132" s="74">
        <f t="shared" si="6"/>
        <v>0</v>
      </c>
      <c r="I132" s="98" t="s">
        <v>2500</v>
      </c>
      <c r="J132" s="102">
        <v>444.43644</v>
      </c>
      <c r="L132" s="77" t="s">
        <v>2790</v>
      </c>
      <c r="M132" s="77">
        <v>2</v>
      </c>
    </row>
    <row r="133" s="69" customFormat="1" spans="2:13">
      <c r="B133" s="84" t="s">
        <v>2791</v>
      </c>
      <c r="C133" s="85">
        <v>32</v>
      </c>
      <c r="D133" s="86">
        <f t="shared" si="7"/>
        <v>0.793388429752066</v>
      </c>
      <c r="E133" s="93">
        <f t="shared" si="8"/>
        <v>71</v>
      </c>
      <c r="F133" s="94">
        <v>2</v>
      </c>
      <c r="G133" s="95"/>
      <c r="H133" s="74">
        <f t="shared" si="6"/>
        <v>0</v>
      </c>
      <c r="I133" s="98" t="s">
        <v>2566</v>
      </c>
      <c r="J133" s="102">
        <v>923.8208</v>
      </c>
      <c r="L133" s="77" t="s">
        <v>2792</v>
      </c>
      <c r="M133" s="77">
        <v>2</v>
      </c>
    </row>
    <row r="134" s="69" customFormat="1" spans="2:13">
      <c r="B134" s="84" t="s">
        <v>2793</v>
      </c>
      <c r="C134" s="85">
        <v>34</v>
      </c>
      <c r="D134" s="86">
        <f t="shared" si="7"/>
        <v>0.803149606299213</v>
      </c>
      <c r="E134" s="93">
        <f t="shared" si="8"/>
        <v>68</v>
      </c>
      <c r="F134" s="94">
        <v>2</v>
      </c>
      <c r="G134" s="95"/>
      <c r="H134" s="74">
        <f t="shared" si="6"/>
        <v>0</v>
      </c>
      <c r="I134" s="98" t="s">
        <v>2794</v>
      </c>
      <c r="J134" s="102">
        <v>783.496</v>
      </c>
      <c r="L134" s="77" t="s">
        <v>2795</v>
      </c>
      <c r="M134" s="77">
        <v>2</v>
      </c>
    </row>
    <row r="135" s="69" customFormat="1" spans="2:13">
      <c r="B135" s="84" t="s">
        <v>2796</v>
      </c>
      <c r="C135" s="85">
        <v>33.5</v>
      </c>
      <c r="D135" s="86">
        <f t="shared" si="7"/>
        <v>0.800796812749004</v>
      </c>
      <c r="E135" s="93">
        <f t="shared" si="8"/>
        <v>69</v>
      </c>
      <c r="F135" s="94">
        <v>2</v>
      </c>
      <c r="G135" s="95"/>
      <c r="H135" s="74">
        <f t="shared" si="6"/>
        <v>0</v>
      </c>
      <c r="I135" s="98" t="s">
        <v>2616</v>
      </c>
      <c r="J135" s="102">
        <v>803.4285</v>
      </c>
      <c r="L135" s="77" t="s">
        <v>2797</v>
      </c>
      <c r="M135" s="77">
        <v>2</v>
      </c>
    </row>
    <row r="136" s="69" customFormat="1" spans="2:13">
      <c r="B136" s="84" t="s">
        <v>2798</v>
      </c>
      <c r="C136" s="85">
        <v>32.5</v>
      </c>
      <c r="D136" s="86">
        <f t="shared" si="7"/>
        <v>0.795918367346939</v>
      </c>
      <c r="E136" s="93">
        <f t="shared" si="8"/>
        <v>71</v>
      </c>
      <c r="F136" s="94">
        <v>2</v>
      </c>
      <c r="G136" s="95"/>
      <c r="H136" s="74">
        <f t="shared" si="6"/>
        <v>0</v>
      </c>
      <c r="I136" s="98" t="s">
        <v>2799</v>
      </c>
      <c r="J136" s="102">
        <v>810.6042</v>
      </c>
      <c r="L136" s="77" t="s">
        <v>2800</v>
      </c>
      <c r="M136" s="77">
        <v>2</v>
      </c>
    </row>
    <row r="137" s="69" customFormat="1" spans="2:13">
      <c r="B137" s="84" t="s">
        <v>2801</v>
      </c>
      <c r="C137" s="85">
        <v>34</v>
      </c>
      <c r="D137" s="86">
        <f t="shared" si="7"/>
        <v>0.803149606299213</v>
      </c>
      <c r="E137" s="93">
        <f t="shared" si="8"/>
        <v>68</v>
      </c>
      <c r="F137" s="94">
        <v>2</v>
      </c>
      <c r="G137" s="95"/>
      <c r="H137" s="74">
        <f t="shared" si="6"/>
        <v>0</v>
      </c>
      <c r="I137" s="98" t="s">
        <v>2756</v>
      </c>
      <c r="J137" s="102">
        <v>707.931</v>
      </c>
      <c r="L137" s="77" t="s">
        <v>2802</v>
      </c>
      <c r="M137" s="77">
        <v>2</v>
      </c>
    </row>
    <row r="138" s="69" customFormat="1" spans="2:13">
      <c r="B138" s="84" t="s">
        <v>2803</v>
      </c>
      <c r="C138" s="85">
        <v>34</v>
      </c>
      <c r="D138" s="86">
        <f t="shared" si="7"/>
        <v>0.803149606299213</v>
      </c>
      <c r="E138" s="93">
        <f t="shared" si="8"/>
        <v>68</v>
      </c>
      <c r="F138" s="94">
        <v>2</v>
      </c>
      <c r="G138" s="95"/>
      <c r="H138" s="74">
        <f t="shared" si="6"/>
        <v>0</v>
      </c>
      <c r="I138" s="98" t="s">
        <v>2753</v>
      </c>
      <c r="J138" s="102">
        <v>839.2475</v>
      </c>
      <c r="L138" s="77" t="s">
        <v>2804</v>
      </c>
      <c r="M138" s="77">
        <v>4</v>
      </c>
    </row>
    <row r="139" s="69" customFormat="1" spans="2:13">
      <c r="B139" s="84" t="s">
        <v>2805</v>
      </c>
      <c r="C139" s="85">
        <v>34</v>
      </c>
      <c r="D139" s="86">
        <f t="shared" si="7"/>
        <v>0.803149606299213</v>
      </c>
      <c r="E139" s="93">
        <f t="shared" si="8"/>
        <v>68</v>
      </c>
      <c r="F139" s="94">
        <v>2</v>
      </c>
      <c r="G139" s="95"/>
      <c r="H139" s="74">
        <f t="shared" si="6"/>
        <v>0</v>
      </c>
      <c r="I139" s="98" t="s">
        <v>2806</v>
      </c>
      <c r="J139" s="102">
        <v>1300.0988</v>
      </c>
      <c r="L139" s="77" t="s">
        <v>2807</v>
      </c>
      <c r="M139" s="77">
        <v>8</v>
      </c>
    </row>
    <row r="140" s="69" customFormat="1" spans="2:13">
      <c r="B140" s="84" t="s">
        <v>2808</v>
      </c>
      <c r="C140" s="85">
        <v>26</v>
      </c>
      <c r="D140" s="86">
        <f t="shared" si="7"/>
        <v>0.757281553398058</v>
      </c>
      <c r="E140" s="93">
        <f t="shared" si="8"/>
        <v>84</v>
      </c>
      <c r="F140" s="94">
        <v>2</v>
      </c>
      <c r="G140" s="95"/>
      <c r="H140" s="74">
        <f t="shared" si="6"/>
        <v>0</v>
      </c>
      <c r="I140" s="98" t="s">
        <v>2726</v>
      </c>
      <c r="J140" s="102">
        <v>1225.8309</v>
      </c>
      <c r="L140" s="77" t="s">
        <v>2809</v>
      </c>
      <c r="M140" s="77">
        <v>2</v>
      </c>
    </row>
    <row r="141" s="69" customFormat="1" spans="2:13">
      <c r="B141" s="84" t="s">
        <v>2810</v>
      </c>
      <c r="C141" s="85">
        <v>26</v>
      </c>
      <c r="D141" s="86">
        <f t="shared" si="7"/>
        <v>0.757281553398058</v>
      </c>
      <c r="E141" s="93">
        <f t="shared" si="8"/>
        <v>84</v>
      </c>
      <c r="F141" s="94">
        <v>2</v>
      </c>
      <c r="G141" s="95"/>
      <c r="H141" s="74">
        <f t="shared" si="6"/>
        <v>0</v>
      </c>
      <c r="I141" s="98" t="s">
        <v>2775</v>
      </c>
      <c r="J141" s="102">
        <v>440.3595</v>
      </c>
      <c r="L141" s="77" t="s">
        <v>2811</v>
      </c>
      <c r="M141" s="77">
        <v>6</v>
      </c>
    </row>
    <row r="142" s="69" customFormat="1" spans="2:13">
      <c r="B142" s="84" t="s">
        <v>2812</v>
      </c>
      <c r="C142" s="85">
        <v>32.5</v>
      </c>
      <c r="D142" s="86">
        <f t="shared" si="7"/>
        <v>0.795918367346939</v>
      </c>
      <c r="E142" s="93">
        <f t="shared" si="8"/>
        <v>71</v>
      </c>
      <c r="F142" s="94">
        <v>2</v>
      </c>
      <c r="G142" s="95"/>
      <c r="H142" s="74">
        <f t="shared" si="6"/>
        <v>0</v>
      </c>
      <c r="I142" s="98" t="s">
        <v>2588</v>
      </c>
      <c r="J142" s="102">
        <v>944.3483</v>
      </c>
      <c r="L142" s="77" t="s">
        <v>2813</v>
      </c>
      <c r="M142" s="77">
        <v>4</v>
      </c>
    </row>
    <row r="143" s="69" customFormat="1" spans="2:13">
      <c r="B143" s="84" t="s">
        <v>2794</v>
      </c>
      <c r="C143" s="85">
        <v>40</v>
      </c>
      <c r="D143" s="86">
        <f t="shared" si="7"/>
        <v>0.827586206896552</v>
      </c>
      <c r="E143" s="93">
        <f t="shared" si="8"/>
        <v>60</v>
      </c>
      <c r="F143" s="94">
        <v>8</v>
      </c>
      <c r="G143" s="95"/>
      <c r="H143" s="74">
        <f t="shared" si="6"/>
        <v>0</v>
      </c>
      <c r="I143" s="98" t="s">
        <v>2814</v>
      </c>
      <c r="J143" s="102">
        <v>778.5218</v>
      </c>
      <c r="L143" s="77" t="s">
        <v>2815</v>
      </c>
      <c r="M143" s="77">
        <v>4</v>
      </c>
    </row>
    <row r="144" s="69" customFormat="1" spans="2:13">
      <c r="B144" s="84" t="s">
        <v>2754</v>
      </c>
      <c r="C144" s="85">
        <v>35</v>
      </c>
      <c r="D144" s="86">
        <f t="shared" si="7"/>
        <v>0.807692307692308</v>
      </c>
      <c r="E144" s="93">
        <f t="shared" si="8"/>
        <v>66</v>
      </c>
      <c r="F144" s="94">
        <v>6</v>
      </c>
      <c r="G144" s="95"/>
      <c r="H144" s="74">
        <f t="shared" si="6"/>
        <v>0</v>
      </c>
      <c r="I144" s="98" t="s">
        <v>2812</v>
      </c>
      <c r="J144" s="102">
        <v>403.2434</v>
      </c>
      <c r="L144" s="77" t="s">
        <v>2816</v>
      </c>
      <c r="M144" s="77">
        <v>6</v>
      </c>
    </row>
    <row r="145" s="69" customFormat="1" spans="2:13">
      <c r="B145" s="84" t="s">
        <v>2799</v>
      </c>
      <c r="C145" s="85">
        <v>42</v>
      </c>
      <c r="D145" s="86">
        <f t="shared" si="7"/>
        <v>0.834437086092715</v>
      </c>
      <c r="E145" s="93">
        <f t="shared" si="8"/>
        <v>57</v>
      </c>
      <c r="F145" s="94">
        <v>8</v>
      </c>
      <c r="G145" s="95"/>
      <c r="H145" s="74">
        <f t="shared" si="6"/>
        <v>0</v>
      </c>
      <c r="I145" s="98" t="s">
        <v>2783</v>
      </c>
      <c r="J145" s="102">
        <v>437.6939</v>
      </c>
      <c r="L145" s="77" t="s">
        <v>2817</v>
      </c>
      <c r="M145" s="77">
        <v>2</v>
      </c>
    </row>
    <row r="146" s="69" customFormat="1" spans="2:13">
      <c r="B146" s="84" t="s">
        <v>2668</v>
      </c>
      <c r="C146" s="85">
        <v>45</v>
      </c>
      <c r="D146" s="86">
        <f t="shared" si="7"/>
        <v>0.84375</v>
      </c>
      <c r="E146" s="93">
        <f t="shared" si="8"/>
        <v>54</v>
      </c>
      <c r="F146" s="94">
        <v>2</v>
      </c>
      <c r="G146" s="95"/>
      <c r="H146" s="74">
        <f t="shared" si="6"/>
        <v>0</v>
      </c>
      <c r="I146" s="98" t="s">
        <v>2818</v>
      </c>
      <c r="J146" s="102">
        <v>70.7733</v>
      </c>
      <c r="L146" s="77" t="s">
        <v>2819</v>
      </c>
      <c r="M146" s="77">
        <v>4</v>
      </c>
    </row>
    <row r="147" s="69" customFormat="1" spans="2:13">
      <c r="B147" s="84" t="s">
        <v>2820</v>
      </c>
      <c r="C147" s="85">
        <v>42.5</v>
      </c>
      <c r="D147" s="86">
        <f t="shared" si="7"/>
        <v>0.836065573770492</v>
      </c>
      <c r="E147" s="93">
        <f t="shared" si="8"/>
        <v>57</v>
      </c>
      <c r="F147" s="94">
        <v>2</v>
      </c>
      <c r="G147" s="95"/>
      <c r="H147" s="74">
        <f t="shared" si="6"/>
        <v>0</v>
      </c>
      <c r="I147" s="98" t="s">
        <v>2772</v>
      </c>
      <c r="J147" s="102">
        <v>449.7367</v>
      </c>
      <c r="L147" s="77" t="s">
        <v>2821</v>
      </c>
      <c r="M147" s="77">
        <v>4</v>
      </c>
    </row>
    <row r="148" s="69" customFormat="1" spans="2:13">
      <c r="B148" s="84" t="s">
        <v>2814</v>
      </c>
      <c r="C148" s="85">
        <v>38</v>
      </c>
      <c r="D148" s="86">
        <f t="shared" si="7"/>
        <v>0.820143884892086</v>
      </c>
      <c r="E148" s="93">
        <f t="shared" si="8"/>
        <v>62</v>
      </c>
      <c r="F148" s="94">
        <v>4</v>
      </c>
      <c r="G148" s="95"/>
      <c r="H148" s="74">
        <f t="shared" si="6"/>
        <v>0</v>
      </c>
      <c r="I148" s="98" t="s">
        <v>2591</v>
      </c>
      <c r="J148" s="102">
        <v>944.3483</v>
      </c>
      <c r="L148" s="77" t="s">
        <v>2822</v>
      </c>
      <c r="M148" s="77">
        <v>2</v>
      </c>
    </row>
    <row r="149" s="69" customFormat="1" spans="2:13">
      <c r="B149" s="84" t="s">
        <v>2823</v>
      </c>
      <c r="C149" s="85">
        <v>35</v>
      </c>
      <c r="D149" s="86">
        <f t="shared" si="7"/>
        <v>0.807692307692308</v>
      </c>
      <c r="E149" s="93">
        <f t="shared" si="8"/>
        <v>66</v>
      </c>
      <c r="F149" s="94">
        <v>4</v>
      </c>
      <c r="G149" s="95"/>
      <c r="H149" s="74">
        <f t="shared" si="6"/>
        <v>0</v>
      </c>
      <c r="I149" s="98" t="s">
        <v>2770</v>
      </c>
      <c r="J149" s="102">
        <v>448.4396</v>
      </c>
      <c r="L149" s="77" t="s">
        <v>2824</v>
      </c>
      <c r="M149" s="77">
        <v>4</v>
      </c>
    </row>
    <row r="150" s="69" customFormat="1" spans="2:13">
      <c r="B150" s="84" t="s">
        <v>2708</v>
      </c>
      <c r="C150" s="85">
        <v>42</v>
      </c>
      <c r="D150" s="86">
        <f t="shared" si="7"/>
        <v>0.834437086092715</v>
      </c>
      <c r="E150" s="93">
        <f t="shared" si="8"/>
        <v>57</v>
      </c>
      <c r="F150" s="94">
        <v>2</v>
      </c>
      <c r="G150" s="95"/>
      <c r="H150" s="74">
        <f t="shared" si="6"/>
        <v>0</v>
      </c>
      <c r="I150" s="98" t="s">
        <v>2825</v>
      </c>
      <c r="J150" s="102">
        <v>821.7783</v>
      </c>
      <c r="L150" s="77" t="s">
        <v>2826</v>
      </c>
      <c r="M150" s="77">
        <v>2</v>
      </c>
    </row>
    <row r="151" s="69" customFormat="1" spans="2:13">
      <c r="B151" s="84" t="s">
        <v>2827</v>
      </c>
      <c r="C151" s="85">
        <v>41</v>
      </c>
      <c r="D151" s="86">
        <f t="shared" si="7"/>
        <v>0.831081081081081</v>
      </c>
      <c r="E151" s="93">
        <f t="shared" si="8"/>
        <v>58</v>
      </c>
      <c r="F151" s="94">
        <v>2</v>
      </c>
      <c r="G151" s="95"/>
      <c r="H151" s="74">
        <f t="shared" si="6"/>
        <v>0</v>
      </c>
      <c r="I151" s="98" t="s">
        <v>2828</v>
      </c>
      <c r="J151" s="102">
        <v>810.0449</v>
      </c>
      <c r="L151" s="77" t="s">
        <v>2829</v>
      </c>
      <c r="M151" s="77">
        <v>2</v>
      </c>
    </row>
    <row r="152" s="69" customFormat="1" spans="2:13">
      <c r="B152" s="84" t="s">
        <v>2524</v>
      </c>
      <c r="C152" s="85">
        <v>41</v>
      </c>
      <c r="D152" s="86">
        <f t="shared" si="7"/>
        <v>0.831081081081081</v>
      </c>
      <c r="E152" s="93">
        <f t="shared" si="8"/>
        <v>58</v>
      </c>
      <c r="F152" s="94">
        <v>2</v>
      </c>
      <c r="G152" s="95"/>
      <c r="H152" s="74">
        <f t="shared" si="6"/>
        <v>0</v>
      </c>
      <c r="I152" s="98" t="s">
        <v>2830</v>
      </c>
      <c r="J152" s="102">
        <v>803.25</v>
      </c>
      <c r="L152" s="77" t="s">
        <v>2831</v>
      </c>
      <c r="M152" s="77">
        <v>2</v>
      </c>
    </row>
    <row r="153" s="69" customFormat="1" spans="2:13">
      <c r="B153" s="84" t="s">
        <v>2623</v>
      </c>
      <c r="C153" s="85">
        <v>54.5</v>
      </c>
      <c r="D153" s="86">
        <f t="shared" si="7"/>
        <v>0.86737400530504</v>
      </c>
      <c r="E153" s="93">
        <f t="shared" si="8"/>
        <v>46</v>
      </c>
      <c r="F153" s="94">
        <v>2</v>
      </c>
      <c r="G153" s="95"/>
      <c r="H153" s="74">
        <f t="shared" si="6"/>
        <v>0</v>
      </c>
      <c r="I153" s="98" t="s">
        <v>2622</v>
      </c>
      <c r="J153" s="102">
        <v>697.7446</v>
      </c>
      <c r="L153" s="77" t="s">
        <v>2832</v>
      </c>
      <c r="M153" s="77">
        <v>2</v>
      </c>
    </row>
    <row r="154" s="69" customFormat="1" spans="2:13">
      <c r="B154" s="84" t="s">
        <v>2833</v>
      </c>
      <c r="C154" s="85">
        <v>44</v>
      </c>
      <c r="D154" s="86">
        <f t="shared" si="7"/>
        <v>0.840764331210191</v>
      </c>
      <c r="E154" s="93">
        <f t="shared" si="8"/>
        <v>55</v>
      </c>
      <c r="F154" s="94">
        <v>2</v>
      </c>
      <c r="G154" s="95"/>
      <c r="H154" s="74">
        <f t="shared" si="6"/>
        <v>0</v>
      </c>
      <c r="I154" s="98" t="s">
        <v>2796</v>
      </c>
      <c r="J154" s="102">
        <v>531.4421</v>
      </c>
      <c r="L154" s="77" t="s">
        <v>2834</v>
      </c>
      <c r="M154" s="77">
        <v>2</v>
      </c>
    </row>
    <row r="155" s="69" customFormat="1" spans="2:13">
      <c r="B155" s="84" t="s">
        <v>2806</v>
      </c>
      <c r="C155" s="85">
        <v>56.5</v>
      </c>
      <c r="D155" s="86">
        <f t="shared" si="7"/>
        <v>0.87146529562982</v>
      </c>
      <c r="E155" s="93">
        <f t="shared" si="8"/>
        <v>44</v>
      </c>
      <c r="F155" s="94">
        <v>2</v>
      </c>
      <c r="G155" s="95"/>
      <c r="H155" s="74">
        <f t="shared" si="6"/>
        <v>0</v>
      </c>
      <c r="I155" s="98" t="s">
        <v>2514</v>
      </c>
      <c r="J155" s="102">
        <v>414.1676</v>
      </c>
      <c r="L155" s="77" t="s">
        <v>2835</v>
      </c>
      <c r="M155" s="77">
        <v>2</v>
      </c>
    </row>
    <row r="156" s="69" customFormat="1" spans="2:13">
      <c r="B156" s="84" t="s">
        <v>2784</v>
      </c>
      <c r="C156" s="85">
        <v>56.5</v>
      </c>
      <c r="D156" s="86">
        <f t="shared" si="7"/>
        <v>0.87146529562982</v>
      </c>
      <c r="E156" s="93">
        <f t="shared" si="8"/>
        <v>44</v>
      </c>
      <c r="F156" s="94">
        <v>2</v>
      </c>
      <c r="G156" s="95"/>
      <c r="H156" s="74">
        <f t="shared" si="6"/>
        <v>0</v>
      </c>
      <c r="I156" s="98" t="s">
        <v>2731</v>
      </c>
      <c r="J156" s="102">
        <v>1225.0336</v>
      </c>
      <c r="L156" s="77" t="s">
        <v>2836</v>
      </c>
      <c r="M156" s="77">
        <v>2</v>
      </c>
    </row>
    <row r="157" s="69" customFormat="1" spans="2:13">
      <c r="B157" s="84" t="s">
        <v>2787</v>
      </c>
      <c r="C157" s="85">
        <v>39.1</v>
      </c>
      <c r="D157" s="86">
        <f t="shared" si="7"/>
        <v>0.824314827828531</v>
      </c>
      <c r="E157" s="93">
        <f t="shared" si="8"/>
        <v>61</v>
      </c>
      <c r="F157" s="94">
        <v>4</v>
      </c>
      <c r="G157" s="95"/>
      <c r="H157" s="74">
        <f t="shared" si="6"/>
        <v>0</v>
      </c>
      <c r="I157" s="98" t="s">
        <v>2837</v>
      </c>
      <c r="J157" s="102">
        <v>793.7538</v>
      </c>
      <c r="L157" s="77" t="s">
        <v>2838</v>
      </c>
      <c r="M157" s="77">
        <v>2</v>
      </c>
    </row>
    <row r="158" s="69" customFormat="1" spans="2:13">
      <c r="B158" s="84" t="s">
        <v>2779</v>
      </c>
      <c r="C158" s="85">
        <v>46</v>
      </c>
      <c r="D158" s="86">
        <f t="shared" si="7"/>
        <v>0.846625766871166</v>
      </c>
      <c r="E158" s="93">
        <f t="shared" si="8"/>
        <v>53</v>
      </c>
      <c r="F158" s="94">
        <v>4</v>
      </c>
      <c r="G158" s="95"/>
      <c r="H158" s="74">
        <f t="shared" si="6"/>
        <v>0</v>
      </c>
      <c r="I158" s="98" t="s">
        <v>2839</v>
      </c>
      <c r="J158" s="102">
        <v>697.7446</v>
      </c>
      <c r="L158" s="77" t="s">
        <v>2840</v>
      </c>
      <c r="M158" s="77">
        <v>2</v>
      </c>
    </row>
    <row r="159" s="69" customFormat="1" spans="2:13">
      <c r="B159" s="84" t="s">
        <v>2841</v>
      </c>
      <c r="C159" s="85">
        <v>41</v>
      </c>
      <c r="D159" s="86">
        <f t="shared" si="7"/>
        <v>0.831081081081081</v>
      </c>
      <c r="E159" s="93">
        <f t="shared" si="8"/>
        <v>58</v>
      </c>
      <c r="F159" s="94">
        <v>2</v>
      </c>
      <c r="G159" s="95"/>
      <c r="H159" s="74">
        <f t="shared" si="6"/>
        <v>0</v>
      </c>
      <c r="I159" s="98" t="s">
        <v>2842</v>
      </c>
      <c r="J159" s="102">
        <v>902.1747</v>
      </c>
      <c r="L159" s="77" t="s">
        <v>2843</v>
      </c>
      <c r="M159" s="77">
        <v>2</v>
      </c>
    </row>
    <row r="160" s="69" customFormat="1" spans="2:13">
      <c r="B160" s="84" t="s">
        <v>2844</v>
      </c>
      <c r="C160" s="85">
        <v>41</v>
      </c>
      <c r="D160" s="86">
        <f t="shared" si="7"/>
        <v>0.831081081081081</v>
      </c>
      <c r="E160" s="93">
        <f t="shared" si="8"/>
        <v>58</v>
      </c>
      <c r="F160" s="94">
        <v>2</v>
      </c>
      <c r="G160" s="95"/>
      <c r="H160" s="74">
        <f t="shared" si="6"/>
        <v>0</v>
      </c>
      <c r="I160" s="98" t="s">
        <v>2845</v>
      </c>
      <c r="J160" s="102">
        <v>380.1812</v>
      </c>
      <c r="L160" s="77" t="s">
        <v>2846</v>
      </c>
      <c r="M160" s="77">
        <v>2</v>
      </c>
    </row>
    <row r="161" s="69" customFormat="1" spans="2:13">
      <c r="B161" s="84" t="s">
        <v>2847</v>
      </c>
      <c r="C161" s="85">
        <v>41</v>
      </c>
      <c r="D161" s="86">
        <f t="shared" si="7"/>
        <v>0.831081081081081</v>
      </c>
      <c r="E161" s="93">
        <f t="shared" si="8"/>
        <v>58</v>
      </c>
      <c r="F161" s="94">
        <v>2</v>
      </c>
      <c r="G161" s="95"/>
      <c r="H161" s="74">
        <f t="shared" si="6"/>
        <v>0</v>
      </c>
      <c r="I161" s="98" t="s">
        <v>2798</v>
      </c>
      <c r="J161" s="102">
        <v>529.1335</v>
      </c>
      <c r="L161" s="77" t="s">
        <v>2848</v>
      </c>
      <c r="M161" s="77">
        <v>2</v>
      </c>
    </row>
    <row r="162" s="69" customFormat="1" spans="2:13">
      <c r="B162" s="84" t="s">
        <v>2849</v>
      </c>
      <c r="C162" s="85">
        <v>46</v>
      </c>
      <c r="D162" s="86">
        <f t="shared" si="7"/>
        <v>0.846625766871166</v>
      </c>
      <c r="E162" s="93">
        <f t="shared" si="8"/>
        <v>53</v>
      </c>
      <c r="F162" s="94">
        <v>2</v>
      </c>
      <c r="G162" s="95"/>
      <c r="H162" s="74">
        <f t="shared" si="6"/>
        <v>0</v>
      </c>
      <c r="I162" s="98" t="s">
        <v>2850</v>
      </c>
      <c r="J162" s="102">
        <v>954.5585</v>
      </c>
      <c r="L162" s="77" t="s">
        <v>2851</v>
      </c>
      <c r="M162" s="77">
        <v>2</v>
      </c>
    </row>
    <row r="163" s="69" customFormat="1" spans="2:13">
      <c r="B163" s="84" t="s">
        <v>2383</v>
      </c>
      <c r="C163" s="85">
        <v>31.9</v>
      </c>
      <c r="D163" s="86">
        <f t="shared" si="7"/>
        <v>0.792874896437448</v>
      </c>
      <c r="E163" s="93">
        <f t="shared" si="8"/>
        <v>72</v>
      </c>
      <c r="F163" s="94">
        <v>2</v>
      </c>
      <c r="G163" s="95"/>
      <c r="H163" s="74">
        <f t="shared" si="6"/>
        <v>0</v>
      </c>
      <c r="I163" s="98" t="s">
        <v>2852</v>
      </c>
      <c r="J163" s="102">
        <v>799.3706</v>
      </c>
      <c r="L163" s="77" t="s">
        <v>2853</v>
      </c>
      <c r="M163" s="77">
        <v>2</v>
      </c>
    </row>
    <row r="164" s="69" customFormat="1" spans="2:13">
      <c r="B164" s="84" t="s">
        <v>2342</v>
      </c>
      <c r="C164" s="85">
        <v>30</v>
      </c>
      <c r="D164" s="86">
        <f t="shared" si="7"/>
        <v>0.782608695652174</v>
      </c>
      <c r="E164" s="93">
        <f t="shared" si="8"/>
        <v>75</v>
      </c>
      <c r="F164" s="94">
        <v>2</v>
      </c>
      <c r="G164" s="95"/>
      <c r="H164" s="74">
        <f t="shared" si="6"/>
        <v>0</v>
      </c>
      <c r="I164" s="98" t="s">
        <v>2854</v>
      </c>
      <c r="J164" s="102">
        <v>771.8467</v>
      </c>
      <c r="L164" s="77" t="s">
        <v>2855</v>
      </c>
      <c r="M164" s="77">
        <v>2</v>
      </c>
    </row>
    <row r="165" s="69" customFormat="1" spans="2:13">
      <c r="B165" s="84" t="s">
        <v>2839</v>
      </c>
      <c r="C165" s="85">
        <v>40.5</v>
      </c>
      <c r="D165" s="86">
        <f t="shared" si="7"/>
        <v>0.829351535836177</v>
      </c>
      <c r="E165" s="93">
        <f t="shared" si="8"/>
        <v>59</v>
      </c>
      <c r="F165" s="94">
        <v>2</v>
      </c>
      <c r="G165" s="95"/>
      <c r="H165" s="74">
        <f t="shared" si="6"/>
        <v>0</v>
      </c>
      <c r="I165" s="98" t="s">
        <v>2856</v>
      </c>
      <c r="J165" s="102">
        <v>529.1335</v>
      </c>
      <c r="L165" s="77" t="s">
        <v>2857</v>
      </c>
      <c r="M165" s="77">
        <v>2</v>
      </c>
    </row>
    <row r="166" s="69" customFormat="1" spans="2:13">
      <c r="B166" s="84" t="s">
        <v>2768</v>
      </c>
      <c r="C166" s="85">
        <v>40</v>
      </c>
      <c r="D166" s="86">
        <f t="shared" si="7"/>
        <v>0.827586206896552</v>
      </c>
      <c r="E166" s="93">
        <f t="shared" si="8"/>
        <v>60</v>
      </c>
      <c r="F166" s="94">
        <v>2</v>
      </c>
      <c r="G166" s="95"/>
      <c r="H166" s="74">
        <f t="shared" si="6"/>
        <v>0</v>
      </c>
      <c r="I166" s="98" t="s">
        <v>2858</v>
      </c>
      <c r="J166" s="102">
        <v>813.0794</v>
      </c>
      <c r="L166" s="77" t="s">
        <v>2859</v>
      </c>
      <c r="M166" s="77">
        <v>2</v>
      </c>
    </row>
    <row r="167" s="69" customFormat="1" spans="2:13">
      <c r="B167" s="84" t="s">
        <v>2860</v>
      </c>
      <c r="C167" s="85">
        <v>40.5</v>
      </c>
      <c r="D167" s="86">
        <f t="shared" si="7"/>
        <v>0.829351535836177</v>
      </c>
      <c r="E167" s="93">
        <f t="shared" si="8"/>
        <v>59</v>
      </c>
      <c r="F167" s="94">
        <v>2</v>
      </c>
      <c r="G167" s="95"/>
      <c r="H167" s="74">
        <f t="shared" si="6"/>
        <v>0</v>
      </c>
      <c r="I167" s="98" t="s">
        <v>2861</v>
      </c>
      <c r="J167" s="102">
        <v>810.6042</v>
      </c>
      <c r="L167" s="77" t="s">
        <v>2862</v>
      </c>
      <c r="M167" s="77">
        <v>2</v>
      </c>
    </row>
    <row r="168" s="69" customFormat="1" spans="2:13">
      <c r="B168" s="84" t="s">
        <v>2825</v>
      </c>
      <c r="C168" s="85">
        <v>37</v>
      </c>
      <c r="D168" s="86">
        <f t="shared" si="7"/>
        <v>0.816176470588235</v>
      </c>
      <c r="E168" s="93">
        <f t="shared" si="8"/>
        <v>64</v>
      </c>
      <c r="F168" s="94">
        <v>2</v>
      </c>
      <c r="G168" s="95"/>
      <c r="H168" s="74">
        <f t="shared" si="6"/>
        <v>0</v>
      </c>
      <c r="I168" s="98" t="s">
        <v>2863</v>
      </c>
      <c r="J168" s="102">
        <v>760.7194</v>
      </c>
      <c r="L168" s="77" t="s">
        <v>2864</v>
      </c>
      <c r="M168" s="77">
        <v>2</v>
      </c>
    </row>
    <row r="169" s="69" customFormat="1" spans="2:13">
      <c r="B169" s="84" t="s">
        <v>2828</v>
      </c>
      <c r="C169" s="85">
        <v>35.5</v>
      </c>
      <c r="D169" s="86">
        <f t="shared" si="7"/>
        <v>0.809885931558935</v>
      </c>
      <c r="E169" s="93">
        <f t="shared" si="8"/>
        <v>66</v>
      </c>
      <c r="F169" s="94">
        <v>2</v>
      </c>
      <c r="G169" s="95"/>
      <c r="H169" s="74">
        <f t="shared" si="6"/>
        <v>0</v>
      </c>
      <c r="I169" s="98" t="s">
        <v>2865</v>
      </c>
      <c r="J169" s="102">
        <v>776.5583</v>
      </c>
      <c r="L169" s="77" t="s">
        <v>2866</v>
      </c>
      <c r="M169" s="77">
        <v>2</v>
      </c>
    </row>
    <row r="170" s="69" customFormat="1" spans="2:13">
      <c r="B170" s="84" t="s">
        <v>2830</v>
      </c>
      <c r="C170" s="85">
        <v>38.5</v>
      </c>
      <c r="D170" s="86">
        <f t="shared" si="7"/>
        <v>0.822064056939502</v>
      </c>
      <c r="E170" s="93">
        <f t="shared" si="8"/>
        <v>61</v>
      </c>
      <c r="F170" s="94">
        <v>2</v>
      </c>
      <c r="G170" s="95"/>
      <c r="H170" s="74">
        <f t="shared" si="6"/>
        <v>0</v>
      </c>
      <c r="I170" s="98" t="s">
        <v>2791</v>
      </c>
      <c r="J170" s="102">
        <v>512.4378</v>
      </c>
      <c r="L170" s="77" t="s">
        <v>2867</v>
      </c>
      <c r="M170" s="77">
        <v>2</v>
      </c>
    </row>
    <row r="171" s="69" customFormat="1" spans="2:13">
      <c r="B171" s="84" t="s">
        <v>2837</v>
      </c>
      <c r="C171" s="85">
        <v>34.7</v>
      </c>
      <c r="D171" s="86">
        <f t="shared" si="7"/>
        <v>0.806351665375678</v>
      </c>
      <c r="E171" s="93">
        <f t="shared" si="8"/>
        <v>67</v>
      </c>
      <c r="F171" s="94">
        <v>2</v>
      </c>
      <c r="G171" s="95"/>
      <c r="H171" s="74">
        <f t="shared" si="6"/>
        <v>0</v>
      </c>
      <c r="I171" s="98" t="s">
        <v>2558</v>
      </c>
      <c r="J171" s="102">
        <v>916.5142</v>
      </c>
      <c r="L171" s="77" t="s">
        <v>2868</v>
      </c>
      <c r="M171" s="77">
        <v>2</v>
      </c>
    </row>
    <row r="172" s="69" customFormat="1" spans="2:13">
      <c r="B172" s="84" t="s">
        <v>2852</v>
      </c>
      <c r="C172" s="85">
        <v>37</v>
      </c>
      <c r="D172" s="86">
        <f t="shared" si="7"/>
        <v>0.816176470588235</v>
      </c>
      <c r="E172" s="93">
        <f t="shared" si="8"/>
        <v>64</v>
      </c>
      <c r="F172" s="94">
        <v>2</v>
      </c>
      <c r="G172" s="95"/>
      <c r="H172" s="74">
        <f t="shared" si="6"/>
        <v>0</v>
      </c>
      <c r="I172" s="98" t="s">
        <v>2869</v>
      </c>
      <c r="J172" s="102">
        <v>898.1882</v>
      </c>
      <c r="L172" s="77" t="s">
        <v>2870</v>
      </c>
      <c r="M172" s="77">
        <v>2</v>
      </c>
    </row>
    <row r="173" s="69" customFormat="1" spans="2:13">
      <c r="B173" s="84" t="s">
        <v>2842</v>
      </c>
      <c r="C173" s="85">
        <v>46</v>
      </c>
      <c r="D173" s="86">
        <f t="shared" si="7"/>
        <v>0.846625766871166</v>
      </c>
      <c r="E173" s="93">
        <f t="shared" si="8"/>
        <v>53</v>
      </c>
      <c r="F173" s="94">
        <v>2</v>
      </c>
      <c r="G173" s="95"/>
      <c r="H173" s="74">
        <f t="shared" si="6"/>
        <v>0</v>
      </c>
      <c r="I173" s="98" t="s">
        <v>2871</v>
      </c>
      <c r="J173" s="102">
        <v>689.01</v>
      </c>
      <c r="L173" s="77" t="s">
        <v>2872</v>
      </c>
      <c r="M173" s="77">
        <v>2</v>
      </c>
    </row>
    <row r="174" s="69" customFormat="1" spans="2:13">
      <c r="B174" s="84" t="s">
        <v>2863</v>
      </c>
      <c r="C174" s="85">
        <v>34.7</v>
      </c>
      <c r="D174" s="86">
        <f t="shared" si="7"/>
        <v>0.806351665375678</v>
      </c>
      <c r="E174" s="93">
        <f t="shared" si="8"/>
        <v>67</v>
      </c>
      <c r="F174" s="94">
        <v>2</v>
      </c>
      <c r="G174" s="95"/>
      <c r="H174" s="74">
        <f t="shared" si="6"/>
        <v>0</v>
      </c>
      <c r="I174" s="98" t="s">
        <v>2677</v>
      </c>
      <c r="J174" s="102">
        <v>1288.8295</v>
      </c>
      <c r="L174" s="77" t="s">
        <v>2873</v>
      </c>
      <c r="M174" s="77">
        <v>2</v>
      </c>
    </row>
    <row r="175" s="69" customFormat="1" spans="2:13">
      <c r="B175" s="84" t="s">
        <v>2856</v>
      </c>
      <c r="C175" s="85">
        <v>32.5</v>
      </c>
      <c r="D175" s="86">
        <f t="shared" si="7"/>
        <v>0.795918367346939</v>
      </c>
      <c r="E175" s="93">
        <f t="shared" si="8"/>
        <v>71</v>
      </c>
      <c r="F175" s="94">
        <v>2</v>
      </c>
      <c r="G175" s="95"/>
      <c r="H175" s="74">
        <f t="shared" si="6"/>
        <v>0</v>
      </c>
      <c r="I175" s="98" t="s">
        <v>2874</v>
      </c>
      <c r="J175" s="102">
        <v>951.167</v>
      </c>
      <c r="L175" s="77" t="s">
        <v>2875</v>
      </c>
      <c r="M175" s="77">
        <v>2</v>
      </c>
    </row>
    <row r="176" s="69" customFormat="1" spans="2:13">
      <c r="B176" s="84" t="s">
        <v>2861</v>
      </c>
      <c r="C176" s="85">
        <v>37</v>
      </c>
      <c r="D176" s="86">
        <f t="shared" si="7"/>
        <v>0.816176470588235</v>
      </c>
      <c r="E176" s="93">
        <f t="shared" si="8"/>
        <v>64</v>
      </c>
      <c r="F176" s="94">
        <v>2</v>
      </c>
      <c r="G176" s="95"/>
      <c r="H176" s="74">
        <f t="shared" si="6"/>
        <v>0</v>
      </c>
      <c r="I176" s="98" t="s">
        <v>2786</v>
      </c>
      <c r="J176" s="102">
        <v>466.9322</v>
      </c>
      <c r="L176" s="77" t="s">
        <v>2876</v>
      </c>
      <c r="M176" s="77">
        <v>4</v>
      </c>
    </row>
    <row r="177" s="69" customFormat="1" spans="2:13">
      <c r="B177" s="84" t="s">
        <v>2858</v>
      </c>
      <c r="C177" s="85">
        <v>37</v>
      </c>
      <c r="D177" s="86">
        <f t="shared" si="7"/>
        <v>0.816176470588235</v>
      </c>
      <c r="E177" s="93">
        <f t="shared" si="8"/>
        <v>64</v>
      </c>
      <c r="F177" s="94">
        <v>2</v>
      </c>
      <c r="G177" s="95"/>
      <c r="H177" s="74">
        <f t="shared" si="6"/>
        <v>0</v>
      </c>
      <c r="I177" s="98" t="s">
        <v>2877</v>
      </c>
      <c r="J177" s="102">
        <v>946.5974</v>
      </c>
      <c r="L177" s="77" t="s">
        <v>2878</v>
      </c>
      <c r="M177" s="77">
        <v>2</v>
      </c>
    </row>
    <row r="178" s="69" customFormat="1" spans="2:13">
      <c r="B178" s="84" t="s">
        <v>2865</v>
      </c>
      <c r="C178" s="85">
        <v>35</v>
      </c>
      <c r="D178" s="86">
        <f t="shared" si="7"/>
        <v>0.807692307692308</v>
      </c>
      <c r="E178" s="93">
        <f t="shared" si="8"/>
        <v>66</v>
      </c>
      <c r="F178" s="94">
        <v>2</v>
      </c>
      <c r="G178" s="95"/>
      <c r="H178" s="74">
        <f t="shared" si="6"/>
        <v>0</v>
      </c>
      <c r="I178" s="98" t="s">
        <v>770</v>
      </c>
      <c r="J178" s="102">
        <v>1712.832807</v>
      </c>
      <c r="L178" s="77" t="s">
        <v>2879</v>
      </c>
      <c r="M178" s="77">
        <v>2</v>
      </c>
    </row>
    <row r="179" s="69" customFormat="1" spans="2:13">
      <c r="B179" s="103" t="s">
        <v>2751</v>
      </c>
      <c r="C179" s="85">
        <v>42</v>
      </c>
      <c r="D179" s="86">
        <f t="shared" si="7"/>
        <v>0.834437086092715</v>
      </c>
      <c r="E179" s="93">
        <f t="shared" si="8"/>
        <v>57</v>
      </c>
      <c r="F179" s="94">
        <v>2</v>
      </c>
      <c r="G179" s="95"/>
      <c r="H179" s="74">
        <f t="shared" si="6"/>
        <v>0</v>
      </c>
      <c r="I179" s="98" t="s">
        <v>768</v>
      </c>
      <c r="J179" s="102">
        <v>1833.087186</v>
      </c>
      <c r="L179" s="77" t="s">
        <v>2880</v>
      </c>
      <c r="M179" s="77">
        <v>2</v>
      </c>
    </row>
    <row r="180" s="69" customFormat="1" spans="2:13">
      <c r="B180" s="84" t="s">
        <v>2881</v>
      </c>
      <c r="C180" s="85">
        <v>40</v>
      </c>
      <c r="D180" s="86">
        <f t="shared" si="7"/>
        <v>0.827586206896552</v>
      </c>
      <c r="E180" s="93">
        <f t="shared" si="8"/>
        <v>60</v>
      </c>
      <c r="F180" s="94">
        <v>2</v>
      </c>
      <c r="G180" s="95"/>
      <c r="H180" s="74">
        <f t="shared" si="6"/>
        <v>0</v>
      </c>
      <c r="I180" s="98" t="s">
        <v>2882</v>
      </c>
      <c r="J180" s="102">
        <v>371.785274</v>
      </c>
      <c r="L180" s="77" t="s">
        <v>2883</v>
      </c>
      <c r="M180" s="77">
        <v>2</v>
      </c>
    </row>
    <row r="181" s="69" customFormat="1" spans="2:13">
      <c r="B181" s="84" t="s">
        <v>2884</v>
      </c>
      <c r="C181" s="85">
        <v>35</v>
      </c>
      <c r="D181" s="86">
        <f t="shared" si="7"/>
        <v>0.807692307692308</v>
      </c>
      <c r="E181" s="93">
        <f t="shared" si="8"/>
        <v>66</v>
      </c>
      <c r="F181" s="94">
        <v>2</v>
      </c>
      <c r="G181" s="95"/>
      <c r="H181" s="74">
        <f t="shared" si="6"/>
        <v>0</v>
      </c>
      <c r="I181" s="98" t="s">
        <v>997</v>
      </c>
      <c r="J181" s="102">
        <v>293.710683</v>
      </c>
      <c r="L181" s="77" t="s">
        <v>2885</v>
      </c>
      <c r="M181" s="77">
        <v>8</v>
      </c>
    </row>
    <row r="182" s="69" customFormat="1" spans="2:13">
      <c r="B182" s="84" t="s">
        <v>2886</v>
      </c>
      <c r="C182" s="85">
        <v>41.5</v>
      </c>
      <c r="D182" s="86">
        <f t="shared" si="7"/>
        <v>0.832775919732441</v>
      </c>
      <c r="E182" s="93">
        <f t="shared" si="8"/>
        <v>58</v>
      </c>
      <c r="F182" s="94">
        <v>2</v>
      </c>
      <c r="G182" s="95"/>
      <c r="H182" s="74">
        <f t="shared" si="6"/>
        <v>0</v>
      </c>
      <c r="I182" s="98" t="s">
        <v>2887</v>
      </c>
      <c r="J182" s="102">
        <v>844.488141</v>
      </c>
      <c r="L182" s="77" t="s">
        <v>2888</v>
      </c>
      <c r="M182" s="77">
        <v>4</v>
      </c>
    </row>
    <row r="183" s="69" customFormat="1" spans="2:13">
      <c r="B183" s="84" t="s">
        <v>2889</v>
      </c>
      <c r="C183" s="85">
        <v>44.5</v>
      </c>
      <c r="D183" s="86">
        <f t="shared" si="7"/>
        <v>0.842271293375394</v>
      </c>
      <c r="E183" s="93">
        <f t="shared" si="8"/>
        <v>55</v>
      </c>
      <c r="F183" s="94">
        <v>2</v>
      </c>
      <c r="G183" s="95"/>
      <c r="H183" s="74">
        <f t="shared" si="6"/>
        <v>0</v>
      </c>
      <c r="I183" s="98" t="s">
        <v>2890</v>
      </c>
      <c r="J183" s="102">
        <v>924.74067</v>
      </c>
      <c r="L183" s="77" t="s">
        <v>2891</v>
      </c>
      <c r="M183" s="77">
        <v>2</v>
      </c>
    </row>
    <row r="184" s="69" customFormat="1" spans="2:13">
      <c r="B184" s="84" t="s">
        <v>2892</v>
      </c>
      <c r="C184" s="85">
        <v>44.5</v>
      </c>
      <c r="D184" s="86">
        <f t="shared" si="7"/>
        <v>0.842271293375394</v>
      </c>
      <c r="E184" s="93">
        <f t="shared" si="8"/>
        <v>55</v>
      </c>
      <c r="F184" s="94">
        <v>2</v>
      </c>
      <c r="G184" s="95"/>
      <c r="H184" s="74">
        <f t="shared" si="6"/>
        <v>0</v>
      </c>
      <c r="I184" s="98" t="s">
        <v>2893</v>
      </c>
      <c r="J184" s="102">
        <v>1039.945879</v>
      </c>
      <c r="L184" s="77" t="s">
        <v>2894</v>
      </c>
      <c r="M184" s="77">
        <v>4</v>
      </c>
    </row>
    <row r="185" s="69" customFormat="1" spans="2:13">
      <c r="B185" s="84" t="s">
        <v>2895</v>
      </c>
      <c r="C185" s="85">
        <v>37</v>
      </c>
      <c r="D185" s="86">
        <f t="shared" si="7"/>
        <v>0.816176470588235</v>
      </c>
      <c r="E185" s="93">
        <f t="shared" si="8"/>
        <v>64</v>
      </c>
      <c r="F185" s="94">
        <v>2</v>
      </c>
      <c r="G185" s="95"/>
      <c r="H185" s="74">
        <f t="shared" si="6"/>
        <v>0</v>
      </c>
      <c r="I185" s="98" t="s">
        <v>2896</v>
      </c>
      <c r="J185" s="102">
        <v>828.9302</v>
      </c>
      <c r="L185" s="77" t="s">
        <v>2897</v>
      </c>
      <c r="M185" s="77">
        <v>2</v>
      </c>
    </row>
    <row r="186" s="69" customFormat="1" spans="2:13">
      <c r="B186" s="84" t="s">
        <v>2898</v>
      </c>
      <c r="C186" s="85">
        <v>43.5</v>
      </c>
      <c r="D186" s="86">
        <f t="shared" si="7"/>
        <v>0.839228295819936</v>
      </c>
      <c r="E186" s="93">
        <f t="shared" si="8"/>
        <v>56</v>
      </c>
      <c r="F186" s="94">
        <v>2</v>
      </c>
      <c r="G186" s="95"/>
      <c r="H186" s="74">
        <f t="shared" si="6"/>
        <v>0</v>
      </c>
      <c r="I186" s="98" t="s">
        <v>2899</v>
      </c>
      <c r="J186" s="102">
        <v>1169.9128</v>
      </c>
      <c r="L186" s="77" t="s">
        <v>2900</v>
      </c>
      <c r="M186" s="77">
        <v>2</v>
      </c>
    </row>
    <row r="187" s="69" customFormat="1" spans="2:13">
      <c r="B187" s="84" t="s">
        <v>2901</v>
      </c>
      <c r="C187" s="85">
        <v>42.5</v>
      </c>
      <c r="D187" s="86">
        <f t="shared" si="7"/>
        <v>0.836065573770492</v>
      </c>
      <c r="E187" s="93">
        <f t="shared" si="8"/>
        <v>57</v>
      </c>
      <c r="F187" s="94">
        <v>2</v>
      </c>
      <c r="G187" s="95"/>
      <c r="H187" s="74">
        <f t="shared" si="6"/>
        <v>0</v>
      </c>
      <c r="I187" s="98" t="s">
        <v>2902</v>
      </c>
      <c r="J187" s="102">
        <v>1222.2252</v>
      </c>
      <c r="L187" s="77" t="s">
        <v>2903</v>
      </c>
      <c r="M187" s="77">
        <v>6</v>
      </c>
    </row>
    <row r="188" s="69" customFormat="1" spans="2:13">
      <c r="B188" s="84" t="s">
        <v>2904</v>
      </c>
      <c r="C188" s="85">
        <v>38</v>
      </c>
      <c r="D188" s="86">
        <f t="shared" si="7"/>
        <v>0.820143884892086</v>
      </c>
      <c r="E188" s="93">
        <f t="shared" si="8"/>
        <v>62</v>
      </c>
      <c r="F188" s="94">
        <v>2</v>
      </c>
      <c r="G188" s="95"/>
      <c r="H188" s="74">
        <f t="shared" si="6"/>
        <v>0</v>
      </c>
      <c r="I188" s="98" t="s">
        <v>2905</v>
      </c>
      <c r="J188" s="102">
        <v>1236.5647</v>
      </c>
      <c r="L188" s="77" t="s">
        <v>2906</v>
      </c>
      <c r="M188" s="77">
        <v>6</v>
      </c>
    </row>
    <row r="189" s="69" customFormat="1" spans="2:13">
      <c r="B189" s="84" t="s">
        <v>2907</v>
      </c>
      <c r="C189" s="85">
        <v>35</v>
      </c>
      <c r="D189" s="86">
        <f t="shared" si="7"/>
        <v>0.807692307692308</v>
      </c>
      <c r="E189" s="93">
        <f t="shared" si="8"/>
        <v>66</v>
      </c>
      <c r="F189" s="94">
        <v>2</v>
      </c>
      <c r="G189" s="95"/>
      <c r="H189" s="74">
        <f t="shared" si="6"/>
        <v>0</v>
      </c>
      <c r="I189" s="98" t="s">
        <v>2908</v>
      </c>
      <c r="J189" s="102">
        <v>1378.3175</v>
      </c>
      <c r="L189" s="77" t="s">
        <v>2909</v>
      </c>
      <c r="M189" s="77">
        <v>4</v>
      </c>
    </row>
    <row r="190" s="69" customFormat="1" spans="2:13">
      <c r="B190" s="84" t="s">
        <v>2910</v>
      </c>
      <c r="C190" s="85">
        <v>42</v>
      </c>
      <c r="D190" s="86">
        <f t="shared" si="7"/>
        <v>0.834437086092715</v>
      </c>
      <c r="E190" s="93">
        <f t="shared" si="8"/>
        <v>57</v>
      </c>
      <c r="F190" s="94">
        <v>2</v>
      </c>
      <c r="G190" s="95"/>
      <c r="H190" s="74">
        <f t="shared" si="6"/>
        <v>0</v>
      </c>
      <c r="I190" s="98" t="s">
        <v>2674</v>
      </c>
      <c r="J190" s="102">
        <v>1373.26</v>
      </c>
      <c r="L190" s="77" t="s">
        <v>2911</v>
      </c>
      <c r="M190" s="77">
        <v>2</v>
      </c>
    </row>
    <row r="191" s="69" customFormat="1" spans="2:13">
      <c r="B191" s="84" t="s">
        <v>2912</v>
      </c>
      <c r="C191" s="85">
        <v>41.5</v>
      </c>
      <c r="D191" s="86">
        <f t="shared" si="7"/>
        <v>0.832775919732441</v>
      </c>
      <c r="E191" s="93">
        <f t="shared" si="8"/>
        <v>58</v>
      </c>
      <c r="F191" s="94">
        <v>2</v>
      </c>
      <c r="G191" s="95"/>
      <c r="H191" s="74">
        <f t="shared" si="6"/>
        <v>0</v>
      </c>
      <c r="I191" s="98" t="s">
        <v>2913</v>
      </c>
      <c r="J191" s="102">
        <v>412.93</v>
      </c>
      <c r="L191" s="77" t="s">
        <v>2914</v>
      </c>
      <c r="M191" s="77">
        <v>2</v>
      </c>
    </row>
    <row r="192" s="69" customFormat="1" spans="2:13">
      <c r="B192" s="84" t="s">
        <v>2915</v>
      </c>
      <c r="C192" s="85">
        <v>42</v>
      </c>
      <c r="D192" s="86">
        <f t="shared" si="7"/>
        <v>0.834437086092715</v>
      </c>
      <c r="E192" s="93">
        <f t="shared" si="8"/>
        <v>57</v>
      </c>
      <c r="F192" s="94">
        <v>2</v>
      </c>
      <c r="G192" s="95"/>
      <c r="H192" s="74">
        <f t="shared" si="6"/>
        <v>0</v>
      </c>
      <c r="I192" s="98" t="s">
        <v>2916</v>
      </c>
      <c r="J192" s="102">
        <v>412.93</v>
      </c>
      <c r="L192" s="77" t="s">
        <v>2917</v>
      </c>
      <c r="M192" s="77">
        <v>6</v>
      </c>
    </row>
    <row r="193" s="69" customFormat="1" spans="2:13">
      <c r="B193" s="84" t="s">
        <v>2918</v>
      </c>
      <c r="C193" s="85">
        <v>42.5</v>
      </c>
      <c r="D193" s="86">
        <f t="shared" si="7"/>
        <v>0.836065573770492</v>
      </c>
      <c r="E193" s="93">
        <f t="shared" si="8"/>
        <v>57</v>
      </c>
      <c r="F193" s="94">
        <v>2</v>
      </c>
      <c r="G193" s="95"/>
      <c r="H193" s="74">
        <f t="shared" si="6"/>
        <v>0</v>
      </c>
      <c r="I193" s="98" t="s">
        <v>2781</v>
      </c>
      <c r="J193" s="102">
        <v>478.1777</v>
      </c>
      <c r="L193" s="77" t="s">
        <v>2919</v>
      </c>
      <c r="M193" s="77">
        <v>6</v>
      </c>
    </row>
    <row r="194" s="69" customFormat="1" spans="2:13">
      <c r="B194" s="84" t="s">
        <v>2899</v>
      </c>
      <c r="C194" s="85">
        <v>48.5</v>
      </c>
      <c r="D194" s="86">
        <f t="shared" si="7"/>
        <v>0.853372434017595</v>
      </c>
      <c r="E194" s="93">
        <f t="shared" si="8"/>
        <v>51</v>
      </c>
      <c r="F194" s="94">
        <v>2</v>
      </c>
      <c r="G194" s="95"/>
      <c r="H194" s="74">
        <f t="shared" ref="H194:H257" si="9">_xlfn.XLOOKUP(G194,I:I,J:J)</f>
        <v>0</v>
      </c>
      <c r="I194" s="98" t="s">
        <v>2920</v>
      </c>
      <c r="J194" s="102">
        <v>467.6462</v>
      </c>
      <c r="L194" s="77" t="s">
        <v>2921</v>
      </c>
      <c r="M194" s="77">
        <v>8</v>
      </c>
    </row>
    <row r="195" s="69" customFormat="1" spans="2:13">
      <c r="B195" s="84" t="s">
        <v>2905</v>
      </c>
      <c r="C195" s="85">
        <v>53.5</v>
      </c>
      <c r="D195" s="86">
        <f t="shared" ref="D195:D258" si="10">IF(C195="","",C195/(C195+$C$1/60))</f>
        <v>0.865229110512129</v>
      </c>
      <c r="E195" s="93">
        <f t="shared" ref="E195:E258" si="11">IFERROR(ROUND(1440/C195*2*D195,0),"")</f>
        <v>47</v>
      </c>
      <c r="F195" s="94">
        <v>2</v>
      </c>
      <c r="G195" s="95"/>
      <c r="H195" s="74">
        <f t="shared" si="9"/>
        <v>0</v>
      </c>
      <c r="I195" s="98" t="s">
        <v>2789</v>
      </c>
      <c r="J195" s="102">
        <v>467.6462</v>
      </c>
      <c r="L195" s="77" t="s">
        <v>2922</v>
      </c>
      <c r="M195" s="77">
        <v>2</v>
      </c>
    </row>
    <row r="196" s="69" customFormat="1" spans="2:13">
      <c r="B196" s="84" t="s">
        <v>2923</v>
      </c>
      <c r="C196" s="85">
        <v>62</v>
      </c>
      <c r="D196" s="86">
        <f t="shared" si="10"/>
        <v>0.881516587677725</v>
      </c>
      <c r="E196" s="93">
        <f t="shared" si="11"/>
        <v>41</v>
      </c>
      <c r="F196" s="94">
        <v>2</v>
      </c>
      <c r="G196" s="95"/>
      <c r="H196" s="74">
        <f t="shared" si="9"/>
        <v>0</v>
      </c>
      <c r="I196" s="98" t="s">
        <v>2793</v>
      </c>
      <c r="J196" s="102">
        <v>540.5813</v>
      </c>
      <c r="L196" s="77" t="s">
        <v>2924</v>
      </c>
      <c r="M196" s="77">
        <v>2</v>
      </c>
    </row>
    <row r="197" s="69" customFormat="1" spans="2:13">
      <c r="B197" s="84" t="s">
        <v>2925</v>
      </c>
      <c r="C197" s="85">
        <v>42</v>
      </c>
      <c r="D197" s="86">
        <f t="shared" si="10"/>
        <v>0.834437086092715</v>
      </c>
      <c r="E197" s="93">
        <f t="shared" si="11"/>
        <v>57</v>
      </c>
      <c r="F197" s="94">
        <v>2</v>
      </c>
      <c r="G197" s="95"/>
      <c r="H197" s="74">
        <f t="shared" si="9"/>
        <v>0</v>
      </c>
      <c r="I197" s="98" t="s">
        <v>2925</v>
      </c>
      <c r="J197" s="102">
        <v>792.3258</v>
      </c>
      <c r="L197" s="77" t="s">
        <v>2926</v>
      </c>
      <c r="M197" s="77">
        <v>2</v>
      </c>
    </row>
    <row r="198" s="69" customFormat="1" spans="2:13">
      <c r="B198" s="84" t="s">
        <v>2696</v>
      </c>
      <c r="C198" s="85">
        <v>58.3</v>
      </c>
      <c r="D198" s="86">
        <f t="shared" si="10"/>
        <v>0.874937468734367</v>
      </c>
      <c r="E198" s="93">
        <f t="shared" si="11"/>
        <v>43</v>
      </c>
      <c r="F198" s="94">
        <v>4</v>
      </c>
      <c r="G198" s="95"/>
      <c r="H198" s="74">
        <f t="shared" si="9"/>
        <v>0</v>
      </c>
      <c r="I198" s="98" t="s">
        <v>2884</v>
      </c>
      <c r="J198" s="102">
        <v>738.5616</v>
      </c>
      <c r="L198" s="77" t="s">
        <v>2927</v>
      </c>
      <c r="M198" s="77">
        <v>2</v>
      </c>
    </row>
    <row r="199" s="69" customFormat="1" spans="2:13">
      <c r="B199" s="84" t="s">
        <v>2692</v>
      </c>
      <c r="C199" s="85">
        <v>58.3</v>
      </c>
      <c r="D199" s="86">
        <f t="shared" si="10"/>
        <v>0.874937468734367</v>
      </c>
      <c r="E199" s="93">
        <f t="shared" si="11"/>
        <v>43</v>
      </c>
      <c r="F199" s="94">
        <v>4</v>
      </c>
      <c r="G199" s="95"/>
      <c r="H199" s="74">
        <f t="shared" si="9"/>
        <v>0</v>
      </c>
      <c r="I199" s="98" t="s">
        <v>2881</v>
      </c>
      <c r="J199" s="102">
        <v>780.7828</v>
      </c>
      <c r="L199" s="77" t="s">
        <v>2928</v>
      </c>
      <c r="M199" s="77">
        <v>2</v>
      </c>
    </row>
    <row r="200" s="69" customFormat="1" spans="2:13">
      <c r="B200" s="84" t="s">
        <v>2929</v>
      </c>
      <c r="C200" s="85">
        <v>58.3</v>
      </c>
      <c r="D200" s="86">
        <f t="shared" si="10"/>
        <v>0.874937468734367</v>
      </c>
      <c r="E200" s="93">
        <f t="shared" si="11"/>
        <v>43</v>
      </c>
      <c r="F200" s="94"/>
      <c r="G200" s="95"/>
      <c r="H200" s="74">
        <f t="shared" si="9"/>
        <v>0</v>
      </c>
      <c r="I200" s="98" t="s">
        <v>2901</v>
      </c>
      <c r="J200" s="102">
        <v>949.4058</v>
      </c>
      <c r="L200" s="77" t="s">
        <v>2930</v>
      </c>
      <c r="M200" s="77">
        <v>2</v>
      </c>
    </row>
    <row r="201" s="69" customFormat="1" spans="2:13">
      <c r="B201" s="84" t="s">
        <v>2890</v>
      </c>
      <c r="C201" s="85">
        <v>54.6</v>
      </c>
      <c r="D201" s="86">
        <f t="shared" si="10"/>
        <v>0.867584745762712</v>
      </c>
      <c r="E201" s="93">
        <f t="shared" si="11"/>
        <v>46</v>
      </c>
      <c r="F201" s="94"/>
      <c r="G201" s="95"/>
      <c r="H201" s="74">
        <f t="shared" si="9"/>
        <v>0</v>
      </c>
      <c r="I201" s="98" t="s">
        <v>2904</v>
      </c>
      <c r="J201" s="99">
        <v>789.2913</v>
      </c>
      <c r="L201" s="77" t="s">
        <v>2931</v>
      </c>
      <c r="M201" s="77">
        <v>4</v>
      </c>
    </row>
    <row r="202" s="69" customFormat="1" spans="2:13">
      <c r="B202" s="84" t="s">
        <v>2661</v>
      </c>
      <c r="C202" s="85">
        <v>54.6</v>
      </c>
      <c r="D202" s="86">
        <f t="shared" si="10"/>
        <v>0.867584745762712</v>
      </c>
      <c r="E202" s="93">
        <f t="shared" si="11"/>
        <v>46</v>
      </c>
      <c r="F202" s="94"/>
      <c r="G202" s="95"/>
      <c r="H202" s="74">
        <f t="shared" si="9"/>
        <v>0</v>
      </c>
      <c r="I202" s="98" t="s">
        <v>2907</v>
      </c>
      <c r="J202" s="99">
        <v>763.4445</v>
      </c>
      <c r="L202" s="77" t="s">
        <v>2932</v>
      </c>
      <c r="M202" s="77">
        <v>4</v>
      </c>
    </row>
    <row r="203" s="69" customFormat="1" spans="2:13">
      <c r="B203" s="84" t="s">
        <v>2694</v>
      </c>
      <c r="C203" s="85">
        <v>49.15</v>
      </c>
      <c r="D203" s="86">
        <f t="shared" si="10"/>
        <v>0.855030443606843</v>
      </c>
      <c r="E203" s="93">
        <f t="shared" si="11"/>
        <v>50</v>
      </c>
      <c r="F203" s="94"/>
      <c r="G203" s="95"/>
      <c r="H203" s="74">
        <f t="shared" si="9"/>
        <v>0</v>
      </c>
      <c r="I203" s="98" t="s">
        <v>2820</v>
      </c>
      <c r="J203" s="99">
        <v>801.7149</v>
      </c>
      <c r="L203" s="77" t="s">
        <v>2933</v>
      </c>
      <c r="M203" s="77">
        <v>2</v>
      </c>
    </row>
    <row r="204" s="69" customFormat="1" spans="2:13">
      <c r="B204" s="84" t="s">
        <v>2690</v>
      </c>
      <c r="C204" s="85">
        <v>49.15</v>
      </c>
      <c r="D204" s="86">
        <f t="shared" si="10"/>
        <v>0.855030443606843</v>
      </c>
      <c r="E204" s="93">
        <f t="shared" si="11"/>
        <v>50</v>
      </c>
      <c r="F204" s="94"/>
      <c r="G204" s="95"/>
      <c r="H204" s="74">
        <f t="shared" si="9"/>
        <v>0</v>
      </c>
      <c r="I204" s="98" t="s">
        <v>2886</v>
      </c>
      <c r="J204" s="99">
        <v>813.0794</v>
      </c>
      <c r="L204" s="77" t="s">
        <v>2934</v>
      </c>
      <c r="M204" s="77">
        <v>2</v>
      </c>
    </row>
    <row r="205" s="69" customFormat="1" spans="2:13">
      <c r="B205" s="84" t="s">
        <v>2685</v>
      </c>
      <c r="C205" s="85">
        <v>58.3</v>
      </c>
      <c r="D205" s="86">
        <f t="shared" si="10"/>
        <v>0.874937468734367</v>
      </c>
      <c r="E205" s="93">
        <f t="shared" si="11"/>
        <v>43</v>
      </c>
      <c r="F205" s="94"/>
      <c r="G205" s="95"/>
      <c r="H205" s="74">
        <f t="shared" si="9"/>
        <v>0</v>
      </c>
      <c r="I205" s="98" t="s">
        <v>2892</v>
      </c>
      <c r="J205" s="99">
        <v>948.8465</v>
      </c>
      <c r="L205" s="77" t="s">
        <v>2935</v>
      </c>
      <c r="M205" s="77">
        <v>2</v>
      </c>
    </row>
    <row r="206" s="69" customFormat="1" spans="2:13">
      <c r="B206" s="84" t="s">
        <v>2688</v>
      </c>
      <c r="C206" s="85">
        <v>58.3</v>
      </c>
      <c r="D206" s="86">
        <f t="shared" si="10"/>
        <v>0.874937468734367</v>
      </c>
      <c r="E206" s="93">
        <f t="shared" si="11"/>
        <v>43</v>
      </c>
      <c r="F206" s="94"/>
      <c r="G206" s="95"/>
      <c r="H206" s="74">
        <f t="shared" si="9"/>
        <v>0</v>
      </c>
      <c r="I206" s="98" t="s">
        <v>2898</v>
      </c>
      <c r="J206" s="99">
        <v>929.8303</v>
      </c>
      <c r="L206" s="77" t="s">
        <v>2936</v>
      </c>
      <c r="M206" s="77">
        <v>2</v>
      </c>
    </row>
    <row r="207" s="69" customFormat="1" spans="2:13">
      <c r="B207" s="84" t="s">
        <v>2893</v>
      </c>
      <c r="C207" s="85">
        <v>58.3</v>
      </c>
      <c r="D207" s="86">
        <f t="shared" si="10"/>
        <v>0.874937468734367</v>
      </c>
      <c r="E207" s="93">
        <f t="shared" si="11"/>
        <v>43</v>
      </c>
      <c r="F207" s="94"/>
      <c r="G207" s="95"/>
      <c r="H207" s="74">
        <f t="shared" si="9"/>
        <v>0</v>
      </c>
      <c r="I207" s="98" t="s">
        <v>2937</v>
      </c>
      <c r="J207" s="99">
        <v>446.8807</v>
      </c>
      <c r="L207" s="77" t="s">
        <v>2938</v>
      </c>
      <c r="M207" s="77">
        <v>2</v>
      </c>
    </row>
    <row r="208" s="69" customFormat="1" spans="2:13">
      <c r="B208" s="84" t="s">
        <v>1199</v>
      </c>
      <c r="C208" s="85">
        <v>54.6</v>
      </c>
      <c r="D208" s="86">
        <f t="shared" si="10"/>
        <v>0.867584745762712</v>
      </c>
      <c r="E208" s="93">
        <f t="shared" si="11"/>
        <v>46</v>
      </c>
      <c r="F208" s="94"/>
      <c r="G208" s="95"/>
      <c r="H208" s="74">
        <f t="shared" si="9"/>
        <v>0</v>
      </c>
      <c r="I208" s="98" t="s">
        <v>2529</v>
      </c>
      <c r="J208" s="99">
        <v>482.0333</v>
      </c>
      <c r="L208" s="77" t="s">
        <v>2939</v>
      </c>
      <c r="M208" s="77">
        <v>4</v>
      </c>
    </row>
    <row r="209" s="69" customFormat="1" spans="2:13">
      <c r="B209" s="84" t="s">
        <v>2940</v>
      </c>
      <c r="C209" s="85">
        <v>58.3</v>
      </c>
      <c r="D209" s="86">
        <f t="shared" si="10"/>
        <v>0.874937468734367</v>
      </c>
      <c r="E209" s="93">
        <f t="shared" si="11"/>
        <v>43</v>
      </c>
      <c r="F209" s="94"/>
      <c r="G209" s="95"/>
      <c r="H209" s="74">
        <f t="shared" si="9"/>
        <v>0</v>
      </c>
      <c r="I209" s="98" t="s">
        <v>2798</v>
      </c>
      <c r="J209" s="99">
        <v>529.1335</v>
      </c>
      <c r="L209" s="77" t="s">
        <v>2941</v>
      </c>
      <c r="M209" s="77">
        <v>4</v>
      </c>
    </row>
    <row r="210" s="69" customFormat="1" spans="2:13">
      <c r="B210" s="84" t="s">
        <v>2942</v>
      </c>
      <c r="C210" s="85">
        <v>58.3</v>
      </c>
      <c r="D210" s="86">
        <f t="shared" si="10"/>
        <v>0.874937468734367</v>
      </c>
      <c r="E210" s="93">
        <f t="shared" si="11"/>
        <v>43</v>
      </c>
      <c r="F210" s="94"/>
      <c r="G210" s="95"/>
      <c r="H210" s="74">
        <f t="shared" si="9"/>
        <v>0</v>
      </c>
      <c r="I210" s="98" t="s">
        <v>2943</v>
      </c>
      <c r="J210" s="99">
        <v>800.7629</v>
      </c>
      <c r="L210" s="77" t="s">
        <v>2944</v>
      </c>
      <c r="M210" s="77">
        <v>4</v>
      </c>
    </row>
    <row r="211" s="69" customFormat="1" spans="2:13">
      <c r="B211" s="84" t="s">
        <v>2887</v>
      </c>
      <c r="C211" s="85">
        <v>54.4</v>
      </c>
      <c r="D211" s="86">
        <f t="shared" si="10"/>
        <v>0.867162592986185</v>
      </c>
      <c r="E211" s="93">
        <f t="shared" si="11"/>
        <v>46</v>
      </c>
      <c r="F211" s="94"/>
      <c r="G211" s="95"/>
      <c r="H211" s="74">
        <f t="shared" si="9"/>
        <v>0</v>
      </c>
      <c r="I211" s="98" t="s">
        <v>2823</v>
      </c>
      <c r="J211" s="99">
        <v>788.6249</v>
      </c>
      <c r="L211" s="77" t="s">
        <v>2945</v>
      </c>
      <c r="M211" s="77">
        <v>4</v>
      </c>
    </row>
    <row r="212" s="69" customFormat="1" spans="2:13">
      <c r="B212" s="84" t="s">
        <v>2818</v>
      </c>
      <c r="C212" s="85">
        <v>19.4</v>
      </c>
      <c r="D212" s="86">
        <f t="shared" si="10"/>
        <v>0.699519230769231</v>
      </c>
      <c r="E212" s="93">
        <f t="shared" si="11"/>
        <v>104</v>
      </c>
      <c r="F212" s="94"/>
      <c r="G212" s="95"/>
      <c r="H212" s="74">
        <f t="shared" si="9"/>
        <v>0</v>
      </c>
      <c r="I212" s="98" t="s">
        <v>2946</v>
      </c>
      <c r="J212" s="99">
        <v>917.7161</v>
      </c>
      <c r="L212" s="77" t="s">
        <v>2947</v>
      </c>
      <c r="M212" s="77">
        <v>4</v>
      </c>
    </row>
    <row r="213" s="69" customFormat="1" spans="2:13">
      <c r="B213" s="84" t="s">
        <v>997</v>
      </c>
      <c r="C213" s="85">
        <v>34.25</v>
      </c>
      <c r="D213" s="86">
        <f t="shared" si="10"/>
        <v>0.804305283757338</v>
      </c>
      <c r="E213" s="93">
        <f t="shared" si="11"/>
        <v>68</v>
      </c>
      <c r="F213" s="94"/>
      <c r="G213" s="95"/>
      <c r="H213" s="74">
        <f t="shared" si="9"/>
        <v>0</v>
      </c>
      <c r="I213" s="98" t="s">
        <v>2948</v>
      </c>
      <c r="J213" s="99">
        <v>799.3706</v>
      </c>
      <c r="L213" s="77" t="s">
        <v>2949</v>
      </c>
      <c r="M213" s="77">
        <v>4</v>
      </c>
    </row>
    <row r="214" s="69" customFormat="1" spans="2:13">
      <c r="B214" s="84" t="s">
        <v>2882</v>
      </c>
      <c r="C214" s="85">
        <v>38.2</v>
      </c>
      <c r="D214" s="86">
        <f t="shared" si="10"/>
        <v>0.820916905444126</v>
      </c>
      <c r="E214" s="93">
        <f t="shared" si="11"/>
        <v>62</v>
      </c>
      <c r="F214" s="94"/>
      <c r="G214" s="95"/>
      <c r="H214" s="74">
        <f t="shared" si="9"/>
        <v>0</v>
      </c>
      <c r="I214" s="98" t="s">
        <v>2810</v>
      </c>
      <c r="J214" s="99">
        <v>380.1812</v>
      </c>
      <c r="L214" s="77" t="s">
        <v>2950</v>
      </c>
      <c r="M214" s="77">
        <v>4</v>
      </c>
    </row>
    <row r="215" s="69" customFormat="1" spans="2:13">
      <c r="B215" s="84" t="s">
        <v>2951</v>
      </c>
      <c r="C215" s="85">
        <v>38.2</v>
      </c>
      <c r="D215" s="86">
        <f t="shared" si="10"/>
        <v>0.820916905444126</v>
      </c>
      <c r="E215" s="93">
        <f t="shared" si="11"/>
        <v>62</v>
      </c>
      <c r="F215" s="94"/>
      <c r="G215" s="95"/>
      <c r="H215" s="74">
        <f t="shared" si="9"/>
        <v>0</v>
      </c>
      <c r="I215" s="98" t="s">
        <v>2952</v>
      </c>
      <c r="J215" s="99">
        <v>1199.7699</v>
      </c>
      <c r="L215" s="77" t="s">
        <v>2953</v>
      </c>
      <c r="M215" s="77">
        <v>4</v>
      </c>
    </row>
    <row r="216" s="69" customFormat="1" spans="2:13">
      <c r="B216" s="84" t="s">
        <v>2678</v>
      </c>
      <c r="C216" s="85">
        <v>44.7</v>
      </c>
      <c r="D216" s="86">
        <f t="shared" si="10"/>
        <v>0.842866121935889</v>
      </c>
      <c r="E216" s="93">
        <f t="shared" si="11"/>
        <v>54</v>
      </c>
      <c r="F216" s="94"/>
      <c r="G216" s="95"/>
      <c r="H216" s="74">
        <f t="shared" si="9"/>
        <v>0</v>
      </c>
      <c r="I216" s="98" t="s">
        <v>2954</v>
      </c>
      <c r="J216" s="99">
        <v>1291.6141</v>
      </c>
      <c r="L216" s="77" t="s">
        <v>2955</v>
      </c>
      <c r="M216" s="77">
        <v>4</v>
      </c>
    </row>
    <row r="217" s="69" customFormat="1" spans="2:13">
      <c r="B217" s="84" t="s">
        <v>2680</v>
      </c>
      <c r="C217" s="85">
        <v>44.7</v>
      </c>
      <c r="D217" s="86">
        <f t="shared" si="10"/>
        <v>0.842866121935889</v>
      </c>
      <c r="E217" s="93">
        <f t="shared" si="11"/>
        <v>54</v>
      </c>
      <c r="F217" s="94"/>
      <c r="G217" s="95"/>
      <c r="H217" s="74">
        <f t="shared" si="9"/>
        <v>0</v>
      </c>
      <c r="I217" s="98" t="s">
        <v>2956</v>
      </c>
      <c r="J217" s="99">
        <v>697.7446</v>
      </c>
      <c r="L217" s="77" t="s">
        <v>2957</v>
      </c>
      <c r="M217" s="77">
        <v>4</v>
      </c>
    </row>
    <row r="218" s="69" customFormat="1" spans="2:13">
      <c r="B218" s="84" t="s">
        <v>1048</v>
      </c>
      <c r="C218" s="85">
        <v>38.2</v>
      </c>
      <c r="D218" s="86">
        <f t="shared" si="10"/>
        <v>0.820916905444126</v>
      </c>
      <c r="E218" s="93">
        <f t="shared" si="11"/>
        <v>62</v>
      </c>
      <c r="F218" s="94"/>
      <c r="G218" s="95"/>
      <c r="H218" s="74">
        <f t="shared" si="9"/>
        <v>0</v>
      </c>
      <c r="I218" s="98" t="s">
        <v>2958</v>
      </c>
      <c r="J218" s="99">
        <v>697.7446</v>
      </c>
      <c r="L218" s="77" t="s">
        <v>2959</v>
      </c>
      <c r="M218" s="77">
        <v>4</v>
      </c>
    </row>
    <row r="219" s="69" customFormat="1" spans="2:13">
      <c r="B219" s="84" t="s">
        <v>2675</v>
      </c>
      <c r="C219" s="85">
        <v>38.2</v>
      </c>
      <c r="D219" s="86">
        <f t="shared" si="10"/>
        <v>0.820916905444126</v>
      </c>
      <c r="E219" s="93">
        <f t="shared" si="11"/>
        <v>62</v>
      </c>
      <c r="F219" s="94"/>
      <c r="G219" s="95"/>
      <c r="H219" s="74">
        <f t="shared" si="9"/>
        <v>0</v>
      </c>
      <c r="I219" s="98" t="s">
        <v>2960</v>
      </c>
      <c r="J219" s="99">
        <v>997.8031</v>
      </c>
      <c r="L219" s="77" t="s">
        <v>2961</v>
      </c>
      <c r="M219" s="77">
        <v>6</v>
      </c>
    </row>
    <row r="220" s="69" customFormat="1" spans="2:13">
      <c r="B220" s="84" t="s">
        <v>2962</v>
      </c>
      <c r="C220" s="85">
        <v>34.25</v>
      </c>
      <c r="D220" s="86">
        <f t="shared" si="10"/>
        <v>0.804305283757338</v>
      </c>
      <c r="E220" s="93">
        <f t="shared" si="11"/>
        <v>68</v>
      </c>
      <c r="F220" s="94"/>
      <c r="G220" s="95"/>
      <c r="H220" s="74">
        <f t="shared" si="9"/>
        <v>0</v>
      </c>
      <c r="I220" s="98" t="s">
        <v>2605</v>
      </c>
      <c r="J220" s="99">
        <v>933.3884</v>
      </c>
      <c r="L220" s="77" t="s">
        <v>2963</v>
      </c>
      <c r="M220" s="77">
        <v>2</v>
      </c>
    </row>
    <row r="221" s="69" customFormat="1" spans="2:13">
      <c r="B221" s="84" t="s">
        <v>2705</v>
      </c>
      <c r="C221" s="85">
        <v>19.4</v>
      </c>
      <c r="D221" s="86">
        <f t="shared" si="10"/>
        <v>0.699519230769231</v>
      </c>
      <c r="E221" s="93">
        <f t="shared" si="11"/>
        <v>104</v>
      </c>
      <c r="F221" s="94"/>
      <c r="G221" s="95"/>
      <c r="H221" s="74">
        <f t="shared" si="9"/>
        <v>0</v>
      </c>
      <c r="I221" s="98" t="s">
        <v>2964</v>
      </c>
      <c r="J221" s="99">
        <v>997.8031</v>
      </c>
      <c r="L221" s="77" t="s">
        <v>2965</v>
      </c>
      <c r="M221" s="77">
        <v>2</v>
      </c>
    </row>
    <row r="222" s="69" customFormat="1" spans="2:13">
      <c r="B222" s="84" t="s">
        <v>2966</v>
      </c>
      <c r="C222" s="85">
        <v>19.4</v>
      </c>
      <c r="D222" s="86">
        <f t="shared" si="10"/>
        <v>0.699519230769231</v>
      </c>
      <c r="E222" s="93">
        <f t="shared" si="11"/>
        <v>104</v>
      </c>
      <c r="F222" s="94"/>
      <c r="G222" s="95"/>
      <c r="H222" s="74">
        <f t="shared" si="9"/>
        <v>0</v>
      </c>
      <c r="I222" s="98" t="s">
        <v>2918</v>
      </c>
      <c r="J222" s="99">
        <v>984.4989</v>
      </c>
      <c r="L222" s="77" t="s">
        <v>2967</v>
      </c>
      <c r="M222" s="77">
        <v>2</v>
      </c>
    </row>
    <row r="223" s="69" customFormat="1" spans="2:13">
      <c r="B223" s="84" t="s">
        <v>2700</v>
      </c>
      <c r="C223" s="85">
        <v>19.4</v>
      </c>
      <c r="D223" s="86">
        <f t="shared" si="10"/>
        <v>0.699519230769231</v>
      </c>
      <c r="E223" s="93">
        <f t="shared" si="11"/>
        <v>104</v>
      </c>
      <c r="F223" s="94"/>
      <c r="G223" s="95"/>
      <c r="H223" s="74">
        <f t="shared" si="9"/>
        <v>0</v>
      </c>
      <c r="I223" s="98" t="s">
        <v>2833</v>
      </c>
      <c r="J223" s="99">
        <v>923.8208</v>
      </c>
      <c r="L223" s="77" t="s">
        <v>2968</v>
      </c>
      <c r="M223" s="77">
        <v>2</v>
      </c>
    </row>
    <row r="224" s="69" customFormat="1" spans="2:13">
      <c r="B224" s="84" t="s">
        <v>2703</v>
      </c>
      <c r="C224" s="85">
        <v>22.5</v>
      </c>
      <c r="D224" s="86">
        <f t="shared" si="10"/>
        <v>0.72972972972973</v>
      </c>
      <c r="E224" s="93">
        <f t="shared" si="11"/>
        <v>93</v>
      </c>
      <c r="F224" s="94"/>
      <c r="G224" s="95"/>
      <c r="H224" s="74">
        <f t="shared" si="9"/>
        <v>0</v>
      </c>
      <c r="I224" s="98" t="s">
        <v>2969</v>
      </c>
      <c r="J224" s="99">
        <v>1028.2433</v>
      </c>
      <c r="L224" s="77" t="s">
        <v>2970</v>
      </c>
      <c r="M224" s="77">
        <v>2</v>
      </c>
    </row>
    <row r="225" s="69" customFormat="1" spans="2:13">
      <c r="B225" s="84" t="s">
        <v>2715</v>
      </c>
      <c r="C225" s="85">
        <v>185</v>
      </c>
      <c r="D225" s="86">
        <f t="shared" si="10"/>
        <v>0.956896551724138</v>
      </c>
      <c r="E225" s="93">
        <f t="shared" si="11"/>
        <v>15</v>
      </c>
      <c r="F225" s="94"/>
      <c r="G225" s="95"/>
      <c r="H225" s="74">
        <f t="shared" si="9"/>
        <v>0</v>
      </c>
      <c r="I225" s="98" t="s">
        <v>982</v>
      </c>
      <c r="J225" s="99">
        <v>294.186564</v>
      </c>
      <c r="L225" s="77" t="s">
        <v>2971</v>
      </c>
      <c r="M225" s="77">
        <v>2</v>
      </c>
    </row>
    <row r="226" s="69" customFormat="1" spans="2:13">
      <c r="B226" s="84" t="s">
        <v>2713</v>
      </c>
      <c r="C226" s="85">
        <v>185</v>
      </c>
      <c r="D226" s="86">
        <f t="shared" si="10"/>
        <v>0.956896551724138</v>
      </c>
      <c r="E226" s="93">
        <f t="shared" si="11"/>
        <v>15</v>
      </c>
      <c r="F226" s="94"/>
      <c r="G226" s="95"/>
      <c r="H226" s="74">
        <f t="shared" si="9"/>
        <v>0</v>
      </c>
      <c r="I226" s="98" t="s">
        <v>2972</v>
      </c>
      <c r="J226" s="99">
        <v>83.6375</v>
      </c>
      <c r="L226" s="77" t="s">
        <v>2973</v>
      </c>
      <c r="M226" s="77">
        <v>2</v>
      </c>
    </row>
    <row r="227" s="69" customFormat="1" spans="2:13">
      <c r="B227" s="84" t="s">
        <v>2974</v>
      </c>
      <c r="C227" s="85">
        <v>71</v>
      </c>
      <c r="D227" s="86">
        <f t="shared" si="10"/>
        <v>0.894957983193277</v>
      </c>
      <c r="E227" s="93">
        <f t="shared" si="11"/>
        <v>36</v>
      </c>
      <c r="F227" s="94"/>
      <c r="G227" s="95"/>
      <c r="H227" s="74">
        <f t="shared" si="9"/>
        <v>0</v>
      </c>
      <c r="I227" s="98" t="s">
        <v>2975</v>
      </c>
      <c r="J227" s="99">
        <v>77.415</v>
      </c>
      <c r="L227" s="77" t="s">
        <v>2976</v>
      </c>
      <c r="M227" s="77">
        <v>2</v>
      </c>
    </row>
    <row r="228" s="69" customFormat="1" spans="2:13">
      <c r="B228" s="84" t="s">
        <v>2977</v>
      </c>
      <c r="C228" s="85">
        <v>75</v>
      </c>
      <c r="D228" s="86">
        <f t="shared" si="10"/>
        <v>0.9</v>
      </c>
      <c r="E228" s="93">
        <f t="shared" si="11"/>
        <v>35</v>
      </c>
      <c r="F228" s="94"/>
      <c r="G228" s="95"/>
      <c r="H228" s="74">
        <f t="shared" si="9"/>
        <v>0</v>
      </c>
      <c r="I228" s="98" t="s">
        <v>2978</v>
      </c>
      <c r="J228" s="99">
        <v>160.757814</v>
      </c>
      <c r="L228" s="77" t="s">
        <v>2979</v>
      </c>
      <c r="M228" s="77">
        <v>2</v>
      </c>
    </row>
    <row r="229" s="69" customFormat="1" spans="2:13">
      <c r="B229" s="84" t="s">
        <v>2920</v>
      </c>
      <c r="C229" s="85">
        <v>30</v>
      </c>
      <c r="D229" s="86">
        <f t="shared" si="10"/>
        <v>0.782608695652174</v>
      </c>
      <c r="E229" s="93">
        <f t="shared" si="11"/>
        <v>75</v>
      </c>
      <c r="F229" s="94"/>
      <c r="G229" s="95"/>
      <c r="H229" s="74">
        <f t="shared" si="9"/>
        <v>0</v>
      </c>
      <c r="I229" s="98" t="s">
        <v>2980</v>
      </c>
      <c r="J229" s="99">
        <v>160.757814</v>
      </c>
      <c r="L229" s="77" t="s">
        <v>2981</v>
      </c>
      <c r="M229" s="77">
        <v>2</v>
      </c>
    </row>
    <row r="230" s="69" customFormat="1" spans="2:13">
      <c r="B230" s="84" t="s">
        <v>2908</v>
      </c>
      <c r="C230" s="85">
        <v>76</v>
      </c>
      <c r="D230" s="86">
        <f t="shared" si="10"/>
        <v>0.901185770750988</v>
      </c>
      <c r="E230" s="93">
        <f t="shared" si="11"/>
        <v>34</v>
      </c>
      <c r="F230" s="94"/>
      <c r="G230" s="95"/>
      <c r="H230" s="74">
        <f t="shared" si="9"/>
        <v>0</v>
      </c>
      <c r="I230" s="98" t="s">
        <v>2982</v>
      </c>
      <c r="J230" s="99">
        <v>136.770039</v>
      </c>
      <c r="L230" s="77" t="s">
        <v>2983</v>
      </c>
      <c r="M230" s="77">
        <v>2</v>
      </c>
    </row>
    <row r="231" s="69" customFormat="1" spans="2:13">
      <c r="B231" s="84" t="s">
        <v>2984</v>
      </c>
      <c r="C231" s="85">
        <v>30</v>
      </c>
      <c r="D231" s="86">
        <f t="shared" si="10"/>
        <v>0.782608695652174</v>
      </c>
      <c r="E231" s="93">
        <f t="shared" si="11"/>
        <v>75</v>
      </c>
      <c r="F231" s="94"/>
      <c r="G231" s="95"/>
      <c r="H231" s="74">
        <f t="shared" si="9"/>
        <v>0</v>
      </c>
      <c r="I231" s="98" t="s">
        <v>2985</v>
      </c>
      <c r="J231" s="99">
        <v>122.770039</v>
      </c>
      <c r="L231" s="77" t="s">
        <v>2986</v>
      </c>
      <c r="M231" s="77">
        <v>2</v>
      </c>
    </row>
    <row r="232" s="69" customFormat="1" spans="2:13">
      <c r="B232" s="84" t="s">
        <v>2916</v>
      </c>
      <c r="C232" s="85">
        <v>30</v>
      </c>
      <c r="D232" s="86">
        <f t="shared" si="10"/>
        <v>0.782608695652174</v>
      </c>
      <c r="E232" s="93">
        <f t="shared" si="11"/>
        <v>75</v>
      </c>
      <c r="F232" s="94"/>
      <c r="G232" s="95"/>
      <c r="H232" s="74">
        <f t="shared" si="9"/>
        <v>0</v>
      </c>
      <c r="I232" s="98" t="s">
        <v>2987</v>
      </c>
      <c r="J232" s="99">
        <v>122.770039</v>
      </c>
      <c r="L232" s="77" t="s">
        <v>2988</v>
      </c>
      <c r="M232" s="77">
        <v>2</v>
      </c>
    </row>
    <row r="233" s="69" customFormat="1" spans="2:13">
      <c r="B233" s="84" t="s">
        <v>2902</v>
      </c>
      <c r="C233" s="85">
        <v>55.5</v>
      </c>
      <c r="D233" s="86">
        <f t="shared" si="10"/>
        <v>0.869451697127937</v>
      </c>
      <c r="E233" s="93">
        <f t="shared" si="11"/>
        <v>45</v>
      </c>
      <c r="F233" s="94"/>
      <c r="G233" s="95"/>
      <c r="H233" s="74">
        <f t="shared" si="9"/>
        <v>0</v>
      </c>
      <c r="I233" s="98" t="s">
        <v>2966</v>
      </c>
      <c r="J233" s="99">
        <v>122.2856</v>
      </c>
      <c r="L233" s="77" t="s">
        <v>2989</v>
      </c>
      <c r="M233" s="77">
        <v>2</v>
      </c>
    </row>
    <row r="234" s="69" customFormat="1" spans="2:13">
      <c r="B234" s="84" t="s">
        <v>2990</v>
      </c>
      <c r="C234" s="85">
        <v>30</v>
      </c>
      <c r="D234" s="86">
        <f t="shared" si="10"/>
        <v>0.782608695652174</v>
      </c>
      <c r="E234" s="93">
        <f t="shared" si="11"/>
        <v>75</v>
      </c>
      <c r="F234" s="94"/>
      <c r="G234" s="95"/>
      <c r="H234" s="74">
        <f t="shared" si="9"/>
        <v>0</v>
      </c>
      <c r="I234" s="98" t="s">
        <v>2991</v>
      </c>
      <c r="J234" s="99">
        <v>122.2856</v>
      </c>
      <c r="L234" s="77" t="s">
        <v>2992</v>
      </c>
      <c r="M234" s="77">
        <v>2</v>
      </c>
    </row>
    <row r="235" s="69" customFormat="1" spans="2:13">
      <c r="B235" s="84" t="s">
        <v>2993</v>
      </c>
      <c r="C235" s="85">
        <v>42</v>
      </c>
      <c r="D235" s="86">
        <f t="shared" si="10"/>
        <v>0.834437086092715</v>
      </c>
      <c r="E235" s="93">
        <f t="shared" si="11"/>
        <v>57</v>
      </c>
      <c r="F235" s="94"/>
      <c r="G235" s="95"/>
      <c r="H235" s="74">
        <f t="shared" si="9"/>
        <v>0</v>
      </c>
      <c r="I235" s="98" t="s">
        <v>2994</v>
      </c>
      <c r="J235" s="99">
        <v>122.2856</v>
      </c>
      <c r="L235" s="77" t="s">
        <v>2995</v>
      </c>
      <c r="M235" s="77">
        <v>2</v>
      </c>
    </row>
    <row r="236" s="69" customFormat="1" spans="2:13">
      <c r="B236" s="84" t="s">
        <v>2666</v>
      </c>
      <c r="C236" s="85">
        <v>36</v>
      </c>
      <c r="D236" s="86">
        <f t="shared" si="10"/>
        <v>0.81203007518797</v>
      </c>
      <c r="E236" s="93">
        <f t="shared" si="11"/>
        <v>65</v>
      </c>
      <c r="F236" s="94"/>
      <c r="G236" s="95"/>
      <c r="H236" s="74">
        <f t="shared" si="9"/>
        <v>0</v>
      </c>
      <c r="I236" s="98" t="s">
        <v>2996</v>
      </c>
      <c r="J236" s="99">
        <v>95.850454</v>
      </c>
      <c r="L236" s="77" t="s">
        <v>2997</v>
      </c>
      <c r="M236" s="77">
        <v>2</v>
      </c>
    </row>
    <row r="237" s="69" customFormat="1" spans="2:13">
      <c r="B237" s="84" t="s">
        <v>2956</v>
      </c>
      <c r="C237" s="85">
        <v>34</v>
      </c>
      <c r="D237" s="86">
        <f t="shared" si="10"/>
        <v>0.803149606299213</v>
      </c>
      <c r="E237" s="93">
        <f t="shared" si="11"/>
        <v>68</v>
      </c>
      <c r="F237" s="94"/>
      <c r="G237" s="95"/>
      <c r="H237" s="74">
        <f t="shared" si="9"/>
        <v>0</v>
      </c>
      <c r="I237" s="98" t="s">
        <v>2998</v>
      </c>
      <c r="J237" s="99">
        <v>95.850454</v>
      </c>
      <c r="L237" s="77" t="s">
        <v>2999</v>
      </c>
      <c r="M237" s="77">
        <v>2</v>
      </c>
    </row>
    <row r="238" s="69" customFormat="1" spans="2:13">
      <c r="B238" s="84" t="s">
        <v>2958</v>
      </c>
      <c r="C238" s="85">
        <v>37</v>
      </c>
      <c r="D238" s="86">
        <f t="shared" si="10"/>
        <v>0.816176470588235</v>
      </c>
      <c r="E238" s="93">
        <f t="shared" si="11"/>
        <v>64</v>
      </c>
      <c r="F238" s="94"/>
      <c r="G238" s="95"/>
      <c r="H238" s="74">
        <f t="shared" si="9"/>
        <v>0</v>
      </c>
      <c r="I238" s="98" t="s">
        <v>3000</v>
      </c>
      <c r="J238" s="99">
        <v>3134.729059</v>
      </c>
      <c r="L238" s="77" t="s">
        <v>3001</v>
      </c>
      <c r="M238" s="77">
        <v>2</v>
      </c>
    </row>
    <row r="239" s="69" customFormat="1" spans="2:13">
      <c r="B239" s="84" t="s">
        <v>2391</v>
      </c>
      <c r="C239" s="85">
        <v>47.7</v>
      </c>
      <c r="D239" s="86">
        <f t="shared" si="10"/>
        <v>0.851279000594884</v>
      </c>
      <c r="E239" s="93">
        <f t="shared" si="11"/>
        <v>51</v>
      </c>
      <c r="F239" s="94"/>
      <c r="G239" s="95"/>
      <c r="H239" s="74">
        <f t="shared" si="9"/>
        <v>0</v>
      </c>
      <c r="I239" s="98" t="s">
        <v>3002</v>
      </c>
      <c r="J239" s="99">
        <v>3212.607419</v>
      </c>
      <c r="L239" s="77" t="s">
        <v>3003</v>
      </c>
      <c r="M239" s="77">
        <v>2</v>
      </c>
    </row>
    <row r="240" s="69" customFormat="1" spans="2:13">
      <c r="B240" s="84" t="s">
        <v>2946</v>
      </c>
      <c r="C240" s="85">
        <v>46</v>
      </c>
      <c r="D240" s="86">
        <f t="shared" si="10"/>
        <v>0.846625766871166</v>
      </c>
      <c r="E240" s="93">
        <f t="shared" si="11"/>
        <v>53</v>
      </c>
      <c r="F240" s="94"/>
      <c r="G240" s="95"/>
      <c r="H240" s="74">
        <f t="shared" si="9"/>
        <v>0</v>
      </c>
      <c r="I240" s="98" t="s">
        <v>3004</v>
      </c>
      <c r="J240" s="99">
        <v>3082.2289</v>
      </c>
      <c r="L240" s="77" t="s">
        <v>3005</v>
      </c>
      <c r="M240" s="77">
        <v>2</v>
      </c>
    </row>
    <row r="241" s="69" customFormat="1" spans="2:13">
      <c r="B241" s="84" t="s">
        <v>2969</v>
      </c>
      <c r="C241" s="85">
        <v>42</v>
      </c>
      <c r="D241" s="86">
        <f t="shared" si="10"/>
        <v>0.834437086092715</v>
      </c>
      <c r="E241" s="93">
        <f t="shared" si="11"/>
        <v>57</v>
      </c>
      <c r="F241" s="94"/>
      <c r="G241" s="95"/>
      <c r="H241" s="74">
        <f t="shared" si="9"/>
        <v>0</v>
      </c>
      <c r="I241" s="98" t="s">
        <v>3006</v>
      </c>
      <c r="J241" s="99">
        <v>145.1761</v>
      </c>
      <c r="L241" s="77" t="s">
        <v>3007</v>
      </c>
      <c r="M241" s="77">
        <v>2</v>
      </c>
    </row>
    <row r="242" s="69" customFormat="1" spans="2:13">
      <c r="B242" s="84" t="s">
        <v>2952</v>
      </c>
      <c r="C242" s="85">
        <v>49</v>
      </c>
      <c r="D242" s="86">
        <f t="shared" si="10"/>
        <v>0.854651162790698</v>
      </c>
      <c r="E242" s="93">
        <f t="shared" si="11"/>
        <v>50</v>
      </c>
      <c r="F242" s="94"/>
      <c r="G242" s="95"/>
      <c r="H242" s="74">
        <f t="shared" si="9"/>
        <v>0</v>
      </c>
      <c r="I242" s="98" t="s">
        <v>3008</v>
      </c>
      <c r="J242" s="99">
        <v>872.8293</v>
      </c>
      <c r="L242" s="77" t="s">
        <v>3009</v>
      </c>
      <c r="M242" s="77">
        <v>2</v>
      </c>
    </row>
    <row r="243" s="69" customFormat="1" spans="2:13">
      <c r="B243" s="84" t="s">
        <v>3010</v>
      </c>
      <c r="C243" s="85">
        <v>38.5</v>
      </c>
      <c r="D243" s="86">
        <f t="shared" si="10"/>
        <v>0.822064056939502</v>
      </c>
      <c r="E243" s="93">
        <f t="shared" si="11"/>
        <v>61</v>
      </c>
      <c r="F243" s="94"/>
      <c r="G243" s="95"/>
      <c r="H243" s="74">
        <f t="shared" si="9"/>
        <v>0</v>
      </c>
      <c r="I243" s="98" t="s">
        <v>3011</v>
      </c>
      <c r="J243" s="99">
        <v>850.3859</v>
      </c>
      <c r="L243" s="77" t="s">
        <v>3012</v>
      </c>
      <c r="M243" s="77">
        <v>2</v>
      </c>
    </row>
    <row r="244" s="69" customFormat="1" spans="2:13">
      <c r="B244" s="84" t="s">
        <v>2948</v>
      </c>
      <c r="C244" s="85">
        <v>42</v>
      </c>
      <c r="D244" s="86">
        <f t="shared" si="10"/>
        <v>0.834437086092715</v>
      </c>
      <c r="E244" s="93">
        <f t="shared" si="11"/>
        <v>57</v>
      </c>
      <c r="F244" s="94"/>
      <c r="G244" s="95"/>
      <c r="H244" s="74">
        <f t="shared" si="9"/>
        <v>0</v>
      </c>
      <c r="I244" s="98" t="s">
        <v>3013</v>
      </c>
      <c r="J244" s="99">
        <v>998.2434</v>
      </c>
      <c r="L244" s="77" t="s">
        <v>3014</v>
      </c>
      <c r="M244" s="77">
        <v>2</v>
      </c>
    </row>
    <row r="245" s="69" customFormat="1" spans="2:13">
      <c r="B245" s="84" t="s">
        <v>2964</v>
      </c>
      <c r="C245" s="85">
        <v>42</v>
      </c>
      <c r="D245" s="86">
        <f t="shared" si="10"/>
        <v>0.834437086092715</v>
      </c>
      <c r="E245" s="93">
        <f t="shared" si="11"/>
        <v>57</v>
      </c>
      <c r="F245" s="94"/>
      <c r="G245" s="95"/>
      <c r="H245" s="74">
        <f t="shared" si="9"/>
        <v>0</v>
      </c>
      <c r="I245" s="98" t="s">
        <v>3015</v>
      </c>
      <c r="J245" s="99">
        <v>1222.2252</v>
      </c>
      <c r="L245" s="77" t="s">
        <v>3016</v>
      </c>
      <c r="M245" s="77">
        <v>2</v>
      </c>
    </row>
    <row r="246" s="69" customFormat="1" spans="2:13">
      <c r="B246" s="84" t="s">
        <v>2698</v>
      </c>
      <c r="C246" s="85">
        <v>27.5</v>
      </c>
      <c r="D246" s="86">
        <f t="shared" si="10"/>
        <v>0.767441860465116</v>
      </c>
      <c r="E246" s="93">
        <f t="shared" si="11"/>
        <v>80</v>
      </c>
      <c r="F246" s="94"/>
      <c r="G246" s="95"/>
      <c r="H246" s="74">
        <f t="shared" si="9"/>
        <v>0</v>
      </c>
      <c r="I246" s="98" t="s">
        <v>3017</v>
      </c>
      <c r="J246" s="99">
        <v>1169.9128</v>
      </c>
      <c r="L246" s="77" t="s">
        <v>3018</v>
      </c>
      <c r="M246" s="77">
        <v>2</v>
      </c>
    </row>
    <row r="247" s="69" customFormat="1" spans="2:13">
      <c r="B247" s="84" t="s">
        <v>2972</v>
      </c>
      <c r="C247" s="85">
        <v>19.4</v>
      </c>
      <c r="D247" s="86">
        <f t="shared" si="10"/>
        <v>0.699519230769231</v>
      </c>
      <c r="E247" s="93">
        <f t="shared" si="11"/>
        <v>104</v>
      </c>
      <c r="F247" s="94"/>
      <c r="G247" s="95"/>
      <c r="H247" s="74">
        <f t="shared" si="9"/>
        <v>0</v>
      </c>
      <c r="I247" s="98" t="s">
        <v>3019</v>
      </c>
      <c r="J247" s="99">
        <v>847.28</v>
      </c>
      <c r="L247" s="77" t="s">
        <v>3020</v>
      </c>
      <c r="M247" s="77">
        <v>2</v>
      </c>
    </row>
    <row r="248" s="69" customFormat="1" spans="2:13">
      <c r="B248" s="84" t="s">
        <v>1124</v>
      </c>
      <c r="C248" s="85">
        <v>42</v>
      </c>
      <c r="D248" s="86">
        <f t="shared" si="10"/>
        <v>0.834437086092715</v>
      </c>
      <c r="E248" s="93">
        <f t="shared" si="11"/>
        <v>57</v>
      </c>
      <c r="F248" s="94"/>
      <c r="G248" s="95"/>
      <c r="H248" s="74">
        <f t="shared" si="9"/>
        <v>0</v>
      </c>
      <c r="I248" s="98" t="s">
        <v>3021</v>
      </c>
      <c r="J248" s="99">
        <v>759.08</v>
      </c>
      <c r="L248" s="77" t="s">
        <v>3022</v>
      </c>
      <c r="M248" s="77">
        <v>2</v>
      </c>
    </row>
    <row r="249" s="69" customFormat="1" spans="2:13">
      <c r="B249" s="84" t="s">
        <v>1130</v>
      </c>
      <c r="C249" s="85">
        <v>49.15</v>
      </c>
      <c r="D249" s="86">
        <f t="shared" si="10"/>
        <v>0.855030443606843</v>
      </c>
      <c r="E249" s="93">
        <f t="shared" si="11"/>
        <v>50</v>
      </c>
      <c r="F249" s="94"/>
      <c r="G249" s="95"/>
      <c r="H249" s="74">
        <f t="shared" si="9"/>
        <v>0</v>
      </c>
      <c r="I249" s="98" t="s">
        <v>3023</v>
      </c>
      <c r="J249" s="99">
        <v>820.033</v>
      </c>
      <c r="L249" s="77" t="s">
        <v>3024</v>
      </c>
      <c r="M249" s="77">
        <v>2</v>
      </c>
    </row>
    <row r="250" s="69" customFormat="1" spans="2:13">
      <c r="B250" s="84" t="s">
        <v>3025</v>
      </c>
      <c r="C250" s="85">
        <v>54.4</v>
      </c>
      <c r="D250" s="86">
        <f t="shared" si="10"/>
        <v>0.867162592986185</v>
      </c>
      <c r="E250" s="93">
        <f t="shared" si="11"/>
        <v>46</v>
      </c>
      <c r="F250" s="94"/>
      <c r="G250" s="95"/>
      <c r="H250" s="74">
        <f t="shared" si="9"/>
        <v>0</v>
      </c>
      <c r="I250" s="98" t="s">
        <v>3026</v>
      </c>
      <c r="J250" s="99">
        <v>873.401</v>
      </c>
      <c r="L250" s="77" t="s">
        <v>3027</v>
      </c>
      <c r="M250" s="77">
        <v>2</v>
      </c>
    </row>
    <row r="251" s="69" customFormat="1" spans="2:13">
      <c r="B251" s="84" t="s">
        <v>3028</v>
      </c>
      <c r="C251" s="85">
        <v>19.4</v>
      </c>
      <c r="D251" s="86">
        <f t="shared" si="10"/>
        <v>0.699519230769231</v>
      </c>
      <c r="E251" s="93">
        <f t="shared" si="11"/>
        <v>104</v>
      </c>
      <c r="F251" s="94"/>
      <c r="G251" s="95"/>
      <c r="H251" s="74">
        <f t="shared" si="9"/>
        <v>0</v>
      </c>
      <c r="I251" s="98" t="s">
        <v>3029</v>
      </c>
      <c r="J251" s="99">
        <v>888.059</v>
      </c>
      <c r="L251" s="77" t="s">
        <v>3030</v>
      </c>
      <c r="M251" s="77">
        <v>2</v>
      </c>
    </row>
    <row r="252" s="69" customFormat="1" spans="2:13">
      <c r="B252" s="84" t="s">
        <v>3031</v>
      </c>
      <c r="C252" s="85">
        <v>19.4</v>
      </c>
      <c r="D252" s="86">
        <f t="shared" si="10"/>
        <v>0.699519230769231</v>
      </c>
      <c r="E252" s="93">
        <f t="shared" si="11"/>
        <v>104</v>
      </c>
      <c r="F252" s="94"/>
      <c r="G252" s="95"/>
      <c r="H252" s="74">
        <f t="shared" si="9"/>
        <v>0</v>
      </c>
      <c r="I252" s="98" t="s">
        <v>3032</v>
      </c>
      <c r="J252" s="99">
        <v>821.265</v>
      </c>
      <c r="L252" s="77" t="s">
        <v>3033</v>
      </c>
      <c r="M252" s="77">
        <v>2</v>
      </c>
    </row>
    <row r="253" s="69" customFormat="1" spans="2:13">
      <c r="B253" s="84" t="s">
        <v>2975</v>
      </c>
      <c r="C253" s="85">
        <v>19.4</v>
      </c>
      <c r="D253" s="86">
        <f t="shared" si="10"/>
        <v>0.699519230769231</v>
      </c>
      <c r="E253" s="93">
        <f t="shared" si="11"/>
        <v>104</v>
      </c>
      <c r="F253" s="94"/>
      <c r="G253" s="95"/>
      <c r="H253" s="74">
        <f t="shared" si="9"/>
        <v>0</v>
      </c>
      <c r="I253" s="98" t="s">
        <v>3034</v>
      </c>
      <c r="J253" s="99">
        <v>769.392</v>
      </c>
      <c r="L253" s="77" t="s">
        <v>3035</v>
      </c>
      <c r="M253" s="77">
        <v>2</v>
      </c>
    </row>
    <row r="254" s="69" customFormat="1" spans="2:13">
      <c r="B254" s="84" t="s">
        <v>1013</v>
      </c>
      <c r="C254" s="85">
        <v>38.2</v>
      </c>
      <c r="D254" s="86">
        <f t="shared" si="10"/>
        <v>0.820916905444126</v>
      </c>
      <c r="E254" s="93">
        <f t="shared" si="11"/>
        <v>62</v>
      </c>
      <c r="F254" s="94"/>
      <c r="G254" s="95"/>
      <c r="H254" s="74">
        <f t="shared" si="9"/>
        <v>0</v>
      </c>
      <c r="I254" s="98" t="s">
        <v>3036</v>
      </c>
      <c r="J254" s="99">
        <v>824.41</v>
      </c>
      <c r="L254" s="77" t="s">
        <v>3037</v>
      </c>
      <c r="M254" s="77">
        <v>2</v>
      </c>
    </row>
    <row r="255" s="69" customFormat="1" spans="2:13">
      <c r="B255" s="84" t="s">
        <v>3038</v>
      </c>
      <c r="C255" s="85">
        <v>19.4</v>
      </c>
      <c r="D255" s="86">
        <f t="shared" si="10"/>
        <v>0.699519230769231</v>
      </c>
      <c r="E255" s="93">
        <f t="shared" si="11"/>
        <v>104</v>
      </c>
      <c r="F255" s="94"/>
      <c r="G255" s="95"/>
      <c r="H255" s="74">
        <f t="shared" si="9"/>
        <v>0</v>
      </c>
      <c r="I255" s="98" t="s">
        <v>3039</v>
      </c>
      <c r="J255" s="99">
        <v>838.023</v>
      </c>
      <c r="L255" s="77" t="s">
        <v>3040</v>
      </c>
      <c r="M255" s="77">
        <v>2</v>
      </c>
    </row>
    <row r="256" s="69" customFormat="1" spans="2:13">
      <c r="B256" s="84" t="s">
        <v>2996</v>
      </c>
      <c r="C256" s="85">
        <v>19.4</v>
      </c>
      <c r="D256" s="86">
        <f t="shared" si="10"/>
        <v>0.699519230769231</v>
      </c>
      <c r="E256" s="93">
        <f t="shared" si="11"/>
        <v>104</v>
      </c>
      <c r="F256" s="94"/>
      <c r="G256" s="95"/>
      <c r="H256" s="74">
        <f t="shared" si="9"/>
        <v>0</v>
      </c>
      <c r="I256" s="98" t="s">
        <v>3041</v>
      </c>
      <c r="J256" s="99">
        <v>750.6401</v>
      </c>
      <c r="L256" s="77" t="s">
        <v>3042</v>
      </c>
      <c r="M256" s="77">
        <v>2</v>
      </c>
    </row>
    <row r="257" s="69" customFormat="1" spans="2:13">
      <c r="B257" s="84" t="s">
        <v>2998</v>
      </c>
      <c r="C257" s="85">
        <v>19.4</v>
      </c>
      <c r="D257" s="86">
        <f t="shared" si="10"/>
        <v>0.699519230769231</v>
      </c>
      <c r="E257" s="93">
        <f t="shared" si="11"/>
        <v>104</v>
      </c>
      <c r="F257" s="94"/>
      <c r="G257" s="95"/>
      <c r="H257" s="74">
        <f t="shared" si="9"/>
        <v>0</v>
      </c>
      <c r="I257" s="98" t="s">
        <v>3043</v>
      </c>
      <c r="J257" s="99">
        <v>804.980617</v>
      </c>
      <c r="L257" s="77" t="s">
        <v>3044</v>
      </c>
      <c r="M257" s="77">
        <v>2</v>
      </c>
    </row>
    <row r="258" s="69" customFormat="1" spans="2:13">
      <c r="B258" s="84" t="s">
        <v>2994</v>
      </c>
      <c r="C258" s="85">
        <v>19.4</v>
      </c>
      <c r="D258" s="86">
        <f t="shared" si="10"/>
        <v>0.699519230769231</v>
      </c>
      <c r="E258" s="93">
        <f t="shared" si="11"/>
        <v>104</v>
      </c>
      <c r="F258" s="94"/>
      <c r="G258" s="95"/>
      <c r="H258" s="74">
        <f t="shared" ref="H258:H268" si="12">_xlfn.XLOOKUP(G258,I:I,J:J)</f>
        <v>0</v>
      </c>
      <c r="I258" s="98" t="s">
        <v>2642</v>
      </c>
      <c r="J258" s="99">
        <v>710.0611</v>
      </c>
      <c r="L258" s="77" t="s">
        <v>3045</v>
      </c>
      <c r="M258" s="77">
        <v>2</v>
      </c>
    </row>
    <row r="259" s="69" customFormat="1" spans="2:13">
      <c r="B259" s="84" t="s">
        <v>2991</v>
      </c>
      <c r="C259" s="85">
        <v>19.4</v>
      </c>
      <c r="D259" s="86">
        <f t="shared" ref="D259:D322" si="13">IF(C259="","",C259/(C259+$C$1/60))</f>
        <v>0.699519230769231</v>
      </c>
      <c r="E259" s="93">
        <f t="shared" ref="E259:E322" si="14">IFERROR(ROUND(1440/C259*2*D259,0),"")</f>
        <v>104</v>
      </c>
      <c r="F259" s="94"/>
      <c r="G259" s="95"/>
      <c r="H259" s="74">
        <f t="shared" si="12"/>
        <v>0</v>
      </c>
      <c r="I259" s="98" t="s">
        <v>3046</v>
      </c>
      <c r="J259" s="97">
        <v>985.5699</v>
      </c>
      <c r="L259" s="77" t="s">
        <v>3047</v>
      </c>
      <c r="M259" s="77">
        <v>8</v>
      </c>
    </row>
    <row r="260" s="69" customFormat="1" spans="2:13">
      <c r="B260" s="84" t="s">
        <v>2987</v>
      </c>
      <c r="C260" s="85">
        <v>19.4</v>
      </c>
      <c r="D260" s="86">
        <f t="shared" si="13"/>
        <v>0.699519230769231</v>
      </c>
      <c r="E260" s="93">
        <f t="shared" si="14"/>
        <v>104</v>
      </c>
      <c r="F260" s="94"/>
      <c r="G260" s="95"/>
      <c r="H260" s="74">
        <f t="shared" si="12"/>
        <v>0</v>
      </c>
      <c r="I260" s="98" t="s">
        <v>3048</v>
      </c>
      <c r="J260" s="99">
        <v>896.5579</v>
      </c>
      <c r="L260" s="77" t="s">
        <v>3049</v>
      </c>
      <c r="M260" s="77">
        <v>2</v>
      </c>
    </row>
    <row r="261" s="69" customFormat="1" spans="2:13">
      <c r="B261" s="84" t="s">
        <v>2985</v>
      </c>
      <c r="C261" s="85">
        <v>19.4</v>
      </c>
      <c r="D261" s="86">
        <f t="shared" si="13"/>
        <v>0.699519230769231</v>
      </c>
      <c r="E261" s="93">
        <f t="shared" si="14"/>
        <v>104</v>
      </c>
      <c r="F261" s="94"/>
      <c r="G261" s="95"/>
      <c r="H261" s="74">
        <f t="shared" si="12"/>
        <v>0</v>
      </c>
      <c r="I261" s="98" t="s">
        <v>3050</v>
      </c>
      <c r="J261" s="99">
        <v>425.068</v>
      </c>
      <c r="L261" s="77" t="s">
        <v>3051</v>
      </c>
      <c r="M261" s="77">
        <v>2</v>
      </c>
    </row>
    <row r="262" s="69" customFormat="1" spans="2:13">
      <c r="B262" s="84" t="s">
        <v>2982</v>
      </c>
      <c r="C262" s="85">
        <v>19.4</v>
      </c>
      <c r="D262" s="86">
        <f t="shared" si="13"/>
        <v>0.699519230769231</v>
      </c>
      <c r="E262" s="93">
        <f t="shared" si="14"/>
        <v>104</v>
      </c>
      <c r="F262" s="94"/>
      <c r="G262" s="95"/>
      <c r="H262" s="74">
        <f t="shared" si="12"/>
        <v>0</v>
      </c>
      <c r="I262" s="98" t="s">
        <v>2729</v>
      </c>
      <c r="J262" s="99">
        <v>1286.120703</v>
      </c>
      <c r="L262" s="77" t="s">
        <v>3052</v>
      </c>
      <c r="M262" s="77">
        <v>2</v>
      </c>
    </row>
    <row r="263" s="69" customFormat="1" spans="2:13">
      <c r="B263" s="84" t="s">
        <v>2980</v>
      </c>
      <c r="C263" s="85">
        <v>19.4</v>
      </c>
      <c r="D263" s="86">
        <f t="shared" si="13"/>
        <v>0.699519230769231</v>
      </c>
      <c r="E263" s="93">
        <f t="shared" si="14"/>
        <v>104</v>
      </c>
      <c r="F263" s="94"/>
      <c r="G263" s="95"/>
      <c r="H263" s="74">
        <f t="shared" si="12"/>
        <v>0</v>
      </c>
      <c r="I263" s="98" t="s">
        <v>2684</v>
      </c>
      <c r="J263" s="99">
        <v>923.0711</v>
      </c>
      <c r="L263" s="77" t="s">
        <v>3053</v>
      </c>
      <c r="M263" s="77">
        <v>2</v>
      </c>
    </row>
    <row r="264" s="69" customFormat="1" spans="2:13">
      <c r="B264" s="84" t="s">
        <v>3054</v>
      </c>
      <c r="C264" s="85">
        <v>85</v>
      </c>
      <c r="D264" s="86">
        <f t="shared" si="13"/>
        <v>0.910714285714286</v>
      </c>
      <c r="E264" s="93">
        <f t="shared" si="14"/>
        <v>31</v>
      </c>
      <c r="F264" s="94"/>
      <c r="G264" s="95"/>
      <c r="H264" s="74">
        <f t="shared" si="12"/>
        <v>0</v>
      </c>
      <c r="I264" s="98" t="s">
        <v>3055</v>
      </c>
      <c r="J264" s="99">
        <v>946.5974</v>
      </c>
      <c r="L264" s="77" t="s">
        <v>3056</v>
      </c>
      <c r="M264" s="77">
        <v>6</v>
      </c>
    </row>
    <row r="265" s="69" customFormat="1" spans="2:13">
      <c r="B265" s="84" t="s">
        <v>3000</v>
      </c>
      <c r="C265" s="85">
        <v>85</v>
      </c>
      <c r="D265" s="86">
        <f t="shared" si="13"/>
        <v>0.910714285714286</v>
      </c>
      <c r="E265" s="93">
        <f t="shared" si="14"/>
        <v>31</v>
      </c>
      <c r="F265" s="94"/>
      <c r="G265" s="95"/>
      <c r="H265" s="74">
        <f t="shared" si="12"/>
        <v>0</v>
      </c>
      <c r="I265" s="98" t="s">
        <v>3057</v>
      </c>
      <c r="J265" s="99">
        <v>923.0711</v>
      </c>
      <c r="L265" s="77" t="s">
        <v>3058</v>
      </c>
      <c r="M265" s="77">
        <v>2</v>
      </c>
    </row>
    <row r="266" s="69" customFormat="1" spans="2:13">
      <c r="B266" s="84" t="s">
        <v>3059</v>
      </c>
      <c r="C266" s="85">
        <v>39</v>
      </c>
      <c r="D266" s="86">
        <f t="shared" si="13"/>
        <v>0.823943661971831</v>
      </c>
      <c r="E266" s="93">
        <f t="shared" si="14"/>
        <v>61</v>
      </c>
      <c r="F266" s="94"/>
      <c r="G266" s="95"/>
      <c r="H266" s="74">
        <f t="shared" si="12"/>
        <v>0</v>
      </c>
      <c r="I266" s="98" t="s">
        <v>2710</v>
      </c>
      <c r="J266" s="99">
        <v>981.9047</v>
      </c>
      <c r="L266" s="77" t="s">
        <v>3060</v>
      </c>
      <c r="M266" s="77">
        <v>2</v>
      </c>
    </row>
    <row r="267" s="69" customFormat="1" spans="2:13">
      <c r="B267" s="84" t="s">
        <v>3043</v>
      </c>
      <c r="C267" s="85">
        <v>38.5</v>
      </c>
      <c r="D267" s="86">
        <f t="shared" si="13"/>
        <v>0.822064056939502</v>
      </c>
      <c r="E267" s="93">
        <f t="shared" si="14"/>
        <v>61</v>
      </c>
      <c r="F267" s="94"/>
      <c r="G267" s="95"/>
      <c r="H267" s="74">
        <f t="shared" si="12"/>
        <v>0</v>
      </c>
      <c r="I267" s="98" t="s">
        <v>3061</v>
      </c>
      <c r="J267" s="99">
        <v>905.9773</v>
      </c>
      <c r="L267" s="77" t="s">
        <v>3062</v>
      </c>
      <c r="M267" s="77">
        <v>4</v>
      </c>
    </row>
    <row r="268" s="69" customFormat="1" spans="2:13">
      <c r="B268" s="84" t="s">
        <v>3063</v>
      </c>
      <c r="C268" s="85">
        <v>38</v>
      </c>
      <c r="D268" s="86">
        <f t="shared" si="13"/>
        <v>0.820143884892086</v>
      </c>
      <c r="E268" s="93">
        <f t="shared" si="14"/>
        <v>62</v>
      </c>
      <c r="F268" s="94"/>
      <c r="G268" s="95"/>
      <c r="H268" s="74">
        <f t="shared" si="12"/>
        <v>0</v>
      </c>
      <c r="I268" s="98" t="s">
        <v>3064</v>
      </c>
      <c r="J268" s="99">
        <v>754.12</v>
      </c>
      <c r="L268" s="77" t="s">
        <v>3065</v>
      </c>
      <c r="M268" s="77">
        <v>2</v>
      </c>
    </row>
    <row r="269" s="69" customFormat="1" spans="2:13">
      <c r="B269" s="84" t="s">
        <v>3066</v>
      </c>
      <c r="C269" s="85">
        <v>38</v>
      </c>
      <c r="D269" s="86">
        <f t="shared" si="13"/>
        <v>0.820143884892086</v>
      </c>
      <c r="E269" s="93">
        <f t="shared" si="14"/>
        <v>62</v>
      </c>
      <c r="F269" s="94"/>
      <c r="G269" s="95"/>
      <c r="H269" s="74"/>
      <c r="I269" s="98" t="s">
        <v>3067</v>
      </c>
      <c r="J269" s="99">
        <v>745.928</v>
      </c>
      <c r="L269" s="77" t="s">
        <v>3068</v>
      </c>
      <c r="M269" s="77">
        <v>2</v>
      </c>
    </row>
    <row r="270" s="69" customFormat="1" spans="2:13">
      <c r="B270" s="84" t="s">
        <v>3069</v>
      </c>
      <c r="C270" s="85">
        <v>46</v>
      </c>
      <c r="D270" s="86">
        <f t="shared" si="13"/>
        <v>0.846625766871166</v>
      </c>
      <c r="E270" s="93">
        <f t="shared" si="14"/>
        <v>53</v>
      </c>
      <c r="F270" s="94"/>
      <c r="G270" s="95"/>
      <c r="H270" s="74"/>
      <c r="I270" s="98" t="s">
        <v>3070</v>
      </c>
      <c r="J270" s="99">
        <v>819.791</v>
      </c>
      <c r="L270" s="77" t="s">
        <v>3071</v>
      </c>
      <c r="M270" s="77">
        <v>4</v>
      </c>
    </row>
    <row r="271" s="69" customFormat="1" spans="2:13">
      <c r="B271" s="84" t="s">
        <v>3072</v>
      </c>
      <c r="C271" s="85">
        <v>46</v>
      </c>
      <c r="D271" s="86">
        <f t="shared" si="13"/>
        <v>0.846625766871166</v>
      </c>
      <c r="E271" s="93">
        <f t="shared" si="14"/>
        <v>53</v>
      </c>
      <c r="F271" s="94"/>
      <c r="G271" s="95"/>
      <c r="H271" s="74"/>
      <c r="I271" s="98" t="s">
        <v>3073</v>
      </c>
      <c r="J271" s="99">
        <v>763.4326</v>
      </c>
      <c r="L271" s="77" t="s">
        <v>3074</v>
      </c>
      <c r="M271" s="77">
        <v>4</v>
      </c>
    </row>
    <row r="272" s="69" customFormat="1" spans="2:13">
      <c r="B272" s="84" t="s">
        <v>3041</v>
      </c>
      <c r="C272" s="85">
        <v>39</v>
      </c>
      <c r="D272" s="86">
        <f t="shared" si="13"/>
        <v>0.823943661971831</v>
      </c>
      <c r="E272" s="93">
        <f t="shared" si="14"/>
        <v>61</v>
      </c>
      <c r="F272" s="94"/>
      <c r="G272" s="95"/>
      <c r="H272" s="74"/>
      <c r="I272" s="98" t="s">
        <v>3075</v>
      </c>
      <c r="J272" s="99">
        <v>763.4326</v>
      </c>
      <c r="L272" s="77" t="s">
        <v>3076</v>
      </c>
      <c r="M272" s="77">
        <v>4</v>
      </c>
    </row>
    <row r="273" s="69" customFormat="1" spans="2:13">
      <c r="B273" s="84" t="s">
        <v>3077</v>
      </c>
      <c r="C273" s="85">
        <v>36</v>
      </c>
      <c r="D273" s="86">
        <f t="shared" si="13"/>
        <v>0.81203007518797</v>
      </c>
      <c r="E273" s="93">
        <f t="shared" si="14"/>
        <v>65</v>
      </c>
      <c r="F273" s="94"/>
      <c r="G273" s="95"/>
      <c r="H273" s="74"/>
      <c r="I273" s="98" t="s">
        <v>2805</v>
      </c>
      <c r="J273" s="99">
        <v>619.469</v>
      </c>
      <c r="L273" s="77" t="s">
        <v>3078</v>
      </c>
      <c r="M273" s="77">
        <v>4</v>
      </c>
    </row>
    <row r="274" s="69" customFormat="1" spans="2:13">
      <c r="B274" s="103" t="s">
        <v>3079</v>
      </c>
      <c r="C274" s="85">
        <v>44</v>
      </c>
      <c r="D274" s="86">
        <f t="shared" si="13"/>
        <v>0.840764331210191</v>
      </c>
      <c r="E274" s="93">
        <f t="shared" si="14"/>
        <v>55</v>
      </c>
      <c r="F274" s="94"/>
      <c r="G274" s="95"/>
      <c r="H274" s="74"/>
      <c r="I274" s="98" t="s">
        <v>3080</v>
      </c>
      <c r="J274" s="99">
        <v>539.305</v>
      </c>
      <c r="L274" s="77" t="s">
        <v>3081</v>
      </c>
      <c r="M274" s="77">
        <v>4</v>
      </c>
    </row>
    <row r="275" s="69" customFormat="1" spans="2:13">
      <c r="B275" s="84" t="s">
        <v>3082</v>
      </c>
      <c r="C275" s="85">
        <v>44.5</v>
      </c>
      <c r="D275" s="86">
        <f t="shared" si="13"/>
        <v>0.842271293375394</v>
      </c>
      <c r="E275" s="93">
        <f t="shared" si="14"/>
        <v>55</v>
      </c>
      <c r="F275" s="94"/>
      <c r="G275" s="95"/>
      <c r="H275" s="74"/>
      <c r="I275" s="98" t="s">
        <v>3083</v>
      </c>
      <c r="J275" s="99">
        <v>453.8415</v>
      </c>
      <c r="L275" s="77" t="s">
        <v>3084</v>
      </c>
      <c r="M275" s="77">
        <v>4</v>
      </c>
    </row>
    <row r="276" s="69" customFormat="1" spans="2:13">
      <c r="B276" s="84" t="s">
        <v>3085</v>
      </c>
      <c r="C276" s="85">
        <v>36</v>
      </c>
      <c r="D276" s="86">
        <f t="shared" si="13"/>
        <v>0.81203007518797</v>
      </c>
      <c r="E276" s="93">
        <f t="shared" si="14"/>
        <v>65</v>
      </c>
      <c r="F276" s="94"/>
      <c r="G276" s="95"/>
      <c r="H276" s="74"/>
      <c r="I276" s="98" t="s">
        <v>3086</v>
      </c>
      <c r="J276" s="99">
        <v>412.93</v>
      </c>
      <c r="L276" s="77" t="s">
        <v>3087</v>
      </c>
      <c r="M276" s="77">
        <v>2</v>
      </c>
    </row>
    <row r="277" s="69" customFormat="1" spans="2:13">
      <c r="B277" s="84" t="s">
        <v>3088</v>
      </c>
      <c r="C277" s="85">
        <v>36</v>
      </c>
      <c r="D277" s="86">
        <f t="shared" si="13"/>
        <v>0.81203007518797</v>
      </c>
      <c r="E277" s="93">
        <f t="shared" si="14"/>
        <v>65</v>
      </c>
      <c r="F277" s="94"/>
      <c r="G277" s="95"/>
      <c r="H277" s="74"/>
      <c r="I277" s="98" t="s">
        <v>3089</v>
      </c>
      <c r="J277" s="99">
        <v>1172.1857</v>
      </c>
      <c r="L277" s="77" t="s">
        <v>3090</v>
      </c>
      <c r="M277" s="77">
        <v>2</v>
      </c>
    </row>
    <row r="278" s="69" customFormat="1" spans="2:13">
      <c r="B278" s="84" t="s">
        <v>3091</v>
      </c>
      <c r="C278" s="85">
        <v>40</v>
      </c>
      <c r="D278" s="86">
        <f t="shared" si="13"/>
        <v>0.827586206896552</v>
      </c>
      <c r="E278" s="93">
        <f t="shared" si="14"/>
        <v>60</v>
      </c>
      <c r="F278" s="94"/>
      <c r="G278" s="95"/>
      <c r="H278" s="74"/>
      <c r="I278" s="98" t="s">
        <v>3092</v>
      </c>
      <c r="J278" s="99">
        <v>1172.1857</v>
      </c>
      <c r="L278" s="77" t="s">
        <v>3093</v>
      </c>
      <c r="M278" s="77">
        <v>6</v>
      </c>
    </row>
    <row r="279" s="69" customFormat="1" spans="2:13">
      <c r="B279" s="84" t="s">
        <v>3094</v>
      </c>
      <c r="C279" s="85">
        <v>46</v>
      </c>
      <c r="D279" s="86">
        <f t="shared" si="13"/>
        <v>0.846625766871166</v>
      </c>
      <c r="E279" s="93">
        <f t="shared" si="14"/>
        <v>53</v>
      </c>
      <c r="F279" s="94"/>
      <c r="G279" s="95"/>
      <c r="H279" s="74"/>
      <c r="I279" s="98" t="s">
        <v>3095</v>
      </c>
      <c r="J279" s="99">
        <v>1172.1857</v>
      </c>
      <c r="L279" s="77" t="s">
        <v>3096</v>
      </c>
      <c r="M279" s="77">
        <v>2</v>
      </c>
    </row>
    <row r="280" s="69" customFormat="1" spans="2:13">
      <c r="B280" s="84" t="s">
        <v>3097</v>
      </c>
      <c r="C280" s="85">
        <v>46</v>
      </c>
      <c r="D280" s="86">
        <f t="shared" si="13"/>
        <v>0.846625766871166</v>
      </c>
      <c r="E280" s="93">
        <f t="shared" si="14"/>
        <v>53</v>
      </c>
      <c r="F280" s="94"/>
      <c r="G280" s="95"/>
      <c r="H280" s="74"/>
      <c r="I280" s="98" t="s">
        <v>3025</v>
      </c>
      <c r="J280" s="99">
        <v>903.900914</v>
      </c>
      <c r="L280" s="77" t="s">
        <v>3098</v>
      </c>
      <c r="M280" s="77">
        <v>2</v>
      </c>
    </row>
    <row r="281" s="69" customFormat="1" spans="2:13">
      <c r="B281" s="84" t="s">
        <v>3019</v>
      </c>
      <c r="C281" s="85">
        <v>37</v>
      </c>
      <c r="D281" s="86">
        <f t="shared" si="13"/>
        <v>0.816176470588235</v>
      </c>
      <c r="E281" s="93">
        <f t="shared" si="14"/>
        <v>64</v>
      </c>
      <c r="F281" s="94"/>
      <c r="G281" s="95"/>
      <c r="H281" s="74"/>
      <c r="I281" s="98" t="s">
        <v>1124</v>
      </c>
      <c r="J281" s="99">
        <v>523.059026</v>
      </c>
      <c r="L281" s="77" t="s">
        <v>3099</v>
      </c>
      <c r="M281" s="77">
        <v>2</v>
      </c>
    </row>
    <row r="282" s="69" customFormat="1" spans="2:13">
      <c r="B282" s="84" t="s">
        <v>3021</v>
      </c>
      <c r="C282" s="85">
        <v>37</v>
      </c>
      <c r="D282" s="86">
        <f t="shared" si="13"/>
        <v>0.816176470588235</v>
      </c>
      <c r="E282" s="93">
        <f t="shared" si="14"/>
        <v>64</v>
      </c>
      <c r="F282" s="94"/>
      <c r="G282" s="95"/>
      <c r="H282" s="74"/>
      <c r="I282" s="98" t="s">
        <v>3031</v>
      </c>
      <c r="J282" s="99">
        <v>66.460072</v>
      </c>
      <c r="L282" s="77" t="s">
        <v>3100</v>
      </c>
      <c r="M282" s="77">
        <v>2</v>
      </c>
    </row>
    <row r="283" s="69" customFormat="1" spans="2:13">
      <c r="B283" s="84" t="s">
        <v>3101</v>
      </c>
      <c r="C283" s="85">
        <v>32.5</v>
      </c>
      <c r="D283" s="86">
        <f t="shared" si="13"/>
        <v>0.795918367346939</v>
      </c>
      <c r="E283" s="93">
        <f t="shared" si="14"/>
        <v>71</v>
      </c>
      <c r="F283" s="94"/>
      <c r="G283" s="95"/>
      <c r="H283" s="74"/>
      <c r="I283" s="98" t="s">
        <v>3102</v>
      </c>
      <c r="J283" s="99">
        <v>145.1761</v>
      </c>
      <c r="L283" s="77" t="s">
        <v>3103</v>
      </c>
      <c r="M283" s="77">
        <v>2</v>
      </c>
    </row>
    <row r="284" s="69" customFormat="1" spans="2:13">
      <c r="B284" s="84" t="s">
        <v>3104</v>
      </c>
      <c r="C284" s="85">
        <v>31</v>
      </c>
      <c r="D284" s="86">
        <f t="shared" si="13"/>
        <v>0.788135593220339</v>
      </c>
      <c r="E284" s="93">
        <f t="shared" si="14"/>
        <v>73</v>
      </c>
      <c r="F284" s="94"/>
      <c r="G284" s="95"/>
      <c r="H284" s="74"/>
      <c r="I284" s="98" t="s">
        <v>3105</v>
      </c>
      <c r="J284" s="99">
        <v>3079.530433</v>
      </c>
      <c r="L284" s="77" t="s">
        <v>3106</v>
      </c>
      <c r="M284" s="77">
        <v>2</v>
      </c>
    </row>
    <row r="285" s="69" customFormat="1" spans="2:13">
      <c r="B285" s="84" t="s">
        <v>3107</v>
      </c>
      <c r="C285" s="85">
        <v>34.5</v>
      </c>
      <c r="D285" s="86">
        <f t="shared" si="13"/>
        <v>0.805447470817121</v>
      </c>
      <c r="E285" s="93">
        <f t="shared" si="14"/>
        <v>67</v>
      </c>
      <c r="F285" s="94"/>
      <c r="G285" s="95"/>
      <c r="H285" s="74"/>
      <c r="I285" s="98" t="s">
        <v>3054</v>
      </c>
      <c r="J285" s="99">
        <v>3107.528634</v>
      </c>
      <c r="L285" s="77" t="s">
        <v>3108</v>
      </c>
      <c r="M285" s="77">
        <v>2</v>
      </c>
    </row>
    <row r="286" s="69" customFormat="1" spans="2:13">
      <c r="B286" s="84" t="s">
        <v>3109</v>
      </c>
      <c r="C286" s="85">
        <v>36</v>
      </c>
      <c r="D286" s="86">
        <f t="shared" si="13"/>
        <v>0.81203007518797</v>
      </c>
      <c r="E286" s="93">
        <f t="shared" si="14"/>
        <v>65</v>
      </c>
      <c r="F286" s="94"/>
      <c r="G286" s="95"/>
      <c r="H286" s="74"/>
      <c r="I286" s="98" t="s">
        <v>3110</v>
      </c>
      <c r="J286" s="99">
        <v>163.204</v>
      </c>
      <c r="L286" s="77" t="s">
        <v>3111</v>
      </c>
      <c r="M286" s="77">
        <v>6</v>
      </c>
    </row>
    <row r="287" s="69" customFormat="1" spans="2:13">
      <c r="B287" s="84" t="s">
        <v>3075</v>
      </c>
      <c r="C287" s="85">
        <v>40</v>
      </c>
      <c r="D287" s="86">
        <f t="shared" si="13"/>
        <v>0.827586206896552</v>
      </c>
      <c r="E287" s="93">
        <f t="shared" si="14"/>
        <v>60</v>
      </c>
      <c r="F287" s="94"/>
      <c r="G287" s="95"/>
      <c r="H287" s="74"/>
      <c r="I287" s="98" t="s">
        <v>3112</v>
      </c>
      <c r="J287" s="99">
        <v>141.2394</v>
      </c>
      <c r="L287" s="77" t="s">
        <v>3113</v>
      </c>
      <c r="M287" s="77">
        <v>2</v>
      </c>
    </row>
    <row r="288" s="69" customFormat="1" spans="2:13">
      <c r="B288" s="84" t="s">
        <v>3114</v>
      </c>
      <c r="C288" s="85">
        <v>42</v>
      </c>
      <c r="D288" s="86">
        <f t="shared" si="13"/>
        <v>0.834437086092715</v>
      </c>
      <c r="E288" s="93">
        <f t="shared" si="14"/>
        <v>57</v>
      </c>
      <c r="F288" s="94"/>
      <c r="G288" s="95"/>
      <c r="H288" s="74"/>
      <c r="I288" s="98" t="s">
        <v>2720</v>
      </c>
      <c r="J288" s="99">
        <v>147.700063</v>
      </c>
      <c r="L288" s="77" t="s">
        <v>3115</v>
      </c>
      <c r="M288" s="77">
        <v>2</v>
      </c>
    </row>
    <row r="289" s="69" customFormat="1" spans="2:13">
      <c r="B289" s="84" t="s">
        <v>3116</v>
      </c>
      <c r="C289" s="85">
        <v>35</v>
      </c>
      <c r="D289" s="86">
        <f t="shared" si="13"/>
        <v>0.807692307692308</v>
      </c>
      <c r="E289" s="93">
        <f t="shared" si="14"/>
        <v>66</v>
      </c>
      <c r="F289" s="94"/>
      <c r="G289" s="95"/>
      <c r="H289" s="74"/>
      <c r="I289" s="98" t="s">
        <v>2724</v>
      </c>
      <c r="J289" s="99">
        <v>134.13442</v>
      </c>
      <c r="L289" s="77" t="s">
        <v>3117</v>
      </c>
      <c r="M289" s="77">
        <v>2</v>
      </c>
    </row>
    <row r="290" s="69" customFormat="1" spans="2:13">
      <c r="B290" s="84" t="s">
        <v>3070</v>
      </c>
      <c r="C290" s="85">
        <v>40</v>
      </c>
      <c r="D290" s="86">
        <f t="shared" si="13"/>
        <v>0.827586206896552</v>
      </c>
      <c r="E290" s="93">
        <f t="shared" si="14"/>
        <v>60</v>
      </c>
      <c r="F290" s="94"/>
      <c r="G290" s="95"/>
      <c r="H290" s="74"/>
      <c r="I290" s="98" t="s">
        <v>2722</v>
      </c>
      <c r="J290" s="99">
        <v>144.265366</v>
      </c>
      <c r="L290" s="77" t="s">
        <v>3118</v>
      </c>
      <c r="M290" s="77">
        <v>2</v>
      </c>
    </row>
    <row r="291" s="69" customFormat="1" spans="2:13">
      <c r="B291" s="84" t="s">
        <v>3119</v>
      </c>
      <c r="C291" s="85">
        <v>40</v>
      </c>
      <c r="D291" s="86">
        <f t="shared" si="13"/>
        <v>0.827586206896552</v>
      </c>
      <c r="E291" s="93">
        <f t="shared" si="14"/>
        <v>60</v>
      </c>
      <c r="F291" s="94"/>
      <c r="G291" s="95"/>
      <c r="H291" s="74"/>
      <c r="I291" s="98" t="s">
        <v>2727</v>
      </c>
      <c r="J291" s="99">
        <v>122.307248</v>
      </c>
      <c r="L291" s="77" t="s">
        <v>3120</v>
      </c>
      <c r="M291" s="77">
        <v>2</v>
      </c>
    </row>
    <row r="292" s="69" customFormat="1" spans="2:13">
      <c r="B292" s="84" t="s">
        <v>3121</v>
      </c>
      <c r="C292" s="85">
        <v>42</v>
      </c>
      <c r="D292" s="86">
        <f t="shared" si="13"/>
        <v>0.834437086092715</v>
      </c>
      <c r="E292" s="93">
        <f t="shared" si="14"/>
        <v>57</v>
      </c>
      <c r="F292" s="94"/>
      <c r="G292" s="95"/>
      <c r="H292" s="74"/>
      <c r="I292" s="98" t="s">
        <v>3122</v>
      </c>
      <c r="J292" s="99"/>
      <c r="L292" s="77" t="s">
        <v>3123</v>
      </c>
      <c r="M292" s="77">
        <v>2</v>
      </c>
    </row>
    <row r="293" s="69" customFormat="1" spans="2:13">
      <c r="B293" s="84" t="s">
        <v>3124</v>
      </c>
      <c r="C293" s="85">
        <v>43.5</v>
      </c>
      <c r="D293" s="86">
        <f t="shared" si="13"/>
        <v>0.839228295819936</v>
      </c>
      <c r="E293" s="93">
        <f t="shared" si="14"/>
        <v>56</v>
      </c>
      <c r="F293" s="94"/>
      <c r="G293" s="95"/>
      <c r="H293" s="74"/>
      <c r="I293" s="98" t="s">
        <v>3125</v>
      </c>
      <c r="J293" s="104">
        <v>709.66</v>
      </c>
      <c r="L293" s="77" t="s">
        <v>3126</v>
      </c>
      <c r="M293" s="77">
        <v>2</v>
      </c>
    </row>
    <row r="294" s="69" customFormat="1" spans="2:13">
      <c r="B294" s="84" t="s">
        <v>3127</v>
      </c>
      <c r="C294" s="85">
        <v>36</v>
      </c>
      <c r="D294" s="86">
        <f t="shared" si="13"/>
        <v>0.81203007518797</v>
      </c>
      <c r="E294" s="93">
        <f t="shared" si="14"/>
        <v>65</v>
      </c>
      <c r="F294" s="94"/>
      <c r="G294" s="95"/>
      <c r="H294" s="74"/>
      <c r="I294" s="98" t="s">
        <v>3128</v>
      </c>
      <c r="J294" s="99">
        <v>789.917002</v>
      </c>
      <c r="L294" s="77" t="s">
        <v>3129</v>
      </c>
      <c r="M294" s="77">
        <v>8</v>
      </c>
    </row>
    <row r="295" s="69" customFormat="1" spans="2:13">
      <c r="B295" s="84" t="s">
        <v>3130</v>
      </c>
      <c r="C295" s="85">
        <v>36</v>
      </c>
      <c r="D295" s="86">
        <f t="shared" si="13"/>
        <v>0.81203007518797</v>
      </c>
      <c r="E295" s="93">
        <f t="shared" si="14"/>
        <v>65</v>
      </c>
      <c r="F295" s="94"/>
      <c r="G295" s="95"/>
      <c r="H295" s="74"/>
      <c r="I295" s="98" t="s">
        <v>3131</v>
      </c>
      <c r="J295" s="99">
        <v>826.4206</v>
      </c>
      <c r="L295" s="77" t="s">
        <v>3132</v>
      </c>
      <c r="M295" s="77">
        <v>2</v>
      </c>
    </row>
    <row r="296" s="69" customFormat="1" spans="2:13">
      <c r="B296" s="84" t="s">
        <v>3133</v>
      </c>
      <c r="C296" s="85">
        <v>46</v>
      </c>
      <c r="D296" s="86">
        <f t="shared" si="13"/>
        <v>0.846625766871166</v>
      </c>
      <c r="E296" s="93">
        <f t="shared" si="14"/>
        <v>53</v>
      </c>
      <c r="F296" s="94"/>
      <c r="G296" s="95"/>
      <c r="H296" s="74"/>
      <c r="I296" s="98" t="s">
        <v>3063</v>
      </c>
      <c r="J296" s="99">
        <v>743.964</v>
      </c>
      <c r="L296" s="77" t="s">
        <v>3134</v>
      </c>
      <c r="M296" s="77">
        <v>2</v>
      </c>
    </row>
    <row r="297" s="69" customFormat="1" spans="2:13">
      <c r="B297" s="84" t="s">
        <v>3135</v>
      </c>
      <c r="C297" s="85">
        <v>43.5</v>
      </c>
      <c r="D297" s="86">
        <f t="shared" si="13"/>
        <v>0.839228295819936</v>
      </c>
      <c r="E297" s="93">
        <f t="shared" si="14"/>
        <v>56</v>
      </c>
      <c r="F297" s="94"/>
      <c r="G297" s="95"/>
      <c r="H297" s="74"/>
      <c r="I297" s="98" t="s">
        <v>3077</v>
      </c>
      <c r="J297" s="99">
        <v>651.918</v>
      </c>
      <c r="L297" s="77" t="s">
        <v>3136</v>
      </c>
      <c r="M297" s="77">
        <v>2</v>
      </c>
    </row>
    <row r="298" s="69" customFormat="1" spans="2:13">
      <c r="B298" s="84" t="s">
        <v>3137</v>
      </c>
      <c r="C298" s="85">
        <v>39</v>
      </c>
      <c r="D298" s="86">
        <f t="shared" si="13"/>
        <v>0.823943661971831</v>
      </c>
      <c r="E298" s="93">
        <f t="shared" si="14"/>
        <v>61</v>
      </c>
      <c r="F298" s="94"/>
      <c r="G298" s="95"/>
      <c r="H298" s="74"/>
      <c r="I298" s="98" t="s">
        <v>3138</v>
      </c>
      <c r="J298" s="99">
        <v>752.7142</v>
      </c>
      <c r="L298" s="77" t="s">
        <v>3139</v>
      </c>
      <c r="M298" s="77">
        <v>2</v>
      </c>
    </row>
    <row r="299" s="69" customFormat="1" spans="2:13">
      <c r="B299" s="84" t="s">
        <v>3140</v>
      </c>
      <c r="C299" s="85">
        <v>39</v>
      </c>
      <c r="D299" s="86">
        <f t="shared" si="13"/>
        <v>0.823943661971831</v>
      </c>
      <c r="E299" s="93">
        <f t="shared" si="14"/>
        <v>61</v>
      </c>
      <c r="F299" s="94"/>
      <c r="G299" s="95"/>
      <c r="H299" s="74"/>
      <c r="I299" s="98" t="s">
        <v>3141</v>
      </c>
      <c r="J299" s="99">
        <v>788.899552</v>
      </c>
      <c r="L299" s="77" t="s">
        <v>3142</v>
      </c>
      <c r="M299" s="77">
        <v>4</v>
      </c>
    </row>
    <row r="300" s="69" customFormat="1" spans="2:13">
      <c r="B300" s="84" t="s">
        <v>3143</v>
      </c>
      <c r="C300" s="85">
        <v>33.5</v>
      </c>
      <c r="D300" s="86">
        <f t="shared" si="13"/>
        <v>0.800796812749004</v>
      </c>
      <c r="E300" s="93">
        <f t="shared" si="14"/>
        <v>69</v>
      </c>
      <c r="F300" s="94"/>
      <c r="G300" s="95"/>
      <c r="H300" s="74"/>
      <c r="I300" s="98" t="s">
        <v>3144</v>
      </c>
      <c r="J300" s="99">
        <v>752.7142</v>
      </c>
      <c r="L300" s="77" t="s">
        <v>3145</v>
      </c>
      <c r="M300" s="77">
        <v>4</v>
      </c>
    </row>
    <row r="301" s="69" customFormat="1" spans="2:13">
      <c r="B301" s="84" t="s">
        <v>3146</v>
      </c>
      <c r="C301" s="85">
        <v>36</v>
      </c>
      <c r="D301" s="86">
        <f t="shared" si="13"/>
        <v>0.81203007518797</v>
      </c>
      <c r="E301" s="93">
        <f t="shared" si="14"/>
        <v>65</v>
      </c>
      <c r="F301" s="94"/>
      <c r="G301" s="95"/>
      <c r="H301" s="74"/>
      <c r="I301" s="98" t="s">
        <v>3147</v>
      </c>
      <c r="J301" s="99">
        <v>823.887</v>
      </c>
      <c r="L301" s="77" t="s">
        <v>3148</v>
      </c>
      <c r="M301" s="77">
        <v>4</v>
      </c>
    </row>
    <row r="302" s="69" customFormat="1" spans="2:13">
      <c r="B302" s="84" t="s">
        <v>3061</v>
      </c>
      <c r="C302" s="85">
        <v>44</v>
      </c>
      <c r="D302" s="86">
        <f t="shared" si="13"/>
        <v>0.840764331210191</v>
      </c>
      <c r="E302" s="93">
        <f t="shared" si="14"/>
        <v>55</v>
      </c>
      <c r="F302" s="94"/>
      <c r="G302" s="95"/>
      <c r="H302" s="74"/>
      <c r="I302" s="98" t="s">
        <v>3149</v>
      </c>
      <c r="J302" s="99">
        <v>752.441046</v>
      </c>
      <c r="L302" s="77" t="s">
        <v>3150</v>
      </c>
      <c r="M302" s="77">
        <v>4</v>
      </c>
    </row>
    <row r="303" s="69" customFormat="1" spans="2:13">
      <c r="B303" s="84" t="s">
        <v>3151</v>
      </c>
      <c r="C303" s="85">
        <v>36.5</v>
      </c>
      <c r="D303" s="86">
        <f t="shared" si="13"/>
        <v>0.814126394052045</v>
      </c>
      <c r="E303" s="93">
        <f t="shared" si="14"/>
        <v>64</v>
      </c>
      <c r="F303" s="94"/>
      <c r="G303" s="95"/>
      <c r="H303" s="74"/>
      <c r="I303" s="98" t="s">
        <v>3152</v>
      </c>
      <c r="J303" s="99">
        <v>788.899552</v>
      </c>
      <c r="L303" s="77" t="s">
        <v>3153</v>
      </c>
      <c r="M303" s="77">
        <v>2</v>
      </c>
    </row>
    <row r="304" s="69" customFormat="1" spans="2:13">
      <c r="B304" s="84" t="s">
        <v>3154</v>
      </c>
      <c r="C304" s="85">
        <v>37</v>
      </c>
      <c r="D304" s="86">
        <f t="shared" si="13"/>
        <v>0.816176470588235</v>
      </c>
      <c r="E304" s="93">
        <f t="shared" si="14"/>
        <v>64</v>
      </c>
      <c r="F304" s="94"/>
      <c r="G304" s="95"/>
      <c r="H304" s="74"/>
      <c r="I304" s="98" t="s">
        <v>3059</v>
      </c>
      <c r="J304" s="99">
        <v>826.4206</v>
      </c>
      <c r="L304" s="77" t="s">
        <v>3155</v>
      </c>
      <c r="M304" s="77">
        <v>4</v>
      </c>
    </row>
    <row r="305" s="69" customFormat="1" spans="2:13">
      <c r="B305" s="84" t="s">
        <v>2664</v>
      </c>
      <c r="C305" s="85">
        <v>38</v>
      </c>
      <c r="D305" s="86">
        <f t="shared" si="13"/>
        <v>0.820143884892086</v>
      </c>
      <c r="E305" s="93">
        <f t="shared" si="14"/>
        <v>62</v>
      </c>
      <c r="F305" s="94"/>
      <c r="G305" s="95"/>
      <c r="H305" s="74"/>
      <c r="I305" s="98" t="s">
        <v>3066</v>
      </c>
      <c r="J305" s="99">
        <v>826.4206</v>
      </c>
      <c r="L305" s="77" t="s">
        <v>3156</v>
      </c>
      <c r="M305" s="77">
        <v>2</v>
      </c>
    </row>
    <row r="306" s="69" customFormat="1" spans="2:13">
      <c r="B306" s="84" t="s">
        <v>3157</v>
      </c>
      <c r="C306" s="85">
        <v>48</v>
      </c>
      <c r="D306" s="86">
        <f t="shared" si="13"/>
        <v>0.85207100591716</v>
      </c>
      <c r="E306" s="93">
        <f t="shared" si="14"/>
        <v>51</v>
      </c>
      <c r="F306" s="94"/>
      <c r="G306" s="95"/>
      <c r="H306" s="74"/>
      <c r="I306" s="98" t="s">
        <v>3069</v>
      </c>
      <c r="J306" s="99">
        <v>826.4206</v>
      </c>
      <c r="L306" s="77" t="s">
        <v>3158</v>
      </c>
      <c r="M306" s="77">
        <v>2</v>
      </c>
    </row>
    <row r="307" s="69" customFormat="1" spans="2:13">
      <c r="B307" s="84" t="s">
        <v>3159</v>
      </c>
      <c r="C307" s="85">
        <v>42</v>
      </c>
      <c r="D307" s="86">
        <f t="shared" si="13"/>
        <v>0.834437086092715</v>
      </c>
      <c r="E307" s="93">
        <f t="shared" si="14"/>
        <v>57</v>
      </c>
      <c r="F307" s="94"/>
      <c r="G307" s="95"/>
      <c r="H307" s="74"/>
      <c r="I307" s="98" t="s">
        <v>3072</v>
      </c>
      <c r="J307" s="99">
        <v>826.4206</v>
      </c>
      <c r="L307" s="77" t="s">
        <v>3160</v>
      </c>
      <c r="M307" s="77">
        <v>4</v>
      </c>
    </row>
    <row r="308" s="69" customFormat="1" spans="2:13">
      <c r="B308" s="84" t="s">
        <v>2594</v>
      </c>
      <c r="C308" s="85">
        <v>51.5</v>
      </c>
      <c r="D308" s="86">
        <f t="shared" si="13"/>
        <v>0.860724233983287</v>
      </c>
      <c r="E308" s="93">
        <f t="shared" si="14"/>
        <v>48</v>
      </c>
      <c r="F308" s="94"/>
      <c r="G308" s="95"/>
      <c r="H308" s="74"/>
      <c r="I308" s="98" t="s">
        <v>3133</v>
      </c>
      <c r="J308" s="99"/>
      <c r="L308" s="77" t="s">
        <v>3161</v>
      </c>
      <c r="M308" s="77">
        <v>2</v>
      </c>
    </row>
    <row r="309" s="69" customFormat="1" spans="2:13">
      <c r="B309" s="84" t="s">
        <v>3162</v>
      </c>
      <c r="C309" s="85">
        <v>47</v>
      </c>
      <c r="D309" s="86">
        <f t="shared" si="13"/>
        <v>0.849397590361446</v>
      </c>
      <c r="E309" s="93">
        <f t="shared" si="14"/>
        <v>52</v>
      </c>
      <c r="F309" s="94"/>
      <c r="G309" s="95"/>
      <c r="H309" s="74"/>
      <c r="I309" s="98" t="s">
        <v>3135</v>
      </c>
      <c r="J309" s="99"/>
      <c r="L309" s="77" t="s">
        <v>3163</v>
      </c>
      <c r="M309" s="77">
        <v>4</v>
      </c>
    </row>
    <row r="310" s="69" customFormat="1" spans="2:13">
      <c r="B310" s="84" t="s">
        <v>3164</v>
      </c>
      <c r="C310" s="85">
        <v>55</v>
      </c>
      <c r="D310" s="86">
        <f t="shared" si="13"/>
        <v>0.868421052631579</v>
      </c>
      <c r="E310" s="93">
        <f t="shared" si="14"/>
        <v>45</v>
      </c>
      <c r="F310" s="94"/>
      <c r="G310" s="95"/>
      <c r="H310" s="74"/>
      <c r="I310" s="98" t="s">
        <v>2860</v>
      </c>
      <c r="J310" s="99"/>
      <c r="L310" s="77" t="s">
        <v>3165</v>
      </c>
      <c r="M310" s="77">
        <v>2</v>
      </c>
    </row>
    <row r="311" s="69" customFormat="1" spans="2:13">
      <c r="B311" s="84" t="s">
        <v>3166</v>
      </c>
      <c r="C311" s="85">
        <v>58</v>
      </c>
      <c r="D311" s="86">
        <f t="shared" si="13"/>
        <v>0.874371859296482</v>
      </c>
      <c r="E311" s="93">
        <f t="shared" si="14"/>
        <v>43</v>
      </c>
      <c r="F311" s="94"/>
      <c r="G311" s="95"/>
      <c r="H311" s="74"/>
      <c r="I311" s="98" t="s">
        <v>3167</v>
      </c>
      <c r="J311" s="99"/>
      <c r="L311" s="77" t="s">
        <v>3168</v>
      </c>
      <c r="M311" s="77">
        <v>2</v>
      </c>
    </row>
    <row r="312" s="69" customFormat="1" spans="2:13">
      <c r="B312" s="84" t="s">
        <v>3011</v>
      </c>
      <c r="C312" s="85">
        <v>47.5</v>
      </c>
      <c r="D312" s="86">
        <f t="shared" si="13"/>
        <v>0.850746268656716</v>
      </c>
      <c r="E312" s="93">
        <f t="shared" si="14"/>
        <v>52</v>
      </c>
      <c r="F312" s="94"/>
      <c r="G312" s="95"/>
      <c r="H312" s="74"/>
      <c r="I312" s="98" t="s">
        <v>3169</v>
      </c>
      <c r="J312" s="99"/>
      <c r="L312" s="77" t="s">
        <v>3170</v>
      </c>
      <c r="M312" s="77">
        <v>2</v>
      </c>
    </row>
    <row r="313" s="69" customFormat="1" spans="2:13">
      <c r="B313" s="84" t="s">
        <v>3008</v>
      </c>
      <c r="C313" s="85">
        <v>39</v>
      </c>
      <c r="D313" s="86">
        <f t="shared" si="13"/>
        <v>0.823943661971831</v>
      </c>
      <c r="E313" s="93">
        <f t="shared" si="14"/>
        <v>61</v>
      </c>
      <c r="F313" s="94"/>
      <c r="G313" s="95"/>
      <c r="H313" s="74"/>
      <c r="I313" s="98" t="s">
        <v>3171</v>
      </c>
      <c r="J313" s="99"/>
      <c r="L313" s="77" t="s">
        <v>3172</v>
      </c>
      <c r="M313" s="77">
        <v>2</v>
      </c>
    </row>
    <row r="314" s="69" customFormat="1" spans="2:13">
      <c r="B314" s="84" t="s">
        <v>3173</v>
      </c>
      <c r="C314" s="85">
        <v>41</v>
      </c>
      <c r="D314" s="86">
        <f t="shared" si="13"/>
        <v>0.831081081081081</v>
      </c>
      <c r="E314" s="93">
        <f t="shared" si="14"/>
        <v>58</v>
      </c>
      <c r="F314" s="94"/>
      <c r="G314" s="95"/>
      <c r="H314" s="74"/>
      <c r="I314" s="98" t="s">
        <v>3174</v>
      </c>
      <c r="J314" s="99"/>
      <c r="L314" s="77" t="s">
        <v>3175</v>
      </c>
      <c r="M314" s="77">
        <v>2</v>
      </c>
    </row>
    <row r="315" s="69" customFormat="1" spans="2:13">
      <c r="B315" s="84" t="s">
        <v>3048</v>
      </c>
      <c r="C315" s="85">
        <v>48.5</v>
      </c>
      <c r="D315" s="86">
        <f t="shared" si="13"/>
        <v>0.853372434017595</v>
      </c>
      <c r="E315" s="93">
        <f t="shared" si="14"/>
        <v>51</v>
      </c>
      <c r="F315" s="94"/>
      <c r="G315" s="95"/>
      <c r="H315" s="74"/>
      <c r="I315" s="98" t="s">
        <v>3127</v>
      </c>
      <c r="J315" s="99"/>
      <c r="L315" s="77" t="s">
        <v>3176</v>
      </c>
      <c r="M315" s="77">
        <v>2</v>
      </c>
    </row>
    <row r="316" s="69" customFormat="1" spans="2:13">
      <c r="B316" s="84" t="s">
        <v>3046</v>
      </c>
      <c r="C316" s="85">
        <v>44</v>
      </c>
      <c r="D316" s="86">
        <f t="shared" si="13"/>
        <v>0.840764331210191</v>
      </c>
      <c r="E316" s="93">
        <f t="shared" si="14"/>
        <v>55</v>
      </c>
      <c r="F316" s="94"/>
      <c r="G316" s="95"/>
      <c r="H316" s="74"/>
      <c r="I316" s="98" t="s">
        <v>3130</v>
      </c>
      <c r="J316" s="99"/>
      <c r="L316" s="77" t="s">
        <v>3177</v>
      </c>
      <c r="M316" s="77">
        <v>2</v>
      </c>
    </row>
    <row r="317" s="69" customFormat="1" spans="2:13">
      <c r="B317" s="84" t="s">
        <v>3017</v>
      </c>
      <c r="C317" s="85">
        <v>48.5</v>
      </c>
      <c r="D317" s="86">
        <f t="shared" si="13"/>
        <v>0.853372434017595</v>
      </c>
      <c r="E317" s="93">
        <f t="shared" si="14"/>
        <v>51</v>
      </c>
      <c r="F317" s="94"/>
      <c r="G317" s="95"/>
      <c r="H317" s="74"/>
      <c r="I317" s="98" t="s">
        <v>3178</v>
      </c>
      <c r="J317" s="99"/>
      <c r="L317" s="77" t="s">
        <v>3179</v>
      </c>
      <c r="M317" s="77">
        <v>2</v>
      </c>
    </row>
    <row r="318" s="69" customFormat="1" spans="2:13">
      <c r="B318" s="84" t="s">
        <v>3015</v>
      </c>
      <c r="C318" s="85">
        <v>56.5</v>
      </c>
      <c r="D318" s="86">
        <f t="shared" si="13"/>
        <v>0.87146529562982</v>
      </c>
      <c r="E318" s="93">
        <f t="shared" si="14"/>
        <v>44</v>
      </c>
      <c r="F318" s="94"/>
      <c r="G318" s="95"/>
      <c r="H318" s="74"/>
      <c r="I318" s="98" t="s">
        <v>3180</v>
      </c>
      <c r="J318" s="99"/>
      <c r="L318" s="77" t="s">
        <v>3181</v>
      </c>
      <c r="M318" s="77">
        <v>2</v>
      </c>
    </row>
    <row r="319" s="69" customFormat="1" spans="2:13">
      <c r="B319" s="84" t="s">
        <v>3089</v>
      </c>
      <c r="C319" s="85">
        <v>51.5</v>
      </c>
      <c r="D319" s="86">
        <f t="shared" si="13"/>
        <v>0.860724233983287</v>
      </c>
      <c r="E319" s="93">
        <f t="shared" si="14"/>
        <v>48</v>
      </c>
      <c r="F319" s="94"/>
      <c r="G319" s="95"/>
      <c r="H319" s="74"/>
      <c r="I319" s="98" t="s">
        <v>3182</v>
      </c>
      <c r="J319" s="99"/>
      <c r="L319" s="77" t="s">
        <v>3183</v>
      </c>
      <c r="M319" s="77">
        <v>2</v>
      </c>
    </row>
    <row r="320" s="69" customFormat="1" spans="2:13">
      <c r="B320" s="84" t="s">
        <v>2603</v>
      </c>
      <c r="C320" s="85">
        <v>56.5</v>
      </c>
      <c r="D320" s="86">
        <f t="shared" si="13"/>
        <v>0.87146529562982</v>
      </c>
      <c r="E320" s="93">
        <f t="shared" si="14"/>
        <v>44</v>
      </c>
      <c r="F320" s="94"/>
      <c r="G320" s="95"/>
      <c r="H320" s="74"/>
      <c r="I320" s="98" t="s">
        <v>3146</v>
      </c>
      <c r="J320" s="99"/>
      <c r="L320" s="77" t="s">
        <v>3184</v>
      </c>
      <c r="M320" s="77">
        <v>2</v>
      </c>
    </row>
    <row r="321" s="69" customFormat="1" spans="2:13">
      <c r="B321" s="84" t="s">
        <v>2389</v>
      </c>
      <c r="C321" s="85">
        <v>56.2</v>
      </c>
      <c r="D321" s="86">
        <f t="shared" si="13"/>
        <v>0.870867768595041</v>
      </c>
      <c r="E321" s="93">
        <f t="shared" si="14"/>
        <v>45</v>
      </c>
      <c r="F321" s="94"/>
      <c r="G321" s="95"/>
      <c r="H321" s="74"/>
      <c r="I321" s="98" t="s">
        <v>3124</v>
      </c>
      <c r="J321" s="99"/>
      <c r="L321" s="77" t="s">
        <v>3185</v>
      </c>
      <c r="M321" s="77">
        <v>2</v>
      </c>
    </row>
    <row r="322" s="69" customFormat="1" spans="2:13">
      <c r="B322" s="84" t="s">
        <v>3050</v>
      </c>
      <c r="C322" s="85">
        <v>30</v>
      </c>
      <c r="D322" s="86">
        <f t="shared" si="13"/>
        <v>0.782608695652174</v>
      </c>
      <c r="E322" s="93">
        <f t="shared" si="14"/>
        <v>75</v>
      </c>
      <c r="F322" s="94"/>
      <c r="G322" s="95"/>
      <c r="H322" s="74"/>
      <c r="I322" s="98" t="s">
        <v>3137</v>
      </c>
      <c r="J322" s="99"/>
      <c r="L322" s="77" t="s">
        <v>3186</v>
      </c>
      <c r="M322" s="77">
        <v>2</v>
      </c>
    </row>
    <row r="323" s="69" customFormat="1" spans="2:13">
      <c r="B323" s="84" t="s">
        <v>3055</v>
      </c>
      <c r="C323" s="85">
        <v>42</v>
      </c>
      <c r="D323" s="86">
        <f t="shared" ref="D323:D386" si="15">IF(C323="","",C323/(C323+$C$1/60))</f>
        <v>0.834437086092715</v>
      </c>
      <c r="E323" s="93">
        <f t="shared" ref="E323:E386" si="16">IFERROR(ROUND(1440/C323*2*D323,0),"")</f>
        <v>57</v>
      </c>
      <c r="F323" s="94"/>
      <c r="G323" s="95"/>
      <c r="H323" s="74"/>
      <c r="I323" s="98" t="s">
        <v>3140</v>
      </c>
      <c r="J323" s="99"/>
      <c r="L323" s="77" t="s">
        <v>3187</v>
      </c>
      <c r="M323" s="77">
        <v>2</v>
      </c>
    </row>
    <row r="324" s="69" customFormat="1" spans="2:13">
      <c r="B324" s="84" t="s">
        <v>3057</v>
      </c>
      <c r="C324" s="85">
        <v>41.5</v>
      </c>
      <c r="D324" s="86">
        <f t="shared" si="15"/>
        <v>0.832775919732441</v>
      </c>
      <c r="E324" s="93">
        <f t="shared" si="16"/>
        <v>58</v>
      </c>
      <c r="F324" s="94"/>
      <c r="G324" s="95"/>
      <c r="H324" s="74"/>
      <c r="I324" s="98" t="s">
        <v>3143</v>
      </c>
      <c r="J324" s="99"/>
      <c r="L324" s="77" t="s">
        <v>3188</v>
      </c>
      <c r="M324" s="77">
        <v>2</v>
      </c>
    </row>
    <row r="325" s="69" customFormat="1" spans="2:13">
      <c r="B325" s="84" t="s">
        <v>3023</v>
      </c>
      <c r="C325" s="85">
        <v>44.6</v>
      </c>
      <c r="D325" s="86">
        <f t="shared" si="15"/>
        <v>0.842569269521411</v>
      </c>
      <c r="E325" s="93">
        <f t="shared" si="16"/>
        <v>54</v>
      </c>
      <c r="F325" s="94"/>
      <c r="G325" s="95"/>
      <c r="H325" s="74"/>
      <c r="I325" s="98" t="s">
        <v>3082</v>
      </c>
      <c r="J325" s="99"/>
      <c r="L325" s="77" t="s">
        <v>3189</v>
      </c>
      <c r="M325" s="77">
        <v>2</v>
      </c>
    </row>
    <row r="326" s="69" customFormat="1" spans="2:13">
      <c r="B326" s="84" t="s">
        <v>3034</v>
      </c>
      <c r="C326" s="85">
        <v>37</v>
      </c>
      <c r="D326" s="86">
        <f t="shared" si="15"/>
        <v>0.816176470588235</v>
      </c>
      <c r="E326" s="93">
        <f t="shared" si="16"/>
        <v>64</v>
      </c>
      <c r="F326" s="94"/>
      <c r="G326" s="95"/>
      <c r="H326" s="74"/>
      <c r="I326" s="98" t="s">
        <v>3190</v>
      </c>
      <c r="J326" s="99"/>
      <c r="L326" s="77" t="s">
        <v>3191</v>
      </c>
      <c r="M326" s="77">
        <v>2</v>
      </c>
    </row>
    <row r="327" s="69" customFormat="1" spans="2:13">
      <c r="B327" s="84" t="s">
        <v>3036</v>
      </c>
      <c r="C327" s="85">
        <v>42.7</v>
      </c>
      <c r="D327" s="86">
        <f t="shared" si="15"/>
        <v>0.836708033964729</v>
      </c>
      <c r="E327" s="93">
        <f t="shared" si="16"/>
        <v>56</v>
      </c>
      <c r="F327" s="94"/>
      <c r="G327" s="95"/>
      <c r="H327" s="74"/>
      <c r="I327" s="98" t="s">
        <v>3079</v>
      </c>
      <c r="J327" s="99"/>
      <c r="L327" s="77" t="s">
        <v>3192</v>
      </c>
      <c r="M327" s="77">
        <v>2</v>
      </c>
    </row>
    <row r="328" s="69" customFormat="1" spans="2:13">
      <c r="B328" s="84" t="s">
        <v>3039</v>
      </c>
      <c r="C328" s="85">
        <v>41.2</v>
      </c>
      <c r="D328" s="86">
        <f t="shared" si="15"/>
        <v>0.831763122476447</v>
      </c>
      <c r="E328" s="93">
        <f t="shared" si="16"/>
        <v>58</v>
      </c>
      <c r="F328" s="94"/>
      <c r="G328" s="95"/>
      <c r="H328" s="74"/>
      <c r="I328" s="98" t="s">
        <v>3091</v>
      </c>
      <c r="J328" s="99"/>
      <c r="L328" s="77" t="s">
        <v>3193</v>
      </c>
      <c r="M328" s="77">
        <v>2</v>
      </c>
    </row>
    <row r="329" s="69" customFormat="1" spans="2:13">
      <c r="B329" s="84" t="s">
        <v>3083</v>
      </c>
      <c r="C329" s="85">
        <v>34.2</v>
      </c>
      <c r="D329" s="86">
        <f t="shared" si="15"/>
        <v>0.804075235109718</v>
      </c>
      <c r="E329" s="93">
        <f t="shared" si="16"/>
        <v>68</v>
      </c>
      <c r="F329" s="94"/>
      <c r="G329" s="95"/>
      <c r="H329" s="74"/>
      <c r="I329" s="98" t="s">
        <v>3094</v>
      </c>
      <c r="J329" s="99"/>
      <c r="L329" s="77" t="s">
        <v>3194</v>
      </c>
      <c r="M329" s="77">
        <v>2</v>
      </c>
    </row>
    <row r="330" s="69" customFormat="1" spans="2:13">
      <c r="B330" s="84" t="s">
        <v>3080</v>
      </c>
      <c r="C330" s="85">
        <v>33.7</v>
      </c>
      <c r="D330" s="86">
        <f t="shared" si="15"/>
        <v>0.801744647105472</v>
      </c>
      <c r="E330" s="93">
        <f t="shared" si="16"/>
        <v>69</v>
      </c>
      <c r="F330" s="94"/>
      <c r="G330" s="95"/>
      <c r="H330" s="74"/>
      <c r="I330" s="98" t="s">
        <v>3097</v>
      </c>
      <c r="J330" s="99"/>
      <c r="L330" s="77" t="s">
        <v>3195</v>
      </c>
      <c r="M330" s="77">
        <v>2</v>
      </c>
    </row>
    <row r="331" s="69" customFormat="1" spans="2:13">
      <c r="B331" s="84" t="s">
        <v>3064</v>
      </c>
      <c r="C331" s="85">
        <v>37.2</v>
      </c>
      <c r="D331" s="86">
        <f t="shared" si="15"/>
        <v>0.816983894582723</v>
      </c>
      <c r="E331" s="93">
        <f t="shared" si="16"/>
        <v>63</v>
      </c>
      <c r="F331" s="94"/>
      <c r="G331" s="95"/>
      <c r="H331" s="74"/>
      <c r="I331" s="98" t="s">
        <v>3196</v>
      </c>
      <c r="J331" s="99"/>
      <c r="L331" s="77" t="s">
        <v>3197</v>
      </c>
      <c r="M331" s="77">
        <v>2</v>
      </c>
    </row>
    <row r="332" s="69" customFormat="1" spans="2:13">
      <c r="B332" s="84" t="s">
        <v>3067</v>
      </c>
      <c r="C332" s="85">
        <v>37.2</v>
      </c>
      <c r="D332" s="86">
        <f t="shared" si="15"/>
        <v>0.816983894582723</v>
      </c>
      <c r="E332" s="93">
        <f t="shared" si="16"/>
        <v>63</v>
      </c>
      <c r="F332" s="94"/>
      <c r="G332" s="95"/>
      <c r="H332" s="74"/>
      <c r="I332" s="98" t="s">
        <v>3198</v>
      </c>
      <c r="J332" s="99"/>
      <c r="L332" s="77" t="s">
        <v>3199</v>
      </c>
      <c r="M332" s="77">
        <v>2</v>
      </c>
    </row>
    <row r="333" s="69" customFormat="1" spans="2:13">
      <c r="B333" s="84" t="s">
        <v>3013</v>
      </c>
      <c r="C333" s="85">
        <v>47.7</v>
      </c>
      <c r="D333" s="86">
        <f t="shared" si="15"/>
        <v>0.851279000594884</v>
      </c>
      <c r="E333" s="93">
        <f t="shared" si="16"/>
        <v>51</v>
      </c>
      <c r="F333" s="94"/>
      <c r="G333" s="95"/>
      <c r="H333" s="74"/>
      <c r="I333" s="98" t="s">
        <v>3200</v>
      </c>
      <c r="J333" s="99"/>
      <c r="L333" s="77" t="s">
        <v>3201</v>
      </c>
      <c r="M333" s="77">
        <v>2</v>
      </c>
    </row>
    <row r="334" s="69" customFormat="1" spans="2:13">
      <c r="B334" s="84" t="s">
        <v>2877</v>
      </c>
      <c r="C334" s="85">
        <v>42</v>
      </c>
      <c r="D334" s="86">
        <f t="shared" si="15"/>
        <v>0.834437086092715</v>
      </c>
      <c r="E334" s="93">
        <f t="shared" si="16"/>
        <v>57</v>
      </c>
      <c r="F334" s="94"/>
      <c r="G334" s="95"/>
      <c r="H334" s="74"/>
      <c r="I334" s="98" t="s">
        <v>3202</v>
      </c>
      <c r="J334" s="99">
        <v>848.2701</v>
      </c>
      <c r="L334" s="77" t="s">
        <v>3203</v>
      </c>
      <c r="M334" s="77">
        <v>2</v>
      </c>
    </row>
    <row r="335" s="69" customFormat="1" spans="2:13">
      <c r="B335" s="84" t="s">
        <v>3026</v>
      </c>
      <c r="C335" s="85">
        <v>42.7</v>
      </c>
      <c r="D335" s="86">
        <f t="shared" si="15"/>
        <v>0.836708033964729</v>
      </c>
      <c r="E335" s="93">
        <f t="shared" si="16"/>
        <v>56</v>
      </c>
      <c r="F335" s="94"/>
      <c r="G335" s="95"/>
      <c r="H335" s="74"/>
      <c r="I335" s="98" t="s">
        <v>3204</v>
      </c>
      <c r="J335" s="99"/>
      <c r="L335" s="77" t="s">
        <v>3205</v>
      </c>
      <c r="M335" s="77">
        <v>2</v>
      </c>
    </row>
    <row r="336" s="69" customFormat="1" spans="2:13">
      <c r="B336" s="84" t="s">
        <v>3125</v>
      </c>
      <c r="C336" s="85">
        <v>33.5</v>
      </c>
      <c r="D336" s="86">
        <f t="shared" si="15"/>
        <v>0.800796812749004</v>
      </c>
      <c r="E336" s="93">
        <f t="shared" si="16"/>
        <v>69</v>
      </c>
      <c r="F336" s="94"/>
      <c r="G336" s="95"/>
      <c r="H336" s="74"/>
      <c r="I336" s="98" t="s">
        <v>3206</v>
      </c>
      <c r="J336" s="99"/>
      <c r="L336" s="77" t="s">
        <v>3207</v>
      </c>
      <c r="M336" s="77">
        <v>2</v>
      </c>
    </row>
    <row r="337" s="69" customFormat="1" spans="2:13">
      <c r="B337" s="84" t="s">
        <v>3128</v>
      </c>
      <c r="C337" s="85">
        <v>38.5</v>
      </c>
      <c r="D337" s="86">
        <f t="shared" si="15"/>
        <v>0.822064056939502</v>
      </c>
      <c r="E337" s="93">
        <f t="shared" si="16"/>
        <v>61</v>
      </c>
      <c r="F337" s="94"/>
      <c r="G337" s="95"/>
      <c r="H337" s="74"/>
      <c r="I337" s="98" t="s">
        <v>3208</v>
      </c>
      <c r="J337" s="99"/>
      <c r="L337" s="77" t="s">
        <v>3209</v>
      </c>
      <c r="M337" s="77">
        <v>2</v>
      </c>
    </row>
    <row r="338" s="69" customFormat="1" spans="2:13">
      <c r="B338" s="84" t="s">
        <v>3131</v>
      </c>
      <c r="C338" s="85">
        <v>41.5</v>
      </c>
      <c r="D338" s="86">
        <f t="shared" si="15"/>
        <v>0.832775919732441</v>
      </c>
      <c r="E338" s="93">
        <f t="shared" si="16"/>
        <v>58</v>
      </c>
      <c r="F338" s="94"/>
      <c r="G338" s="95"/>
      <c r="H338" s="74"/>
      <c r="I338" s="98" t="s">
        <v>3085</v>
      </c>
      <c r="J338" s="99"/>
      <c r="L338" s="77" t="s">
        <v>3210</v>
      </c>
      <c r="M338" s="77">
        <v>2</v>
      </c>
    </row>
    <row r="339" s="69" customFormat="1" spans="2:13">
      <c r="B339" s="84" t="s">
        <v>3092</v>
      </c>
      <c r="C339" s="85">
        <v>42</v>
      </c>
      <c r="D339" s="86">
        <f t="shared" si="15"/>
        <v>0.834437086092715</v>
      </c>
      <c r="E339" s="93">
        <f t="shared" si="16"/>
        <v>57</v>
      </c>
      <c r="F339" s="94"/>
      <c r="G339" s="95"/>
      <c r="H339" s="74"/>
      <c r="I339" s="98" t="s">
        <v>3088</v>
      </c>
      <c r="J339" s="99"/>
      <c r="L339" s="77" t="s">
        <v>3211</v>
      </c>
      <c r="M339" s="77">
        <v>2</v>
      </c>
    </row>
    <row r="340" s="69" customFormat="1" spans="2:13">
      <c r="B340" s="84" t="s">
        <v>3141</v>
      </c>
      <c r="C340" s="85">
        <v>38.5</v>
      </c>
      <c r="D340" s="86">
        <f t="shared" si="15"/>
        <v>0.822064056939502</v>
      </c>
      <c r="E340" s="93">
        <f t="shared" si="16"/>
        <v>61</v>
      </c>
      <c r="F340" s="94"/>
      <c r="G340" s="95"/>
      <c r="H340" s="74"/>
      <c r="I340" s="98" t="s">
        <v>3119</v>
      </c>
      <c r="J340" s="99"/>
      <c r="L340" s="77" t="s">
        <v>3212</v>
      </c>
      <c r="M340" s="77">
        <v>2</v>
      </c>
    </row>
    <row r="341" s="69" customFormat="1" spans="2:13">
      <c r="B341" s="84" t="s">
        <v>3144</v>
      </c>
      <c r="C341" s="85">
        <v>37.5</v>
      </c>
      <c r="D341" s="86">
        <f t="shared" si="15"/>
        <v>0.818181818181818</v>
      </c>
      <c r="E341" s="93">
        <f t="shared" si="16"/>
        <v>63</v>
      </c>
      <c r="F341" s="94"/>
      <c r="G341" s="95"/>
      <c r="H341" s="74"/>
      <c r="I341" s="98" t="s">
        <v>3121</v>
      </c>
      <c r="J341" s="99"/>
      <c r="L341" s="77" t="s">
        <v>3213</v>
      </c>
      <c r="M341" s="77">
        <v>2</v>
      </c>
    </row>
    <row r="342" s="69" customFormat="1" spans="2:13">
      <c r="B342" s="84" t="s">
        <v>3147</v>
      </c>
      <c r="C342" s="85">
        <v>41.5</v>
      </c>
      <c r="D342" s="86">
        <f t="shared" si="15"/>
        <v>0.832775919732441</v>
      </c>
      <c r="E342" s="93">
        <f t="shared" si="16"/>
        <v>58</v>
      </c>
      <c r="F342" s="94"/>
      <c r="G342" s="95"/>
      <c r="H342" s="74"/>
      <c r="I342" s="98" t="s">
        <v>3214</v>
      </c>
      <c r="J342" s="99"/>
      <c r="L342" s="77" t="s">
        <v>3215</v>
      </c>
      <c r="M342" s="77">
        <v>2</v>
      </c>
    </row>
    <row r="343" s="69" customFormat="1" spans="2:13">
      <c r="B343" s="84" t="s">
        <v>3216</v>
      </c>
      <c r="C343" s="85">
        <v>43</v>
      </c>
      <c r="D343" s="86">
        <f t="shared" si="15"/>
        <v>0.837662337662338</v>
      </c>
      <c r="E343" s="93">
        <f t="shared" si="16"/>
        <v>56</v>
      </c>
      <c r="F343" s="94"/>
      <c r="G343" s="95"/>
      <c r="H343" s="74"/>
      <c r="I343" s="98" t="s">
        <v>3217</v>
      </c>
      <c r="J343" s="99"/>
      <c r="L343" s="77" t="s">
        <v>3218</v>
      </c>
      <c r="M343" s="77">
        <v>2</v>
      </c>
    </row>
    <row r="344" s="69" customFormat="1" spans="2:13">
      <c r="B344" s="84" t="s">
        <v>3149</v>
      </c>
      <c r="C344" s="85">
        <v>37.5</v>
      </c>
      <c r="D344" s="86">
        <f t="shared" si="15"/>
        <v>0.818181818181818</v>
      </c>
      <c r="E344" s="93">
        <f t="shared" si="16"/>
        <v>63</v>
      </c>
      <c r="F344" s="94"/>
      <c r="G344" s="95"/>
      <c r="H344" s="74"/>
      <c r="I344" s="98" t="s">
        <v>3219</v>
      </c>
      <c r="J344" s="99"/>
      <c r="L344" s="77" t="s">
        <v>3220</v>
      </c>
      <c r="M344" s="77">
        <v>2</v>
      </c>
    </row>
    <row r="345" s="69" customFormat="1" spans="2:13">
      <c r="B345" s="84" t="s">
        <v>3221</v>
      </c>
      <c r="C345" s="85">
        <v>37.5</v>
      </c>
      <c r="D345" s="86">
        <f t="shared" si="15"/>
        <v>0.818181818181818</v>
      </c>
      <c r="E345" s="93">
        <f t="shared" si="16"/>
        <v>63</v>
      </c>
      <c r="F345" s="94"/>
      <c r="G345" s="95"/>
      <c r="H345" s="74"/>
      <c r="I345" s="98" t="s">
        <v>3222</v>
      </c>
      <c r="J345" s="99"/>
      <c r="L345" s="77" t="s">
        <v>3223</v>
      </c>
      <c r="M345" s="77">
        <v>2</v>
      </c>
    </row>
    <row r="346" s="69" customFormat="1" spans="2:13">
      <c r="B346" s="84" t="s">
        <v>3202</v>
      </c>
      <c r="C346" s="85">
        <v>42</v>
      </c>
      <c r="D346" s="86">
        <f t="shared" si="15"/>
        <v>0.834437086092715</v>
      </c>
      <c r="E346" s="93">
        <f t="shared" si="16"/>
        <v>57</v>
      </c>
      <c r="F346" s="94"/>
      <c r="G346" s="95"/>
      <c r="H346" s="74"/>
      <c r="I346" s="98" t="s">
        <v>3224</v>
      </c>
      <c r="J346" s="99"/>
      <c r="L346" s="77" t="s">
        <v>3225</v>
      </c>
      <c r="M346" s="77">
        <v>2</v>
      </c>
    </row>
    <row r="347" s="69" customFormat="1" spans="2:13">
      <c r="B347" s="84" t="s">
        <v>3204</v>
      </c>
      <c r="C347" s="85">
        <v>44</v>
      </c>
      <c r="D347" s="86">
        <f t="shared" si="15"/>
        <v>0.840764331210191</v>
      </c>
      <c r="E347" s="93">
        <f t="shared" si="16"/>
        <v>55</v>
      </c>
      <c r="F347" s="94"/>
      <c r="G347" s="95"/>
      <c r="H347" s="74"/>
      <c r="I347" s="98" t="s">
        <v>3226</v>
      </c>
      <c r="J347" s="99"/>
      <c r="L347" s="77" t="s">
        <v>3227</v>
      </c>
      <c r="M347" s="77">
        <v>2</v>
      </c>
    </row>
    <row r="348" s="69" customFormat="1" spans="2:13">
      <c r="B348" s="84" t="s">
        <v>3206</v>
      </c>
      <c r="C348" s="85">
        <v>37</v>
      </c>
      <c r="D348" s="86">
        <f t="shared" si="15"/>
        <v>0.816176470588235</v>
      </c>
      <c r="E348" s="93">
        <f t="shared" si="16"/>
        <v>64</v>
      </c>
      <c r="F348" s="94"/>
      <c r="G348" s="95"/>
      <c r="H348" s="74"/>
      <c r="I348" s="98" t="s">
        <v>3228</v>
      </c>
      <c r="J348" s="99"/>
      <c r="L348" s="77" t="s">
        <v>3229</v>
      </c>
      <c r="M348" s="77">
        <v>2</v>
      </c>
    </row>
    <row r="349" s="69" customFormat="1" spans="2:13">
      <c r="B349" s="84" t="s">
        <v>3029</v>
      </c>
      <c r="C349" s="85">
        <v>44</v>
      </c>
      <c r="D349" s="86">
        <f t="shared" si="15"/>
        <v>0.840764331210191</v>
      </c>
      <c r="E349" s="93">
        <f t="shared" si="16"/>
        <v>55</v>
      </c>
      <c r="F349" s="94"/>
      <c r="G349" s="95"/>
      <c r="H349" s="74"/>
      <c r="I349" s="98" t="s">
        <v>3230</v>
      </c>
      <c r="J349" s="99"/>
      <c r="L349" s="77" t="s">
        <v>3231</v>
      </c>
      <c r="M349" s="77">
        <v>2</v>
      </c>
    </row>
    <row r="350" s="69" customFormat="1" spans="2:13">
      <c r="B350" s="84" t="s">
        <v>3208</v>
      </c>
      <c r="C350" s="85">
        <v>44</v>
      </c>
      <c r="D350" s="86">
        <f t="shared" si="15"/>
        <v>0.840764331210191</v>
      </c>
      <c r="E350" s="93">
        <f t="shared" si="16"/>
        <v>55</v>
      </c>
      <c r="F350" s="94"/>
      <c r="G350" s="95"/>
      <c r="H350" s="74"/>
      <c r="I350" s="98" t="s">
        <v>3104</v>
      </c>
      <c r="J350" s="99"/>
      <c r="L350" s="77" t="s">
        <v>3232</v>
      </c>
      <c r="M350" s="77">
        <v>2</v>
      </c>
    </row>
    <row r="351" s="69" customFormat="1" spans="2:13">
      <c r="B351" s="84" t="s">
        <v>3224</v>
      </c>
      <c r="C351" s="85">
        <v>32.5</v>
      </c>
      <c r="D351" s="86">
        <f t="shared" si="15"/>
        <v>0.795918367346939</v>
      </c>
      <c r="E351" s="93">
        <f t="shared" si="16"/>
        <v>71</v>
      </c>
      <c r="F351" s="94"/>
      <c r="G351" s="95"/>
      <c r="H351" s="74"/>
      <c r="I351" s="98" t="s">
        <v>3233</v>
      </c>
      <c r="J351" s="99"/>
      <c r="L351" s="77" t="s">
        <v>3234</v>
      </c>
      <c r="M351" s="77">
        <v>2</v>
      </c>
    </row>
    <row r="352" s="69" customFormat="1" spans="2:13">
      <c r="B352" s="84" t="s">
        <v>3226</v>
      </c>
      <c r="C352" s="85">
        <v>38</v>
      </c>
      <c r="D352" s="86">
        <f t="shared" si="15"/>
        <v>0.820143884892086</v>
      </c>
      <c r="E352" s="93">
        <f t="shared" si="16"/>
        <v>62</v>
      </c>
      <c r="F352" s="94"/>
      <c r="G352" s="95"/>
      <c r="H352" s="74"/>
      <c r="I352" s="98" t="s">
        <v>3235</v>
      </c>
      <c r="J352" s="99"/>
      <c r="L352" s="77" t="s">
        <v>3236</v>
      </c>
      <c r="M352" s="77">
        <v>2</v>
      </c>
    </row>
    <row r="353" s="69" customFormat="1" spans="2:13">
      <c r="B353" s="84" t="s">
        <v>3237</v>
      </c>
      <c r="C353" s="85">
        <v>32.5</v>
      </c>
      <c r="D353" s="86">
        <f t="shared" si="15"/>
        <v>0.795918367346939</v>
      </c>
      <c r="E353" s="93">
        <f t="shared" si="16"/>
        <v>71</v>
      </c>
      <c r="F353" s="94"/>
      <c r="G353" s="95"/>
      <c r="H353" s="74"/>
      <c r="I353" s="98" t="s">
        <v>3238</v>
      </c>
      <c r="J353" s="99"/>
      <c r="L353" s="77" t="s">
        <v>3239</v>
      </c>
      <c r="M353" s="77">
        <v>2</v>
      </c>
    </row>
    <row r="354" s="69" customFormat="1" spans="2:13">
      <c r="B354" s="84" t="s">
        <v>3240</v>
      </c>
      <c r="C354" s="85">
        <v>30.3</v>
      </c>
      <c r="D354" s="86">
        <f t="shared" si="15"/>
        <v>0.784296807592752</v>
      </c>
      <c r="E354" s="93">
        <f t="shared" si="16"/>
        <v>75</v>
      </c>
      <c r="F354" s="94"/>
      <c r="G354" s="95"/>
      <c r="H354" s="74"/>
      <c r="I354" s="98" t="s">
        <v>3107</v>
      </c>
      <c r="J354" s="99"/>
      <c r="L354" s="77" t="s">
        <v>3241</v>
      </c>
      <c r="M354" s="77">
        <v>2</v>
      </c>
    </row>
    <row r="355" s="69" customFormat="1" spans="2:13">
      <c r="B355" s="84" t="s">
        <v>3228</v>
      </c>
      <c r="C355" s="85">
        <v>29.7</v>
      </c>
      <c r="D355" s="86">
        <f t="shared" si="15"/>
        <v>0.780893952673094</v>
      </c>
      <c r="E355" s="93">
        <f t="shared" si="16"/>
        <v>76</v>
      </c>
      <c r="F355" s="94"/>
      <c r="G355" s="95"/>
      <c r="H355" s="74"/>
      <c r="I355" s="98" t="s">
        <v>3101</v>
      </c>
      <c r="J355" s="99"/>
      <c r="L355" s="77" t="s">
        <v>3242</v>
      </c>
      <c r="M355" s="77">
        <v>2</v>
      </c>
    </row>
    <row r="356" s="69" customFormat="1" spans="2:13">
      <c r="B356" s="84" t="s">
        <v>3230</v>
      </c>
      <c r="C356" s="85">
        <v>29.7</v>
      </c>
      <c r="D356" s="86">
        <f t="shared" si="15"/>
        <v>0.780893952673094</v>
      </c>
      <c r="E356" s="93">
        <f t="shared" si="16"/>
        <v>76</v>
      </c>
      <c r="F356" s="94"/>
      <c r="G356" s="95"/>
      <c r="H356" s="74"/>
      <c r="I356" s="98" t="s">
        <v>2767</v>
      </c>
      <c r="J356" s="99"/>
      <c r="L356" s="77" t="s">
        <v>3243</v>
      </c>
      <c r="M356" s="77">
        <v>4</v>
      </c>
    </row>
    <row r="357" s="69" customFormat="1" spans="2:13">
      <c r="B357" s="84" t="s">
        <v>3235</v>
      </c>
      <c r="C357" s="85">
        <v>32.5</v>
      </c>
      <c r="D357" s="86">
        <f t="shared" si="15"/>
        <v>0.795918367346939</v>
      </c>
      <c r="E357" s="93">
        <f t="shared" si="16"/>
        <v>71</v>
      </c>
      <c r="F357" s="94"/>
      <c r="G357" s="95"/>
      <c r="H357" s="74"/>
      <c r="I357" s="98" t="s">
        <v>3237</v>
      </c>
      <c r="J357" s="99"/>
      <c r="L357" s="77" t="s">
        <v>3244</v>
      </c>
      <c r="M357" s="77">
        <v>2</v>
      </c>
    </row>
    <row r="358" s="69" customFormat="1" spans="2:13">
      <c r="B358" s="84" t="s">
        <v>3238</v>
      </c>
      <c r="C358" s="85">
        <v>33.5</v>
      </c>
      <c r="D358" s="86">
        <f t="shared" si="15"/>
        <v>0.800796812749004</v>
      </c>
      <c r="E358" s="93">
        <f t="shared" si="16"/>
        <v>69</v>
      </c>
      <c r="F358" s="94"/>
      <c r="G358" s="95"/>
      <c r="H358" s="74"/>
      <c r="I358" s="98" t="s">
        <v>3240</v>
      </c>
      <c r="J358" s="99"/>
      <c r="L358" s="77" t="s">
        <v>3245</v>
      </c>
      <c r="M358" s="77">
        <v>2</v>
      </c>
    </row>
    <row r="359" s="69" customFormat="1" spans="2:13">
      <c r="B359" s="84" t="s">
        <v>3246</v>
      </c>
      <c r="C359" s="85">
        <v>34</v>
      </c>
      <c r="D359" s="86">
        <f t="shared" si="15"/>
        <v>0.803149606299213</v>
      </c>
      <c r="E359" s="93">
        <f t="shared" si="16"/>
        <v>68</v>
      </c>
      <c r="F359" s="94"/>
      <c r="G359" s="95"/>
      <c r="H359" s="74"/>
      <c r="I359" s="98" t="s">
        <v>3247</v>
      </c>
      <c r="J359" s="99"/>
      <c r="L359" s="77" t="s">
        <v>3248</v>
      </c>
      <c r="M359" s="77">
        <v>2</v>
      </c>
    </row>
    <row r="360" s="69" customFormat="1" spans="2:13">
      <c r="B360" s="84" t="s">
        <v>3249</v>
      </c>
      <c r="C360" s="85">
        <v>34</v>
      </c>
      <c r="D360" s="86">
        <f t="shared" si="15"/>
        <v>0.803149606299213</v>
      </c>
      <c r="E360" s="93">
        <f t="shared" si="16"/>
        <v>68</v>
      </c>
      <c r="F360" s="94"/>
      <c r="G360" s="95"/>
      <c r="H360" s="74"/>
      <c r="I360" s="98" t="s">
        <v>3250</v>
      </c>
      <c r="J360" s="99"/>
      <c r="L360" s="77" t="s">
        <v>3251</v>
      </c>
      <c r="M360" s="77">
        <v>2</v>
      </c>
    </row>
    <row r="361" s="69" customFormat="1" spans="2:13">
      <c r="B361" s="84" t="s">
        <v>3073</v>
      </c>
      <c r="C361" s="85">
        <v>35</v>
      </c>
      <c r="D361" s="86">
        <f t="shared" si="15"/>
        <v>0.807692307692308</v>
      </c>
      <c r="E361" s="93">
        <f t="shared" si="16"/>
        <v>66</v>
      </c>
      <c r="F361" s="94"/>
      <c r="G361" s="95"/>
      <c r="H361" s="74"/>
      <c r="I361" s="98" t="s">
        <v>3246</v>
      </c>
      <c r="J361" s="99"/>
      <c r="L361" s="77" t="s">
        <v>3252</v>
      </c>
      <c r="M361" s="77">
        <v>2</v>
      </c>
    </row>
    <row r="362" s="69" customFormat="1" spans="2:13">
      <c r="B362" s="84" t="s">
        <v>3253</v>
      </c>
      <c r="C362" s="85">
        <v>35</v>
      </c>
      <c r="D362" s="86">
        <f t="shared" si="15"/>
        <v>0.807692307692308</v>
      </c>
      <c r="E362" s="93">
        <f t="shared" si="16"/>
        <v>66</v>
      </c>
      <c r="F362" s="94"/>
      <c r="G362" s="95"/>
      <c r="H362" s="74"/>
      <c r="I362" s="98" t="s">
        <v>3249</v>
      </c>
      <c r="J362" s="99"/>
      <c r="L362" s="77" t="s">
        <v>3254</v>
      </c>
      <c r="M362" s="77">
        <v>2</v>
      </c>
    </row>
    <row r="363" s="69" customFormat="1" spans="2:13">
      <c r="B363" s="84" t="s">
        <v>3214</v>
      </c>
      <c r="C363" s="85">
        <v>38.5</v>
      </c>
      <c r="D363" s="86">
        <f t="shared" si="15"/>
        <v>0.822064056939502</v>
      </c>
      <c r="E363" s="93">
        <f t="shared" si="16"/>
        <v>61</v>
      </c>
      <c r="F363" s="94"/>
      <c r="G363" s="95"/>
      <c r="H363" s="74"/>
      <c r="I363" s="98" t="s">
        <v>3255</v>
      </c>
      <c r="J363" s="99"/>
      <c r="L363" s="77" t="s">
        <v>3256</v>
      </c>
      <c r="M363" s="77">
        <v>2</v>
      </c>
    </row>
    <row r="364" s="69" customFormat="1" spans="2:13">
      <c r="B364" s="84" t="s">
        <v>3217</v>
      </c>
      <c r="C364" s="85">
        <v>37</v>
      </c>
      <c r="D364" s="86">
        <f t="shared" si="15"/>
        <v>0.816176470588235</v>
      </c>
      <c r="E364" s="93">
        <f t="shared" si="16"/>
        <v>64</v>
      </c>
      <c r="F364" s="94"/>
      <c r="G364" s="95"/>
      <c r="H364" s="74"/>
      <c r="I364" s="98" t="s">
        <v>3257</v>
      </c>
      <c r="J364" s="99"/>
      <c r="L364" s="77" t="s">
        <v>3258</v>
      </c>
      <c r="M364" s="77">
        <v>2</v>
      </c>
    </row>
    <row r="365" s="69" customFormat="1" spans="2:13">
      <c r="B365" s="84" t="s">
        <v>3222</v>
      </c>
      <c r="C365" s="85">
        <v>36.5</v>
      </c>
      <c r="D365" s="86">
        <f t="shared" si="15"/>
        <v>0.814126394052045</v>
      </c>
      <c r="E365" s="93">
        <f t="shared" si="16"/>
        <v>64</v>
      </c>
      <c r="F365" s="94"/>
      <c r="G365" s="95"/>
      <c r="H365" s="74"/>
      <c r="I365" s="98" t="s">
        <v>3259</v>
      </c>
      <c r="J365" s="99"/>
      <c r="L365" s="77" t="s">
        <v>3260</v>
      </c>
      <c r="M365" s="77">
        <v>2</v>
      </c>
    </row>
    <row r="366" s="69" customFormat="1" spans="2:13">
      <c r="B366" s="84" t="s">
        <v>3167</v>
      </c>
      <c r="C366" s="85">
        <v>40</v>
      </c>
      <c r="D366" s="86">
        <f t="shared" si="15"/>
        <v>0.827586206896552</v>
      </c>
      <c r="E366" s="93">
        <f t="shared" si="16"/>
        <v>60</v>
      </c>
      <c r="F366" s="94"/>
      <c r="G366" s="95"/>
      <c r="H366" s="74"/>
      <c r="I366" s="98" t="s">
        <v>3261</v>
      </c>
      <c r="J366" s="99"/>
      <c r="L366" s="77" t="s">
        <v>3262</v>
      </c>
      <c r="M366" s="77">
        <v>2</v>
      </c>
    </row>
    <row r="367" s="69" customFormat="1" spans="2:13">
      <c r="B367" s="84" t="s">
        <v>3169</v>
      </c>
      <c r="C367" s="85">
        <v>38</v>
      </c>
      <c r="D367" s="86">
        <f t="shared" si="15"/>
        <v>0.820143884892086</v>
      </c>
      <c r="E367" s="93">
        <f t="shared" si="16"/>
        <v>62</v>
      </c>
      <c r="F367" s="94"/>
      <c r="G367" s="95"/>
      <c r="H367" s="74"/>
      <c r="I367" s="98" t="s">
        <v>3157</v>
      </c>
      <c r="J367" s="99"/>
      <c r="L367" s="77" t="s">
        <v>3263</v>
      </c>
      <c r="M367" s="77">
        <v>2</v>
      </c>
    </row>
    <row r="368" s="69" customFormat="1" spans="2:13">
      <c r="B368" s="84" t="s">
        <v>3171</v>
      </c>
      <c r="C368" s="85">
        <v>38.5</v>
      </c>
      <c r="D368" s="86">
        <f t="shared" si="15"/>
        <v>0.822064056939502</v>
      </c>
      <c r="E368" s="93">
        <f t="shared" si="16"/>
        <v>61</v>
      </c>
      <c r="F368" s="94"/>
      <c r="G368" s="95"/>
      <c r="H368" s="74"/>
      <c r="I368" s="98" t="s">
        <v>3159</v>
      </c>
      <c r="J368" s="99"/>
      <c r="L368" s="77" t="s">
        <v>3264</v>
      </c>
      <c r="M368" s="77">
        <v>4</v>
      </c>
    </row>
    <row r="369" s="69" customFormat="1" spans="2:13">
      <c r="B369" s="84" t="s">
        <v>3174</v>
      </c>
      <c r="C369" s="85">
        <v>38</v>
      </c>
      <c r="D369" s="86">
        <f t="shared" si="15"/>
        <v>0.820143884892086</v>
      </c>
      <c r="E369" s="93">
        <f t="shared" si="16"/>
        <v>62</v>
      </c>
      <c r="F369" s="94"/>
      <c r="G369" s="95"/>
      <c r="H369" s="74"/>
      <c r="I369" s="98" t="s">
        <v>3265</v>
      </c>
      <c r="J369" s="99"/>
      <c r="L369" s="77" t="s">
        <v>3266</v>
      </c>
      <c r="M369" s="77">
        <v>2</v>
      </c>
    </row>
    <row r="370" s="69" customFormat="1" spans="2:13">
      <c r="B370" s="84" t="s">
        <v>3178</v>
      </c>
      <c r="C370" s="85">
        <v>38</v>
      </c>
      <c r="D370" s="86">
        <f t="shared" si="15"/>
        <v>0.820143884892086</v>
      </c>
      <c r="E370" s="93">
        <f t="shared" si="16"/>
        <v>62</v>
      </c>
      <c r="F370" s="94"/>
      <c r="G370" s="95"/>
      <c r="H370" s="74"/>
      <c r="I370" s="98" t="s">
        <v>3265</v>
      </c>
      <c r="J370" s="99"/>
      <c r="L370" s="77" t="s">
        <v>3267</v>
      </c>
      <c r="M370" s="77">
        <v>2</v>
      </c>
    </row>
    <row r="371" s="69" customFormat="1" spans="2:13">
      <c r="B371" s="84" t="s">
        <v>3180</v>
      </c>
      <c r="C371" s="85">
        <v>38</v>
      </c>
      <c r="D371" s="86">
        <f t="shared" si="15"/>
        <v>0.820143884892086</v>
      </c>
      <c r="E371" s="93">
        <f t="shared" si="16"/>
        <v>62</v>
      </c>
      <c r="F371" s="94"/>
      <c r="G371" s="95"/>
      <c r="H371" s="74"/>
      <c r="I371" s="98" t="s">
        <v>3268</v>
      </c>
      <c r="J371" s="99"/>
      <c r="L371" s="77" t="s">
        <v>3269</v>
      </c>
      <c r="M371" s="77">
        <v>4</v>
      </c>
    </row>
    <row r="372" s="69" customFormat="1" spans="2:13">
      <c r="B372" s="84" t="s">
        <v>3182</v>
      </c>
      <c r="C372" s="85">
        <v>32.5</v>
      </c>
      <c r="D372" s="86">
        <f t="shared" si="15"/>
        <v>0.795918367346939</v>
      </c>
      <c r="E372" s="93">
        <f t="shared" si="16"/>
        <v>71</v>
      </c>
      <c r="F372" s="94"/>
      <c r="G372" s="95"/>
      <c r="H372" s="74"/>
      <c r="I372" s="98" t="s">
        <v>3268</v>
      </c>
      <c r="J372" s="99"/>
      <c r="L372" s="77" t="s">
        <v>3270</v>
      </c>
      <c r="M372" s="77">
        <v>2</v>
      </c>
    </row>
    <row r="373" s="69" customFormat="1" spans="2:13">
      <c r="B373" s="84" t="s">
        <v>3271</v>
      </c>
      <c r="C373" s="85">
        <v>34</v>
      </c>
      <c r="D373" s="86">
        <f t="shared" si="15"/>
        <v>0.803149606299213</v>
      </c>
      <c r="E373" s="93">
        <f t="shared" si="16"/>
        <v>68</v>
      </c>
      <c r="F373" s="94"/>
      <c r="G373" s="95"/>
      <c r="H373" s="74"/>
      <c r="I373" s="98" t="s">
        <v>2915</v>
      </c>
      <c r="J373" s="99"/>
      <c r="L373" s="77" t="s">
        <v>3272</v>
      </c>
      <c r="M373" s="77">
        <v>2</v>
      </c>
    </row>
    <row r="374" s="69" customFormat="1" spans="2:13">
      <c r="B374" s="84" t="s">
        <v>2896</v>
      </c>
      <c r="C374" s="85">
        <v>41.5</v>
      </c>
      <c r="D374" s="86">
        <f t="shared" si="15"/>
        <v>0.832775919732441</v>
      </c>
      <c r="E374" s="93">
        <f t="shared" si="16"/>
        <v>58</v>
      </c>
      <c r="F374" s="94"/>
      <c r="G374" s="95"/>
      <c r="H374" s="74"/>
      <c r="I374" s="98" t="s">
        <v>3253</v>
      </c>
      <c r="J374" s="99"/>
      <c r="L374" s="77" t="s">
        <v>3273</v>
      </c>
      <c r="M374" s="77">
        <v>2</v>
      </c>
    </row>
    <row r="375" s="69" customFormat="1" spans="2:13">
      <c r="B375" s="84" t="s">
        <v>3032</v>
      </c>
      <c r="C375" s="85">
        <v>34.5</v>
      </c>
      <c r="D375" s="86">
        <f t="shared" si="15"/>
        <v>0.805447470817121</v>
      </c>
      <c r="E375" s="93">
        <f t="shared" si="16"/>
        <v>67</v>
      </c>
      <c r="F375" s="94"/>
      <c r="G375" s="95"/>
      <c r="H375" s="74"/>
      <c r="I375" s="98" t="s">
        <v>2707</v>
      </c>
      <c r="J375" s="99"/>
      <c r="L375" s="77" t="s">
        <v>3274</v>
      </c>
      <c r="M375" s="77">
        <v>2</v>
      </c>
    </row>
    <row r="376" s="69" customFormat="1" spans="2:13">
      <c r="B376" s="84" t="s">
        <v>3275</v>
      </c>
      <c r="C376" s="85">
        <v>43</v>
      </c>
      <c r="D376" s="86">
        <f t="shared" si="15"/>
        <v>0.837662337662338</v>
      </c>
      <c r="E376" s="93">
        <f t="shared" si="16"/>
        <v>56</v>
      </c>
      <c r="F376" s="94"/>
      <c r="G376" s="95"/>
      <c r="H376" s="74"/>
      <c r="I376" s="98" t="s">
        <v>3151</v>
      </c>
      <c r="J376" s="99"/>
      <c r="L376" s="77" t="s">
        <v>3276</v>
      </c>
      <c r="M376" s="77">
        <v>2</v>
      </c>
    </row>
    <row r="377" s="69" customFormat="1" spans="2:13">
      <c r="B377" s="84" t="s">
        <v>3250</v>
      </c>
      <c r="C377" s="85">
        <v>32.5</v>
      </c>
      <c r="D377" s="86">
        <f t="shared" si="15"/>
        <v>0.795918367346939</v>
      </c>
      <c r="E377" s="93">
        <f t="shared" si="16"/>
        <v>71</v>
      </c>
      <c r="F377" s="94"/>
      <c r="G377" s="95"/>
      <c r="H377" s="74"/>
      <c r="I377" s="98" t="s">
        <v>3277</v>
      </c>
      <c r="J377" s="99"/>
      <c r="L377" s="77" t="s">
        <v>3278</v>
      </c>
      <c r="M377" s="77">
        <v>4</v>
      </c>
    </row>
    <row r="378" s="69" customFormat="1" spans="2:13">
      <c r="B378" s="84" t="s">
        <v>3247</v>
      </c>
      <c r="C378" s="85">
        <v>30.3</v>
      </c>
      <c r="D378" s="86">
        <f t="shared" si="15"/>
        <v>0.784296807592752</v>
      </c>
      <c r="E378" s="93">
        <f t="shared" si="16"/>
        <v>75</v>
      </c>
      <c r="F378" s="94"/>
      <c r="G378" s="95"/>
      <c r="H378" s="74"/>
      <c r="I378" s="98" t="s">
        <v>3279</v>
      </c>
      <c r="J378" s="99"/>
      <c r="L378" s="77" t="s">
        <v>3280</v>
      </c>
      <c r="M378" s="77">
        <v>2</v>
      </c>
    </row>
    <row r="379" s="69" customFormat="1" spans="2:13">
      <c r="B379" s="84" t="s">
        <v>2854</v>
      </c>
      <c r="C379" s="85">
        <v>35</v>
      </c>
      <c r="D379" s="86">
        <f t="shared" si="15"/>
        <v>0.807692307692308</v>
      </c>
      <c r="E379" s="93">
        <f t="shared" si="16"/>
        <v>66</v>
      </c>
      <c r="F379" s="94"/>
      <c r="G379" s="95"/>
      <c r="H379" s="74"/>
      <c r="I379" s="98" t="s">
        <v>3154</v>
      </c>
      <c r="J379" s="99"/>
      <c r="L379" s="77" t="s">
        <v>3281</v>
      </c>
      <c r="M379" s="77">
        <v>2</v>
      </c>
    </row>
    <row r="380" s="69" customFormat="1" spans="2:13">
      <c r="B380" s="84" t="s">
        <v>3255</v>
      </c>
      <c r="C380" s="85">
        <v>35</v>
      </c>
      <c r="D380" s="86">
        <f t="shared" si="15"/>
        <v>0.807692307692308</v>
      </c>
      <c r="E380" s="93">
        <f t="shared" si="16"/>
        <v>66</v>
      </c>
      <c r="F380" s="94"/>
      <c r="G380" s="95"/>
      <c r="H380" s="74"/>
      <c r="I380" s="98" t="s">
        <v>3282</v>
      </c>
      <c r="J380" s="99"/>
      <c r="L380" s="77" t="s">
        <v>3283</v>
      </c>
      <c r="M380" s="77">
        <v>2</v>
      </c>
    </row>
    <row r="381" s="69" customFormat="1" spans="2:13">
      <c r="B381" s="84" t="s">
        <v>3257</v>
      </c>
      <c r="C381" s="85">
        <v>38</v>
      </c>
      <c r="D381" s="86">
        <f t="shared" si="15"/>
        <v>0.820143884892086</v>
      </c>
      <c r="E381" s="93">
        <f t="shared" si="16"/>
        <v>62</v>
      </c>
      <c r="F381" s="94"/>
      <c r="G381" s="95"/>
      <c r="H381" s="74"/>
      <c r="I381" s="98" t="s">
        <v>3284</v>
      </c>
      <c r="J381" s="99"/>
      <c r="L381" s="77" t="s">
        <v>3285</v>
      </c>
      <c r="M381" s="77">
        <v>2</v>
      </c>
    </row>
    <row r="382" s="69" customFormat="1" spans="2:13">
      <c r="B382" s="84" t="s">
        <v>3259</v>
      </c>
      <c r="C382" s="85">
        <v>43</v>
      </c>
      <c r="D382" s="86">
        <f t="shared" si="15"/>
        <v>0.837662337662338</v>
      </c>
      <c r="E382" s="93">
        <f t="shared" si="16"/>
        <v>56</v>
      </c>
      <c r="F382" s="94"/>
      <c r="G382" s="95"/>
      <c r="H382" s="74"/>
      <c r="I382" s="98" t="s">
        <v>3286</v>
      </c>
      <c r="J382" s="99"/>
      <c r="L382" s="77" t="s">
        <v>3287</v>
      </c>
      <c r="M382" s="77">
        <v>2</v>
      </c>
    </row>
    <row r="383" s="69" customFormat="1" spans="2:13">
      <c r="B383" s="84" t="s">
        <v>3261</v>
      </c>
      <c r="C383" s="85">
        <v>43</v>
      </c>
      <c r="D383" s="86">
        <f t="shared" si="15"/>
        <v>0.837662337662338</v>
      </c>
      <c r="E383" s="93">
        <f t="shared" si="16"/>
        <v>56</v>
      </c>
      <c r="F383" s="94"/>
      <c r="G383" s="95"/>
      <c r="H383" s="74"/>
      <c r="I383" s="98" t="s">
        <v>3288</v>
      </c>
      <c r="J383" s="99"/>
      <c r="L383" s="77" t="s">
        <v>3289</v>
      </c>
      <c r="M383" s="77">
        <v>2</v>
      </c>
    </row>
    <row r="384" s="69" customFormat="1" spans="2:13">
      <c r="B384" s="84" t="s">
        <v>3265</v>
      </c>
      <c r="C384" s="85">
        <v>41.5</v>
      </c>
      <c r="D384" s="86">
        <f t="shared" si="15"/>
        <v>0.832775919732441</v>
      </c>
      <c r="E384" s="93">
        <f t="shared" si="16"/>
        <v>58</v>
      </c>
      <c r="F384" s="94"/>
      <c r="G384" s="95"/>
      <c r="H384" s="74"/>
      <c r="I384" s="98" t="s">
        <v>3290</v>
      </c>
      <c r="J384" s="99"/>
      <c r="L384" s="77" t="s">
        <v>3291</v>
      </c>
      <c r="M384" s="77">
        <v>2</v>
      </c>
    </row>
    <row r="385" s="69" customFormat="1" spans="2:13">
      <c r="B385" s="84" t="s">
        <v>3268</v>
      </c>
      <c r="C385" s="85">
        <v>40</v>
      </c>
      <c r="D385" s="86">
        <f t="shared" si="15"/>
        <v>0.827586206896552</v>
      </c>
      <c r="E385" s="93">
        <f t="shared" si="16"/>
        <v>60</v>
      </c>
      <c r="F385" s="94"/>
      <c r="G385" s="95"/>
      <c r="H385" s="74"/>
      <c r="I385" s="75"/>
      <c r="J385" s="76"/>
      <c r="L385" s="77" t="s">
        <v>3292</v>
      </c>
      <c r="M385" s="77">
        <v>2</v>
      </c>
    </row>
    <row r="386" s="69" customFormat="1" spans="2:13">
      <c r="B386" s="84" t="s">
        <v>3152</v>
      </c>
      <c r="C386" s="85">
        <v>38.5</v>
      </c>
      <c r="D386" s="86">
        <f t="shared" si="15"/>
        <v>0.822064056939502</v>
      </c>
      <c r="E386" s="93">
        <f t="shared" si="16"/>
        <v>61</v>
      </c>
      <c r="F386" s="94"/>
      <c r="G386" s="95"/>
      <c r="H386" s="74"/>
      <c r="I386" s="75" t="s">
        <v>421</v>
      </c>
      <c r="J386" s="76">
        <v>1089.464159</v>
      </c>
      <c r="L386" s="77" t="s">
        <v>3293</v>
      </c>
      <c r="M386" s="77">
        <v>2</v>
      </c>
    </row>
    <row r="387" s="69" customFormat="1" spans="2:13">
      <c r="B387" s="84" t="s">
        <v>3138</v>
      </c>
      <c r="C387" s="85">
        <v>37.5</v>
      </c>
      <c r="D387" s="86">
        <f t="shared" ref="D387:D450" si="17">IF(C387="","",C387/(C387+$C$1/60))</f>
        <v>0.818181818181818</v>
      </c>
      <c r="E387" s="93">
        <f t="shared" ref="E387:E450" si="18">IFERROR(ROUND(1440/C387*2*D387,0),"")</f>
        <v>63</v>
      </c>
      <c r="F387" s="94"/>
      <c r="G387" s="95"/>
      <c r="H387" s="74"/>
      <c r="I387" s="75" t="s">
        <v>370</v>
      </c>
      <c r="J387" s="76">
        <v>854.698222</v>
      </c>
      <c r="L387" s="77" t="s">
        <v>3294</v>
      </c>
      <c r="M387" s="77">
        <v>2</v>
      </c>
    </row>
    <row r="388" s="69" customFormat="1" spans="2:13">
      <c r="B388" s="84" t="s">
        <v>3295</v>
      </c>
      <c r="C388" s="85">
        <v>38</v>
      </c>
      <c r="D388" s="86">
        <f t="shared" si="17"/>
        <v>0.820143884892086</v>
      </c>
      <c r="E388" s="93">
        <f t="shared" si="18"/>
        <v>62</v>
      </c>
      <c r="F388" s="94"/>
      <c r="G388" s="95"/>
      <c r="H388" s="74"/>
      <c r="I388" s="75" t="s">
        <v>3296</v>
      </c>
      <c r="J388" s="76">
        <v>112.330407</v>
      </c>
      <c r="L388" s="77" t="s">
        <v>3297</v>
      </c>
      <c r="M388" s="77">
        <v>2</v>
      </c>
    </row>
    <row r="389" s="69" customFormat="1" spans="2:13">
      <c r="B389" s="84" t="s">
        <v>3298</v>
      </c>
      <c r="C389" s="85">
        <v>41.5</v>
      </c>
      <c r="D389" s="86">
        <f t="shared" si="17"/>
        <v>0.832775919732441</v>
      </c>
      <c r="E389" s="93">
        <f t="shared" si="18"/>
        <v>58</v>
      </c>
      <c r="F389" s="94"/>
      <c r="G389" s="95"/>
      <c r="H389" s="74"/>
      <c r="I389" s="75" t="s">
        <v>3299</v>
      </c>
      <c r="J389" s="76">
        <v>783.180055</v>
      </c>
      <c r="L389" s="77" t="s">
        <v>3300</v>
      </c>
      <c r="M389" s="77">
        <v>2</v>
      </c>
    </row>
    <row r="390" s="69" customFormat="1" spans="2:13">
      <c r="B390" s="84" t="s">
        <v>3301</v>
      </c>
      <c r="C390" s="85">
        <v>38.5</v>
      </c>
      <c r="D390" s="86">
        <f t="shared" si="17"/>
        <v>0.822064056939502</v>
      </c>
      <c r="E390" s="93">
        <f t="shared" si="18"/>
        <v>61</v>
      </c>
      <c r="F390" s="94"/>
      <c r="G390" s="95"/>
      <c r="H390" s="74"/>
      <c r="I390" s="75" t="s">
        <v>3302</v>
      </c>
      <c r="J390" s="76">
        <v>944.494075</v>
      </c>
      <c r="L390" s="77" t="s">
        <v>3303</v>
      </c>
      <c r="M390" s="77">
        <v>2</v>
      </c>
    </row>
    <row r="391" s="69" customFormat="1" spans="2:13">
      <c r="B391" s="84" t="s">
        <v>3304</v>
      </c>
      <c r="C391" s="85">
        <v>37.5</v>
      </c>
      <c r="D391" s="86">
        <f t="shared" si="17"/>
        <v>0.818181818181818</v>
      </c>
      <c r="E391" s="93">
        <f t="shared" si="18"/>
        <v>63</v>
      </c>
      <c r="F391" s="94"/>
      <c r="G391" s="95"/>
      <c r="H391" s="74"/>
      <c r="I391" s="75" t="s">
        <v>212</v>
      </c>
      <c r="J391" s="76">
        <v>95.761323</v>
      </c>
      <c r="L391" s="77" t="s">
        <v>3305</v>
      </c>
      <c r="M391" s="77">
        <v>2</v>
      </c>
    </row>
    <row r="392" s="69" customFormat="1" spans="2:13">
      <c r="B392" s="84" t="s">
        <v>3306</v>
      </c>
      <c r="C392" s="85">
        <v>44</v>
      </c>
      <c r="D392" s="86">
        <f t="shared" si="17"/>
        <v>0.840764331210191</v>
      </c>
      <c r="E392" s="93">
        <f t="shared" si="18"/>
        <v>55</v>
      </c>
      <c r="F392" s="94"/>
      <c r="G392" s="95"/>
      <c r="H392" s="74"/>
      <c r="I392" s="75" t="s">
        <v>636</v>
      </c>
      <c r="J392" s="76">
        <v>1191.767864</v>
      </c>
      <c r="L392" s="77" t="s">
        <v>3307</v>
      </c>
      <c r="M392" s="77">
        <v>2</v>
      </c>
    </row>
    <row r="393" s="69" customFormat="1" spans="2:13">
      <c r="B393" s="84" t="s">
        <v>3308</v>
      </c>
      <c r="C393" s="85">
        <v>36.5</v>
      </c>
      <c r="D393" s="86">
        <f t="shared" si="17"/>
        <v>0.814126394052045</v>
      </c>
      <c r="E393" s="93">
        <f t="shared" si="18"/>
        <v>64</v>
      </c>
      <c r="F393" s="94"/>
      <c r="G393" s="95"/>
      <c r="H393" s="74"/>
      <c r="I393" s="75" t="s">
        <v>3309</v>
      </c>
      <c r="J393" s="76">
        <v>802.709621</v>
      </c>
      <c r="L393" s="77" t="s">
        <v>3310</v>
      </c>
      <c r="M393" s="77">
        <v>2</v>
      </c>
    </row>
    <row r="394" s="69" customFormat="1" spans="2:13">
      <c r="B394" s="84" t="s">
        <v>3311</v>
      </c>
      <c r="C394" s="85">
        <v>38</v>
      </c>
      <c r="D394" s="86">
        <f t="shared" si="17"/>
        <v>0.820143884892086</v>
      </c>
      <c r="E394" s="93">
        <f t="shared" si="18"/>
        <v>62</v>
      </c>
      <c r="F394" s="94"/>
      <c r="G394" s="95"/>
      <c r="H394" s="74"/>
      <c r="I394" s="75" t="s">
        <v>3312</v>
      </c>
      <c r="J394" s="76">
        <v>1048.347398</v>
      </c>
      <c r="L394" s="77" t="s">
        <v>3313</v>
      </c>
      <c r="M394" s="77">
        <v>2</v>
      </c>
    </row>
    <row r="395" s="69" customFormat="1" spans="2:13">
      <c r="B395" s="84" t="s">
        <v>3314</v>
      </c>
      <c r="C395" s="85">
        <v>39.5</v>
      </c>
      <c r="D395" s="86">
        <f t="shared" si="17"/>
        <v>0.825783972125436</v>
      </c>
      <c r="E395" s="93">
        <f t="shared" si="18"/>
        <v>60</v>
      </c>
      <c r="F395" s="94"/>
      <c r="G395" s="95"/>
      <c r="H395" s="74"/>
      <c r="I395" s="75" t="s">
        <v>3315</v>
      </c>
      <c r="J395" s="76">
        <v>1159.447702</v>
      </c>
      <c r="L395" s="77" t="s">
        <v>3316</v>
      </c>
      <c r="M395" s="77">
        <v>2</v>
      </c>
    </row>
    <row r="396" s="69" customFormat="1" spans="2:13">
      <c r="B396" s="84" t="s">
        <v>3317</v>
      </c>
      <c r="C396" s="85">
        <v>36</v>
      </c>
      <c r="D396" s="86">
        <f t="shared" si="17"/>
        <v>0.81203007518797</v>
      </c>
      <c r="E396" s="93">
        <f t="shared" si="18"/>
        <v>65</v>
      </c>
      <c r="F396" s="94"/>
      <c r="G396" s="95"/>
      <c r="H396" s="74"/>
      <c r="I396" s="75" t="s">
        <v>3318</v>
      </c>
      <c r="J396" s="76">
        <v>44.985094</v>
      </c>
      <c r="L396" s="77" t="s">
        <v>3319</v>
      </c>
      <c r="M396" s="77">
        <v>2</v>
      </c>
    </row>
    <row r="397" s="69" customFormat="1" spans="2:13">
      <c r="B397" s="84" t="s">
        <v>2328</v>
      </c>
      <c r="C397" s="85">
        <v>37.5</v>
      </c>
      <c r="D397" s="86">
        <f t="shared" si="17"/>
        <v>0.818181818181818</v>
      </c>
      <c r="E397" s="93">
        <f t="shared" si="18"/>
        <v>63</v>
      </c>
      <c r="F397" s="94"/>
      <c r="G397" s="95"/>
      <c r="H397" s="74"/>
      <c r="I397" s="75" t="s">
        <v>3320</v>
      </c>
      <c r="J397" s="76">
        <v>44.985094</v>
      </c>
      <c r="L397" s="77" t="s">
        <v>3321</v>
      </c>
      <c r="M397" s="77">
        <v>2</v>
      </c>
    </row>
    <row r="398" s="69" customFormat="1" spans="2:13">
      <c r="B398" s="84" t="s">
        <v>2330</v>
      </c>
      <c r="C398" s="85">
        <v>44</v>
      </c>
      <c r="D398" s="86">
        <f t="shared" si="17"/>
        <v>0.840764331210191</v>
      </c>
      <c r="E398" s="93">
        <f t="shared" si="18"/>
        <v>55</v>
      </c>
      <c r="F398" s="94"/>
      <c r="G398" s="95"/>
      <c r="H398" s="74"/>
      <c r="I398" s="75" t="s">
        <v>585</v>
      </c>
      <c r="J398" s="76">
        <v>1140.466964</v>
      </c>
      <c r="L398" s="77" t="s">
        <v>3322</v>
      </c>
      <c r="M398" s="77">
        <v>2</v>
      </c>
    </row>
    <row r="399" s="69" customFormat="1" spans="2:13">
      <c r="B399" s="84" t="s">
        <v>2324</v>
      </c>
      <c r="C399" s="85">
        <v>34</v>
      </c>
      <c r="D399" s="86">
        <f t="shared" si="17"/>
        <v>0.803149606299213</v>
      </c>
      <c r="E399" s="93">
        <f t="shared" si="18"/>
        <v>68</v>
      </c>
      <c r="F399" s="94"/>
      <c r="G399" s="95"/>
      <c r="H399" s="74"/>
      <c r="I399" s="75" t="s">
        <v>3323</v>
      </c>
      <c r="J399" s="76">
        <v>133.740768</v>
      </c>
      <c r="L399" s="77" t="s">
        <v>3324</v>
      </c>
      <c r="M399" s="77">
        <v>2</v>
      </c>
    </row>
    <row r="400" s="69" customFormat="1" spans="2:13">
      <c r="B400" s="84" t="s">
        <v>3325</v>
      </c>
      <c r="C400" s="85">
        <v>33.5</v>
      </c>
      <c r="D400" s="86">
        <f t="shared" si="17"/>
        <v>0.800796812749004</v>
      </c>
      <c r="E400" s="93">
        <f t="shared" si="18"/>
        <v>69</v>
      </c>
      <c r="F400" s="94"/>
      <c r="G400" s="95"/>
      <c r="H400" s="74"/>
      <c r="I400" s="75" t="s">
        <v>3326</v>
      </c>
      <c r="J400" s="76">
        <v>242.253179</v>
      </c>
      <c r="L400" s="77" t="s">
        <v>3327</v>
      </c>
      <c r="M400" s="77">
        <v>2</v>
      </c>
    </row>
    <row r="401" s="69" customFormat="1" spans="2:13">
      <c r="B401" s="84" t="s">
        <v>3328</v>
      </c>
      <c r="C401" s="85">
        <v>40</v>
      </c>
      <c r="D401" s="86">
        <f t="shared" si="17"/>
        <v>0.827586206896552</v>
      </c>
      <c r="E401" s="93">
        <f t="shared" si="18"/>
        <v>60</v>
      </c>
      <c r="F401" s="94"/>
      <c r="G401" s="95"/>
      <c r="H401" s="74"/>
      <c r="I401" s="75" t="s">
        <v>3329</v>
      </c>
      <c r="J401" s="76">
        <v>828.746702</v>
      </c>
      <c r="L401" s="77" t="s">
        <v>3330</v>
      </c>
      <c r="M401" s="77">
        <v>2</v>
      </c>
    </row>
    <row r="402" s="69" customFormat="1" spans="2:13">
      <c r="B402" s="84" t="s">
        <v>3331</v>
      </c>
      <c r="C402" s="85">
        <v>38.5</v>
      </c>
      <c r="D402" s="86">
        <f t="shared" si="17"/>
        <v>0.822064056939502</v>
      </c>
      <c r="E402" s="93">
        <f t="shared" si="18"/>
        <v>61</v>
      </c>
      <c r="F402" s="94"/>
      <c r="G402" s="95"/>
      <c r="H402" s="74"/>
      <c r="I402" s="75" t="s">
        <v>3332</v>
      </c>
      <c r="J402" s="76">
        <v>872.517996</v>
      </c>
      <c r="L402" s="77" t="s">
        <v>3333</v>
      </c>
      <c r="M402" s="77">
        <v>2</v>
      </c>
    </row>
    <row r="403" s="69" customFormat="1" spans="2:13">
      <c r="B403" s="84" t="s">
        <v>3334</v>
      </c>
      <c r="C403" s="85">
        <v>37</v>
      </c>
      <c r="D403" s="86">
        <f t="shared" si="17"/>
        <v>0.816176470588235</v>
      </c>
      <c r="E403" s="93">
        <f t="shared" si="18"/>
        <v>64</v>
      </c>
      <c r="F403" s="94"/>
      <c r="G403" s="95"/>
      <c r="H403" s="74"/>
      <c r="I403" s="75" t="s">
        <v>3335</v>
      </c>
      <c r="J403" s="76">
        <v>746.424763</v>
      </c>
      <c r="L403" s="77" t="s">
        <v>3336</v>
      </c>
      <c r="M403" s="77">
        <v>2</v>
      </c>
    </row>
    <row r="404" s="69" customFormat="1" spans="2:13">
      <c r="B404" s="84" t="s">
        <v>3337</v>
      </c>
      <c r="C404" s="85">
        <v>36</v>
      </c>
      <c r="D404" s="86">
        <f t="shared" si="17"/>
        <v>0.81203007518797</v>
      </c>
      <c r="E404" s="93">
        <f t="shared" si="18"/>
        <v>65</v>
      </c>
      <c r="F404" s="94"/>
      <c r="G404" s="95"/>
      <c r="H404" s="74"/>
      <c r="I404" s="75" t="s">
        <v>3338</v>
      </c>
      <c r="J404" s="76">
        <v>814.810612</v>
      </c>
      <c r="L404" s="77" t="s">
        <v>3339</v>
      </c>
      <c r="M404" s="77">
        <v>2</v>
      </c>
    </row>
    <row r="405" s="69" customFormat="1" spans="2:13">
      <c r="B405" s="84" t="s">
        <v>3340</v>
      </c>
      <c r="C405" s="85">
        <v>38</v>
      </c>
      <c r="D405" s="86">
        <f t="shared" si="17"/>
        <v>0.820143884892086</v>
      </c>
      <c r="E405" s="93">
        <f t="shared" si="18"/>
        <v>62</v>
      </c>
      <c r="F405" s="94"/>
      <c r="G405" s="95"/>
      <c r="H405" s="74"/>
      <c r="I405" s="75" t="s">
        <v>3341</v>
      </c>
      <c r="J405" s="76">
        <v>912.507589</v>
      </c>
      <c r="L405" s="77" t="s">
        <v>3342</v>
      </c>
      <c r="M405" s="77">
        <v>2</v>
      </c>
    </row>
    <row r="406" s="69" customFormat="1" spans="2:13">
      <c r="B406" s="84" t="s">
        <v>3343</v>
      </c>
      <c r="C406" s="85">
        <v>34.5</v>
      </c>
      <c r="D406" s="86">
        <f t="shared" si="17"/>
        <v>0.805447470817121</v>
      </c>
      <c r="E406" s="93">
        <f t="shared" si="18"/>
        <v>67</v>
      </c>
      <c r="F406" s="94"/>
      <c r="G406" s="95"/>
      <c r="H406" s="74"/>
      <c r="I406" s="75" t="s">
        <v>3344</v>
      </c>
      <c r="J406" s="76">
        <v>833.266084</v>
      </c>
      <c r="L406" s="77" t="s">
        <v>3345</v>
      </c>
      <c r="M406" s="77">
        <v>2</v>
      </c>
    </row>
    <row r="407" s="69" customFormat="1" spans="2:13">
      <c r="B407" s="84" t="s">
        <v>2332</v>
      </c>
      <c r="C407" s="85">
        <v>36</v>
      </c>
      <c r="D407" s="86">
        <f t="shared" si="17"/>
        <v>0.81203007518797</v>
      </c>
      <c r="E407" s="93">
        <f t="shared" si="18"/>
        <v>65</v>
      </c>
      <c r="F407" s="94"/>
      <c r="G407" s="95"/>
      <c r="H407" s="74"/>
      <c r="I407" s="75" t="s">
        <v>3346</v>
      </c>
      <c r="J407" s="76">
        <v>853.74289</v>
      </c>
      <c r="L407" s="77" t="s">
        <v>3347</v>
      </c>
      <c r="M407" s="77">
        <v>2</v>
      </c>
    </row>
    <row r="408" s="69" customFormat="1" spans="2:13">
      <c r="B408" s="84" t="s">
        <v>2334</v>
      </c>
      <c r="C408" s="85">
        <v>42.5</v>
      </c>
      <c r="D408" s="86">
        <f t="shared" si="17"/>
        <v>0.836065573770492</v>
      </c>
      <c r="E408" s="93">
        <f t="shared" si="18"/>
        <v>57</v>
      </c>
      <c r="F408" s="94"/>
      <c r="G408" s="95"/>
      <c r="H408" s="74"/>
      <c r="I408" s="75" t="s">
        <v>3348</v>
      </c>
      <c r="J408" s="76">
        <v>632.41479</v>
      </c>
      <c r="L408" s="77" t="s">
        <v>3349</v>
      </c>
      <c r="M408" s="77">
        <v>2</v>
      </c>
    </row>
    <row r="409" s="69" customFormat="1" spans="2:13">
      <c r="B409" s="84" t="s">
        <v>2336</v>
      </c>
      <c r="C409" s="85">
        <v>37.5</v>
      </c>
      <c r="D409" s="86">
        <f t="shared" si="17"/>
        <v>0.818181818181818</v>
      </c>
      <c r="E409" s="93">
        <f t="shared" si="18"/>
        <v>63</v>
      </c>
      <c r="F409" s="94"/>
      <c r="G409" s="95"/>
      <c r="H409" s="74"/>
      <c r="I409" s="75" t="s">
        <v>3350</v>
      </c>
      <c r="J409" s="76">
        <v>844.110316</v>
      </c>
      <c r="L409" s="77" t="s">
        <v>3351</v>
      </c>
      <c r="M409" s="77">
        <v>2</v>
      </c>
    </row>
    <row r="410" s="69" customFormat="1" spans="2:13">
      <c r="B410" s="84" t="s">
        <v>3352</v>
      </c>
      <c r="C410" s="85">
        <v>37</v>
      </c>
      <c r="D410" s="86">
        <f t="shared" si="17"/>
        <v>0.816176470588235</v>
      </c>
      <c r="E410" s="93">
        <f t="shared" si="18"/>
        <v>64</v>
      </c>
      <c r="F410" s="94"/>
      <c r="G410" s="95"/>
      <c r="H410" s="74"/>
      <c r="I410" s="75" t="s">
        <v>3353</v>
      </c>
      <c r="J410" s="76">
        <v>1256.445792</v>
      </c>
      <c r="L410" s="77" t="s">
        <v>3354</v>
      </c>
      <c r="M410" s="77">
        <v>2</v>
      </c>
    </row>
    <row r="411" s="69" customFormat="1" spans="2:13">
      <c r="B411" s="84" t="s">
        <v>3198</v>
      </c>
      <c r="C411" s="85">
        <v>39</v>
      </c>
      <c r="D411" s="86">
        <f t="shared" si="17"/>
        <v>0.823943661971831</v>
      </c>
      <c r="E411" s="93">
        <f t="shared" si="18"/>
        <v>61</v>
      </c>
      <c r="F411" s="94"/>
      <c r="G411" s="95"/>
      <c r="H411" s="74"/>
      <c r="I411" s="75" t="s">
        <v>3355</v>
      </c>
      <c r="J411" s="76">
        <v>1068.348561</v>
      </c>
      <c r="L411" s="77" t="s">
        <v>3356</v>
      </c>
      <c r="M411" s="77">
        <v>2</v>
      </c>
    </row>
    <row r="412" s="69" customFormat="1" spans="2:13">
      <c r="B412" s="84" t="s">
        <v>3357</v>
      </c>
      <c r="C412" s="85">
        <v>39</v>
      </c>
      <c r="D412" s="86">
        <f t="shared" si="17"/>
        <v>0.823943661971831</v>
      </c>
      <c r="E412" s="93">
        <f t="shared" si="18"/>
        <v>61</v>
      </c>
      <c r="F412" s="94"/>
      <c r="G412" s="95"/>
      <c r="H412" s="74"/>
      <c r="I412" s="75" t="s">
        <v>3358</v>
      </c>
      <c r="J412" s="76">
        <v>874.626081</v>
      </c>
      <c r="L412" s="77" t="s">
        <v>3359</v>
      </c>
      <c r="M412" s="77">
        <v>2</v>
      </c>
    </row>
    <row r="413" s="69" customFormat="1" spans="2:13">
      <c r="B413" s="84" t="s">
        <v>3360</v>
      </c>
      <c r="C413" s="85">
        <v>38</v>
      </c>
      <c r="D413" s="86">
        <f t="shared" si="17"/>
        <v>0.820143884892086</v>
      </c>
      <c r="E413" s="93">
        <f t="shared" si="18"/>
        <v>62</v>
      </c>
      <c r="F413" s="94"/>
      <c r="G413" s="95"/>
      <c r="H413" s="74"/>
      <c r="I413" s="75" t="s">
        <v>3361</v>
      </c>
      <c r="J413" s="76">
        <v>93.192113</v>
      </c>
      <c r="L413" s="77" t="s">
        <v>3362</v>
      </c>
      <c r="M413" s="77">
        <v>2</v>
      </c>
    </row>
    <row r="414" s="69" customFormat="1" spans="2:13">
      <c r="B414" s="84" t="s">
        <v>3363</v>
      </c>
      <c r="C414" s="85">
        <v>37.5</v>
      </c>
      <c r="D414" s="86">
        <f t="shared" si="17"/>
        <v>0.818181818181818</v>
      </c>
      <c r="E414" s="93">
        <f t="shared" si="18"/>
        <v>63</v>
      </c>
      <c r="F414" s="94"/>
      <c r="G414" s="95"/>
      <c r="H414" s="74"/>
      <c r="I414" s="75" t="s">
        <v>3364</v>
      </c>
      <c r="J414" s="76">
        <v>146.237553</v>
      </c>
      <c r="L414" s="77" t="s">
        <v>3365</v>
      </c>
      <c r="M414" s="77">
        <v>2</v>
      </c>
    </row>
    <row r="415" s="69" customFormat="1" spans="2:13">
      <c r="B415" s="84" t="s">
        <v>3366</v>
      </c>
      <c r="C415" s="85">
        <v>36</v>
      </c>
      <c r="D415" s="86">
        <f t="shared" si="17"/>
        <v>0.81203007518797</v>
      </c>
      <c r="E415" s="93">
        <f t="shared" si="18"/>
        <v>65</v>
      </c>
      <c r="F415" s="94"/>
      <c r="G415" s="95"/>
      <c r="H415" s="74"/>
      <c r="I415" s="75" t="s">
        <v>637</v>
      </c>
      <c r="J415" s="76">
        <v>1208.447023</v>
      </c>
      <c r="L415" s="77" t="s">
        <v>3367</v>
      </c>
      <c r="M415" s="77">
        <v>2</v>
      </c>
    </row>
    <row r="416" s="69" customFormat="1" spans="2:13">
      <c r="B416" s="84" t="s">
        <v>3219</v>
      </c>
      <c r="C416" s="85">
        <v>38</v>
      </c>
      <c r="D416" s="86">
        <f t="shared" si="17"/>
        <v>0.820143884892086</v>
      </c>
      <c r="E416" s="93">
        <f t="shared" si="18"/>
        <v>62</v>
      </c>
      <c r="F416" s="94"/>
      <c r="G416" s="95"/>
      <c r="H416" s="74"/>
      <c r="I416" s="75" t="s">
        <v>3368</v>
      </c>
      <c r="J416" s="76">
        <v>952.131257</v>
      </c>
      <c r="L416" s="77" t="s">
        <v>3369</v>
      </c>
      <c r="M416" s="77">
        <v>2</v>
      </c>
    </row>
    <row r="417" s="69" customFormat="1" spans="2:13">
      <c r="B417" s="84" t="s">
        <v>3370</v>
      </c>
      <c r="C417" s="85">
        <v>38</v>
      </c>
      <c r="D417" s="86">
        <f t="shared" si="17"/>
        <v>0.820143884892086</v>
      </c>
      <c r="E417" s="93">
        <f t="shared" si="18"/>
        <v>62</v>
      </c>
      <c r="F417" s="94"/>
      <c r="G417" s="95"/>
      <c r="H417" s="74"/>
      <c r="I417" s="75" t="s">
        <v>646</v>
      </c>
      <c r="J417" s="76">
        <v>1281.689024</v>
      </c>
      <c r="L417" s="77" t="s">
        <v>3371</v>
      </c>
      <c r="M417" s="77">
        <v>2</v>
      </c>
    </row>
    <row r="418" s="69" customFormat="1" spans="2:13">
      <c r="B418" s="84" t="s">
        <v>2338</v>
      </c>
      <c r="C418" s="85">
        <v>36</v>
      </c>
      <c r="D418" s="86">
        <f t="shared" si="17"/>
        <v>0.81203007518797</v>
      </c>
      <c r="E418" s="93">
        <f t="shared" si="18"/>
        <v>65</v>
      </c>
      <c r="F418" s="94"/>
      <c r="G418" s="95"/>
      <c r="H418" s="74"/>
      <c r="I418" s="75" t="s">
        <v>583</v>
      </c>
      <c r="J418" s="76">
        <v>1140.466964</v>
      </c>
      <c r="L418" s="77" t="s">
        <v>3372</v>
      </c>
      <c r="M418" s="77">
        <v>2</v>
      </c>
    </row>
    <row r="419" s="69" customFormat="1" spans="2:13">
      <c r="B419" s="84" t="s">
        <v>3373</v>
      </c>
      <c r="C419" s="85">
        <v>37</v>
      </c>
      <c r="D419" s="86">
        <f t="shared" si="17"/>
        <v>0.816176470588235</v>
      </c>
      <c r="E419" s="93">
        <f t="shared" si="18"/>
        <v>64</v>
      </c>
      <c r="F419" s="94"/>
      <c r="G419" s="95"/>
      <c r="H419" s="74"/>
      <c r="I419" s="75" t="s">
        <v>739</v>
      </c>
      <c r="J419" s="76">
        <v>39.926285</v>
      </c>
      <c r="L419" s="77" t="s">
        <v>3374</v>
      </c>
      <c r="M419" s="77">
        <v>2</v>
      </c>
    </row>
    <row r="420" s="69" customFormat="1" spans="2:13">
      <c r="B420" s="84" t="s">
        <v>3375</v>
      </c>
      <c r="C420" s="85">
        <v>37</v>
      </c>
      <c r="D420" s="86">
        <f t="shared" si="17"/>
        <v>0.816176470588235</v>
      </c>
      <c r="E420" s="93">
        <f t="shared" si="18"/>
        <v>64</v>
      </c>
      <c r="F420" s="94"/>
      <c r="G420" s="95"/>
      <c r="H420" s="74"/>
      <c r="I420" s="75" t="s">
        <v>3376</v>
      </c>
      <c r="J420" s="76">
        <v>31.743726</v>
      </c>
      <c r="L420" s="77" t="s">
        <v>3377</v>
      </c>
      <c r="M420" s="77">
        <v>2</v>
      </c>
    </row>
    <row r="421" s="69" customFormat="1" spans="2:13">
      <c r="B421" s="84" t="s">
        <v>3378</v>
      </c>
      <c r="C421" s="85">
        <v>36.5</v>
      </c>
      <c r="D421" s="86">
        <f t="shared" si="17"/>
        <v>0.814126394052045</v>
      </c>
      <c r="E421" s="93">
        <f t="shared" si="18"/>
        <v>64</v>
      </c>
      <c r="F421" s="94"/>
      <c r="G421" s="95"/>
      <c r="H421" s="74"/>
      <c r="I421" s="75" t="s">
        <v>741</v>
      </c>
      <c r="J421" s="76">
        <v>41.825168</v>
      </c>
      <c r="L421" s="77" t="s">
        <v>3379</v>
      </c>
      <c r="M421" s="77">
        <v>2</v>
      </c>
    </row>
    <row r="422" s="69" customFormat="1" spans="2:13">
      <c r="B422" s="84" t="s">
        <v>3380</v>
      </c>
      <c r="C422" s="85">
        <v>36</v>
      </c>
      <c r="D422" s="86">
        <f t="shared" si="17"/>
        <v>0.81203007518797</v>
      </c>
      <c r="E422" s="93">
        <f t="shared" si="18"/>
        <v>65</v>
      </c>
      <c r="F422" s="94"/>
      <c r="G422" s="95"/>
      <c r="H422" s="74"/>
      <c r="I422" s="75" t="s">
        <v>742</v>
      </c>
      <c r="J422" s="76">
        <v>50.694238</v>
      </c>
      <c r="L422" s="77" t="s">
        <v>3381</v>
      </c>
      <c r="M422" s="77">
        <v>2</v>
      </c>
    </row>
    <row r="423" s="69" customFormat="1" spans="2:13">
      <c r="B423" s="84" t="s">
        <v>3382</v>
      </c>
      <c r="C423" s="85">
        <v>42.5</v>
      </c>
      <c r="D423" s="86">
        <f t="shared" si="17"/>
        <v>0.836065573770492</v>
      </c>
      <c r="E423" s="93">
        <f t="shared" si="18"/>
        <v>57</v>
      </c>
      <c r="F423" s="94"/>
      <c r="G423" s="95"/>
      <c r="H423" s="74"/>
      <c r="I423" s="75" t="s">
        <v>740</v>
      </c>
      <c r="J423" s="76">
        <v>41.412952</v>
      </c>
      <c r="L423" s="77" t="s">
        <v>3383</v>
      </c>
      <c r="M423" s="77">
        <v>2</v>
      </c>
    </row>
    <row r="424" s="69" customFormat="1" spans="2:13">
      <c r="B424" s="84" t="s">
        <v>3384</v>
      </c>
      <c r="C424" s="85">
        <v>37.5</v>
      </c>
      <c r="D424" s="86">
        <f t="shared" si="17"/>
        <v>0.818181818181818</v>
      </c>
      <c r="E424" s="93">
        <f t="shared" si="18"/>
        <v>63</v>
      </c>
      <c r="F424" s="94"/>
      <c r="G424" s="95"/>
      <c r="H424" s="74"/>
      <c r="I424" s="75" t="s">
        <v>3385</v>
      </c>
      <c r="J424" s="76">
        <v>35.406546</v>
      </c>
      <c r="L424" s="77" t="s">
        <v>3386</v>
      </c>
      <c r="M424" s="77">
        <v>2</v>
      </c>
    </row>
    <row r="425" s="69" customFormat="1" spans="2:13">
      <c r="B425" s="84" t="s">
        <v>3387</v>
      </c>
      <c r="C425" s="85">
        <v>36</v>
      </c>
      <c r="D425" s="86">
        <f t="shared" si="17"/>
        <v>0.81203007518797</v>
      </c>
      <c r="E425" s="93">
        <f t="shared" si="18"/>
        <v>65</v>
      </c>
      <c r="F425" s="94"/>
      <c r="G425" s="95"/>
      <c r="H425" s="74"/>
      <c r="I425" s="75" t="s">
        <v>3388</v>
      </c>
      <c r="J425" s="76">
        <v>45.205006</v>
      </c>
      <c r="L425" s="77" t="s">
        <v>3389</v>
      </c>
      <c r="M425" s="77">
        <v>2</v>
      </c>
    </row>
    <row r="426" s="69" customFormat="1" spans="2:13">
      <c r="B426" s="84" t="s">
        <v>3390</v>
      </c>
      <c r="C426" s="85">
        <v>34</v>
      </c>
      <c r="D426" s="86">
        <f t="shared" si="17"/>
        <v>0.803149606299213</v>
      </c>
      <c r="E426" s="93">
        <f t="shared" si="18"/>
        <v>68</v>
      </c>
      <c r="F426" s="94"/>
      <c r="G426" s="95"/>
      <c r="H426" s="74"/>
      <c r="I426" s="75" t="s">
        <v>3391</v>
      </c>
      <c r="J426" s="76">
        <v>45.205006</v>
      </c>
      <c r="L426" s="77" t="s">
        <v>3392</v>
      </c>
      <c r="M426" s="77">
        <v>2</v>
      </c>
    </row>
    <row r="427" s="69" customFormat="1" spans="2:13">
      <c r="B427" s="84" t="s">
        <v>2346</v>
      </c>
      <c r="C427" s="85">
        <v>32.5</v>
      </c>
      <c r="D427" s="86">
        <f t="shared" si="17"/>
        <v>0.795918367346939</v>
      </c>
      <c r="E427" s="93">
        <f t="shared" si="18"/>
        <v>71</v>
      </c>
      <c r="F427" s="94"/>
      <c r="G427" s="95"/>
      <c r="H427" s="74"/>
      <c r="I427" s="75" t="s">
        <v>3393</v>
      </c>
      <c r="J427" s="76">
        <v>835.847432</v>
      </c>
      <c r="L427" s="77" t="s">
        <v>3394</v>
      </c>
      <c r="M427" s="77">
        <v>2</v>
      </c>
    </row>
    <row r="428" s="69" customFormat="1" spans="2:13">
      <c r="B428" s="84" t="s">
        <v>3233</v>
      </c>
      <c r="C428" s="85">
        <v>32</v>
      </c>
      <c r="D428" s="86">
        <f t="shared" si="17"/>
        <v>0.793388429752066</v>
      </c>
      <c r="E428" s="93">
        <f t="shared" si="18"/>
        <v>71</v>
      </c>
      <c r="F428" s="94"/>
      <c r="G428" s="95"/>
      <c r="H428" s="74"/>
      <c r="I428" s="75" t="s">
        <v>3395</v>
      </c>
      <c r="J428" s="76">
        <v>256.308864</v>
      </c>
      <c r="L428" s="77" t="s">
        <v>3396</v>
      </c>
      <c r="M428" s="77">
        <v>2</v>
      </c>
    </row>
    <row r="429" s="69" customFormat="1" spans="2:13">
      <c r="B429" s="84" t="s">
        <v>2349</v>
      </c>
      <c r="C429" s="85">
        <v>35</v>
      </c>
      <c r="D429" s="86">
        <f t="shared" si="17"/>
        <v>0.807692307692308</v>
      </c>
      <c r="E429" s="93">
        <f t="shared" si="18"/>
        <v>66</v>
      </c>
      <c r="F429" s="94"/>
      <c r="G429" s="95"/>
      <c r="H429" s="74"/>
      <c r="I429" s="75" t="s">
        <v>3397</v>
      </c>
      <c r="J429" s="76">
        <v>160.80827</v>
      </c>
      <c r="L429" s="77" t="s">
        <v>3398</v>
      </c>
      <c r="M429" s="77">
        <v>2</v>
      </c>
    </row>
    <row r="430" s="69" customFormat="1" spans="2:13">
      <c r="B430" s="84" t="s">
        <v>3399</v>
      </c>
      <c r="C430" s="85">
        <v>35</v>
      </c>
      <c r="D430" s="86">
        <f t="shared" si="17"/>
        <v>0.807692307692308</v>
      </c>
      <c r="E430" s="93">
        <f t="shared" si="18"/>
        <v>66</v>
      </c>
      <c r="F430" s="94"/>
      <c r="G430" s="95"/>
      <c r="H430" s="74"/>
      <c r="I430" s="75" t="s">
        <v>3400</v>
      </c>
      <c r="J430" s="76">
        <v>964.54974</v>
      </c>
      <c r="L430" s="77" t="s">
        <v>3401</v>
      </c>
      <c r="M430" s="77">
        <v>2</v>
      </c>
    </row>
    <row r="431" s="69" customFormat="1" spans="2:13">
      <c r="B431" s="84" t="s">
        <v>3402</v>
      </c>
      <c r="C431" s="85">
        <v>35</v>
      </c>
      <c r="D431" s="86">
        <f t="shared" si="17"/>
        <v>0.807692307692308</v>
      </c>
      <c r="E431" s="93">
        <f t="shared" si="18"/>
        <v>66</v>
      </c>
      <c r="F431" s="94"/>
      <c r="G431" s="95"/>
      <c r="H431" s="74"/>
      <c r="I431" s="75" t="s">
        <v>3403</v>
      </c>
      <c r="J431" s="76">
        <v>964.54974</v>
      </c>
      <c r="L431" s="77" t="s">
        <v>3404</v>
      </c>
      <c r="M431" s="77">
        <v>2</v>
      </c>
    </row>
    <row r="432" s="69" customFormat="1" spans="2:13">
      <c r="B432" s="84" t="s">
        <v>3405</v>
      </c>
      <c r="C432" s="85">
        <v>48</v>
      </c>
      <c r="D432" s="86">
        <f t="shared" si="17"/>
        <v>0.85207100591716</v>
      </c>
      <c r="E432" s="93">
        <f t="shared" si="18"/>
        <v>51</v>
      </c>
      <c r="F432" s="94"/>
      <c r="G432" s="95"/>
      <c r="H432" s="74"/>
      <c r="I432" s="75" t="s">
        <v>3406</v>
      </c>
      <c r="J432" s="76">
        <v>1050.611016</v>
      </c>
      <c r="L432" s="77" t="s">
        <v>3407</v>
      </c>
      <c r="M432" s="77">
        <v>2</v>
      </c>
    </row>
    <row r="433" s="69" customFormat="1" spans="2:13">
      <c r="B433" s="84" t="s">
        <v>2356</v>
      </c>
      <c r="C433" s="85">
        <v>50</v>
      </c>
      <c r="D433" s="86">
        <f t="shared" si="17"/>
        <v>0.857142857142857</v>
      </c>
      <c r="E433" s="93">
        <f t="shared" si="18"/>
        <v>49</v>
      </c>
      <c r="F433" s="94"/>
      <c r="G433" s="95"/>
      <c r="H433" s="74"/>
      <c r="I433" s="75" t="s">
        <v>3408</v>
      </c>
      <c r="J433" s="76">
        <v>793.442258</v>
      </c>
      <c r="L433" s="77" t="s">
        <v>3409</v>
      </c>
      <c r="M433" s="77">
        <v>2</v>
      </c>
    </row>
    <row r="434" s="69" customFormat="1" spans="2:13">
      <c r="B434" s="84" t="s">
        <v>3410</v>
      </c>
      <c r="C434" s="85">
        <v>55</v>
      </c>
      <c r="D434" s="86">
        <f t="shared" si="17"/>
        <v>0.868421052631579</v>
      </c>
      <c r="E434" s="93">
        <f t="shared" si="18"/>
        <v>45</v>
      </c>
      <c r="F434" s="94"/>
      <c r="G434" s="95"/>
      <c r="H434" s="74"/>
      <c r="I434" s="75" t="s">
        <v>3411</v>
      </c>
      <c r="J434" s="76">
        <v>779.273404</v>
      </c>
      <c r="L434" s="77" t="s">
        <v>3412</v>
      </c>
      <c r="M434" s="77">
        <v>4</v>
      </c>
    </row>
    <row r="435" s="69" customFormat="1" spans="2:13">
      <c r="B435" s="84" t="s">
        <v>2359</v>
      </c>
      <c r="C435" s="85">
        <v>60</v>
      </c>
      <c r="D435" s="86">
        <f t="shared" si="17"/>
        <v>0.878048780487805</v>
      </c>
      <c r="E435" s="93">
        <f t="shared" si="18"/>
        <v>42</v>
      </c>
      <c r="F435" s="94"/>
      <c r="G435" s="95"/>
      <c r="H435" s="74"/>
      <c r="I435" s="75" t="s">
        <v>3413</v>
      </c>
      <c r="J435" s="76">
        <v>1358.789005</v>
      </c>
      <c r="L435" s="77" t="s">
        <v>3414</v>
      </c>
      <c r="M435" s="77">
        <v>4</v>
      </c>
    </row>
    <row r="436" s="69" customFormat="1" spans="2:13">
      <c r="B436" s="84" t="s">
        <v>3415</v>
      </c>
      <c r="C436" s="85">
        <v>58</v>
      </c>
      <c r="D436" s="86">
        <f t="shared" si="17"/>
        <v>0.874371859296482</v>
      </c>
      <c r="E436" s="93">
        <f t="shared" si="18"/>
        <v>43</v>
      </c>
      <c r="F436" s="94"/>
      <c r="G436" s="95"/>
      <c r="H436" s="74"/>
      <c r="I436" s="75" t="s">
        <v>3416</v>
      </c>
      <c r="J436" s="76">
        <v>413.293664</v>
      </c>
      <c r="L436" s="77" t="s">
        <v>3417</v>
      </c>
      <c r="M436" s="77">
        <v>6</v>
      </c>
    </row>
    <row r="437" s="69" customFormat="1" spans="2:13">
      <c r="B437" s="84" t="s">
        <v>3418</v>
      </c>
      <c r="C437" s="85">
        <v>55</v>
      </c>
      <c r="D437" s="86">
        <f t="shared" si="17"/>
        <v>0.868421052631579</v>
      </c>
      <c r="E437" s="93">
        <f t="shared" si="18"/>
        <v>45</v>
      </c>
      <c r="F437" s="94"/>
      <c r="G437" s="95"/>
      <c r="H437" s="74"/>
      <c r="I437" s="75" t="s">
        <v>3419</v>
      </c>
      <c r="J437" s="76">
        <v>793.471413</v>
      </c>
      <c r="L437" s="77" t="s">
        <v>3420</v>
      </c>
      <c r="M437" s="77">
        <v>6</v>
      </c>
    </row>
    <row r="438" s="69" customFormat="1" spans="2:13">
      <c r="B438" s="84" t="s">
        <v>3421</v>
      </c>
      <c r="C438" s="85">
        <v>58</v>
      </c>
      <c r="D438" s="86">
        <f t="shared" si="17"/>
        <v>0.874371859296482</v>
      </c>
      <c r="E438" s="93">
        <f t="shared" si="18"/>
        <v>43</v>
      </c>
      <c r="F438" s="94"/>
      <c r="G438" s="95"/>
      <c r="H438" s="74"/>
      <c r="I438" s="75" t="s">
        <v>3422</v>
      </c>
      <c r="J438" s="76">
        <v>101.363605</v>
      </c>
      <c r="L438" s="77" t="s">
        <v>3423</v>
      </c>
      <c r="M438" s="77">
        <v>8</v>
      </c>
    </row>
    <row r="439" s="69" customFormat="1" spans="2:13">
      <c r="B439" s="84" t="s">
        <v>3424</v>
      </c>
      <c r="C439" s="85">
        <v>55</v>
      </c>
      <c r="D439" s="86">
        <f t="shared" si="17"/>
        <v>0.868421052631579</v>
      </c>
      <c r="E439" s="93">
        <f t="shared" si="18"/>
        <v>45</v>
      </c>
      <c r="F439" s="94"/>
      <c r="G439" s="95"/>
      <c r="H439" s="74"/>
      <c r="I439" s="75" t="s">
        <v>3425</v>
      </c>
      <c r="J439" s="76">
        <v>121.274566</v>
      </c>
      <c r="L439" s="77" t="s">
        <v>3426</v>
      </c>
      <c r="M439" s="77">
        <v>4</v>
      </c>
    </row>
    <row r="440" s="69" customFormat="1" spans="2:13">
      <c r="B440" s="84" t="s">
        <v>3427</v>
      </c>
      <c r="C440" s="85">
        <v>55</v>
      </c>
      <c r="D440" s="86">
        <f t="shared" si="17"/>
        <v>0.868421052631579</v>
      </c>
      <c r="E440" s="93">
        <f t="shared" si="18"/>
        <v>45</v>
      </c>
      <c r="F440" s="94"/>
      <c r="G440" s="95"/>
      <c r="H440" s="74"/>
      <c r="I440" s="75" t="s">
        <v>3428</v>
      </c>
      <c r="J440" s="76">
        <v>1034.991882</v>
      </c>
      <c r="L440" s="77" t="s">
        <v>3429</v>
      </c>
      <c r="M440" s="77">
        <v>8</v>
      </c>
    </row>
    <row r="441" s="69" customFormat="1" spans="2:13">
      <c r="B441" s="84" t="s">
        <v>3430</v>
      </c>
      <c r="C441" s="85">
        <v>55</v>
      </c>
      <c r="D441" s="86">
        <f t="shared" si="17"/>
        <v>0.868421052631579</v>
      </c>
      <c r="E441" s="93">
        <f t="shared" si="18"/>
        <v>45</v>
      </c>
      <c r="F441" s="94"/>
      <c r="G441" s="95"/>
      <c r="H441" s="74"/>
      <c r="I441" s="75" t="s">
        <v>3431</v>
      </c>
      <c r="J441" s="76">
        <v>1068.348611</v>
      </c>
      <c r="L441" s="77" t="s">
        <v>3432</v>
      </c>
      <c r="M441" s="77">
        <v>4</v>
      </c>
    </row>
    <row r="442" s="69" customFormat="1" spans="2:13">
      <c r="B442" s="84" t="s">
        <v>3433</v>
      </c>
      <c r="C442" s="85">
        <v>60</v>
      </c>
      <c r="D442" s="86">
        <f t="shared" si="17"/>
        <v>0.878048780487805</v>
      </c>
      <c r="E442" s="93">
        <f t="shared" si="18"/>
        <v>42</v>
      </c>
      <c r="F442" s="94"/>
      <c r="G442" s="95"/>
      <c r="H442" s="74"/>
      <c r="I442" s="75" t="s">
        <v>660</v>
      </c>
      <c r="J442" s="76">
        <v>442.874179</v>
      </c>
      <c r="L442" s="77" t="s">
        <v>3434</v>
      </c>
      <c r="M442" s="77">
        <v>2</v>
      </c>
    </row>
    <row r="443" s="69" customFormat="1" spans="2:13">
      <c r="B443" s="84" t="s">
        <v>3435</v>
      </c>
      <c r="C443" s="85">
        <v>50</v>
      </c>
      <c r="D443" s="86">
        <f t="shared" si="17"/>
        <v>0.857142857142857</v>
      </c>
      <c r="E443" s="93">
        <f t="shared" si="18"/>
        <v>49</v>
      </c>
      <c r="F443" s="94"/>
      <c r="G443" s="95"/>
      <c r="H443" s="74"/>
      <c r="I443" s="75" t="s">
        <v>449</v>
      </c>
      <c r="J443" s="76">
        <v>528.894815</v>
      </c>
      <c r="L443" s="77" t="s">
        <v>3436</v>
      </c>
      <c r="M443" s="77">
        <v>6</v>
      </c>
    </row>
    <row r="444" s="69" customFormat="1" spans="2:13">
      <c r="B444" s="84" t="s">
        <v>2363</v>
      </c>
      <c r="C444" s="85">
        <v>36.5</v>
      </c>
      <c r="D444" s="86">
        <f t="shared" si="17"/>
        <v>0.814126394052045</v>
      </c>
      <c r="E444" s="93">
        <f t="shared" si="18"/>
        <v>64</v>
      </c>
      <c r="F444" s="94"/>
      <c r="G444" s="95"/>
      <c r="H444" s="74"/>
      <c r="I444" s="75" t="s">
        <v>3437</v>
      </c>
      <c r="J444" s="76">
        <v>733.84593</v>
      </c>
      <c r="L444" s="77" t="s">
        <v>3438</v>
      </c>
      <c r="M444" s="77">
        <v>10</v>
      </c>
    </row>
    <row r="445" s="69" customFormat="1" spans="2:13">
      <c r="B445" s="84" t="s">
        <v>2354</v>
      </c>
      <c r="C445" s="85">
        <v>38.5</v>
      </c>
      <c r="D445" s="86">
        <f t="shared" si="17"/>
        <v>0.822064056939502</v>
      </c>
      <c r="E445" s="93">
        <f t="shared" si="18"/>
        <v>61</v>
      </c>
      <c r="F445" s="94"/>
      <c r="G445" s="95"/>
      <c r="H445" s="74"/>
      <c r="I445" s="75" t="s">
        <v>473</v>
      </c>
      <c r="J445" s="76">
        <v>744.268853</v>
      </c>
      <c r="L445" s="77" t="s">
        <v>3439</v>
      </c>
      <c r="M445" s="77">
        <v>8</v>
      </c>
    </row>
    <row r="446" s="69" customFormat="1" spans="2:13">
      <c r="B446" s="84" t="s">
        <v>3440</v>
      </c>
      <c r="C446" s="85">
        <v>38.5</v>
      </c>
      <c r="D446" s="86">
        <f t="shared" si="17"/>
        <v>0.822064056939502</v>
      </c>
      <c r="E446" s="93">
        <f t="shared" si="18"/>
        <v>61</v>
      </c>
      <c r="F446" s="94"/>
      <c r="G446" s="95"/>
      <c r="H446" s="74"/>
      <c r="I446" s="75" t="s">
        <v>3441</v>
      </c>
      <c r="J446" s="76">
        <v>776.071053</v>
      </c>
      <c r="L446" s="77" t="s">
        <v>3442</v>
      </c>
      <c r="M446" s="77">
        <v>2</v>
      </c>
    </row>
    <row r="447" s="69" customFormat="1" spans="2:13">
      <c r="B447" s="84" t="s">
        <v>3277</v>
      </c>
      <c r="C447" s="85">
        <v>38</v>
      </c>
      <c r="D447" s="86">
        <f t="shared" si="17"/>
        <v>0.820143884892086</v>
      </c>
      <c r="E447" s="93">
        <f t="shared" si="18"/>
        <v>62</v>
      </c>
      <c r="F447" s="94"/>
      <c r="G447" s="95"/>
      <c r="H447" s="74"/>
      <c r="I447" s="75" t="s">
        <v>3443</v>
      </c>
      <c r="J447" s="76">
        <v>304.877643</v>
      </c>
      <c r="L447" s="77" t="s">
        <v>3444</v>
      </c>
      <c r="M447" s="77">
        <v>2</v>
      </c>
    </row>
    <row r="448" s="69" customFormat="1" spans="2:13">
      <c r="B448" s="84" t="s">
        <v>3279</v>
      </c>
      <c r="C448" s="85">
        <v>37</v>
      </c>
      <c r="D448" s="86">
        <f t="shared" si="17"/>
        <v>0.816176470588235</v>
      </c>
      <c r="E448" s="93">
        <f t="shared" si="18"/>
        <v>64</v>
      </c>
      <c r="F448" s="94"/>
      <c r="G448" s="95"/>
      <c r="H448" s="74"/>
      <c r="I448" s="75" t="s">
        <v>3445</v>
      </c>
      <c r="J448" s="76">
        <v>108.463264</v>
      </c>
      <c r="L448" s="77" t="s">
        <v>3446</v>
      </c>
      <c r="M448" s="77">
        <v>2</v>
      </c>
    </row>
    <row r="449" s="69" customFormat="1" spans="2:13">
      <c r="B449" s="84" t="s">
        <v>3282</v>
      </c>
      <c r="C449" s="85">
        <v>37</v>
      </c>
      <c r="D449" s="86">
        <f t="shared" si="17"/>
        <v>0.816176470588235</v>
      </c>
      <c r="E449" s="93">
        <f t="shared" si="18"/>
        <v>64</v>
      </c>
      <c r="F449" s="94"/>
      <c r="G449" s="95"/>
      <c r="H449" s="74"/>
      <c r="I449" s="75" t="s">
        <v>3447</v>
      </c>
      <c r="J449" s="76">
        <v>107.346568</v>
      </c>
      <c r="L449" s="77" t="s">
        <v>3448</v>
      </c>
      <c r="M449" s="77">
        <v>2</v>
      </c>
    </row>
    <row r="450" s="69" customFormat="1" spans="2:13">
      <c r="B450" s="84" t="s">
        <v>3284</v>
      </c>
      <c r="C450" s="85">
        <v>35</v>
      </c>
      <c r="D450" s="86">
        <f t="shared" si="17"/>
        <v>0.807692307692308</v>
      </c>
      <c r="E450" s="93">
        <f t="shared" si="18"/>
        <v>66</v>
      </c>
      <c r="F450" s="94"/>
      <c r="G450" s="95"/>
      <c r="H450" s="74"/>
      <c r="I450" s="75" t="s">
        <v>792</v>
      </c>
      <c r="J450" s="76">
        <v>163.368436</v>
      </c>
      <c r="L450" s="77" t="s">
        <v>3449</v>
      </c>
      <c r="M450" s="77">
        <v>2</v>
      </c>
    </row>
    <row r="451" s="69" customFormat="1" spans="2:13">
      <c r="B451" s="84" t="s">
        <v>3286</v>
      </c>
      <c r="C451" s="85">
        <v>38</v>
      </c>
      <c r="D451" s="86">
        <f t="shared" ref="D451:D486" si="19">IF(C451="","",C451/(C451+$C$1/60))</f>
        <v>0.820143884892086</v>
      </c>
      <c r="E451" s="93">
        <f t="shared" ref="E451:E514" si="20">IFERROR(ROUND(1440/C451*2*D451,0),"")</f>
        <v>62</v>
      </c>
      <c r="F451" s="94"/>
      <c r="G451" s="95"/>
      <c r="H451" s="74"/>
      <c r="I451" s="75" t="s">
        <v>3450</v>
      </c>
      <c r="J451" s="76">
        <v>138.485417</v>
      </c>
      <c r="L451" s="77" t="s">
        <v>3451</v>
      </c>
      <c r="M451" s="77">
        <v>2</v>
      </c>
    </row>
    <row r="452" s="69" customFormat="1" spans="2:13">
      <c r="B452" s="84" t="s">
        <v>3452</v>
      </c>
      <c r="C452" s="85">
        <v>40</v>
      </c>
      <c r="D452" s="86">
        <f t="shared" si="19"/>
        <v>0.827586206896552</v>
      </c>
      <c r="E452" s="93">
        <f t="shared" si="20"/>
        <v>60</v>
      </c>
      <c r="F452" s="94"/>
      <c r="G452" s="95"/>
      <c r="H452" s="74"/>
      <c r="I452" s="75" t="s">
        <v>3453</v>
      </c>
      <c r="J452" s="76">
        <v>107.413208</v>
      </c>
      <c r="L452" s="77" t="s">
        <v>3454</v>
      </c>
      <c r="M452" s="77">
        <v>2</v>
      </c>
    </row>
    <row r="453" s="69" customFormat="1" spans="2:13">
      <c r="B453" s="84" t="s">
        <v>3455</v>
      </c>
      <c r="C453" s="85">
        <v>41</v>
      </c>
      <c r="D453" s="86">
        <f t="shared" si="19"/>
        <v>0.831081081081081</v>
      </c>
      <c r="E453" s="93">
        <f t="shared" si="20"/>
        <v>58</v>
      </c>
      <c r="F453" s="94"/>
      <c r="G453" s="95"/>
      <c r="H453" s="74"/>
      <c r="I453" s="75" t="s">
        <v>3456</v>
      </c>
      <c r="J453" s="76">
        <v>177.870966</v>
      </c>
      <c r="L453" s="77" t="s">
        <v>3457</v>
      </c>
      <c r="M453" s="77">
        <v>4</v>
      </c>
    </row>
    <row r="454" s="69" customFormat="1" spans="2:13">
      <c r="B454" s="84" t="s">
        <v>3458</v>
      </c>
      <c r="C454" s="85">
        <v>41</v>
      </c>
      <c r="D454" s="86">
        <f t="shared" si="19"/>
        <v>0.831081081081081</v>
      </c>
      <c r="E454" s="93">
        <f t="shared" si="20"/>
        <v>58</v>
      </c>
      <c r="F454" s="94"/>
      <c r="G454" s="95"/>
      <c r="H454" s="74"/>
      <c r="I454" s="75" t="s">
        <v>3459</v>
      </c>
      <c r="J454" s="76">
        <v>1230.373078</v>
      </c>
      <c r="L454" s="77" t="s">
        <v>3460</v>
      </c>
      <c r="M454" s="77">
        <v>2</v>
      </c>
    </row>
    <row r="455" s="69" customFormat="1" spans="2:13">
      <c r="B455" s="84" t="s">
        <v>3461</v>
      </c>
      <c r="C455" s="85">
        <v>52</v>
      </c>
      <c r="D455" s="86">
        <f t="shared" si="19"/>
        <v>0.861878453038674</v>
      </c>
      <c r="E455" s="93">
        <f t="shared" si="20"/>
        <v>48</v>
      </c>
      <c r="F455" s="94"/>
      <c r="G455" s="95"/>
      <c r="H455" s="74"/>
      <c r="I455" s="75" t="s">
        <v>3462</v>
      </c>
      <c r="J455" s="76">
        <v>280.329609</v>
      </c>
      <c r="L455" s="77" t="s">
        <v>3463</v>
      </c>
      <c r="M455" s="77">
        <v>2</v>
      </c>
    </row>
    <row r="456" s="69" customFormat="1" spans="2:13">
      <c r="B456" s="84" t="s">
        <v>3464</v>
      </c>
      <c r="C456" s="85">
        <v>53.5</v>
      </c>
      <c r="D456" s="86">
        <f t="shared" si="19"/>
        <v>0.865229110512129</v>
      </c>
      <c r="E456" s="93">
        <f t="shared" si="20"/>
        <v>47</v>
      </c>
      <c r="F456" s="94"/>
      <c r="G456" s="95"/>
      <c r="H456" s="74"/>
      <c r="I456" s="75" t="s">
        <v>178</v>
      </c>
      <c r="J456" s="76">
        <v>117.267598</v>
      </c>
      <c r="L456" s="77" t="s">
        <v>3465</v>
      </c>
      <c r="M456" s="77">
        <v>2</v>
      </c>
    </row>
    <row r="457" s="69" customFormat="1" spans="2:13">
      <c r="B457" s="84" t="s">
        <v>3466</v>
      </c>
      <c r="C457" s="85">
        <v>53.5</v>
      </c>
      <c r="D457" s="86">
        <f t="shared" si="19"/>
        <v>0.865229110512129</v>
      </c>
      <c r="E457" s="93">
        <f t="shared" si="20"/>
        <v>47</v>
      </c>
      <c r="F457" s="94"/>
      <c r="G457" s="95"/>
      <c r="H457" s="74"/>
      <c r="I457" s="75" t="s">
        <v>3467</v>
      </c>
      <c r="J457" s="76">
        <v>121.255288</v>
      </c>
      <c r="L457" s="77" t="s">
        <v>3468</v>
      </c>
      <c r="M457" s="77">
        <v>2</v>
      </c>
    </row>
    <row r="458" s="69" customFormat="1" spans="2:13">
      <c r="B458" s="84" t="s">
        <v>3469</v>
      </c>
      <c r="C458" s="85">
        <v>50</v>
      </c>
      <c r="D458" s="86">
        <f t="shared" si="19"/>
        <v>0.857142857142857</v>
      </c>
      <c r="E458" s="93">
        <f t="shared" si="20"/>
        <v>49</v>
      </c>
      <c r="F458" s="94"/>
      <c r="G458" s="95"/>
      <c r="H458" s="74"/>
      <c r="I458" s="75" t="s">
        <v>3470</v>
      </c>
      <c r="J458" s="76">
        <v>127.812426</v>
      </c>
      <c r="L458" s="77" t="s">
        <v>3471</v>
      </c>
      <c r="M458" s="77">
        <v>4</v>
      </c>
    </row>
    <row r="459" s="69" customFormat="1" spans="2:13">
      <c r="B459" s="84" t="s">
        <v>3288</v>
      </c>
      <c r="C459" s="85">
        <v>28.5</v>
      </c>
      <c r="D459" s="86">
        <f t="shared" si="19"/>
        <v>0.773755656108597</v>
      </c>
      <c r="E459" s="93">
        <f t="shared" si="20"/>
        <v>78</v>
      </c>
      <c r="F459" s="94"/>
      <c r="G459" s="95"/>
      <c r="H459" s="74"/>
      <c r="I459" s="75" t="s">
        <v>3472</v>
      </c>
      <c r="J459" s="76">
        <v>131.199999</v>
      </c>
      <c r="L459" s="77" t="s">
        <v>3473</v>
      </c>
      <c r="M459" s="77">
        <v>4</v>
      </c>
    </row>
    <row r="460" s="69" customFormat="1" spans="2:13">
      <c r="B460" s="84" t="s">
        <v>3474</v>
      </c>
      <c r="C460" s="85">
        <v>50</v>
      </c>
      <c r="D460" s="86">
        <f t="shared" si="19"/>
        <v>0.857142857142857</v>
      </c>
      <c r="E460" s="93">
        <f t="shared" si="20"/>
        <v>49</v>
      </c>
      <c r="F460" s="94"/>
      <c r="G460" s="95"/>
      <c r="H460" s="74"/>
      <c r="I460" s="75" t="s">
        <v>3475</v>
      </c>
      <c r="J460" s="76">
        <v>179.659655</v>
      </c>
      <c r="L460" s="77" t="s">
        <v>3476</v>
      </c>
      <c r="M460" s="77">
        <v>2</v>
      </c>
    </row>
    <row r="461" s="69" customFormat="1" spans="2:13">
      <c r="B461" s="84" t="s">
        <v>3477</v>
      </c>
      <c r="C461" s="85">
        <v>48.5</v>
      </c>
      <c r="D461" s="86">
        <f t="shared" si="19"/>
        <v>0.853372434017595</v>
      </c>
      <c r="E461" s="93">
        <f t="shared" si="20"/>
        <v>51</v>
      </c>
      <c r="F461" s="94"/>
      <c r="G461" s="95"/>
      <c r="H461" s="74"/>
      <c r="I461" s="75" t="s">
        <v>3478</v>
      </c>
      <c r="J461" s="76">
        <v>931.551873</v>
      </c>
      <c r="L461" s="77" t="s">
        <v>3479</v>
      </c>
      <c r="M461" s="77">
        <v>2</v>
      </c>
    </row>
    <row r="462" s="69" customFormat="1" spans="2:13">
      <c r="B462" s="84" t="s">
        <v>3480</v>
      </c>
      <c r="C462" s="85">
        <v>48.5</v>
      </c>
      <c r="D462" s="86">
        <f t="shared" si="19"/>
        <v>0.853372434017595</v>
      </c>
      <c r="E462" s="93">
        <f t="shared" si="20"/>
        <v>51</v>
      </c>
      <c r="F462" s="94"/>
      <c r="G462" s="95"/>
      <c r="H462" s="74"/>
      <c r="I462" s="75" t="s">
        <v>3481</v>
      </c>
      <c r="J462" s="76">
        <v>1371.904544</v>
      </c>
      <c r="L462" s="77" t="s">
        <v>3482</v>
      </c>
      <c r="M462" s="77">
        <v>2</v>
      </c>
    </row>
    <row r="463" s="69" customFormat="1" spans="2:13">
      <c r="B463" s="84" t="s">
        <v>2325</v>
      </c>
      <c r="C463" s="85">
        <v>40.5</v>
      </c>
      <c r="D463" s="86">
        <f t="shared" si="19"/>
        <v>0.829351535836177</v>
      </c>
      <c r="E463" s="93">
        <f t="shared" si="20"/>
        <v>59</v>
      </c>
      <c r="F463" s="94"/>
      <c r="G463" s="95"/>
      <c r="H463" s="74"/>
      <c r="I463" s="75" t="s">
        <v>3483</v>
      </c>
      <c r="J463" s="76">
        <v>1312.663852</v>
      </c>
      <c r="L463" s="77" t="s">
        <v>3484</v>
      </c>
      <c r="M463" s="77">
        <v>2</v>
      </c>
    </row>
    <row r="464" s="69" customFormat="1" spans="2:13">
      <c r="B464" s="84" t="s">
        <v>3485</v>
      </c>
      <c r="C464" s="85">
        <v>35.5</v>
      </c>
      <c r="D464" s="86">
        <f t="shared" si="19"/>
        <v>0.809885931558935</v>
      </c>
      <c r="E464" s="93">
        <f t="shared" si="20"/>
        <v>66</v>
      </c>
      <c r="F464" s="94"/>
      <c r="G464" s="95"/>
      <c r="H464" s="74"/>
      <c r="I464" s="75" t="s">
        <v>3486</v>
      </c>
      <c r="J464" s="76">
        <v>205.463972</v>
      </c>
      <c r="L464" s="77" t="s">
        <v>3487</v>
      </c>
      <c r="M464" s="77">
        <v>2</v>
      </c>
    </row>
    <row r="465" s="69" customFormat="1" spans="2:13">
      <c r="B465" s="84" t="s">
        <v>2339</v>
      </c>
      <c r="C465" s="85">
        <v>50</v>
      </c>
      <c r="D465" s="86">
        <f t="shared" si="19"/>
        <v>0.857142857142857</v>
      </c>
      <c r="E465" s="93">
        <f t="shared" si="20"/>
        <v>49</v>
      </c>
      <c r="F465" s="94"/>
      <c r="G465" s="95"/>
      <c r="H465" s="74"/>
      <c r="I465" s="75" t="s">
        <v>545</v>
      </c>
      <c r="J465" s="76">
        <v>758.343486</v>
      </c>
      <c r="L465" s="77" t="s">
        <v>3488</v>
      </c>
      <c r="M465" s="77">
        <v>2</v>
      </c>
    </row>
    <row r="466" s="69" customFormat="1" spans="2:13">
      <c r="B466" s="84" t="s">
        <v>3489</v>
      </c>
      <c r="C466" s="85">
        <v>44</v>
      </c>
      <c r="D466" s="86">
        <f t="shared" si="19"/>
        <v>0.840764331210191</v>
      </c>
      <c r="E466" s="93">
        <f t="shared" si="20"/>
        <v>55</v>
      </c>
      <c r="F466" s="94"/>
      <c r="G466" s="95"/>
      <c r="H466" s="74"/>
      <c r="I466" s="75" t="s">
        <v>3490</v>
      </c>
      <c r="J466" s="76">
        <v>836.436658</v>
      </c>
      <c r="L466" s="77" t="s">
        <v>3491</v>
      </c>
      <c r="M466" s="77">
        <v>2</v>
      </c>
    </row>
    <row r="467" s="69" customFormat="1" spans="2:13">
      <c r="B467" s="84" t="s">
        <v>3492</v>
      </c>
      <c r="C467" s="85">
        <v>54</v>
      </c>
      <c r="D467" s="86">
        <f t="shared" si="19"/>
        <v>0.866310160427808</v>
      </c>
      <c r="E467" s="93">
        <f t="shared" si="20"/>
        <v>46</v>
      </c>
      <c r="F467" s="94"/>
      <c r="G467" s="95"/>
      <c r="H467" s="74"/>
      <c r="I467" s="75" t="s">
        <v>3493</v>
      </c>
      <c r="J467" s="76">
        <v>797.276825</v>
      </c>
      <c r="L467" s="77" t="s">
        <v>3494</v>
      </c>
      <c r="M467" s="77">
        <v>2</v>
      </c>
    </row>
    <row r="468" s="69" customFormat="1" spans="2:13">
      <c r="B468" s="84" t="s">
        <v>3495</v>
      </c>
      <c r="C468" s="85">
        <v>52</v>
      </c>
      <c r="D468" s="86">
        <f t="shared" si="19"/>
        <v>0.861878453038674</v>
      </c>
      <c r="E468" s="93">
        <f t="shared" si="20"/>
        <v>48</v>
      </c>
      <c r="F468" s="94"/>
      <c r="G468" s="95"/>
      <c r="H468" s="74"/>
      <c r="I468" s="75" t="s">
        <v>3496</v>
      </c>
      <c r="J468" s="76">
        <v>1298.806723</v>
      </c>
      <c r="L468" s="77" t="s">
        <v>3497</v>
      </c>
      <c r="M468" s="77">
        <v>2</v>
      </c>
    </row>
    <row r="469" s="69" customFormat="1" spans="2:13">
      <c r="B469" s="84" t="s">
        <v>3498</v>
      </c>
      <c r="C469" s="85">
        <v>52</v>
      </c>
      <c r="D469" s="86">
        <f t="shared" si="19"/>
        <v>0.861878453038674</v>
      </c>
      <c r="E469" s="93">
        <f t="shared" si="20"/>
        <v>48</v>
      </c>
      <c r="F469" s="94"/>
      <c r="G469" s="95"/>
      <c r="H469" s="74"/>
      <c r="I469" s="75" t="s">
        <v>3499</v>
      </c>
      <c r="J469" s="76">
        <v>1314.196422</v>
      </c>
      <c r="L469" s="77" t="s">
        <v>3500</v>
      </c>
      <c r="M469" s="77">
        <v>2</v>
      </c>
    </row>
    <row r="470" s="69" customFormat="1" spans="2:13">
      <c r="B470" s="84" t="s">
        <v>2366</v>
      </c>
      <c r="C470" s="85">
        <v>48</v>
      </c>
      <c r="D470" s="86">
        <f t="shared" si="19"/>
        <v>0.85207100591716</v>
      </c>
      <c r="E470" s="93">
        <f t="shared" si="20"/>
        <v>51</v>
      </c>
      <c r="F470" s="94"/>
      <c r="G470" s="95"/>
      <c r="H470" s="74"/>
      <c r="I470" s="75" t="s">
        <v>3501</v>
      </c>
      <c r="J470" s="76">
        <v>1314.196422</v>
      </c>
      <c r="L470" s="77" t="s">
        <v>3502</v>
      </c>
      <c r="M470" s="77">
        <v>2</v>
      </c>
    </row>
    <row r="471" s="69" customFormat="1" spans="2:13">
      <c r="B471" s="84" t="s">
        <v>2368</v>
      </c>
      <c r="C471" s="85">
        <v>32.5</v>
      </c>
      <c r="D471" s="86">
        <f t="shared" si="19"/>
        <v>0.795918367346939</v>
      </c>
      <c r="E471" s="93">
        <f t="shared" si="20"/>
        <v>71</v>
      </c>
      <c r="F471" s="94"/>
      <c r="G471" s="95"/>
      <c r="H471" s="74"/>
      <c r="I471" s="75" t="s">
        <v>3503</v>
      </c>
      <c r="J471" s="76">
        <v>207.948692</v>
      </c>
      <c r="L471" s="77" t="s">
        <v>3504</v>
      </c>
      <c r="M471" s="77">
        <v>2</v>
      </c>
    </row>
    <row r="472" s="69" customFormat="1" spans="2:13">
      <c r="B472" s="84" t="s">
        <v>2371</v>
      </c>
      <c r="C472" s="85">
        <v>29.7</v>
      </c>
      <c r="D472" s="86">
        <f t="shared" si="19"/>
        <v>0.780893952673094</v>
      </c>
      <c r="E472" s="93">
        <f t="shared" si="20"/>
        <v>76</v>
      </c>
      <c r="F472" s="94"/>
      <c r="G472" s="95"/>
      <c r="H472" s="74"/>
      <c r="I472" s="75" t="s">
        <v>3505</v>
      </c>
      <c r="J472" s="76">
        <v>192.049221</v>
      </c>
      <c r="L472" s="77" t="s">
        <v>3506</v>
      </c>
      <c r="M472" s="77">
        <v>2</v>
      </c>
    </row>
    <row r="473" s="69" customFormat="1" spans="2:13">
      <c r="B473" s="84" t="s">
        <v>2343</v>
      </c>
      <c r="C473" s="85">
        <v>30</v>
      </c>
      <c r="D473" s="86">
        <f t="shared" si="19"/>
        <v>0.782608695652174</v>
      </c>
      <c r="E473" s="93">
        <f t="shared" si="20"/>
        <v>75</v>
      </c>
      <c r="F473" s="94"/>
      <c r="G473" s="95"/>
      <c r="H473" s="74"/>
      <c r="I473" s="75" t="s">
        <v>725</v>
      </c>
      <c r="J473" s="76">
        <v>40.001255</v>
      </c>
      <c r="L473" s="77" t="s">
        <v>3507</v>
      </c>
      <c r="M473" s="77">
        <v>2</v>
      </c>
    </row>
    <row r="474" s="69" customFormat="1" spans="2:13">
      <c r="B474" s="84" t="s">
        <v>2372</v>
      </c>
      <c r="C474" s="85">
        <v>32</v>
      </c>
      <c r="D474" s="86">
        <f t="shared" si="19"/>
        <v>0.793388429752066</v>
      </c>
      <c r="E474" s="93">
        <f t="shared" si="20"/>
        <v>71</v>
      </c>
      <c r="F474" s="94"/>
      <c r="G474" s="95"/>
      <c r="H474" s="74"/>
      <c r="I474" s="75" t="s">
        <v>3508</v>
      </c>
      <c r="J474" s="76">
        <v>31.803821</v>
      </c>
      <c r="L474" s="77" t="s">
        <v>3509</v>
      </c>
      <c r="M474" s="77">
        <v>2</v>
      </c>
    </row>
    <row r="475" s="69" customFormat="1" spans="2:13">
      <c r="B475" s="84" t="s">
        <v>2376</v>
      </c>
      <c r="C475" s="85">
        <v>33.5</v>
      </c>
      <c r="D475" s="86">
        <f t="shared" si="19"/>
        <v>0.800796812749004</v>
      </c>
      <c r="E475" s="93">
        <f t="shared" si="20"/>
        <v>69</v>
      </c>
      <c r="F475" s="94"/>
      <c r="G475" s="95"/>
      <c r="H475" s="74"/>
      <c r="I475" s="75" t="s">
        <v>731</v>
      </c>
      <c r="J475" s="76">
        <v>41.912395</v>
      </c>
      <c r="L475" s="77" t="s">
        <v>3510</v>
      </c>
      <c r="M475" s="77">
        <v>2</v>
      </c>
    </row>
    <row r="476" s="69" customFormat="1" spans="2:13">
      <c r="B476" s="84" t="s">
        <v>2378</v>
      </c>
      <c r="C476" s="85">
        <v>33.5</v>
      </c>
      <c r="D476" s="86">
        <f t="shared" si="19"/>
        <v>0.800796812749004</v>
      </c>
      <c r="E476" s="93">
        <f t="shared" si="20"/>
        <v>69</v>
      </c>
      <c r="F476" s="94"/>
      <c r="G476" s="95"/>
      <c r="H476" s="74"/>
      <c r="I476" s="75" t="s">
        <v>728</v>
      </c>
      <c r="J476" s="76">
        <v>41.496847</v>
      </c>
      <c r="L476" s="77" t="s">
        <v>3511</v>
      </c>
      <c r="M476" s="77">
        <v>2</v>
      </c>
    </row>
    <row r="477" s="69" customFormat="1" spans="2:13">
      <c r="B477" s="84" t="s">
        <v>2352</v>
      </c>
      <c r="C477" s="85">
        <v>37</v>
      </c>
      <c r="D477" s="86">
        <f t="shared" si="19"/>
        <v>0.816176470588235</v>
      </c>
      <c r="E477" s="93">
        <f t="shared" si="20"/>
        <v>64</v>
      </c>
      <c r="F477" s="94"/>
      <c r="G477" s="95"/>
      <c r="H477" s="74"/>
      <c r="I477" s="75" t="s">
        <v>3512</v>
      </c>
      <c r="J477" s="76">
        <v>949.850933</v>
      </c>
      <c r="L477" s="77" t="s">
        <v>3513</v>
      </c>
      <c r="M477" s="77">
        <v>2</v>
      </c>
    </row>
    <row r="478" s="69" customFormat="1" spans="2:13">
      <c r="B478" s="84" t="s">
        <v>2361</v>
      </c>
      <c r="C478" s="85">
        <v>60</v>
      </c>
      <c r="D478" s="86">
        <f t="shared" si="19"/>
        <v>0.878048780487805</v>
      </c>
      <c r="E478" s="93">
        <f t="shared" si="20"/>
        <v>42</v>
      </c>
      <c r="F478" s="94"/>
      <c r="G478" s="95"/>
      <c r="H478" s="74"/>
      <c r="I478" s="75" t="s">
        <v>406</v>
      </c>
      <c r="J478" s="76">
        <v>926.057854</v>
      </c>
      <c r="L478" s="77" t="s">
        <v>3514</v>
      </c>
      <c r="M478" s="77">
        <v>2</v>
      </c>
    </row>
    <row r="479" s="69" customFormat="1" spans="2:13">
      <c r="B479" s="84" t="s">
        <v>3515</v>
      </c>
      <c r="C479" s="85">
        <v>42</v>
      </c>
      <c r="D479" s="86">
        <f t="shared" si="19"/>
        <v>0.834437086092715</v>
      </c>
      <c r="E479" s="93">
        <f t="shared" si="20"/>
        <v>57</v>
      </c>
      <c r="F479" s="94"/>
      <c r="G479" s="95"/>
      <c r="H479" s="74"/>
      <c r="I479" s="75" t="s">
        <v>3516</v>
      </c>
      <c r="J479" s="76">
        <v>831.908056</v>
      </c>
      <c r="L479" s="77" t="s">
        <v>3517</v>
      </c>
      <c r="M479" s="77">
        <v>2</v>
      </c>
    </row>
    <row r="480" s="69" customFormat="1" spans="2:13">
      <c r="B480" s="84" t="s">
        <v>3518</v>
      </c>
      <c r="C480" s="85">
        <v>42</v>
      </c>
      <c r="D480" s="86">
        <f t="shared" si="19"/>
        <v>0.834437086092715</v>
      </c>
      <c r="E480" s="93">
        <f t="shared" si="20"/>
        <v>57</v>
      </c>
      <c r="F480" s="94"/>
      <c r="G480" s="95"/>
      <c r="H480" s="74"/>
      <c r="I480" s="75" t="s">
        <v>3519</v>
      </c>
      <c r="J480" s="76">
        <v>1302.394474</v>
      </c>
      <c r="L480" s="77" t="s">
        <v>3520</v>
      </c>
      <c r="M480" s="77">
        <v>2</v>
      </c>
    </row>
    <row r="481" s="69" customFormat="1" spans="2:13">
      <c r="B481" s="84" t="s">
        <v>3521</v>
      </c>
      <c r="C481" s="85">
        <v>47.5</v>
      </c>
      <c r="D481" s="86">
        <f t="shared" si="19"/>
        <v>0.850746268656716</v>
      </c>
      <c r="E481" s="93">
        <f t="shared" si="20"/>
        <v>52</v>
      </c>
      <c r="F481" s="94"/>
      <c r="G481" s="95"/>
      <c r="H481" s="74"/>
      <c r="I481" s="75" t="s">
        <v>3522</v>
      </c>
      <c r="J481" s="76">
        <v>119.307972</v>
      </c>
      <c r="L481" s="77" t="s">
        <v>3523</v>
      </c>
      <c r="M481" s="77">
        <v>2</v>
      </c>
    </row>
    <row r="482" s="69" customFormat="1" spans="2:13">
      <c r="B482" s="84" t="s">
        <v>3524</v>
      </c>
      <c r="C482" s="85">
        <v>47.5</v>
      </c>
      <c r="D482" s="86">
        <f t="shared" si="19"/>
        <v>0.850746268656716</v>
      </c>
      <c r="E482" s="93">
        <f t="shared" si="20"/>
        <v>52</v>
      </c>
      <c r="F482" s="94"/>
      <c r="G482" s="95"/>
      <c r="H482" s="74"/>
      <c r="I482" s="75" t="s">
        <v>3525</v>
      </c>
      <c r="J482" s="76">
        <v>119.307972</v>
      </c>
      <c r="L482" s="77" t="s">
        <v>3526</v>
      </c>
      <c r="M482" s="77">
        <v>2</v>
      </c>
    </row>
    <row r="483" s="69" customFormat="1" spans="2:13">
      <c r="B483" s="84" t="s">
        <v>3527</v>
      </c>
      <c r="C483" s="85">
        <v>47.5</v>
      </c>
      <c r="D483" s="86">
        <f t="shared" si="19"/>
        <v>0.850746268656716</v>
      </c>
      <c r="E483" s="93">
        <f t="shared" si="20"/>
        <v>52</v>
      </c>
      <c r="F483" s="94"/>
      <c r="G483" s="95"/>
      <c r="H483" s="74"/>
      <c r="I483" s="75" t="s">
        <v>3528</v>
      </c>
      <c r="J483" s="76">
        <v>172.062576</v>
      </c>
      <c r="L483" s="77" t="s">
        <v>3529</v>
      </c>
      <c r="M483" s="77">
        <v>2</v>
      </c>
    </row>
    <row r="484" s="69" customFormat="1" spans="2:13">
      <c r="B484" s="84" t="s">
        <v>2380</v>
      </c>
      <c r="C484" s="85">
        <v>30.3</v>
      </c>
      <c r="D484" s="86">
        <f t="shared" si="19"/>
        <v>0.784296807592752</v>
      </c>
      <c r="E484" s="93">
        <f t="shared" si="20"/>
        <v>75</v>
      </c>
      <c r="F484" s="94"/>
      <c r="G484" s="95"/>
      <c r="H484" s="74"/>
      <c r="I484" s="75" t="s">
        <v>3530</v>
      </c>
      <c r="J484" s="76">
        <v>146.894909</v>
      </c>
      <c r="L484" s="77" t="s">
        <v>3531</v>
      </c>
      <c r="M484" s="77">
        <v>2</v>
      </c>
    </row>
    <row r="485" s="69" customFormat="1" spans="2:13">
      <c r="B485" s="84" t="s">
        <v>2382</v>
      </c>
      <c r="C485" s="85">
        <v>32.5</v>
      </c>
      <c r="D485" s="86">
        <f t="shared" si="19"/>
        <v>0.795918367346939</v>
      </c>
      <c r="E485" s="93">
        <f t="shared" si="20"/>
        <v>71</v>
      </c>
      <c r="F485" s="94"/>
      <c r="G485" s="95"/>
      <c r="H485" s="74"/>
      <c r="I485" s="75" t="s">
        <v>3532</v>
      </c>
      <c r="J485" s="76">
        <v>240.196621</v>
      </c>
      <c r="L485" s="77" t="s">
        <v>3533</v>
      </c>
      <c r="M485" s="77">
        <v>2</v>
      </c>
    </row>
    <row r="486" s="69" customFormat="1" spans="2:13">
      <c r="B486" s="84" t="s">
        <v>2943</v>
      </c>
      <c r="C486" s="85">
        <v>37</v>
      </c>
      <c r="D486" s="86">
        <f t="shared" si="19"/>
        <v>0.816176470588235</v>
      </c>
      <c r="E486" s="93">
        <f t="shared" si="20"/>
        <v>64</v>
      </c>
      <c r="F486" s="94"/>
      <c r="G486" s="95"/>
      <c r="H486" s="74"/>
      <c r="I486" s="75" t="s">
        <v>423</v>
      </c>
      <c r="J486" s="76">
        <v>883.054722</v>
      </c>
      <c r="L486" s="77" t="s">
        <v>3534</v>
      </c>
      <c r="M486" s="77">
        <v>2</v>
      </c>
    </row>
    <row r="487" s="69" customFormat="1" spans="2:13">
      <c r="B487" s="84" t="s">
        <v>2387</v>
      </c>
      <c r="C487" s="85">
        <v>37</v>
      </c>
      <c r="D487" s="86">
        <f t="shared" ref="D487:D514" si="21">IF(C487="","",C487/(C487+$E$1/60))</f>
        <v>1</v>
      </c>
      <c r="E487" s="93">
        <f t="shared" si="20"/>
        <v>78</v>
      </c>
      <c r="F487" s="94"/>
      <c r="G487" s="95"/>
      <c r="H487" s="74"/>
      <c r="I487" s="75" t="s">
        <v>3535</v>
      </c>
      <c r="J487" s="76">
        <v>1197.876179</v>
      </c>
      <c r="L487" s="77" t="s">
        <v>3536</v>
      </c>
      <c r="M487" s="77">
        <v>2</v>
      </c>
    </row>
    <row r="488" s="69" customFormat="1" spans="2:13">
      <c r="B488" s="84" t="s">
        <v>3537</v>
      </c>
      <c r="C488" s="85">
        <v>27</v>
      </c>
      <c r="D488" s="86">
        <f t="shared" si="21"/>
        <v>1</v>
      </c>
      <c r="E488" s="93">
        <f t="shared" si="20"/>
        <v>107</v>
      </c>
      <c r="F488" s="94"/>
      <c r="G488" s="95"/>
      <c r="H488" s="74"/>
      <c r="I488" s="75" t="s">
        <v>3538</v>
      </c>
      <c r="J488" s="76">
        <v>351.715567</v>
      </c>
      <c r="L488" s="77" t="s">
        <v>3539</v>
      </c>
      <c r="M488" s="77">
        <v>2</v>
      </c>
    </row>
    <row r="489" s="69" customFormat="1" spans="2:13">
      <c r="B489" s="84" t="s">
        <v>3540</v>
      </c>
      <c r="C489" s="85">
        <v>34</v>
      </c>
      <c r="D489" s="86">
        <f t="shared" si="21"/>
        <v>1</v>
      </c>
      <c r="E489" s="93">
        <f t="shared" si="20"/>
        <v>85</v>
      </c>
      <c r="F489" s="94"/>
      <c r="G489" s="95"/>
      <c r="H489" s="74"/>
      <c r="I489" s="75" t="s">
        <v>3541</v>
      </c>
      <c r="J489" s="76">
        <v>983.295445</v>
      </c>
      <c r="L489" s="77" t="s">
        <v>3542</v>
      </c>
      <c r="M489" s="77">
        <v>2</v>
      </c>
    </row>
    <row r="490" s="69" customFormat="1" spans="2:13">
      <c r="B490" s="84" t="s">
        <v>3543</v>
      </c>
      <c r="C490" s="85">
        <v>48.5</v>
      </c>
      <c r="D490" s="86">
        <f t="shared" si="21"/>
        <v>1</v>
      </c>
      <c r="E490" s="93">
        <f t="shared" si="20"/>
        <v>59</v>
      </c>
      <c r="F490" s="94"/>
      <c r="G490" s="95"/>
      <c r="H490" s="74"/>
      <c r="I490" s="75" t="s">
        <v>3544</v>
      </c>
      <c r="J490" s="76">
        <v>791.598471</v>
      </c>
      <c r="L490" s="77" t="s">
        <v>3545</v>
      </c>
      <c r="M490" s="77">
        <v>2</v>
      </c>
    </row>
    <row r="491" s="69" customFormat="1" spans="2:13">
      <c r="B491" s="84" t="s">
        <v>3546</v>
      </c>
      <c r="C491" s="85">
        <v>42</v>
      </c>
      <c r="D491" s="86">
        <f t="shared" si="21"/>
        <v>1</v>
      </c>
      <c r="E491" s="93">
        <f t="shared" si="20"/>
        <v>69</v>
      </c>
      <c r="F491" s="94"/>
      <c r="G491" s="95"/>
      <c r="H491" s="74"/>
      <c r="I491" s="75" t="s">
        <v>3547</v>
      </c>
      <c r="J491" s="76">
        <v>1160.946983</v>
      </c>
      <c r="L491" s="77" t="s">
        <v>3548</v>
      </c>
      <c r="M491" s="77">
        <v>2</v>
      </c>
    </row>
    <row r="492" s="69" customFormat="1" spans="2:13">
      <c r="B492" s="84" t="s">
        <v>3549</v>
      </c>
      <c r="C492" s="85">
        <v>27</v>
      </c>
      <c r="D492" s="86">
        <f t="shared" si="21"/>
        <v>1</v>
      </c>
      <c r="E492" s="93">
        <f t="shared" si="20"/>
        <v>107</v>
      </c>
      <c r="F492" s="94"/>
      <c r="G492" s="95"/>
      <c r="H492" s="74"/>
      <c r="I492" s="75" t="s">
        <v>3550</v>
      </c>
      <c r="J492" s="76">
        <v>117.267598</v>
      </c>
      <c r="L492" s="77" t="s">
        <v>3551</v>
      </c>
      <c r="M492" s="77">
        <v>2</v>
      </c>
    </row>
    <row r="493" s="69" customFormat="1" spans="2:13">
      <c r="B493" s="84" t="s">
        <v>3552</v>
      </c>
      <c r="C493" s="85">
        <v>33.5</v>
      </c>
      <c r="D493" s="86">
        <f t="shared" si="21"/>
        <v>1</v>
      </c>
      <c r="E493" s="93">
        <f t="shared" si="20"/>
        <v>86</v>
      </c>
      <c r="F493" s="94"/>
      <c r="G493" s="95"/>
      <c r="H493" s="74"/>
      <c r="I493" s="75" t="s">
        <v>262</v>
      </c>
      <c r="J493" s="76">
        <v>106.720866</v>
      </c>
      <c r="L493" s="77" t="s">
        <v>3553</v>
      </c>
      <c r="M493" s="77">
        <v>2</v>
      </c>
    </row>
    <row r="494" s="69" customFormat="1" spans="2:13">
      <c r="B494" s="84" t="s">
        <v>2445</v>
      </c>
      <c r="C494" s="85">
        <v>33.5</v>
      </c>
      <c r="D494" s="86">
        <f t="shared" si="21"/>
        <v>1</v>
      </c>
      <c r="E494" s="93">
        <f t="shared" si="20"/>
        <v>86</v>
      </c>
      <c r="F494" s="94"/>
      <c r="G494" s="95"/>
      <c r="H494" s="74"/>
      <c r="I494" s="75" t="s">
        <v>341</v>
      </c>
      <c r="J494" s="76">
        <v>931.552111</v>
      </c>
      <c r="L494" s="77" t="s">
        <v>3554</v>
      </c>
      <c r="M494" s="77">
        <v>2</v>
      </c>
    </row>
    <row r="495" s="69" customFormat="1" spans="2:13">
      <c r="B495" s="84" t="s">
        <v>2446</v>
      </c>
      <c r="C495" s="85">
        <v>38.5</v>
      </c>
      <c r="D495" s="86">
        <f t="shared" si="21"/>
        <v>1</v>
      </c>
      <c r="E495" s="93">
        <f t="shared" si="20"/>
        <v>75</v>
      </c>
      <c r="F495" s="94"/>
      <c r="G495" s="95"/>
      <c r="H495" s="74"/>
      <c r="I495" s="75" t="s">
        <v>3555</v>
      </c>
      <c r="J495" s="76">
        <v>964.549765</v>
      </c>
      <c r="L495" s="77" t="s">
        <v>3556</v>
      </c>
      <c r="M495" s="77">
        <v>2</v>
      </c>
    </row>
    <row r="496" s="69" customFormat="1" spans="2:13">
      <c r="B496" s="84" t="s">
        <v>2447</v>
      </c>
      <c r="C496" s="85">
        <v>41.5</v>
      </c>
      <c r="D496" s="86">
        <f t="shared" si="21"/>
        <v>1</v>
      </c>
      <c r="E496" s="93">
        <f t="shared" si="20"/>
        <v>69</v>
      </c>
      <c r="F496" s="94"/>
      <c r="G496" s="95"/>
      <c r="H496" s="74"/>
      <c r="I496" s="75" t="s">
        <v>3557</v>
      </c>
      <c r="J496" s="76">
        <v>686.694709</v>
      </c>
      <c r="L496" s="77" t="s">
        <v>3558</v>
      </c>
      <c r="M496" s="77">
        <v>2</v>
      </c>
    </row>
    <row r="497" s="69" customFormat="1" spans="2:13">
      <c r="B497" s="84" t="s">
        <v>2448</v>
      </c>
      <c r="C497" s="85">
        <v>41.5</v>
      </c>
      <c r="D497" s="86">
        <f t="shared" si="21"/>
        <v>1</v>
      </c>
      <c r="E497" s="93">
        <f t="shared" si="20"/>
        <v>69</v>
      </c>
      <c r="F497" s="94"/>
      <c r="G497" s="95"/>
      <c r="H497" s="74"/>
      <c r="I497" s="75" t="s">
        <v>3559</v>
      </c>
      <c r="J497" s="76">
        <v>271.612145</v>
      </c>
      <c r="L497" s="77" t="s">
        <v>3560</v>
      </c>
      <c r="M497" s="77">
        <v>2</v>
      </c>
    </row>
    <row r="498" s="69" customFormat="1" spans="2:13">
      <c r="B498" s="84" t="s">
        <v>2449</v>
      </c>
      <c r="C498" s="85">
        <v>36.5</v>
      </c>
      <c r="D498" s="86">
        <f t="shared" si="21"/>
        <v>1</v>
      </c>
      <c r="E498" s="93">
        <f t="shared" si="20"/>
        <v>79</v>
      </c>
      <c r="F498" s="94"/>
      <c r="G498" s="95"/>
      <c r="H498" s="74"/>
      <c r="I498" s="75" t="s">
        <v>3561</v>
      </c>
      <c r="J498" s="76">
        <v>119.582743</v>
      </c>
      <c r="L498" s="77" t="s">
        <v>3562</v>
      </c>
      <c r="M498" s="77">
        <v>2</v>
      </c>
    </row>
    <row r="499" s="69" customFormat="1" spans="2:13">
      <c r="B499" s="84" t="s">
        <v>3563</v>
      </c>
      <c r="C499" s="85">
        <v>37</v>
      </c>
      <c r="D499" s="86">
        <f t="shared" si="21"/>
        <v>1</v>
      </c>
      <c r="E499" s="93">
        <f t="shared" si="20"/>
        <v>78</v>
      </c>
      <c r="F499" s="94"/>
      <c r="G499" s="95"/>
      <c r="H499" s="74"/>
      <c r="I499" s="75" t="s">
        <v>734</v>
      </c>
      <c r="J499" s="76">
        <v>50.210146</v>
      </c>
      <c r="L499" s="77" t="s">
        <v>3564</v>
      </c>
      <c r="M499" s="77">
        <v>2</v>
      </c>
    </row>
    <row r="500" s="69" customFormat="1" spans="2:13">
      <c r="B500" s="84" t="s">
        <v>3565</v>
      </c>
      <c r="C500" s="85">
        <v>37</v>
      </c>
      <c r="D500" s="86">
        <f t="shared" si="21"/>
        <v>1</v>
      </c>
      <c r="E500" s="93">
        <f t="shared" si="20"/>
        <v>78</v>
      </c>
      <c r="F500" s="94"/>
      <c r="G500" s="95"/>
      <c r="H500" s="74"/>
      <c r="I500" s="75" t="s">
        <v>3566</v>
      </c>
      <c r="J500" s="76">
        <v>278.758571</v>
      </c>
      <c r="L500" s="77" t="s">
        <v>3567</v>
      </c>
      <c r="M500" s="77">
        <v>2</v>
      </c>
    </row>
    <row r="501" s="69" customFormat="1" spans="2:13">
      <c r="B501" s="84" t="s">
        <v>3568</v>
      </c>
      <c r="C501" s="85">
        <v>37</v>
      </c>
      <c r="D501" s="86">
        <f t="shared" si="21"/>
        <v>1</v>
      </c>
      <c r="E501" s="93">
        <f t="shared" si="20"/>
        <v>78</v>
      </c>
      <c r="F501" s="94"/>
      <c r="G501" s="95"/>
      <c r="H501" s="74"/>
      <c r="I501" s="75" t="s">
        <v>3569</v>
      </c>
      <c r="J501" s="76">
        <v>1330.781998</v>
      </c>
      <c r="L501" s="77" t="s">
        <v>3570</v>
      </c>
      <c r="M501" s="77">
        <v>2</v>
      </c>
    </row>
    <row r="502" s="69" customFormat="1" spans="2:13">
      <c r="B502" s="84" t="s">
        <v>2451</v>
      </c>
      <c r="C502" s="85">
        <v>42</v>
      </c>
      <c r="D502" s="86">
        <f t="shared" si="21"/>
        <v>1</v>
      </c>
      <c r="E502" s="93">
        <f t="shared" si="20"/>
        <v>69</v>
      </c>
      <c r="F502" s="94"/>
      <c r="G502" s="95"/>
      <c r="H502" s="74"/>
      <c r="I502" s="75" t="s">
        <v>3571</v>
      </c>
      <c r="J502" s="76">
        <v>1215.732084</v>
      </c>
      <c r="L502" s="77" t="s">
        <v>3572</v>
      </c>
      <c r="M502" s="77">
        <v>2</v>
      </c>
    </row>
    <row r="503" s="69" customFormat="1" spans="2:13">
      <c r="B503" s="84" t="s">
        <v>2452</v>
      </c>
      <c r="C503" s="85">
        <v>40</v>
      </c>
      <c r="D503" s="86">
        <f t="shared" si="21"/>
        <v>1</v>
      </c>
      <c r="E503" s="93">
        <f t="shared" si="20"/>
        <v>72</v>
      </c>
      <c r="F503" s="94"/>
      <c r="G503" s="95"/>
      <c r="H503" s="74"/>
      <c r="I503" s="75" t="s">
        <v>3573</v>
      </c>
      <c r="J503" s="76">
        <v>949.850979</v>
      </c>
      <c r="L503" s="77" t="s">
        <v>3574</v>
      </c>
      <c r="M503" s="77">
        <v>2</v>
      </c>
    </row>
    <row r="504" s="69" customFormat="1" spans="2:13">
      <c r="B504" s="84" t="s">
        <v>2453</v>
      </c>
      <c r="C504" s="85">
        <v>36.5</v>
      </c>
      <c r="D504" s="86">
        <f t="shared" si="21"/>
        <v>1</v>
      </c>
      <c r="E504" s="93">
        <f t="shared" si="20"/>
        <v>79</v>
      </c>
      <c r="F504" s="94"/>
      <c r="G504" s="95"/>
      <c r="H504" s="74"/>
      <c r="I504" s="75" t="s">
        <v>3575</v>
      </c>
      <c r="J504" s="76">
        <v>832.429514</v>
      </c>
      <c r="L504" s="77"/>
      <c r="M504" s="77">
        <v>0</v>
      </c>
    </row>
    <row r="505" s="69" customFormat="1" spans="2:13">
      <c r="B505" s="84" t="s">
        <v>2454</v>
      </c>
      <c r="C505" s="85">
        <v>44</v>
      </c>
      <c r="D505" s="86">
        <f t="shared" si="21"/>
        <v>1</v>
      </c>
      <c r="E505" s="93">
        <f t="shared" si="20"/>
        <v>65</v>
      </c>
      <c r="F505" s="94"/>
      <c r="G505" s="95"/>
      <c r="H505" s="74"/>
      <c r="I505" s="75" t="s">
        <v>3576</v>
      </c>
      <c r="J505" s="76">
        <v>772.852997</v>
      </c>
      <c r="L505" s="77"/>
      <c r="M505" s="77">
        <v>0</v>
      </c>
    </row>
    <row r="506" s="69" customFormat="1" spans="2:13">
      <c r="B506" s="84" t="s">
        <v>3577</v>
      </c>
      <c r="C506" s="85">
        <v>32.5</v>
      </c>
      <c r="D506" s="86">
        <f t="shared" si="21"/>
        <v>1</v>
      </c>
      <c r="E506" s="93">
        <f t="shared" si="20"/>
        <v>89</v>
      </c>
      <c r="F506" s="94"/>
      <c r="G506" s="95"/>
      <c r="H506" s="74"/>
      <c r="I506" s="75" t="s">
        <v>3578</v>
      </c>
      <c r="J506" s="76">
        <v>691.353705</v>
      </c>
      <c r="L506" s="77"/>
      <c r="M506" s="77">
        <v>0</v>
      </c>
    </row>
    <row r="507" s="69" customFormat="1" spans="2:13">
      <c r="B507" s="84" t="s">
        <v>3579</v>
      </c>
      <c r="C507" s="85">
        <v>32.5</v>
      </c>
      <c r="D507" s="86">
        <f t="shared" si="21"/>
        <v>1</v>
      </c>
      <c r="E507" s="93">
        <f t="shared" si="20"/>
        <v>89</v>
      </c>
      <c r="F507" s="94"/>
      <c r="G507" s="95"/>
      <c r="H507" s="74"/>
      <c r="I507" s="75" t="s">
        <v>3580</v>
      </c>
      <c r="J507" s="76">
        <v>835.398326</v>
      </c>
      <c r="L507" s="77"/>
      <c r="M507" s="77">
        <v>0</v>
      </c>
    </row>
    <row r="508" s="69" customFormat="1" spans="2:13">
      <c r="B508" s="84" t="s">
        <v>2455</v>
      </c>
      <c r="C508" s="85">
        <v>30.3</v>
      </c>
      <c r="D508" s="86">
        <f t="shared" si="21"/>
        <v>1</v>
      </c>
      <c r="E508" s="93">
        <f t="shared" si="20"/>
        <v>95</v>
      </c>
      <c r="F508" s="94"/>
      <c r="G508" s="95"/>
      <c r="H508" s="74"/>
      <c r="I508" s="75" t="s">
        <v>3581</v>
      </c>
      <c r="J508" s="76">
        <v>1197.876134</v>
      </c>
      <c r="L508" s="77"/>
      <c r="M508" s="77">
        <v>0</v>
      </c>
    </row>
    <row r="509" s="69" customFormat="1" spans="2:13">
      <c r="B509" s="84" t="s">
        <v>2456</v>
      </c>
      <c r="C509" s="85">
        <v>32.5</v>
      </c>
      <c r="D509" s="86">
        <f t="shared" si="21"/>
        <v>1</v>
      </c>
      <c r="E509" s="93">
        <f t="shared" si="20"/>
        <v>89</v>
      </c>
      <c r="F509" s="94"/>
      <c r="G509" s="95"/>
      <c r="H509" s="74"/>
      <c r="I509" s="75" t="s">
        <v>302</v>
      </c>
      <c r="J509" s="76">
        <v>400.26959</v>
      </c>
      <c r="L509" s="77"/>
      <c r="M509" s="77">
        <v>0</v>
      </c>
    </row>
    <row r="510" s="69" customFormat="1" spans="2:13">
      <c r="B510" s="84" t="s">
        <v>2457</v>
      </c>
      <c r="C510" s="85">
        <v>29.7</v>
      </c>
      <c r="D510" s="86">
        <f t="shared" si="21"/>
        <v>1</v>
      </c>
      <c r="E510" s="93">
        <f t="shared" si="20"/>
        <v>97</v>
      </c>
      <c r="F510" s="94"/>
      <c r="G510" s="95"/>
      <c r="H510" s="74"/>
      <c r="I510" s="75" t="s">
        <v>170</v>
      </c>
      <c r="J510" s="76">
        <v>113.022154</v>
      </c>
      <c r="L510" s="77"/>
      <c r="M510" s="77">
        <v>0</v>
      </c>
    </row>
    <row r="511" s="69" customFormat="1" spans="2:13">
      <c r="B511" s="84" t="s">
        <v>2458</v>
      </c>
      <c r="C511" s="85">
        <v>33.5</v>
      </c>
      <c r="D511" s="86">
        <f t="shared" si="21"/>
        <v>1</v>
      </c>
      <c r="E511" s="93">
        <f t="shared" si="20"/>
        <v>86</v>
      </c>
      <c r="F511" s="94"/>
      <c r="G511" s="95"/>
      <c r="H511" s="74"/>
      <c r="I511" s="75" t="s">
        <v>164</v>
      </c>
      <c r="J511" s="76">
        <v>106.182986</v>
      </c>
      <c r="L511" s="77"/>
      <c r="M511" s="77">
        <v>0</v>
      </c>
    </row>
    <row r="512" s="69" customFormat="1" spans="2:13">
      <c r="B512" s="84" t="s">
        <v>2459</v>
      </c>
      <c r="C512" s="85">
        <v>32.5</v>
      </c>
      <c r="D512" s="86">
        <f t="shared" si="21"/>
        <v>1</v>
      </c>
      <c r="E512" s="93">
        <f t="shared" si="20"/>
        <v>89</v>
      </c>
      <c r="F512" s="94"/>
      <c r="G512" s="95"/>
      <c r="H512" s="74"/>
      <c r="I512" s="75" t="s">
        <v>187</v>
      </c>
      <c r="J512" s="76">
        <v>253.51522</v>
      </c>
      <c r="L512" s="77"/>
      <c r="M512" s="77">
        <v>0</v>
      </c>
    </row>
    <row r="513" s="69" customFormat="1" spans="2:13">
      <c r="B513" s="84" t="s">
        <v>2460</v>
      </c>
      <c r="C513" s="85">
        <v>33.5</v>
      </c>
      <c r="D513" s="86">
        <f t="shared" si="21"/>
        <v>1</v>
      </c>
      <c r="E513" s="93">
        <f t="shared" si="20"/>
        <v>86</v>
      </c>
      <c r="F513" s="94"/>
      <c r="G513" s="95"/>
      <c r="H513" s="74"/>
      <c r="I513" s="75" t="s">
        <v>3582</v>
      </c>
      <c r="J513" s="76">
        <v>107.058469</v>
      </c>
      <c r="L513" s="77"/>
      <c r="M513" s="77">
        <v>0</v>
      </c>
    </row>
    <row r="514" s="69" customFormat="1" spans="2:13">
      <c r="B514" s="84" t="s">
        <v>2461</v>
      </c>
      <c r="C514" s="85">
        <v>32.5</v>
      </c>
      <c r="D514" s="86">
        <f t="shared" si="21"/>
        <v>1</v>
      </c>
      <c r="E514" s="93">
        <f t="shared" si="20"/>
        <v>89</v>
      </c>
      <c r="F514" s="94"/>
      <c r="G514" s="95"/>
      <c r="H514" s="74"/>
      <c r="I514" s="75" t="s">
        <v>3583</v>
      </c>
      <c r="J514" s="76">
        <v>169.654849</v>
      </c>
      <c r="L514" s="77"/>
      <c r="M514" s="77">
        <v>0</v>
      </c>
    </row>
    <row r="515" s="69" customFormat="1" spans="2:13">
      <c r="B515" s="84" t="s">
        <v>2462</v>
      </c>
      <c r="C515" s="85">
        <v>34</v>
      </c>
      <c r="D515" s="86">
        <f t="shared" ref="D515:D578" si="22">IF(C515="","",C515/(C515+$E$1/60))</f>
        <v>1</v>
      </c>
      <c r="E515" s="93">
        <f t="shared" ref="E515:E578" si="23">IFERROR(ROUND(1440/C515*2*D515,0),"")</f>
        <v>85</v>
      </c>
      <c r="F515" s="94"/>
      <c r="G515" s="95"/>
      <c r="H515" s="74"/>
      <c r="I515" s="75" t="s">
        <v>3584</v>
      </c>
      <c r="J515" s="76">
        <v>204.915025</v>
      </c>
      <c r="L515" s="77"/>
      <c r="M515" s="77">
        <v>0</v>
      </c>
    </row>
    <row r="516" s="69" customFormat="1" spans="2:13">
      <c r="B516" s="84" t="s">
        <v>2463</v>
      </c>
      <c r="C516" s="85">
        <v>34</v>
      </c>
      <c r="D516" s="86">
        <f t="shared" si="22"/>
        <v>1</v>
      </c>
      <c r="E516" s="93">
        <f t="shared" si="23"/>
        <v>85</v>
      </c>
      <c r="F516" s="94"/>
      <c r="G516" s="95"/>
      <c r="H516" s="74"/>
      <c r="I516" s="75" t="s">
        <v>3585</v>
      </c>
      <c r="J516" s="76">
        <v>184.722153</v>
      </c>
      <c r="L516" s="77"/>
      <c r="M516" s="77">
        <v>0</v>
      </c>
    </row>
    <row r="517" s="69" customFormat="1" spans="2:13">
      <c r="B517" s="84" t="s">
        <v>2464</v>
      </c>
      <c r="C517" s="85">
        <v>35</v>
      </c>
      <c r="D517" s="86">
        <f t="shared" si="22"/>
        <v>1</v>
      </c>
      <c r="E517" s="93">
        <f t="shared" si="23"/>
        <v>82</v>
      </c>
      <c r="F517" s="94"/>
      <c r="G517" s="95"/>
      <c r="H517" s="74"/>
      <c r="I517" s="75" t="s">
        <v>3586</v>
      </c>
      <c r="J517" s="76">
        <v>157.745329</v>
      </c>
      <c r="L517" s="77"/>
      <c r="M517" s="77">
        <v>0</v>
      </c>
    </row>
    <row r="518" s="69" customFormat="1" spans="2:13">
      <c r="B518" s="84" t="s">
        <v>3587</v>
      </c>
      <c r="C518" s="85">
        <v>40</v>
      </c>
      <c r="D518" s="86">
        <f t="shared" si="22"/>
        <v>1</v>
      </c>
      <c r="E518" s="93">
        <f t="shared" si="23"/>
        <v>72</v>
      </c>
      <c r="F518" s="94"/>
      <c r="G518" s="95"/>
      <c r="H518" s="74"/>
      <c r="I518" s="75" t="s">
        <v>3588</v>
      </c>
      <c r="J518" s="76">
        <v>138.106759</v>
      </c>
      <c r="L518" s="77"/>
      <c r="M518" s="77">
        <v>0</v>
      </c>
    </row>
    <row r="519" s="69" customFormat="1" spans="2:13">
      <c r="B519" s="84" t="s">
        <v>3589</v>
      </c>
      <c r="C519" s="85">
        <v>37</v>
      </c>
      <c r="D519" s="86">
        <f t="shared" si="22"/>
        <v>1</v>
      </c>
      <c r="E519" s="93">
        <f t="shared" si="23"/>
        <v>78</v>
      </c>
      <c r="F519" s="94"/>
      <c r="G519" s="95"/>
      <c r="H519" s="74"/>
      <c r="I519" s="75" t="s">
        <v>289</v>
      </c>
      <c r="J519" s="76">
        <v>190.639309</v>
      </c>
      <c r="L519" s="77"/>
      <c r="M519" s="77">
        <v>0</v>
      </c>
    </row>
    <row r="520" s="69" customFormat="1" spans="2:13">
      <c r="B520" s="84" t="s">
        <v>2465</v>
      </c>
      <c r="C520" s="85">
        <v>40</v>
      </c>
      <c r="D520" s="86">
        <f t="shared" si="22"/>
        <v>1</v>
      </c>
      <c r="E520" s="93">
        <f t="shared" si="23"/>
        <v>72</v>
      </c>
      <c r="F520" s="94"/>
      <c r="G520" s="95"/>
      <c r="H520" s="74"/>
      <c r="I520" s="75" t="s">
        <v>3590</v>
      </c>
      <c r="J520" s="76">
        <v>153.867476</v>
      </c>
      <c r="L520" s="77"/>
      <c r="M520" s="77">
        <v>0</v>
      </c>
    </row>
    <row r="521" s="69" customFormat="1" spans="2:13">
      <c r="B521" s="84" t="s">
        <v>2466</v>
      </c>
      <c r="C521" s="85">
        <v>40</v>
      </c>
      <c r="D521" s="86">
        <f t="shared" si="22"/>
        <v>1</v>
      </c>
      <c r="E521" s="93">
        <f t="shared" si="23"/>
        <v>72</v>
      </c>
      <c r="F521" s="94"/>
      <c r="G521" s="95"/>
      <c r="H521" s="74"/>
      <c r="I521" s="75" t="s">
        <v>174</v>
      </c>
      <c r="J521" s="76">
        <v>107.482823</v>
      </c>
      <c r="L521" s="77"/>
      <c r="M521" s="77">
        <v>0</v>
      </c>
    </row>
    <row r="522" s="69" customFormat="1" spans="2:13">
      <c r="B522" s="84" t="s">
        <v>2467</v>
      </c>
      <c r="C522" s="85">
        <v>33.5</v>
      </c>
      <c r="D522" s="86">
        <f t="shared" si="22"/>
        <v>1</v>
      </c>
      <c r="E522" s="93">
        <f t="shared" si="23"/>
        <v>86</v>
      </c>
      <c r="F522" s="94"/>
      <c r="G522" s="95"/>
      <c r="H522" s="74"/>
      <c r="I522" s="75" t="s">
        <v>3591</v>
      </c>
      <c r="J522" s="76">
        <v>1230.077058</v>
      </c>
      <c r="L522" s="77"/>
      <c r="M522" s="77">
        <v>0</v>
      </c>
    </row>
    <row r="523" s="69" customFormat="1" spans="2:13">
      <c r="B523" s="84" t="s">
        <v>2398</v>
      </c>
      <c r="C523" s="85">
        <v>40.5</v>
      </c>
      <c r="D523" s="86">
        <f t="shared" si="22"/>
        <v>1</v>
      </c>
      <c r="E523" s="93">
        <f t="shared" si="23"/>
        <v>71</v>
      </c>
      <c r="F523" s="94"/>
      <c r="G523" s="95"/>
      <c r="H523" s="74"/>
      <c r="I523" s="75" t="s">
        <v>3592</v>
      </c>
      <c r="J523" s="76">
        <v>1018.714613</v>
      </c>
      <c r="L523" s="77"/>
      <c r="M523" s="77">
        <v>0</v>
      </c>
    </row>
    <row r="524" s="69" customFormat="1" spans="2:13">
      <c r="B524" s="84" t="s">
        <v>2401</v>
      </c>
      <c r="C524" s="85">
        <v>35.5</v>
      </c>
      <c r="D524" s="86">
        <f t="shared" si="22"/>
        <v>1</v>
      </c>
      <c r="E524" s="93">
        <f t="shared" si="23"/>
        <v>81</v>
      </c>
      <c r="F524" s="94"/>
      <c r="G524" s="95"/>
      <c r="H524" s="74"/>
      <c r="I524" s="75" t="s">
        <v>3593</v>
      </c>
      <c r="J524" s="76">
        <v>435.160628</v>
      </c>
      <c r="L524" s="77"/>
      <c r="M524" s="77">
        <v>0</v>
      </c>
    </row>
    <row r="525" s="69" customFormat="1" spans="2:13">
      <c r="B525" s="84" t="s">
        <v>3594</v>
      </c>
      <c r="C525" s="85">
        <v>44.5</v>
      </c>
      <c r="D525" s="86">
        <f t="shared" si="22"/>
        <v>1</v>
      </c>
      <c r="E525" s="93">
        <f t="shared" si="23"/>
        <v>65</v>
      </c>
      <c r="F525" s="94"/>
      <c r="G525" s="95"/>
      <c r="H525" s="74"/>
      <c r="I525" s="75" t="s">
        <v>3595</v>
      </c>
      <c r="J525" s="76">
        <v>1039.003637</v>
      </c>
      <c r="L525" s="77"/>
      <c r="M525" s="77">
        <v>0</v>
      </c>
    </row>
    <row r="526" s="69" customFormat="1" spans="2:13">
      <c r="B526" s="84" t="s">
        <v>2468</v>
      </c>
      <c r="C526" s="85">
        <v>36</v>
      </c>
      <c r="D526" s="86">
        <f t="shared" si="22"/>
        <v>1</v>
      </c>
      <c r="E526" s="93">
        <f t="shared" si="23"/>
        <v>80</v>
      </c>
      <c r="F526" s="94"/>
      <c r="G526" s="95"/>
      <c r="H526" s="74"/>
      <c r="I526" s="75" t="s">
        <v>3596</v>
      </c>
      <c r="J526" s="76">
        <v>107.051091</v>
      </c>
      <c r="L526" s="77"/>
      <c r="M526" s="77">
        <v>0</v>
      </c>
    </row>
    <row r="527" s="69" customFormat="1" spans="2:13">
      <c r="B527" s="84" t="s">
        <v>2469</v>
      </c>
      <c r="C527" s="85">
        <v>40</v>
      </c>
      <c r="D527" s="86">
        <f t="shared" si="22"/>
        <v>1</v>
      </c>
      <c r="E527" s="93">
        <f t="shared" si="23"/>
        <v>72</v>
      </c>
      <c r="F527" s="94"/>
      <c r="G527" s="95"/>
      <c r="H527" s="74"/>
      <c r="I527" s="75" t="s">
        <v>441</v>
      </c>
      <c r="J527" s="76">
        <v>443.117563</v>
      </c>
      <c r="L527" s="77"/>
      <c r="M527" s="77">
        <v>0</v>
      </c>
    </row>
    <row r="528" s="69" customFormat="1" spans="2:13">
      <c r="B528" s="84" t="s">
        <v>2470</v>
      </c>
      <c r="C528" s="85">
        <v>40</v>
      </c>
      <c r="D528" s="86">
        <f t="shared" si="22"/>
        <v>1</v>
      </c>
      <c r="E528" s="93">
        <f t="shared" si="23"/>
        <v>72</v>
      </c>
      <c r="F528" s="94"/>
      <c r="G528" s="95"/>
      <c r="H528" s="74"/>
      <c r="I528" s="75" t="s">
        <v>3597</v>
      </c>
      <c r="J528" s="76">
        <v>975.072196</v>
      </c>
      <c r="L528" s="77"/>
      <c r="M528" s="77">
        <v>0</v>
      </c>
    </row>
    <row r="529" s="69" customFormat="1" spans="2:13">
      <c r="B529" s="84" t="s">
        <v>2471</v>
      </c>
      <c r="C529" s="85">
        <v>35.5</v>
      </c>
      <c r="D529" s="86">
        <f t="shared" si="22"/>
        <v>1</v>
      </c>
      <c r="E529" s="93">
        <f t="shared" si="23"/>
        <v>81</v>
      </c>
      <c r="F529" s="94"/>
      <c r="G529" s="95"/>
      <c r="H529" s="74"/>
      <c r="I529" s="75" t="s">
        <v>535</v>
      </c>
      <c r="J529" s="76">
        <v>772.852997</v>
      </c>
      <c r="L529" s="77"/>
      <c r="M529" s="77">
        <v>0</v>
      </c>
    </row>
    <row r="530" s="69" customFormat="1" spans="2:13">
      <c r="B530" s="84" t="s">
        <v>3598</v>
      </c>
      <c r="C530" s="85">
        <v>37</v>
      </c>
      <c r="D530" s="86">
        <f t="shared" si="22"/>
        <v>1</v>
      </c>
      <c r="E530" s="93">
        <f t="shared" si="23"/>
        <v>78</v>
      </c>
      <c r="F530" s="94"/>
      <c r="G530" s="95"/>
      <c r="H530" s="74"/>
      <c r="I530" s="75" t="s">
        <v>3599</v>
      </c>
      <c r="J530" s="76">
        <v>723.411948</v>
      </c>
      <c r="L530" s="77"/>
      <c r="M530" s="77">
        <v>0</v>
      </c>
    </row>
    <row r="531" s="69" customFormat="1" spans="2:13">
      <c r="B531" s="84" t="s">
        <v>3600</v>
      </c>
      <c r="C531" s="85">
        <v>37</v>
      </c>
      <c r="D531" s="86">
        <f t="shared" si="22"/>
        <v>1</v>
      </c>
      <c r="E531" s="93">
        <f t="shared" si="23"/>
        <v>78</v>
      </c>
      <c r="F531" s="94"/>
      <c r="G531" s="95"/>
      <c r="H531" s="74"/>
      <c r="I531" s="75" t="s">
        <v>3601</v>
      </c>
      <c r="J531" s="76">
        <v>1135.223229</v>
      </c>
      <c r="L531" s="77"/>
      <c r="M531" s="77">
        <v>0</v>
      </c>
    </row>
    <row r="532" s="69" customFormat="1" spans="2:13">
      <c r="B532" s="84" t="s">
        <v>2444</v>
      </c>
      <c r="C532" s="85">
        <v>42.5</v>
      </c>
      <c r="D532" s="86">
        <f t="shared" si="22"/>
        <v>1</v>
      </c>
      <c r="E532" s="93">
        <f t="shared" si="23"/>
        <v>68</v>
      </c>
      <c r="F532" s="94"/>
      <c r="G532" s="95"/>
      <c r="H532" s="74"/>
      <c r="I532" s="75" t="s">
        <v>3602</v>
      </c>
      <c r="J532" s="76">
        <v>199.948084</v>
      </c>
      <c r="L532" s="77"/>
      <c r="M532" s="77">
        <v>0</v>
      </c>
    </row>
    <row r="533" s="69" customFormat="1" spans="2:13">
      <c r="B533" s="84" t="s">
        <v>3603</v>
      </c>
      <c r="C533" s="85">
        <v>45</v>
      </c>
      <c r="D533" s="86">
        <f t="shared" si="22"/>
        <v>1</v>
      </c>
      <c r="E533" s="93">
        <f t="shared" si="23"/>
        <v>64</v>
      </c>
      <c r="F533" s="94"/>
      <c r="G533" s="95"/>
      <c r="H533" s="74"/>
      <c r="I533" s="75" t="s">
        <v>3604</v>
      </c>
      <c r="J533" s="76">
        <v>35.270291</v>
      </c>
      <c r="L533" s="77"/>
      <c r="M533" s="77">
        <v>0</v>
      </c>
    </row>
    <row r="534" s="69" customFormat="1" spans="2:13">
      <c r="B534" s="84" t="s">
        <v>3605</v>
      </c>
      <c r="C534" s="85">
        <v>45</v>
      </c>
      <c r="D534" s="86">
        <f t="shared" si="22"/>
        <v>1</v>
      </c>
      <c r="E534" s="93">
        <f t="shared" si="23"/>
        <v>64</v>
      </c>
      <c r="F534" s="94"/>
      <c r="G534" s="95"/>
      <c r="H534" s="74"/>
      <c r="I534" s="75" t="s">
        <v>3606</v>
      </c>
      <c r="J534" s="76">
        <v>135.080232</v>
      </c>
      <c r="L534" s="77"/>
      <c r="M534" s="77">
        <v>0</v>
      </c>
    </row>
    <row r="535" s="69" customFormat="1" spans="2:13">
      <c r="B535" s="84" t="s">
        <v>2442</v>
      </c>
      <c r="C535" s="85">
        <v>48</v>
      </c>
      <c r="D535" s="86">
        <f t="shared" si="22"/>
        <v>1</v>
      </c>
      <c r="E535" s="93">
        <f t="shared" si="23"/>
        <v>60</v>
      </c>
      <c r="F535" s="94"/>
      <c r="G535" s="95"/>
      <c r="H535" s="74"/>
      <c r="I535" s="75" t="s">
        <v>247</v>
      </c>
      <c r="J535" s="76">
        <v>110.90086</v>
      </c>
      <c r="L535" s="77"/>
      <c r="M535" s="77">
        <v>0</v>
      </c>
    </row>
    <row r="536" s="69" customFormat="1" spans="2:13">
      <c r="B536" s="84" t="s">
        <v>3607</v>
      </c>
      <c r="C536" s="85">
        <v>55</v>
      </c>
      <c r="D536" s="86">
        <f t="shared" si="22"/>
        <v>1</v>
      </c>
      <c r="E536" s="93">
        <f t="shared" si="23"/>
        <v>52</v>
      </c>
      <c r="F536" s="94"/>
      <c r="G536" s="95"/>
      <c r="H536" s="74"/>
      <c r="I536" s="75" t="s">
        <v>3608</v>
      </c>
      <c r="J536" s="76">
        <v>1176.871444</v>
      </c>
      <c r="L536" s="77"/>
      <c r="M536" s="77">
        <v>0</v>
      </c>
    </row>
    <row r="537" s="69" customFormat="1" spans="2:13">
      <c r="B537" s="84" t="s">
        <v>3609</v>
      </c>
      <c r="C537" s="85">
        <v>55</v>
      </c>
      <c r="D537" s="86">
        <f t="shared" si="22"/>
        <v>1</v>
      </c>
      <c r="E537" s="93">
        <f t="shared" si="23"/>
        <v>52</v>
      </c>
      <c r="F537" s="94"/>
      <c r="G537" s="95"/>
      <c r="H537" s="74"/>
      <c r="I537" s="75" t="s">
        <v>3610</v>
      </c>
      <c r="J537" s="76">
        <v>811.002374</v>
      </c>
      <c r="L537" s="77"/>
      <c r="M537" s="77">
        <v>0</v>
      </c>
    </row>
    <row r="538" s="69" customFormat="1" spans="2:13">
      <c r="B538" s="84" t="s">
        <v>2443</v>
      </c>
      <c r="C538" s="85">
        <v>55</v>
      </c>
      <c r="D538" s="86">
        <f t="shared" si="22"/>
        <v>1</v>
      </c>
      <c r="E538" s="93">
        <f t="shared" si="23"/>
        <v>52</v>
      </c>
      <c r="F538" s="94"/>
      <c r="G538" s="95"/>
      <c r="H538" s="74"/>
      <c r="I538" s="75" t="s">
        <v>3611</v>
      </c>
      <c r="J538" s="76">
        <v>746.630038</v>
      </c>
      <c r="L538" s="77"/>
      <c r="M538" s="77">
        <v>0</v>
      </c>
    </row>
    <row r="539" s="69" customFormat="1" spans="2:13">
      <c r="B539" s="84" t="s">
        <v>3612</v>
      </c>
      <c r="C539" s="85">
        <v>58</v>
      </c>
      <c r="D539" s="86">
        <f t="shared" si="22"/>
        <v>1</v>
      </c>
      <c r="E539" s="93">
        <f t="shared" si="23"/>
        <v>50</v>
      </c>
      <c r="F539" s="94"/>
      <c r="G539" s="95"/>
      <c r="H539" s="74"/>
      <c r="I539" s="75" t="s">
        <v>3613</v>
      </c>
      <c r="J539" s="76">
        <v>763.545412</v>
      </c>
      <c r="L539" s="77"/>
      <c r="M539" s="77">
        <v>0</v>
      </c>
    </row>
    <row r="540" s="69" customFormat="1" spans="2:13">
      <c r="B540" s="84" t="s">
        <v>3614</v>
      </c>
      <c r="C540" s="85">
        <v>55</v>
      </c>
      <c r="D540" s="86">
        <f t="shared" si="22"/>
        <v>1</v>
      </c>
      <c r="E540" s="93">
        <f t="shared" si="23"/>
        <v>52</v>
      </c>
      <c r="F540" s="94"/>
      <c r="G540" s="95"/>
      <c r="H540" s="74"/>
      <c r="I540" s="75" t="s">
        <v>3615</v>
      </c>
      <c r="J540" s="76">
        <v>184.73203</v>
      </c>
      <c r="L540" s="77"/>
      <c r="M540" s="77">
        <v>0</v>
      </c>
    </row>
    <row r="541" s="69" customFormat="1" spans="2:13">
      <c r="B541" s="84" t="s">
        <v>3616</v>
      </c>
      <c r="C541" s="85">
        <v>53</v>
      </c>
      <c r="D541" s="86">
        <f t="shared" si="22"/>
        <v>1</v>
      </c>
      <c r="E541" s="93">
        <f t="shared" si="23"/>
        <v>54</v>
      </c>
      <c r="F541" s="94"/>
      <c r="G541" s="95"/>
      <c r="H541" s="74"/>
      <c r="I541" s="75" t="s">
        <v>3617</v>
      </c>
      <c r="J541" s="76">
        <v>303.665509</v>
      </c>
      <c r="L541" s="77"/>
      <c r="M541" s="77">
        <v>0</v>
      </c>
    </row>
    <row r="542" s="69" customFormat="1" spans="2:13">
      <c r="B542" s="84" t="s">
        <v>3618</v>
      </c>
      <c r="C542" s="85">
        <v>50</v>
      </c>
      <c r="D542" s="86">
        <f t="shared" si="22"/>
        <v>1</v>
      </c>
      <c r="E542" s="93">
        <f t="shared" si="23"/>
        <v>58</v>
      </c>
      <c r="F542" s="94"/>
      <c r="G542" s="95"/>
      <c r="H542" s="74"/>
      <c r="I542" s="75" t="s">
        <v>3619</v>
      </c>
      <c r="J542" s="76">
        <v>168.812329</v>
      </c>
      <c r="L542" s="77"/>
      <c r="M542" s="77">
        <v>0</v>
      </c>
    </row>
    <row r="543" s="69" customFormat="1" spans="2:13">
      <c r="B543" s="84" t="s">
        <v>3620</v>
      </c>
      <c r="C543" s="85">
        <v>54</v>
      </c>
      <c r="D543" s="86">
        <f t="shared" si="22"/>
        <v>1</v>
      </c>
      <c r="E543" s="93">
        <f t="shared" si="23"/>
        <v>53</v>
      </c>
      <c r="F543" s="94"/>
      <c r="G543" s="95"/>
      <c r="H543" s="74"/>
      <c r="I543" s="75" t="s">
        <v>222</v>
      </c>
      <c r="J543" s="76">
        <v>101.277925</v>
      </c>
      <c r="L543" s="77"/>
      <c r="M543" s="77">
        <v>0</v>
      </c>
    </row>
    <row r="544" s="69" customFormat="1" spans="2:13">
      <c r="B544" s="84" t="s">
        <v>2441</v>
      </c>
      <c r="C544" s="85">
        <v>26.5</v>
      </c>
      <c r="D544" s="86">
        <f t="shared" si="22"/>
        <v>1</v>
      </c>
      <c r="E544" s="93">
        <f t="shared" si="23"/>
        <v>109</v>
      </c>
      <c r="F544" s="94"/>
      <c r="G544" s="95"/>
      <c r="H544" s="74"/>
      <c r="I544" s="75" t="s">
        <v>237</v>
      </c>
      <c r="J544" s="76">
        <v>100.411724</v>
      </c>
      <c r="L544" s="77"/>
      <c r="M544" s="77">
        <v>0</v>
      </c>
    </row>
    <row r="545" s="69" customFormat="1" spans="2:13">
      <c r="B545" s="84" t="s">
        <v>3621</v>
      </c>
      <c r="C545" s="85">
        <v>54</v>
      </c>
      <c r="D545" s="86">
        <f t="shared" si="22"/>
        <v>1</v>
      </c>
      <c r="E545" s="93">
        <f t="shared" si="23"/>
        <v>53</v>
      </c>
      <c r="F545" s="94"/>
      <c r="G545" s="95"/>
      <c r="H545" s="74"/>
      <c r="I545" s="75" t="s">
        <v>3622</v>
      </c>
      <c r="J545" s="76">
        <v>955.076269</v>
      </c>
      <c r="L545" s="77"/>
      <c r="M545" s="77">
        <v>0</v>
      </c>
    </row>
    <row r="546" s="69" customFormat="1" spans="2:13">
      <c r="B546" s="84" t="s">
        <v>2472</v>
      </c>
      <c r="C546" s="85">
        <v>38.5</v>
      </c>
      <c r="D546" s="86">
        <f t="shared" si="22"/>
        <v>1</v>
      </c>
      <c r="E546" s="93">
        <f t="shared" si="23"/>
        <v>75</v>
      </c>
      <c r="F546" s="94"/>
      <c r="G546" s="95"/>
      <c r="H546" s="74"/>
      <c r="I546" s="75" t="s">
        <v>450</v>
      </c>
      <c r="J546" s="76">
        <v>533.607186</v>
      </c>
      <c r="L546" s="77"/>
      <c r="M546" s="77">
        <v>0</v>
      </c>
    </row>
    <row r="547" s="69" customFormat="1" spans="2:13">
      <c r="B547" s="84" t="s">
        <v>2473</v>
      </c>
      <c r="C547" s="85">
        <v>38.5</v>
      </c>
      <c r="D547" s="86">
        <f t="shared" si="22"/>
        <v>1</v>
      </c>
      <c r="E547" s="93">
        <f t="shared" si="23"/>
        <v>75</v>
      </c>
      <c r="F547" s="94"/>
      <c r="G547" s="95"/>
      <c r="H547" s="74"/>
      <c r="I547" s="75" t="s">
        <v>3623</v>
      </c>
      <c r="J547" s="76">
        <v>769.168519</v>
      </c>
      <c r="L547" s="77"/>
      <c r="M547" s="77">
        <v>0</v>
      </c>
    </row>
    <row r="548" s="69" customFormat="1" spans="2:13">
      <c r="B548" s="84" t="s">
        <v>3624</v>
      </c>
      <c r="C548" s="85">
        <v>41</v>
      </c>
      <c r="D548" s="86">
        <f t="shared" si="22"/>
        <v>1</v>
      </c>
      <c r="E548" s="93">
        <f t="shared" si="23"/>
        <v>70</v>
      </c>
      <c r="F548" s="94"/>
      <c r="G548" s="95"/>
      <c r="H548" s="74"/>
      <c r="I548" s="75" t="s">
        <v>3625</v>
      </c>
      <c r="J548" s="76">
        <v>1048.347398</v>
      </c>
      <c r="L548" s="77"/>
      <c r="M548" s="77">
        <v>0</v>
      </c>
    </row>
    <row r="549" s="69" customFormat="1" spans="2:13">
      <c r="B549" s="84" t="s">
        <v>2474</v>
      </c>
      <c r="C549" s="85">
        <v>38</v>
      </c>
      <c r="D549" s="86">
        <f t="shared" si="22"/>
        <v>1</v>
      </c>
      <c r="E549" s="93">
        <f t="shared" si="23"/>
        <v>76</v>
      </c>
      <c r="F549" s="94"/>
      <c r="G549" s="95"/>
      <c r="H549" s="74"/>
      <c r="I549" s="75" t="s">
        <v>3626</v>
      </c>
      <c r="J549" s="76">
        <v>154.681198</v>
      </c>
      <c r="L549" s="77"/>
      <c r="M549" s="77">
        <v>0</v>
      </c>
    </row>
    <row r="550" s="69" customFormat="1" spans="2:13">
      <c r="B550" s="84" t="s">
        <v>2450</v>
      </c>
      <c r="C550" s="85">
        <v>37</v>
      </c>
      <c r="D550" s="86">
        <f t="shared" si="22"/>
        <v>1</v>
      </c>
      <c r="E550" s="93">
        <f t="shared" si="23"/>
        <v>78</v>
      </c>
      <c r="F550" s="94"/>
      <c r="G550" s="95"/>
      <c r="H550" s="74"/>
      <c r="I550" s="75" t="s">
        <v>294</v>
      </c>
      <c r="J550" s="76">
        <v>339.815329</v>
      </c>
      <c r="L550" s="77"/>
      <c r="M550" s="77">
        <v>0</v>
      </c>
    </row>
    <row r="551" s="69" customFormat="1" spans="2:13">
      <c r="B551" s="84" t="s">
        <v>2475</v>
      </c>
      <c r="C551" s="85">
        <v>35.5</v>
      </c>
      <c r="D551" s="86">
        <f t="shared" si="22"/>
        <v>1</v>
      </c>
      <c r="E551" s="93">
        <f t="shared" si="23"/>
        <v>81</v>
      </c>
      <c r="F551" s="94"/>
      <c r="G551" s="95"/>
      <c r="H551" s="74"/>
      <c r="I551" s="75" t="s">
        <v>3627</v>
      </c>
      <c r="J551" s="76">
        <v>241.092096</v>
      </c>
      <c r="L551" s="77"/>
      <c r="M551" s="77">
        <v>0</v>
      </c>
    </row>
    <row r="552" s="69" customFormat="1" spans="2:13">
      <c r="B552" s="84" t="s">
        <v>2476</v>
      </c>
      <c r="C552" s="85">
        <v>38.5</v>
      </c>
      <c r="D552" s="86">
        <f t="shared" si="22"/>
        <v>1</v>
      </c>
      <c r="E552" s="93">
        <f t="shared" si="23"/>
        <v>75</v>
      </c>
      <c r="F552" s="94"/>
      <c r="G552" s="95"/>
      <c r="H552" s="74"/>
      <c r="I552" s="75" t="s">
        <v>3628</v>
      </c>
      <c r="J552" s="76">
        <v>928.045776</v>
      </c>
      <c r="L552" s="77"/>
      <c r="M552" s="77">
        <v>0</v>
      </c>
    </row>
    <row r="553" s="69" customFormat="1" spans="2:13">
      <c r="B553" s="84" t="s">
        <v>3629</v>
      </c>
      <c r="C553" s="85">
        <v>38.5</v>
      </c>
      <c r="D553" s="86">
        <f t="shared" si="22"/>
        <v>1</v>
      </c>
      <c r="E553" s="93">
        <f t="shared" si="23"/>
        <v>75</v>
      </c>
      <c r="F553" s="94"/>
      <c r="G553" s="95"/>
      <c r="H553" s="74"/>
      <c r="I553" s="75" t="s">
        <v>657</v>
      </c>
      <c r="J553" s="76">
        <v>460.55142</v>
      </c>
      <c r="L553" s="77"/>
      <c r="M553" s="77">
        <v>0</v>
      </c>
    </row>
    <row r="554" s="69" customFormat="1" spans="2:13">
      <c r="B554" s="84" t="s">
        <v>3630</v>
      </c>
      <c r="C554" s="85">
        <v>38.5</v>
      </c>
      <c r="D554" s="86">
        <f t="shared" si="22"/>
        <v>1</v>
      </c>
      <c r="E554" s="93">
        <f t="shared" si="23"/>
        <v>75</v>
      </c>
      <c r="F554" s="94"/>
      <c r="G554" s="95"/>
      <c r="H554" s="74"/>
      <c r="I554" s="75" t="s">
        <v>3631</v>
      </c>
      <c r="J554" s="76">
        <v>456.693916</v>
      </c>
      <c r="L554" s="77"/>
      <c r="M554" s="77">
        <v>0</v>
      </c>
    </row>
    <row r="555" s="69" customFormat="1" spans="2:13">
      <c r="B555" s="84" t="s">
        <v>2477</v>
      </c>
      <c r="C555" s="85">
        <v>32.5</v>
      </c>
      <c r="D555" s="86">
        <f t="shared" si="22"/>
        <v>1</v>
      </c>
      <c r="E555" s="93">
        <f t="shared" si="23"/>
        <v>89</v>
      </c>
      <c r="F555" s="94"/>
      <c r="G555" s="95"/>
      <c r="H555" s="74"/>
      <c r="I555" s="75" t="s">
        <v>3632</v>
      </c>
      <c r="J555" s="76">
        <v>811.002374</v>
      </c>
      <c r="L555" s="77"/>
      <c r="M555" s="77">
        <v>0</v>
      </c>
    </row>
    <row r="556" s="69" customFormat="1" spans="2:13">
      <c r="B556" s="84" t="s">
        <v>3633</v>
      </c>
      <c r="C556" s="85">
        <v>38.5</v>
      </c>
      <c r="D556" s="86">
        <f t="shared" si="22"/>
        <v>1</v>
      </c>
      <c r="E556" s="93">
        <f t="shared" si="23"/>
        <v>75</v>
      </c>
      <c r="F556" s="94"/>
      <c r="G556" s="95"/>
      <c r="H556" s="74"/>
      <c r="I556" s="75" t="s">
        <v>446</v>
      </c>
      <c r="J556" s="76">
        <v>508.940509</v>
      </c>
      <c r="L556" s="77"/>
      <c r="M556" s="77">
        <v>0</v>
      </c>
    </row>
    <row r="557" s="69" customFormat="1" spans="2:13">
      <c r="B557" s="84" t="s">
        <v>3634</v>
      </c>
      <c r="C557" s="85">
        <v>32.5</v>
      </c>
      <c r="D557" s="86">
        <f t="shared" si="22"/>
        <v>1</v>
      </c>
      <c r="E557" s="93">
        <f t="shared" si="23"/>
        <v>89</v>
      </c>
      <c r="F557" s="94"/>
      <c r="G557" s="95"/>
      <c r="H557" s="74"/>
      <c r="I557" s="75" t="s">
        <v>3635</v>
      </c>
      <c r="J557" s="76">
        <v>132.248627</v>
      </c>
      <c r="L557" s="77"/>
      <c r="M557" s="77">
        <v>0</v>
      </c>
    </row>
    <row r="558" s="69" customFormat="1" spans="2:13">
      <c r="B558" s="84" t="s">
        <v>3636</v>
      </c>
      <c r="C558" s="85">
        <v>32.5</v>
      </c>
      <c r="D558" s="86">
        <f t="shared" si="22"/>
        <v>1</v>
      </c>
      <c r="E558" s="93">
        <f t="shared" si="23"/>
        <v>89</v>
      </c>
      <c r="F558" s="94"/>
      <c r="G558" s="95"/>
      <c r="H558" s="74"/>
      <c r="I558" s="75" t="s">
        <v>3637</v>
      </c>
      <c r="J558" s="76">
        <v>20.005209</v>
      </c>
      <c r="L558" s="77"/>
      <c r="M558" s="77">
        <v>0</v>
      </c>
    </row>
    <row r="559" s="69" customFormat="1" spans="2:13">
      <c r="B559" s="84" t="s">
        <v>3638</v>
      </c>
      <c r="C559" s="85">
        <v>34</v>
      </c>
      <c r="D559" s="86">
        <f t="shared" si="22"/>
        <v>1</v>
      </c>
      <c r="E559" s="93">
        <f t="shared" si="23"/>
        <v>85</v>
      </c>
      <c r="F559" s="94"/>
      <c r="G559" s="95"/>
      <c r="H559" s="74"/>
      <c r="I559" s="75" t="s">
        <v>3639</v>
      </c>
      <c r="J559" s="76">
        <v>50.825495</v>
      </c>
      <c r="L559" s="77"/>
      <c r="M559" s="77">
        <v>0</v>
      </c>
    </row>
    <row r="560" s="69" customFormat="1" spans="2:13">
      <c r="B560" s="84" t="s">
        <v>3640</v>
      </c>
      <c r="C560" s="85">
        <v>38</v>
      </c>
      <c r="D560" s="86">
        <f t="shared" si="22"/>
        <v>1</v>
      </c>
      <c r="E560" s="93">
        <f t="shared" si="23"/>
        <v>76</v>
      </c>
      <c r="F560" s="94"/>
      <c r="G560" s="95"/>
      <c r="H560" s="74"/>
      <c r="I560" s="75" t="s">
        <v>3641</v>
      </c>
      <c r="J560" s="76">
        <v>125.624373</v>
      </c>
      <c r="L560" s="77"/>
      <c r="M560" s="77">
        <v>0</v>
      </c>
    </row>
    <row r="561" s="69" customFormat="1" spans="2:13">
      <c r="B561" s="84" t="s">
        <v>3642</v>
      </c>
      <c r="C561" s="85">
        <v>54</v>
      </c>
      <c r="D561" s="86">
        <f t="shared" si="22"/>
        <v>1</v>
      </c>
      <c r="E561" s="93">
        <f t="shared" si="23"/>
        <v>53</v>
      </c>
      <c r="F561" s="94"/>
      <c r="G561" s="95"/>
      <c r="H561" s="74"/>
      <c r="I561" s="75" t="s">
        <v>3643</v>
      </c>
      <c r="J561" s="76">
        <v>160.716164</v>
      </c>
      <c r="L561" s="77"/>
      <c r="M561" s="77">
        <v>0</v>
      </c>
    </row>
    <row r="562" s="69" customFormat="1" spans="2:13">
      <c r="B562" s="84" t="s">
        <v>3644</v>
      </c>
      <c r="C562" s="85">
        <v>52</v>
      </c>
      <c r="D562" s="86">
        <f t="shared" si="22"/>
        <v>1</v>
      </c>
      <c r="E562" s="93">
        <f t="shared" si="23"/>
        <v>55</v>
      </c>
      <c r="F562" s="94"/>
      <c r="G562" s="95"/>
      <c r="H562" s="74"/>
      <c r="I562" s="75" t="s">
        <v>3645</v>
      </c>
      <c r="J562" s="76">
        <v>132.240178</v>
      </c>
      <c r="L562" s="77"/>
      <c r="M562" s="77">
        <v>0</v>
      </c>
    </row>
    <row r="563" s="69" customFormat="1" spans="2:13">
      <c r="B563" s="84" t="s">
        <v>3646</v>
      </c>
      <c r="C563" s="85">
        <v>38.5</v>
      </c>
      <c r="D563" s="86">
        <f t="shared" si="22"/>
        <v>1</v>
      </c>
      <c r="E563" s="93">
        <f t="shared" si="23"/>
        <v>75</v>
      </c>
      <c r="F563" s="94"/>
      <c r="G563" s="95"/>
      <c r="H563" s="74"/>
      <c r="I563" s="75" t="s">
        <v>3647</v>
      </c>
      <c r="J563" s="76">
        <v>169.654849</v>
      </c>
      <c r="L563" s="77"/>
      <c r="M563" s="77">
        <v>0</v>
      </c>
    </row>
    <row r="564" s="69" customFormat="1" spans="2:13">
      <c r="B564" s="84" t="s">
        <v>2478</v>
      </c>
      <c r="C564" s="85">
        <v>39</v>
      </c>
      <c r="D564" s="86">
        <f t="shared" si="22"/>
        <v>1</v>
      </c>
      <c r="E564" s="93">
        <f t="shared" si="23"/>
        <v>74</v>
      </c>
      <c r="F564" s="94"/>
      <c r="G564" s="95"/>
      <c r="H564" s="74"/>
      <c r="I564" s="75" t="s">
        <v>3648</v>
      </c>
      <c r="J564" s="76">
        <v>99.337392</v>
      </c>
      <c r="L564" s="77"/>
      <c r="M564" s="77">
        <v>0</v>
      </c>
    </row>
    <row r="565" s="69" customFormat="1" spans="2:13">
      <c r="B565" s="84" t="s">
        <v>2479</v>
      </c>
      <c r="C565" s="85">
        <v>42</v>
      </c>
      <c r="D565" s="86">
        <f t="shared" si="22"/>
        <v>1</v>
      </c>
      <c r="E565" s="93">
        <f t="shared" si="23"/>
        <v>69</v>
      </c>
      <c r="F565" s="94"/>
      <c r="G565" s="95"/>
      <c r="H565" s="74"/>
      <c r="I565" s="75" t="s">
        <v>3649</v>
      </c>
      <c r="J565" s="76">
        <v>141.662003</v>
      </c>
      <c r="L565" s="77"/>
      <c r="M565" s="77">
        <v>0</v>
      </c>
    </row>
    <row r="566" s="69" customFormat="1" spans="2:13">
      <c r="B566" s="84" t="s">
        <v>3650</v>
      </c>
      <c r="C566" s="85">
        <v>56.5</v>
      </c>
      <c r="D566" s="86">
        <f t="shared" si="22"/>
        <v>1</v>
      </c>
      <c r="E566" s="93">
        <f t="shared" si="23"/>
        <v>51</v>
      </c>
      <c r="F566" s="94"/>
      <c r="G566" s="95"/>
      <c r="H566" s="74"/>
      <c r="I566" s="75" t="s">
        <v>3651</v>
      </c>
      <c r="J566" s="76">
        <v>169.21443</v>
      </c>
      <c r="L566" s="77"/>
      <c r="M566" s="77">
        <v>0</v>
      </c>
    </row>
    <row r="567" s="69" customFormat="1" spans="2:13">
      <c r="B567" s="84" t="s">
        <v>2480</v>
      </c>
      <c r="C567" s="85">
        <v>56.5</v>
      </c>
      <c r="D567" s="86">
        <f t="shared" si="22"/>
        <v>1</v>
      </c>
      <c r="E567" s="93">
        <f t="shared" si="23"/>
        <v>51</v>
      </c>
      <c r="F567" s="94"/>
      <c r="G567" s="95"/>
      <c r="H567" s="74"/>
      <c r="I567" s="75" t="s">
        <v>3652</v>
      </c>
      <c r="J567" s="76">
        <v>791.598472</v>
      </c>
      <c r="L567" s="77"/>
      <c r="M567" s="77">
        <v>0</v>
      </c>
    </row>
    <row r="568" s="69" customFormat="1" spans="2:13">
      <c r="B568" s="84" t="s">
        <v>3653</v>
      </c>
      <c r="C568" s="85">
        <v>30</v>
      </c>
      <c r="D568" s="86">
        <f t="shared" si="22"/>
        <v>1</v>
      </c>
      <c r="E568" s="93">
        <f t="shared" si="23"/>
        <v>96</v>
      </c>
      <c r="F568" s="94"/>
      <c r="G568" s="95"/>
      <c r="H568" s="74"/>
      <c r="I568" s="75" t="s">
        <v>3654</v>
      </c>
      <c r="J568" s="76">
        <v>982.58538</v>
      </c>
      <c r="L568" s="77"/>
      <c r="M568" s="77">
        <v>0</v>
      </c>
    </row>
    <row r="569" s="69" customFormat="1" spans="2:13">
      <c r="B569" s="84" t="s">
        <v>3655</v>
      </c>
      <c r="C569" s="85">
        <v>26.5</v>
      </c>
      <c r="D569" s="86">
        <f t="shared" si="22"/>
        <v>1</v>
      </c>
      <c r="E569" s="93">
        <f t="shared" si="23"/>
        <v>109</v>
      </c>
      <c r="F569" s="94"/>
      <c r="G569" s="95"/>
      <c r="H569" s="74"/>
      <c r="I569" s="75" t="s">
        <v>3656</v>
      </c>
      <c r="J569" s="76">
        <v>141.376998</v>
      </c>
      <c r="L569" s="77"/>
      <c r="M569" s="77">
        <v>0</v>
      </c>
    </row>
    <row r="570" s="69" customFormat="1" spans="2:13">
      <c r="B570" s="84" t="s">
        <v>3657</v>
      </c>
      <c r="C570" s="85">
        <v>40.5</v>
      </c>
      <c r="D570" s="86">
        <f t="shared" si="22"/>
        <v>1</v>
      </c>
      <c r="E570" s="93">
        <f t="shared" si="23"/>
        <v>71</v>
      </c>
      <c r="F570" s="94"/>
      <c r="G570" s="95"/>
      <c r="H570" s="74"/>
      <c r="I570" s="75" t="s">
        <v>3658</v>
      </c>
      <c r="J570" s="76">
        <v>985.844195</v>
      </c>
      <c r="L570" s="77"/>
      <c r="M570" s="77">
        <v>0</v>
      </c>
    </row>
    <row r="571" s="69" customFormat="1" spans="2:13">
      <c r="B571" s="84" t="s">
        <v>3659</v>
      </c>
      <c r="C571" s="85">
        <v>35.5</v>
      </c>
      <c r="D571" s="86">
        <f t="shared" si="22"/>
        <v>1</v>
      </c>
      <c r="E571" s="93">
        <f t="shared" si="23"/>
        <v>81</v>
      </c>
      <c r="F571" s="94"/>
      <c r="G571" s="95"/>
      <c r="H571" s="74"/>
      <c r="I571" s="75" t="s">
        <v>3660</v>
      </c>
      <c r="J571" s="76">
        <v>793.646224</v>
      </c>
      <c r="L571" s="77"/>
      <c r="M571" s="77">
        <v>0</v>
      </c>
    </row>
    <row r="572" s="69" customFormat="1" spans="2:13">
      <c r="B572" s="84" t="s">
        <v>3661</v>
      </c>
      <c r="C572" s="85">
        <v>34.5</v>
      </c>
      <c r="D572" s="86">
        <f t="shared" si="22"/>
        <v>1</v>
      </c>
      <c r="E572" s="93">
        <f t="shared" si="23"/>
        <v>83</v>
      </c>
      <c r="F572" s="94"/>
      <c r="G572" s="95"/>
      <c r="H572" s="74"/>
      <c r="I572" s="75" t="s">
        <v>3662</v>
      </c>
      <c r="J572" s="76">
        <v>160.461147</v>
      </c>
      <c r="L572" s="77"/>
      <c r="M572" s="77">
        <v>0</v>
      </c>
    </row>
    <row r="573" s="69" customFormat="1" spans="2:13">
      <c r="B573" s="84" t="s">
        <v>2481</v>
      </c>
      <c r="C573" s="85">
        <v>47.7</v>
      </c>
      <c r="D573" s="86">
        <f t="shared" si="22"/>
        <v>1</v>
      </c>
      <c r="E573" s="93">
        <f t="shared" si="23"/>
        <v>60</v>
      </c>
      <c r="F573" s="94"/>
      <c r="G573" s="95"/>
      <c r="H573" s="74"/>
      <c r="I573" s="75" t="s">
        <v>3663</v>
      </c>
      <c r="J573" s="76">
        <v>127.365581</v>
      </c>
      <c r="L573" s="77"/>
      <c r="M573" s="77">
        <v>0</v>
      </c>
    </row>
    <row r="574" s="69" customFormat="1" spans="2:13">
      <c r="B574" s="84" t="s">
        <v>2482</v>
      </c>
      <c r="C574" s="85">
        <v>56.5</v>
      </c>
      <c r="D574" s="86">
        <f t="shared" si="22"/>
        <v>1</v>
      </c>
      <c r="E574" s="93">
        <f t="shared" si="23"/>
        <v>51</v>
      </c>
      <c r="F574" s="94"/>
      <c r="G574" s="95"/>
      <c r="H574" s="74"/>
      <c r="I574" s="75" t="s">
        <v>3664</v>
      </c>
      <c r="J574" s="76">
        <v>975.072196</v>
      </c>
      <c r="L574" s="77"/>
      <c r="M574" s="77">
        <v>0</v>
      </c>
    </row>
    <row r="575" s="69" customFormat="1" spans="2:13">
      <c r="B575" s="84" t="s">
        <v>3665</v>
      </c>
      <c r="C575" s="85">
        <v>40.5</v>
      </c>
      <c r="D575" s="86">
        <f t="shared" si="22"/>
        <v>1</v>
      </c>
      <c r="E575" s="93">
        <f t="shared" si="23"/>
        <v>71</v>
      </c>
      <c r="F575" s="94"/>
      <c r="G575" s="95"/>
      <c r="H575" s="74"/>
      <c r="I575" s="75" t="s">
        <v>3666</v>
      </c>
      <c r="J575" s="76">
        <v>1069.891872</v>
      </c>
      <c r="L575" s="77"/>
      <c r="M575" s="77">
        <v>0</v>
      </c>
    </row>
    <row r="576" s="69" customFormat="1" spans="2:13">
      <c r="B576" s="84" t="s">
        <v>2845</v>
      </c>
      <c r="C576" s="85">
        <v>27.5</v>
      </c>
      <c r="D576" s="86">
        <f t="shared" si="22"/>
        <v>1</v>
      </c>
      <c r="E576" s="93">
        <f t="shared" si="23"/>
        <v>105</v>
      </c>
      <c r="F576" s="94"/>
      <c r="G576" s="95"/>
      <c r="H576" s="74"/>
      <c r="I576" s="75" t="s">
        <v>3667</v>
      </c>
      <c r="J576" s="76">
        <v>775.03867</v>
      </c>
      <c r="L576" s="77"/>
      <c r="M576" s="77">
        <v>0</v>
      </c>
    </row>
    <row r="577" s="69" customFormat="1" spans="2:13">
      <c r="B577" s="84" t="s">
        <v>3668</v>
      </c>
      <c r="C577" s="85">
        <v>29</v>
      </c>
      <c r="D577" s="86">
        <f t="shared" si="22"/>
        <v>1</v>
      </c>
      <c r="E577" s="93">
        <f t="shared" si="23"/>
        <v>99</v>
      </c>
      <c r="F577" s="94"/>
      <c r="G577" s="95"/>
      <c r="H577" s="74"/>
      <c r="I577" s="75" t="s">
        <v>3669</v>
      </c>
      <c r="J577" s="76">
        <v>842.584855</v>
      </c>
      <c r="L577" s="77"/>
      <c r="M577" s="77">
        <v>0</v>
      </c>
    </row>
    <row r="578" s="69" customFormat="1" spans="2:13">
      <c r="B578" s="84" t="s">
        <v>3670</v>
      </c>
      <c r="C578" s="85">
        <v>32</v>
      </c>
      <c r="D578" s="86">
        <f t="shared" si="22"/>
        <v>1</v>
      </c>
      <c r="E578" s="93">
        <f t="shared" si="23"/>
        <v>90</v>
      </c>
      <c r="F578" s="94"/>
      <c r="G578" s="95"/>
      <c r="H578" s="74"/>
      <c r="I578" s="75" t="s">
        <v>3671</v>
      </c>
      <c r="J578" s="76">
        <v>867.32317</v>
      </c>
      <c r="L578" s="77"/>
      <c r="M578" s="77">
        <v>0</v>
      </c>
    </row>
    <row r="579" s="69" customFormat="1" spans="2:13">
      <c r="B579" s="84" t="s">
        <v>2483</v>
      </c>
      <c r="C579" s="85">
        <v>52</v>
      </c>
      <c r="D579" s="86">
        <f t="shared" ref="D579:D642" si="24">IF(C579="","",C579/(C579+$E$1/60))</f>
        <v>1</v>
      </c>
      <c r="E579" s="93">
        <f t="shared" ref="E579:E642" si="25">IFERROR(ROUND(1440/C579*2*D579,0),"")</f>
        <v>55</v>
      </c>
      <c r="F579" s="94"/>
      <c r="G579" s="95"/>
      <c r="H579" s="74"/>
      <c r="I579" s="75" t="s">
        <v>3672</v>
      </c>
      <c r="J579" s="76">
        <v>842.584855</v>
      </c>
      <c r="L579" s="77"/>
      <c r="M579" s="77">
        <v>0</v>
      </c>
    </row>
    <row r="580" s="69" customFormat="1" spans="2:13">
      <c r="B580" s="84" t="s">
        <v>2484</v>
      </c>
      <c r="C580" s="85">
        <v>56.5</v>
      </c>
      <c r="D580" s="86">
        <f t="shared" si="24"/>
        <v>1</v>
      </c>
      <c r="E580" s="93">
        <f t="shared" si="25"/>
        <v>51</v>
      </c>
      <c r="F580" s="94"/>
      <c r="G580" s="95"/>
      <c r="H580" s="74"/>
      <c r="I580" s="75" t="s">
        <v>3673</v>
      </c>
      <c r="J580" s="76">
        <v>725.66914</v>
      </c>
      <c r="L580" s="77"/>
      <c r="M580" s="77">
        <v>0</v>
      </c>
    </row>
    <row r="581" s="69" customFormat="1" spans="2:13">
      <c r="B581" s="84"/>
      <c r="C581" s="85"/>
      <c r="D581" s="86" t="str">
        <f t="shared" si="24"/>
        <v/>
      </c>
      <c r="E581" s="93" t="str">
        <f t="shared" si="25"/>
        <v/>
      </c>
      <c r="F581" s="94"/>
      <c r="G581" s="95"/>
      <c r="H581" s="74"/>
      <c r="I581" s="75" t="s">
        <v>433</v>
      </c>
      <c r="J581" s="76">
        <v>447.914453</v>
      </c>
      <c r="L581" s="77"/>
      <c r="M581" s="77">
        <v>0</v>
      </c>
    </row>
    <row r="582" s="69" customFormat="1" spans="2:13">
      <c r="B582" s="84"/>
      <c r="C582" s="85"/>
      <c r="D582" s="86" t="str">
        <f t="shared" si="24"/>
        <v/>
      </c>
      <c r="E582" s="93" t="str">
        <f t="shared" si="25"/>
        <v/>
      </c>
      <c r="F582" s="94"/>
      <c r="G582" s="95"/>
      <c r="H582" s="74"/>
      <c r="I582" s="75" t="s">
        <v>3674</v>
      </c>
      <c r="J582" s="76">
        <v>856.591988</v>
      </c>
      <c r="L582" s="77"/>
      <c r="M582" s="77">
        <v>0</v>
      </c>
    </row>
    <row r="583" s="69" customFormat="1" spans="2:13">
      <c r="B583" s="84"/>
      <c r="C583" s="85"/>
      <c r="D583" s="86" t="str">
        <f t="shared" si="24"/>
        <v/>
      </c>
      <c r="E583" s="93" t="str">
        <f t="shared" si="25"/>
        <v/>
      </c>
      <c r="F583" s="94"/>
      <c r="G583" s="95"/>
      <c r="H583" s="74"/>
      <c r="I583" s="75" t="s">
        <v>3675</v>
      </c>
      <c r="J583" s="76">
        <v>840.591486</v>
      </c>
      <c r="L583" s="77"/>
      <c r="M583" s="77">
        <v>0</v>
      </c>
    </row>
    <row r="584" s="69" customFormat="1" spans="2:13">
      <c r="B584" s="84"/>
      <c r="C584" s="85"/>
      <c r="D584" s="86" t="str">
        <f t="shared" si="24"/>
        <v/>
      </c>
      <c r="E584" s="93" t="str">
        <f t="shared" si="25"/>
        <v/>
      </c>
      <c r="F584" s="94"/>
      <c r="G584" s="95"/>
      <c r="H584" s="74"/>
      <c r="I584" s="75" t="s">
        <v>3676</v>
      </c>
      <c r="J584" s="76">
        <v>750.651524</v>
      </c>
      <c r="L584" s="77"/>
      <c r="M584" s="77">
        <v>0</v>
      </c>
    </row>
    <row r="585" s="69" customFormat="1" spans="2:13">
      <c r="B585" s="84"/>
      <c r="C585" s="85"/>
      <c r="D585" s="86" t="str">
        <f t="shared" si="24"/>
        <v/>
      </c>
      <c r="E585" s="93" t="str">
        <f t="shared" si="25"/>
        <v/>
      </c>
      <c r="F585" s="94"/>
      <c r="G585" s="95"/>
      <c r="H585" s="74"/>
      <c r="I585" s="75" t="s">
        <v>3677</v>
      </c>
      <c r="J585" s="76">
        <v>793.646224</v>
      </c>
      <c r="L585" s="77"/>
      <c r="M585" s="77">
        <v>0</v>
      </c>
    </row>
    <row r="586" s="69" customFormat="1" spans="2:13">
      <c r="B586" s="84"/>
      <c r="C586" s="85"/>
      <c r="D586" s="86" t="str">
        <f t="shared" si="24"/>
        <v/>
      </c>
      <c r="E586" s="93" t="str">
        <f t="shared" si="25"/>
        <v/>
      </c>
      <c r="F586" s="94"/>
      <c r="G586" s="95"/>
      <c r="H586" s="74"/>
      <c r="I586" s="75" t="s">
        <v>95</v>
      </c>
      <c r="J586" s="76">
        <v>747.865853</v>
      </c>
      <c r="L586" s="77"/>
      <c r="M586" s="77">
        <v>0</v>
      </c>
    </row>
    <row r="587" s="69" customFormat="1" spans="2:13">
      <c r="B587" s="84"/>
      <c r="C587" s="85"/>
      <c r="D587" s="86" t="str">
        <f t="shared" si="24"/>
        <v/>
      </c>
      <c r="E587" s="93" t="str">
        <f t="shared" si="25"/>
        <v/>
      </c>
      <c r="F587" s="94"/>
      <c r="G587" s="95"/>
      <c r="H587" s="74"/>
      <c r="I587" s="75" t="s">
        <v>3678</v>
      </c>
      <c r="J587" s="76">
        <v>890.83757</v>
      </c>
      <c r="L587" s="77"/>
      <c r="M587" s="77">
        <v>0</v>
      </c>
    </row>
    <row r="588" s="69" customFormat="1" spans="2:13">
      <c r="B588" s="84"/>
      <c r="C588" s="85"/>
      <c r="D588" s="86" t="str">
        <f t="shared" si="24"/>
        <v/>
      </c>
      <c r="E588" s="93" t="str">
        <f t="shared" si="25"/>
        <v/>
      </c>
      <c r="F588" s="94"/>
      <c r="G588" s="95"/>
      <c r="H588" s="74"/>
      <c r="I588" s="75" t="s">
        <v>3679</v>
      </c>
      <c r="J588" s="76">
        <v>614.178992</v>
      </c>
      <c r="L588" s="77"/>
      <c r="M588" s="77">
        <v>0</v>
      </c>
    </row>
    <row r="589" s="69" customFormat="1" spans="2:13">
      <c r="B589" s="84"/>
      <c r="C589" s="85"/>
      <c r="D589" s="86" t="str">
        <f t="shared" si="24"/>
        <v/>
      </c>
      <c r="E589" s="93" t="str">
        <f t="shared" si="25"/>
        <v/>
      </c>
      <c r="F589" s="94"/>
      <c r="G589" s="95"/>
      <c r="H589" s="74"/>
      <c r="I589" s="75" t="s">
        <v>579</v>
      </c>
      <c r="J589" s="76">
        <v>1312.663891</v>
      </c>
      <c r="L589" s="77"/>
      <c r="M589" s="77">
        <v>0</v>
      </c>
    </row>
    <row r="590" s="69" customFormat="1" spans="2:13">
      <c r="B590" s="84"/>
      <c r="C590" s="85"/>
      <c r="D590" s="86" t="str">
        <f t="shared" si="24"/>
        <v/>
      </c>
      <c r="E590" s="93" t="str">
        <f t="shared" si="25"/>
        <v/>
      </c>
      <c r="F590" s="94"/>
      <c r="G590" s="95"/>
      <c r="H590" s="74"/>
      <c r="I590" s="75" t="s">
        <v>580</v>
      </c>
      <c r="J590" s="76">
        <v>1358.789005</v>
      </c>
      <c r="L590" s="77"/>
      <c r="M590" s="77">
        <v>0</v>
      </c>
    </row>
    <row r="591" s="69" customFormat="1" spans="2:13">
      <c r="B591" s="84"/>
      <c r="C591" s="85"/>
      <c r="D591" s="86" t="str">
        <f t="shared" si="24"/>
        <v/>
      </c>
      <c r="E591" s="93" t="str">
        <f t="shared" si="25"/>
        <v/>
      </c>
      <c r="F591" s="94"/>
      <c r="G591" s="95"/>
      <c r="H591" s="74"/>
      <c r="I591" s="75" t="s">
        <v>3680</v>
      </c>
      <c r="J591" s="76">
        <v>247.173591</v>
      </c>
      <c r="L591" s="77"/>
      <c r="M591" s="77">
        <v>0</v>
      </c>
    </row>
    <row r="592" s="69" customFormat="1" spans="2:13">
      <c r="B592" s="84"/>
      <c r="C592" s="85"/>
      <c r="D592" s="86" t="str">
        <f t="shared" si="24"/>
        <v/>
      </c>
      <c r="E592" s="93" t="str">
        <f t="shared" si="25"/>
        <v/>
      </c>
      <c r="F592" s="94"/>
      <c r="G592" s="95"/>
      <c r="H592" s="74"/>
      <c r="I592" s="75" t="s">
        <v>3681</v>
      </c>
      <c r="J592" s="76">
        <v>296.325113</v>
      </c>
      <c r="L592" s="77"/>
      <c r="M592" s="77">
        <v>0</v>
      </c>
    </row>
    <row r="593" s="69" customFormat="1" spans="2:13">
      <c r="B593" s="84"/>
      <c r="C593" s="85"/>
      <c r="D593" s="86" t="str">
        <f t="shared" si="24"/>
        <v/>
      </c>
      <c r="E593" s="93" t="str">
        <f t="shared" si="25"/>
        <v/>
      </c>
      <c r="F593" s="94"/>
      <c r="G593" s="95"/>
      <c r="H593" s="74"/>
      <c r="I593" s="75" t="s">
        <v>3682</v>
      </c>
      <c r="J593" s="76">
        <v>145.480356</v>
      </c>
      <c r="L593" s="77"/>
      <c r="M593" s="77">
        <v>0</v>
      </c>
    </row>
    <row r="594" s="69" customFormat="1" spans="2:13">
      <c r="B594" s="84"/>
      <c r="C594" s="85"/>
      <c r="D594" s="86" t="str">
        <f t="shared" si="24"/>
        <v/>
      </c>
      <c r="E594" s="93" t="str">
        <f t="shared" si="25"/>
        <v/>
      </c>
      <c r="F594" s="94"/>
      <c r="G594" s="95"/>
      <c r="H594" s="74"/>
      <c r="I594" s="75" t="s">
        <v>3683</v>
      </c>
      <c r="J594" s="76">
        <v>3273.201624</v>
      </c>
      <c r="L594" s="77"/>
      <c r="M594" s="77">
        <v>0</v>
      </c>
    </row>
    <row r="595" s="69" customFormat="1" spans="2:13">
      <c r="B595" s="84"/>
      <c r="C595" s="85"/>
      <c r="D595" s="86" t="str">
        <f t="shared" si="24"/>
        <v/>
      </c>
      <c r="E595" s="93" t="str">
        <f t="shared" si="25"/>
        <v/>
      </c>
      <c r="F595" s="94"/>
      <c r="G595" s="95"/>
      <c r="H595" s="74"/>
      <c r="I595" s="75" t="s">
        <v>3684</v>
      </c>
      <c r="J595" s="76">
        <v>149.355234</v>
      </c>
      <c r="L595" s="77"/>
      <c r="M595" s="77">
        <v>0</v>
      </c>
    </row>
    <row r="596" s="69" customFormat="1" spans="2:13">
      <c r="B596" s="84"/>
      <c r="C596" s="85"/>
      <c r="D596" s="86" t="str">
        <f t="shared" si="24"/>
        <v/>
      </c>
      <c r="E596" s="93" t="str">
        <f t="shared" si="25"/>
        <v/>
      </c>
      <c r="F596" s="94"/>
      <c r="G596" s="95"/>
      <c r="H596" s="74"/>
      <c r="I596" s="75" t="s">
        <v>3685</v>
      </c>
      <c r="J596" s="76">
        <v>1395.404353</v>
      </c>
      <c r="L596" s="77"/>
      <c r="M596" s="77">
        <v>0</v>
      </c>
    </row>
    <row r="597" s="69" customFormat="1" spans="2:13">
      <c r="B597" s="84"/>
      <c r="C597" s="85"/>
      <c r="D597" s="86" t="str">
        <f t="shared" si="24"/>
        <v/>
      </c>
      <c r="E597" s="93" t="str">
        <f t="shared" si="25"/>
        <v/>
      </c>
      <c r="F597" s="94"/>
      <c r="G597" s="95"/>
      <c r="H597" s="74"/>
      <c r="I597" s="75" t="s">
        <v>3686</v>
      </c>
      <c r="J597" s="76">
        <v>733.845987</v>
      </c>
      <c r="L597" s="77"/>
      <c r="M597" s="77">
        <v>0</v>
      </c>
    </row>
    <row r="598" s="69" customFormat="1" spans="2:13">
      <c r="B598" s="84"/>
      <c r="C598" s="85"/>
      <c r="D598" s="86" t="str">
        <f t="shared" si="24"/>
        <v/>
      </c>
      <c r="E598" s="93" t="str">
        <f t="shared" si="25"/>
        <v/>
      </c>
      <c r="F598" s="94"/>
      <c r="G598" s="95"/>
      <c r="H598" s="74"/>
      <c r="I598" s="75" t="s">
        <v>3687</v>
      </c>
      <c r="J598" s="76">
        <v>247.173591</v>
      </c>
      <c r="L598" s="77"/>
      <c r="M598" s="77">
        <v>0</v>
      </c>
    </row>
    <row r="599" s="69" customFormat="1" spans="2:13">
      <c r="B599" s="84"/>
      <c r="C599" s="85"/>
      <c r="D599" s="86" t="str">
        <f t="shared" si="24"/>
        <v/>
      </c>
      <c r="E599" s="93" t="str">
        <f t="shared" si="25"/>
        <v/>
      </c>
      <c r="F599" s="94"/>
      <c r="G599" s="95"/>
      <c r="H599" s="74"/>
      <c r="I599" s="75" t="s">
        <v>3688</v>
      </c>
      <c r="J599" s="76">
        <v>155.264298</v>
      </c>
      <c r="L599" s="77"/>
      <c r="M599" s="77">
        <v>0</v>
      </c>
    </row>
    <row r="600" s="69" customFormat="1" spans="2:13">
      <c r="B600" s="84"/>
      <c r="C600" s="85"/>
      <c r="D600" s="86" t="str">
        <f t="shared" si="24"/>
        <v/>
      </c>
      <c r="E600" s="93" t="str">
        <f t="shared" si="25"/>
        <v/>
      </c>
      <c r="F600" s="94"/>
      <c r="G600" s="95"/>
      <c r="H600" s="74"/>
      <c r="I600" s="75" t="s">
        <v>29</v>
      </c>
      <c r="J600" s="76">
        <v>1028.221999</v>
      </c>
      <c r="L600" s="77"/>
      <c r="M600" s="77">
        <v>0</v>
      </c>
    </row>
    <row r="601" s="69" customFormat="1" spans="2:13">
      <c r="B601" s="84"/>
      <c r="C601" s="85"/>
      <c r="D601" s="86" t="str">
        <f t="shared" si="24"/>
        <v/>
      </c>
      <c r="E601" s="93" t="str">
        <f t="shared" si="25"/>
        <v/>
      </c>
      <c r="F601" s="94"/>
      <c r="G601" s="95"/>
      <c r="H601" s="74"/>
      <c r="I601" s="75" t="s">
        <v>589</v>
      </c>
      <c r="J601" s="76">
        <v>955.076269</v>
      </c>
      <c r="L601" s="77"/>
      <c r="M601" s="77">
        <v>0</v>
      </c>
    </row>
    <row r="602" s="69" customFormat="1" spans="2:13">
      <c r="B602" s="84"/>
      <c r="C602" s="85"/>
      <c r="D602" s="86" t="str">
        <f t="shared" si="24"/>
        <v/>
      </c>
      <c r="E602" s="93" t="str">
        <f t="shared" si="25"/>
        <v/>
      </c>
      <c r="F602" s="94"/>
      <c r="G602" s="95"/>
      <c r="H602" s="74"/>
      <c r="I602" s="75" t="s">
        <v>3689</v>
      </c>
      <c r="J602" s="76">
        <v>994.451941</v>
      </c>
      <c r="L602" s="77"/>
      <c r="M602" s="77">
        <v>0</v>
      </c>
    </row>
    <row r="603" s="69" customFormat="1" spans="2:13">
      <c r="B603" s="84"/>
      <c r="C603" s="85"/>
      <c r="D603" s="86" t="str">
        <f t="shared" si="24"/>
        <v/>
      </c>
      <c r="E603" s="93" t="str">
        <f t="shared" si="25"/>
        <v/>
      </c>
      <c r="F603" s="94"/>
      <c r="G603" s="95"/>
      <c r="H603" s="74"/>
      <c r="I603" s="75" t="s">
        <v>434</v>
      </c>
      <c r="J603" s="76">
        <v>469.661346</v>
      </c>
      <c r="L603" s="77"/>
      <c r="M603" s="77">
        <v>0</v>
      </c>
    </row>
    <row r="604" s="69" customFormat="1" spans="2:13">
      <c r="B604" s="84"/>
      <c r="C604" s="85"/>
      <c r="D604" s="86" t="str">
        <f t="shared" si="24"/>
        <v/>
      </c>
      <c r="E604" s="93" t="str">
        <f t="shared" si="25"/>
        <v/>
      </c>
      <c r="F604" s="94"/>
      <c r="G604" s="95"/>
      <c r="H604" s="74"/>
      <c r="I604" s="75" t="s">
        <v>3690</v>
      </c>
      <c r="J604" s="76">
        <v>155.281434</v>
      </c>
      <c r="L604" s="77"/>
      <c r="M604" s="77">
        <v>0</v>
      </c>
    </row>
    <row r="605" s="69" customFormat="1" spans="2:13">
      <c r="B605" s="84"/>
      <c r="C605" s="85"/>
      <c r="D605" s="86" t="str">
        <f t="shared" si="24"/>
        <v/>
      </c>
      <c r="E605" s="93" t="str">
        <f t="shared" si="25"/>
        <v/>
      </c>
      <c r="F605" s="94"/>
      <c r="G605" s="95"/>
      <c r="H605" s="74"/>
      <c r="I605" s="75" t="s">
        <v>3691</v>
      </c>
      <c r="J605" s="76">
        <v>162.692992</v>
      </c>
      <c r="L605" s="77"/>
      <c r="M605" s="77">
        <v>0</v>
      </c>
    </row>
    <row r="606" s="69" customFormat="1" spans="2:13">
      <c r="B606" s="84"/>
      <c r="C606" s="85"/>
      <c r="D606" s="86" t="str">
        <f t="shared" si="24"/>
        <v/>
      </c>
      <c r="E606" s="93" t="str">
        <f t="shared" si="25"/>
        <v/>
      </c>
      <c r="F606" s="94"/>
      <c r="G606" s="95"/>
      <c r="H606" s="74"/>
      <c r="I606" s="75" t="s">
        <v>3692</v>
      </c>
      <c r="J606" s="76">
        <v>688.953356</v>
      </c>
      <c r="L606" s="77"/>
      <c r="M606" s="77">
        <v>0</v>
      </c>
    </row>
    <row r="607" s="69" customFormat="1" spans="2:13">
      <c r="B607" s="84"/>
      <c r="C607" s="85"/>
      <c r="D607" s="86" t="str">
        <f t="shared" si="24"/>
        <v/>
      </c>
      <c r="E607" s="93" t="str">
        <f t="shared" si="25"/>
        <v/>
      </c>
      <c r="F607" s="94"/>
      <c r="G607" s="95"/>
      <c r="H607" s="74"/>
      <c r="I607" s="75" t="s">
        <v>3693</v>
      </c>
      <c r="J607" s="76">
        <v>1178.646567</v>
      </c>
      <c r="L607" s="77"/>
      <c r="M607" s="77">
        <v>0</v>
      </c>
    </row>
    <row r="608" s="69" customFormat="1" spans="2:13">
      <c r="B608" s="84"/>
      <c r="C608" s="85"/>
      <c r="D608" s="86" t="str">
        <f t="shared" si="24"/>
        <v/>
      </c>
      <c r="E608" s="93" t="str">
        <f t="shared" si="25"/>
        <v/>
      </c>
      <c r="F608" s="94"/>
      <c r="G608" s="95"/>
      <c r="H608" s="74"/>
      <c r="I608" s="75" t="s">
        <v>3694</v>
      </c>
      <c r="J608" s="76">
        <v>200.211193</v>
      </c>
      <c r="L608" s="77"/>
      <c r="M608" s="77">
        <v>0</v>
      </c>
    </row>
    <row r="609" s="69" customFormat="1" spans="2:13">
      <c r="B609" s="84"/>
      <c r="C609" s="85"/>
      <c r="D609" s="86" t="str">
        <f t="shared" si="24"/>
        <v/>
      </c>
      <c r="E609" s="93" t="str">
        <f t="shared" si="25"/>
        <v/>
      </c>
      <c r="F609" s="94"/>
      <c r="G609" s="95"/>
      <c r="H609" s="74"/>
      <c r="I609" s="75" t="s">
        <v>342</v>
      </c>
      <c r="J609" s="76">
        <v>317.413817</v>
      </c>
      <c r="L609" s="77"/>
      <c r="M609" s="77">
        <v>0</v>
      </c>
    </row>
    <row r="610" s="69" customFormat="1" spans="2:13">
      <c r="B610" s="84"/>
      <c r="C610" s="85"/>
      <c r="D610" s="86" t="str">
        <f t="shared" si="24"/>
        <v/>
      </c>
      <c r="E610" s="93" t="str">
        <f t="shared" si="25"/>
        <v/>
      </c>
      <c r="F610" s="94"/>
      <c r="G610" s="95"/>
      <c r="H610" s="74"/>
      <c r="I610" s="75" t="s">
        <v>3695</v>
      </c>
      <c r="J610" s="76">
        <v>500.913483</v>
      </c>
      <c r="L610" s="77"/>
      <c r="M610" s="77">
        <v>0</v>
      </c>
    </row>
    <row r="611" s="69" customFormat="1" spans="2:13">
      <c r="B611" s="84"/>
      <c r="C611" s="85"/>
      <c r="D611" s="86" t="str">
        <f t="shared" si="24"/>
        <v/>
      </c>
      <c r="E611" s="93" t="str">
        <f t="shared" si="25"/>
        <v/>
      </c>
      <c r="F611" s="94"/>
      <c r="G611" s="95"/>
      <c r="H611" s="74"/>
      <c r="I611" s="75" t="s">
        <v>378</v>
      </c>
      <c r="J611" s="76">
        <v>707.124656</v>
      </c>
      <c r="L611" s="77"/>
      <c r="M611" s="77">
        <v>0</v>
      </c>
    </row>
    <row r="612" s="69" customFormat="1" spans="2:13">
      <c r="B612" s="84"/>
      <c r="C612" s="85"/>
      <c r="D612" s="86" t="str">
        <f t="shared" si="24"/>
        <v/>
      </c>
      <c r="E612" s="93" t="str">
        <f t="shared" si="25"/>
        <v/>
      </c>
      <c r="F612" s="94"/>
      <c r="G612" s="95"/>
      <c r="H612" s="74"/>
      <c r="I612" s="75" t="s">
        <v>3696</v>
      </c>
      <c r="J612" s="76">
        <v>1062.57837</v>
      </c>
      <c r="L612" s="77"/>
      <c r="M612" s="77">
        <v>0</v>
      </c>
    </row>
    <row r="613" s="69" customFormat="1" spans="2:13">
      <c r="B613" s="84"/>
      <c r="C613" s="85"/>
      <c r="D613" s="86" t="str">
        <f t="shared" si="24"/>
        <v/>
      </c>
      <c r="E613" s="93" t="str">
        <f t="shared" si="25"/>
        <v/>
      </c>
      <c r="F613" s="94"/>
      <c r="G613" s="95"/>
      <c r="H613" s="74"/>
      <c r="I613" s="75" t="s">
        <v>3697</v>
      </c>
      <c r="J613" s="76">
        <v>1140.466964</v>
      </c>
      <c r="L613" s="77"/>
      <c r="M613" s="77">
        <v>0</v>
      </c>
    </row>
    <row r="614" s="69" customFormat="1" spans="2:13">
      <c r="B614" s="84"/>
      <c r="C614" s="85"/>
      <c r="D614" s="86" t="str">
        <f t="shared" si="24"/>
        <v/>
      </c>
      <c r="E614" s="93" t="str">
        <f t="shared" si="25"/>
        <v/>
      </c>
      <c r="F614" s="94"/>
      <c r="G614" s="95"/>
      <c r="H614" s="74"/>
      <c r="I614" s="75" t="s">
        <v>3698</v>
      </c>
      <c r="J614" s="76">
        <v>105.462084</v>
      </c>
      <c r="L614" s="77"/>
      <c r="M614" s="77">
        <v>0</v>
      </c>
    </row>
    <row r="615" s="69" customFormat="1" spans="2:13">
      <c r="B615" s="84"/>
      <c r="C615" s="85"/>
      <c r="D615" s="86" t="str">
        <f t="shared" si="24"/>
        <v/>
      </c>
      <c r="E615" s="93" t="str">
        <f t="shared" si="25"/>
        <v/>
      </c>
      <c r="F615" s="94"/>
      <c r="G615" s="95"/>
      <c r="H615" s="74"/>
      <c r="I615" s="75" t="s">
        <v>3699</v>
      </c>
      <c r="J615" s="76">
        <v>115.579345</v>
      </c>
      <c r="L615" s="77"/>
      <c r="M615" s="77">
        <v>0</v>
      </c>
    </row>
    <row r="616" s="69" customFormat="1" spans="2:13">
      <c r="B616" s="84"/>
      <c r="C616" s="85"/>
      <c r="D616" s="86" t="str">
        <f t="shared" si="24"/>
        <v/>
      </c>
      <c r="E616" s="93" t="str">
        <f t="shared" si="25"/>
        <v/>
      </c>
      <c r="F616" s="94"/>
      <c r="G616" s="95"/>
      <c r="H616" s="74"/>
      <c r="I616" s="75" t="s">
        <v>771</v>
      </c>
      <c r="J616" s="76">
        <v>1873.143895</v>
      </c>
      <c r="L616" s="77"/>
      <c r="M616" s="77">
        <v>0</v>
      </c>
    </row>
    <row r="617" s="69" customFormat="1" spans="2:13">
      <c r="B617" s="84"/>
      <c r="C617" s="85"/>
      <c r="D617" s="86" t="str">
        <f t="shared" si="24"/>
        <v/>
      </c>
      <c r="E617" s="93" t="str">
        <f t="shared" si="25"/>
        <v/>
      </c>
      <c r="F617" s="94"/>
      <c r="G617" s="95"/>
      <c r="H617" s="74"/>
      <c r="I617" s="75" t="s">
        <v>564</v>
      </c>
      <c r="J617" s="76">
        <v>893.855886</v>
      </c>
      <c r="L617" s="77"/>
      <c r="M617" s="77">
        <v>0</v>
      </c>
    </row>
    <row r="618" s="69" customFormat="1" spans="2:13">
      <c r="B618" s="84"/>
      <c r="C618" s="85"/>
      <c r="D618" s="86" t="str">
        <f t="shared" si="24"/>
        <v/>
      </c>
      <c r="E618" s="93" t="str">
        <f t="shared" si="25"/>
        <v/>
      </c>
      <c r="F618" s="94"/>
      <c r="G618" s="95"/>
      <c r="H618" s="74"/>
      <c r="I618" s="75" t="s">
        <v>3700</v>
      </c>
      <c r="J618" s="76">
        <v>743.481893</v>
      </c>
      <c r="L618" s="77"/>
      <c r="M618" s="77">
        <v>0</v>
      </c>
    </row>
    <row r="619" s="69" customFormat="1" spans="2:13">
      <c r="B619" s="84"/>
      <c r="C619" s="85"/>
      <c r="D619" s="86" t="str">
        <f t="shared" si="24"/>
        <v/>
      </c>
      <c r="E619" s="93" t="str">
        <f t="shared" si="25"/>
        <v/>
      </c>
      <c r="F619" s="94"/>
      <c r="G619" s="95"/>
      <c r="H619" s="74"/>
      <c r="I619" s="75" t="s">
        <v>3701</v>
      </c>
      <c r="J619" s="76">
        <v>785.117613</v>
      </c>
      <c r="L619" s="77"/>
      <c r="M619" s="77">
        <v>0</v>
      </c>
    </row>
    <row r="620" s="69" customFormat="1" spans="2:13">
      <c r="B620" s="84"/>
      <c r="C620" s="85"/>
      <c r="D620" s="86" t="str">
        <f t="shared" si="24"/>
        <v/>
      </c>
      <c r="E620" s="93" t="str">
        <f t="shared" si="25"/>
        <v/>
      </c>
      <c r="F620" s="94"/>
      <c r="G620" s="95"/>
      <c r="H620" s="74"/>
      <c r="I620" s="75" t="s">
        <v>578</v>
      </c>
      <c r="J620" s="76">
        <v>1376.124211</v>
      </c>
      <c r="L620" s="77"/>
      <c r="M620" s="77">
        <v>0</v>
      </c>
    </row>
    <row r="621" s="69" customFormat="1" spans="2:13">
      <c r="B621" s="84"/>
      <c r="C621" s="85"/>
      <c r="D621" s="86" t="str">
        <f t="shared" si="24"/>
        <v/>
      </c>
      <c r="E621" s="93" t="str">
        <f t="shared" si="25"/>
        <v/>
      </c>
      <c r="F621" s="94"/>
      <c r="G621" s="95"/>
      <c r="H621" s="74"/>
      <c r="I621" s="75" t="s">
        <v>3702</v>
      </c>
      <c r="J621" s="76">
        <v>1230.37313</v>
      </c>
      <c r="L621" s="77"/>
      <c r="M621" s="77">
        <v>0</v>
      </c>
    </row>
    <row r="622" s="69" customFormat="1" spans="2:13">
      <c r="B622" s="84"/>
      <c r="C622" s="85"/>
      <c r="D622" s="86" t="str">
        <f t="shared" si="24"/>
        <v/>
      </c>
      <c r="E622" s="93" t="str">
        <f t="shared" si="25"/>
        <v/>
      </c>
      <c r="F622" s="94"/>
      <c r="G622" s="95"/>
      <c r="H622" s="74"/>
      <c r="I622" s="75" t="s">
        <v>3703</v>
      </c>
      <c r="J622" s="76">
        <v>223.097392</v>
      </c>
      <c r="L622" s="77"/>
      <c r="M622" s="77">
        <v>0</v>
      </c>
    </row>
    <row r="623" s="69" customFormat="1" spans="2:13">
      <c r="B623" s="84"/>
      <c r="C623" s="85"/>
      <c r="D623" s="86" t="str">
        <f t="shared" si="24"/>
        <v/>
      </c>
      <c r="E623" s="93" t="str">
        <f t="shared" si="25"/>
        <v/>
      </c>
      <c r="F623" s="94"/>
      <c r="G623" s="95"/>
      <c r="H623" s="74"/>
      <c r="I623" s="75" t="s">
        <v>3704</v>
      </c>
      <c r="J623" s="76">
        <v>180.147198</v>
      </c>
      <c r="L623" s="77"/>
      <c r="M623" s="77">
        <v>0</v>
      </c>
    </row>
    <row r="624" s="69" customFormat="1" spans="2:13">
      <c r="B624" s="84"/>
      <c r="C624" s="85"/>
      <c r="D624" s="86" t="str">
        <f t="shared" si="24"/>
        <v/>
      </c>
      <c r="E624" s="93" t="str">
        <f t="shared" si="25"/>
        <v/>
      </c>
      <c r="F624" s="94"/>
      <c r="G624" s="95"/>
      <c r="H624" s="74"/>
      <c r="I624" s="75" t="s">
        <v>3705</v>
      </c>
      <c r="J624" s="76">
        <v>1282.64269</v>
      </c>
      <c r="L624" s="77"/>
      <c r="M624" s="77">
        <v>0</v>
      </c>
    </row>
    <row r="625" s="69" customFormat="1" spans="2:13">
      <c r="B625" s="84"/>
      <c r="C625" s="85"/>
      <c r="D625" s="86" t="str">
        <f t="shared" si="24"/>
        <v/>
      </c>
      <c r="E625" s="93" t="str">
        <f t="shared" si="25"/>
        <v/>
      </c>
      <c r="F625" s="94"/>
      <c r="G625" s="95"/>
      <c r="H625" s="74"/>
      <c r="I625" s="75" t="s">
        <v>3706</v>
      </c>
      <c r="J625" s="76">
        <v>52.404506</v>
      </c>
      <c r="L625" s="77"/>
      <c r="M625" s="77">
        <v>0</v>
      </c>
    </row>
    <row r="626" s="69" customFormat="1" spans="2:13">
      <c r="B626" s="84"/>
      <c r="C626" s="85"/>
      <c r="D626" s="86" t="str">
        <f t="shared" si="24"/>
        <v/>
      </c>
      <c r="E626" s="93" t="str">
        <f t="shared" si="25"/>
        <v/>
      </c>
      <c r="F626" s="94"/>
      <c r="G626" s="95"/>
      <c r="H626" s="74"/>
      <c r="I626" s="75" t="s">
        <v>3707</v>
      </c>
      <c r="J626" s="76">
        <v>893.341687</v>
      </c>
      <c r="L626" s="77"/>
      <c r="M626" s="77">
        <v>0</v>
      </c>
    </row>
    <row r="627" s="69" customFormat="1" spans="2:13">
      <c r="B627" s="84"/>
      <c r="C627" s="85"/>
      <c r="D627" s="86" t="str">
        <f t="shared" si="24"/>
        <v/>
      </c>
      <c r="E627" s="93" t="str">
        <f t="shared" si="25"/>
        <v/>
      </c>
      <c r="F627" s="94"/>
      <c r="G627" s="95"/>
      <c r="H627" s="74"/>
      <c r="I627" s="75" t="s">
        <v>3708</v>
      </c>
      <c r="J627" s="76">
        <v>647.845996</v>
      </c>
      <c r="L627" s="77"/>
      <c r="M627" s="77">
        <v>0</v>
      </c>
    </row>
    <row r="628" s="69" customFormat="1" spans="2:13">
      <c r="B628" s="84"/>
      <c r="C628" s="85"/>
      <c r="D628" s="86" t="str">
        <f t="shared" si="24"/>
        <v/>
      </c>
      <c r="E628" s="93" t="str">
        <f t="shared" si="25"/>
        <v/>
      </c>
      <c r="F628" s="94"/>
      <c r="G628" s="95"/>
      <c r="H628" s="74"/>
      <c r="I628" s="75" t="s">
        <v>3709</v>
      </c>
      <c r="J628" s="76">
        <v>225.748236</v>
      </c>
      <c r="L628" s="77"/>
      <c r="M628" s="77">
        <v>0</v>
      </c>
    </row>
    <row r="629" s="69" customFormat="1" spans="2:13">
      <c r="B629" s="84"/>
      <c r="C629" s="85"/>
      <c r="D629" s="86" t="str">
        <f t="shared" si="24"/>
        <v/>
      </c>
      <c r="E629" s="93" t="str">
        <f t="shared" si="25"/>
        <v/>
      </c>
      <c r="F629" s="94"/>
      <c r="G629" s="95"/>
      <c r="H629" s="74"/>
      <c r="I629" s="75" t="s">
        <v>3710</v>
      </c>
      <c r="J629" s="76">
        <v>225.748236</v>
      </c>
      <c r="L629" s="77"/>
      <c r="M629" s="77">
        <v>0</v>
      </c>
    </row>
    <row r="630" s="69" customFormat="1" spans="2:13">
      <c r="B630" s="84"/>
      <c r="C630" s="85"/>
      <c r="D630" s="86" t="str">
        <f t="shared" si="24"/>
        <v/>
      </c>
      <c r="E630" s="93" t="str">
        <f t="shared" si="25"/>
        <v/>
      </c>
      <c r="F630" s="94"/>
      <c r="G630" s="95"/>
      <c r="H630" s="74"/>
      <c r="I630" s="75" t="s">
        <v>3711</v>
      </c>
      <c r="J630" s="76">
        <v>1163.392909</v>
      </c>
      <c r="L630" s="77"/>
      <c r="M630" s="77">
        <v>0</v>
      </c>
    </row>
    <row r="631" s="69" customFormat="1" spans="2:13">
      <c r="B631" s="84"/>
      <c r="C631" s="85"/>
      <c r="D631" s="86" t="str">
        <f t="shared" si="24"/>
        <v/>
      </c>
      <c r="E631" s="93" t="str">
        <f t="shared" si="25"/>
        <v/>
      </c>
      <c r="F631" s="94"/>
      <c r="G631" s="95"/>
      <c r="H631" s="74"/>
      <c r="I631" s="75" t="s">
        <v>3712</v>
      </c>
      <c r="J631" s="76">
        <v>110.135809</v>
      </c>
      <c r="L631" s="77"/>
      <c r="M631" s="77">
        <v>0</v>
      </c>
    </row>
    <row r="632" s="69" customFormat="1" spans="2:13">
      <c r="B632" s="84"/>
      <c r="C632" s="85"/>
      <c r="D632" s="86" t="str">
        <f t="shared" si="24"/>
        <v/>
      </c>
      <c r="E632" s="93" t="str">
        <f t="shared" si="25"/>
        <v/>
      </c>
      <c r="F632" s="94"/>
      <c r="G632" s="95"/>
      <c r="H632" s="74"/>
      <c r="I632" s="75" t="s">
        <v>3713</v>
      </c>
      <c r="J632" s="76">
        <v>938.777672</v>
      </c>
      <c r="L632" s="77"/>
      <c r="M632" s="77">
        <v>0</v>
      </c>
    </row>
    <row r="633" s="69" customFormat="1" spans="2:13">
      <c r="B633" s="84"/>
      <c r="C633" s="85"/>
      <c r="D633" s="86" t="str">
        <f t="shared" si="24"/>
        <v/>
      </c>
      <c r="E633" s="93" t="str">
        <f t="shared" si="25"/>
        <v/>
      </c>
      <c r="F633" s="94"/>
      <c r="G633" s="95"/>
      <c r="H633" s="74"/>
      <c r="I633" s="75" t="s">
        <v>3714</v>
      </c>
      <c r="J633" s="76">
        <v>982.58538</v>
      </c>
      <c r="L633" s="77"/>
      <c r="M633" s="77">
        <v>0</v>
      </c>
    </row>
    <row r="634" s="69" customFormat="1" spans="2:13">
      <c r="B634" s="84"/>
      <c r="C634" s="85"/>
      <c r="D634" s="86" t="str">
        <f t="shared" si="24"/>
        <v/>
      </c>
      <c r="E634" s="93" t="str">
        <f t="shared" si="25"/>
        <v/>
      </c>
      <c r="F634" s="94"/>
      <c r="G634" s="95"/>
      <c r="H634" s="74"/>
      <c r="I634" s="75" t="s">
        <v>3715</v>
      </c>
      <c r="J634" s="76">
        <v>951.973463</v>
      </c>
      <c r="L634" s="77"/>
      <c r="M634" s="77">
        <v>0</v>
      </c>
    </row>
    <row r="635" s="69" customFormat="1" spans="2:13">
      <c r="B635" s="84"/>
      <c r="C635" s="85"/>
      <c r="D635" s="86" t="str">
        <f t="shared" si="24"/>
        <v/>
      </c>
      <c r="E635" s="93" t="str">
        <f t="shared" si="25"/>
        <v/>
      </c>
      <c r="F635" s="94"/>
      <c r="G635" s="95"/>
      <c r="H635" s="74"/>
      <c r="I635" s="75" t="s">
        <v>3716</v>
      </c>
      <c r="J635" s="76">
        <v>1336.754251</v>
      </c>
      <c r="L635" s="77"/>
      <c r="M635" s="77">
        <v>0</v>
      </c>
    </row>
    <row r="636" s="69" customFormat="1" spans="2:13">
      <c r="B636" s="84"/>
      <c r="C636" s="85"/>
      <c r="D636" s="86" t="str">
        <f t="shared" si="24"/>
        <v/>
      </c>
      <c r="E636" s="93" t="str">
        <f t="shared" si="25"/>
        <v/>
      </c>
      <c r="F636" s="94"/>
      <c r="G636" s="95"/>
      <c r="H636" s="74"/>
      <c r="I636" s="75" t="s">
        <v>3717</v>
      </c>
      <c r="J636" s="76">
        <v>141.191953</v>
      </c>
      <c r="L636" s="77"/>
      <c r="M636" s="77">
        <v>0</v>
      </c>
    </row>
    <row r="637" s="69" customFormat="1" spans="2:13">
      <c r="B637" s="84"/>
      <c r="C637" s="85"/>
      <c r="D637" s="86" t="str">
        <f t="shared" si="24"/>
        <v/>
      </c>
      <c r="E637" s="93" t="str">
        <f t="shared" si="25"/>
        <v/>
      </c>
      <c r="F637" s="94"/>
      <c r="G637" s="95"/>
      <c r="H637" s="74"/>
      <c r="I637" s="75" t="s">
        <v>3718</v>
      </c>
      <c r="J637" s="76">
        <v>142.967076</v>
      </c>
      <c r="L637" s="77"/>
      <c r="M637" s="77">
        <v>0</v>
      </c>
    </row>
    <row r="638" s="69" customFormat="1" spans="2:13">
      <c r="B638" s="84"/>
      <c r="C638" s="85"/>
      <c r="D638" s="86" t="str">
        <f t="shared" si="24"/>
        <v/>
      </c>
      <c r="E638" s="93" t="str">
        <f t="shared" si="25"/>
        <v/>
      </c>
      <c r="F638" s="94"/>
      <c r="G638" s="95"/>
      <c r="H638" s="74"/>
      <c r="I638" s="75" t="s">
        <v>273</v>
      </c>
      <c r="J638" s="76">
        <v>159.234376</v>
      </c>
      <c r="L638" s="77"/>
      <c r="M638" s="77">
        <v>0</v>
      </c>
    </row>
    <row r="639" s="69" customFormat="1" spans="2:13">
      <c r="B639" s="84"/>
      <c r="C639" s="85"/>
      <c r="D639" s="86" t="str">
        <f t="shared" si="24"/>
        <v/>
      </c>
      <c r="E639" s="93" t="str">
        <f t="shared" si="25"/>
        <v/>
      </c>
      <c r="F639" s="94"/>
      <c r="G639" s="95"/>
      <c r="H639" s="74"/>
      <c r="I639" s="75" t="s">
        <v>3719</v>
      </c>
      <c r="J639" s="76">
        <v>141.664264</v>
      </c>
      <c r="L639" s="77"/>
      <c r="M639" s="77">
        <v>0</v>
      </c>
    </row>
    <row r="640" s="69" customFormat="1" spans="2:13">
      <c r="B640" s="84"/>
      <c r="C640" s="85"/>
      <c r="D640" s="86" t="str">
        <f t="shared" si="24"/>
        <v/>
      </c>
      <c r="E640" s="93" t="str">
        <f t="shared" si="25"/>
        <v/>
      </c>
      <c r="F640" s="94"/>
      <c r="G640" s="95"/>
      <c r="H640" s="74"/>
      <c r="I640" s="75" t="s">
        <v>3720</v>
      </c>
      <c r="J640" s="76">
        <v>160.870864</v>
      </c>
      <c r="L640" s="77"/>
      <c r="M640" s="77">
        <v>0</v>
      </c>
    </row>
    <row r="641" s="69" customFormat="1" spans="2:13">
      <c r="B641" s="84"/>
      <c r="C641" s="85"/>
      <c r="D641" s="86" t="str">
        <f t="shared" si="24"/>
        <v/>
      </c>
      <c r="E641" s="93" t="str">
        <f t="shared" si="25"/>
        <v/>
      </c>
      <c r="F641" s="94"/>
      <c r="G641" s="95"/>
      <c r="H641" s="74"/>
      <c r="I641" s="75" t="s">
        <v>354</v>
      </c>
      <c r="J641" s="76">
        <v>397.846512</v>
      </c>
      <c r="L641" s="77"/>
      <c r="M641" s="77">
        <v>0</v>
      </c>
    </row>
    <row r="642" s="69" customFormat="1" spans="2:13">
      <c r="B642" s="84"/>
      <c r="C642" s="85"/>
      <c r="D642" s="86" t="str">
        <f t="shared" si="24"/>
        <v/>
      </c>
      <c r="E642" s="93" t="str">
        <f t="shared" si="25"/>
        <v/>
      </c>
      <c r="F642" s="94"/>
      <c r="G642" s="95"/>
      <c r="H642" s="74"/>
      <c r="I642" s="75" t="s">
        <v>3721</v>
      </c>
      <c r="J642" s="76">
        <v>432.256314</v>
      </c>
      <c r="L642" s="77"/>
      <c r="M642" s="77">
        <v>0</v>
      </c>
    </row>
    <row r="643" s="69" customFormat="1" spans="2:13">
      <c r="B643" s="84"/>
      <c r="C643" s="85"/>
      <c r="D643" s="86" t="str">
        <f t="shared" ref="D643:D706" si="26">IF(C643="","",C643/(C643+$E$1/60))</f>
        <v/>
      </c>
      <c r="E643" s="93" t="str">
        <f t="shared" ref="E643:E706" si="27">IFERROR(ROUND(1440/C643*2*D643,0),"")</f>
        <v/>
      </c>
      <c r="F643" s="94"/>
      <c r="G643" s="95"/>
      <c r="H643" s="74"/>
      <c r="I643" s="75" t="s">
        <v>3722</v>
      </c>
      <c r="J643" s="76">
        <v>994.451941</v>
      </c>
      <c r="L643" s="77"/>
      <c r="M643" s="77">
        <v>0</v>
      </c>
    </row>
    <row r="644" s="69" customFormat="1" spans="2:13">
      <c r="B644" s="84"/>
      <c r="C644" s="85"/>
      <c r="D644" s="86" t="str">
        <f t="shared" si="26"/>
        <v/>
      </c>
      <c r="E644" s="93" t="str">
        <f t="shared" si="27"/>
        <v/>
      </c>
      <c r="F644" s="94"/>
      <c r="G644" s="95"/>
      <c r="H644" s="74"/>
      <c r="I644" s="75" t="s">
        <v>3723</v>
      </c>
      <c r="J644" s="76">
        <v>44.595964</v>
      </c>
      <c r="L644" s="77"/>
      <c r="M644" s="77">
        <v>0</v>
      </c>
    </row>
    <row r="645" s="69" customFormat="1" spans="2:13">
      <c r="B645" s="84"/>
      <c r="C645" s="85"/>
      <c r="D645" s="86" t="str">
        <f t="shared" si="26"/>
        <v/>
      </c>
      <c r="E645" s="93" t="str">
        <f t="shared" si="27"/>
        <v/>
      </c>
      <c r="F645" s="94"/>
      <c r="G645" s="95"/>
      <c r="H645" s="74"/>
      <c r="I645" s="75" t="s">
        <v>3724</v>
      </c>
      <c r="J645" s="76">
        <v>1277.257583</v>
      </c>
      <c r="L645" s="77"/>
      <c r="M645" s="77">
        <v>0</v>
      </c>
    </row>
    <row r="646" s="69" customFormat="1" spans="2:13">
      <c r="B646" s="84"/>
      <c r="C646" s="85"/>
      <c r="D646" s="86" t="str">
        <f t="shared" si="26"/>
        <v/>
      </c>
      <c r="E646" s="93" t="str">
        <f t="shared" si="27"/>
        <v/>
      </c>
      <c r="F646" s="94"/>
      <c r="G646" s="95"/>
      <c r="H646" s="74"/>
      <c r="I646" s="75" t="s">
        <v>3725</v>
      </c>
      <c r="J646" s="76">
        <v>902.849668</v>
      </c>
      <c r="L646" s="77"/>
      <c r="M646" s="77">
        <v>0</v>
      </c>
    </row>
    <row r="647" s="69" customFormat="1" spans="2:13">
      <c r="B647" s="84"/>
      <c r="C647" s="85"/>
      <c r="D647" s="86" t="str">
        <f t="shared" si="26"/>
        <v/>
      </c>
      <c r="E647" s="93" t="str">
        <f t="shared" si="27"/>
        <v/>
      </c>
      <c r="F647" s="94"/>
      <c r="G647" s="95"/>
      <c r="H647" s="74"/>
      <c r="I647" s="75" t="s">
        <v>3726</v>
      </c>
      <c r="J647" s="76">
        <v>901.906355</v>
      </c>
      <c r="L647" s="77"/>
      <c r="M647" s="77">
        <v>0</v>
      </c>
    </row>
    <row r="648" s="69" customFormat="1" spans="2:13">
      <c r="B648" s="84"/>
      <c r="C648" s="85"/>
      <c r="D648" s="86" t="str">
        <f t="shared" si="26"/>
        <v/>
      </c>
      <c r="E648" s="93" t="str">
        <f t="shared" si="27"/>
        <v/>
      </c>
      <c r="F648" s="94"/>
      <c r="G648" s="95"/>
      <c r="H648" s="74"/>
      <c r="I648" s="75" t="s">
        <v>3727</v>
      </c>
      <c r="J648" s="76">
        <v>936.029605</v>
      </c>
      <c r="L648" s="77"/>
      <c r="M648" s="77">
        <v>0</v>
      </c>
    </row>
    <row r="649" s="69" customFormat="1" spans="2:13">
      <c r="B649" s="84"/>
      <c r="C649" s="85"/>
      <c r="D649" s="86" t="str">
        <f t="shared" si="26"/>
        <v/>
      </c>
      <c r="E649" s="93" t="str">
        <f t="shared" si="27"/>
        <v/>
      </c>
      <c r="F649" s="94"/>
      <c r="G649" s="95"/>
      <c r="H649" s="74"/>
      <c r="I649" s="75" t="s">
        <v>3728</v>
      </c>
      <c r="J649" s="76">
        <v>1312.663891</v>
      </c>
      <c r="L649" s="77"/>
      <c r="M649" s="77">
        <v>0</v>
      </c>
    </row>
    <row r="650" s="69" customFormat="1" spans="2:13">
      <c r="B650" s="84"/>
      <c r="C650" s="85"/>
      <c r="D650" s="86" t="str">
        <f t="shared" si="26"/>
        <v/>
      </c>
      <c r="E650" s="93" t="str">
        <f t="shared" si="27"/>
        <v/>
      </c>
      <c r="F650" s="94"/>
      <c r="G650" s="95"/>
      <c r="H650" s="74"/>
      <c r="I650" s="75" t="s">
        <v>3729</v>
      </c>
      <c r="J650" s="76">
        <v>152.09509</v>
      </c>
      <c r="L650" s="77"/>
      <c r="M650" s="77">
        <v>0</v>
      </c>
    </row>
    <row r="651" s="69" customFormat="1" spans="2:13">
      <c r="B651" s="84"/>
      <c r="C651" s="85"/>
      <c r="D651" s="86" t="str">
        <f t="shared" si="26"/>
        <v/>
      </c>
      <c r="E651" s="93" t="str">
        <f t="shared" si="27"/>
        <v/>
      </c>
      <c r="F651" s="94"/>
      <c r="G651" s="95"/>
      <c r="H651" s="74"/>
      <c r="I651" s="75" t="s">
        <v>3730</v>
      </c>
      <c r="J651" s="76">
        <v>1208.447023</v>
      </c>
      <c r="L651" s="77"/>
      <c r="M651" s="77">
        <v>0</v>
      </c>
    </row>
    <row r="652" s="69" customFormat="1" spans="2:13">
      <c r="B652" s="84"/>
      <c r="C652" s="85"/>
      <c r="D652" s="86" t="str">
        <f t="shared" si="26"/>
        <v/>
      </c>
      <c r="E652" s="93" t="str">
        <f t="shared" si="27"/>
        <v/>
      </c>
      <c r="F652" s="94"/>
      <c r="G652" s="95"/>
      <c r="H652" s="74"/>
      <c r="I652" s="75" t="s">
        <v>3731</v>
      </c>
      <c r="J652" s="76">
        <v>806.654114</v>
      </c>
      <c r="L652" s="77"/>
      <c r="M652" s="77">
        <v>0</v>
      </c>
    </row>
    <row r="653" s="69" customFormat="1" spans="2:13">
      <c r="B653" s="84"/>
      <c r="C653" s="85"/>
      <c r="D653" s="86" t="str">
        <f t="shared" si="26"/>
        <v/>
      </c>
      <c r="E653" s="93" t="str">
        <f t="shared" si="27"/>
        <v/>
      </c>
      <c r="F653" s="94"/>
      <c r="G653" s="95"/>
      <c r="H653" s="74"/>
      <c r="I653" s="75" t="s">
        <v>458</v>
      </c>
      <c r="J653" s="76">
        <v>613.838176</v>
      </c>
      <c r="L653" s="77"/>
      <c r="M653" s="77">
        <v>0</v>
      </c>
    </row>
    <row r="654" s="69" customFormat="1" spans="2:13">
      <c r="B654" s="84"/>
      <c r="C654" s="85"/>
      <c r="D654" s="86" t="str">
        <f t="shared" si="26"/>
        <v/>
      </c>
      <c r="E654" s="93" t="str">
        <f t="shared" si="27"/>
        <v/>
      </c>
      <c r="F654" s="94"/>
      <c r="G654" s="95"/>
      <c r="H654" s="74"/>
      <c r="I654" s="75" t="s">
        <v>3732</v>
      </c>
      <c r="J654" s="76">
        <v>152.09509</v>
      </c>
      <c r="L654" s="77"/>
      <c r="M654" s="77">
        <v>0</v>
      </c>
    </row>
    <row r="655" s="69" customFormat="1" spans="2:13">
      <c r="B655" s="84"/>
      <c r="C655" s="85"/>
      <c r="D655" s="86" t="str">
        <f t="shared" si="26"/>
        <v/>
      </c>
      <c r="E655" s="93" t="str">
        <f t="shared" si="27"/>
        <v/>
      </c>
      <c r="F655" s="94"/>
      <c r="G655" s="95"/>
      <c r="H655" s="74"/>
      <c r="I655" s="75" t="s">
        <v>3733</v>
      </c>
      <c r="J655" s="76">
        <v>887.184865</v>
      </c>
      <c r="L655" s="77"/>
      <c r="M655" s="77">
        <v>0</v>
      </c>
    </row>
    <row r="656" s="69" customFormat="1" spans="2:13">
      <c r="B656" s="84"/>
      <c r="C656" s="85"/>
      <c r="D656" s="86" t="str">
        <f t="shared" si="26"/>
        <v/>
      </c>
      <c r="E656" s="93" t="str">
        <f t="shared" si="27"/>
        <v/>
      </c>
      <c r="F656" s="94"/>
      <c r="G656" s="95"/>
      <c r="H656" s="74"/>
      <c r="I656" s="75" t="s">
        <v>3734</v>
      </c>
      <c r="J656" s="76">
        <v>949.850979</v>
      </c>
      <c r="L656" s="77"/>
      <c r="M656" s="77">
        <v>0</v>
      </c>
    </row>
    <row r="657" s="69" customFormat="1" spans="2:13">
      <c r="B657" s="84"/>
      <c r="C657" s="85"/>
      <c r="D657" s="86" t="str">
        <f t="shared" si="26"/>
        <v/>
      </c>
      <c r="E657" s="93" t="str">
        <f t="shared" si="27"/>
        <v/>
      </c>
      <c r="F657" s="94"/>
      <c r="G657" s="95"/>
      <c r="H657" s="74"/>
      <c r="I657" s="75" t="s">
        <v>3735</v>
      </c>
      <c r="J657" s="76">
        <v>801.077536</v>
      </c>
      <c r="L657" s="77"/>
      <c r="M657" s="77">
        <v>0</v>
      </c>
    </row>
    <row r="658" s="69" customFormat="1" spans="2:13">
      <c r="B658" s="84"/>
      <c r="C658" s="85"/>
      <c r="D658" s="86" t="str">
        <f t="shared" si="26"/>
        <v/>
      </c>
      <c r="E658" s="93" t="str">
        <f t="shared" si="27"/>
        <v/>
      </c>
      <c r="F658" s="94"/>
      <c r="G658" s="95"/>
      <c r="H658" s="74"/>
      <c r="I658" s="75" t="s">
        <v>3736</v>
      </c>
      <c r="J658" s="76">
        <v>712.843677</v>
      </c>
      <c r="L658" s="77"/>
      <c r="M658" s="77">
        <v>0</v>
      </c>
    </row>
    <row r="659" s="69" customFormat="1" spans="2:13">
      <c r="B659" s="84"/>
      <c r="C659" s="85"/>
      <c r="D659" s="86" t="str">
        <f t="shared" si="26"/>
        <v/>
      </c>
      <c r="E659" s="93" t="str">
        <f t="shared" si="27"/>
        <v/>
      </c>
      <c r="F659" s="94"/>
      <c r="G659" s="95"/>
      <c r="H659" s="74"/>
      <c r="I659" s="75" t="s">
        <v>3737</v>
      </c>
      <c r="J659" s="76">
        <v>793.442258</v>
      </c>
      <c r="L659" s="77"/>
      <c r="M659" s="77">
        <v>0</v>
      </c>
    </row>
    <row r="660" s="69" customFormat="1" spans="2:13">
      <c r="B660" s="84"/>
      <c r="C660" s="85"/>
      <c r="D660" s="86" t="str">
        <f t="shared" si="26"/>
        <v/>
      </c>
      <c r="E660" s="93" t="str">
        <f t="shared" si="27"/>
        <v/>
      </c>
      <c r="F660" s="94"/>
      <c r="G660" s="95"/>
      <c r="H660" s="74"/>
      <c r="I660" s="75" t="s">
        <v>3738</v>
      </c>
      <c r="J660" s="76">
        <v>200.211193</v>
      </c>
      <c r="L660" s="77"/>
      <c r="M660" s="77">
        <v>0</v>
      </c>
    </row>
    <row r="661" s="69" customFormat="1" spans="2:13">
      <c r="B661" s="84"/>
      <c r="C661" s="85"/>
      <c r="D661" s="86" t="str">
        <f t="shared" si="26"/>
        <v/>
      </c>
      <c r="E661" s="93" t="str">
        <f t="shared" si="27"/>
        <v/>
      </c>
      <c r="F661" s="94"/>
      <c r="G661" s="95"/>
      <c r="H661" s="74"/>
      <c r="I661" s="75" t="s">
        <v>3739</v>
      </c>
      <c r="J661" s="76">
        <v>938.777672</v>
      </c>
      <c r="L661" s="77"/>
      <c r="M661" s="77">
        <v>0</v>
      </c>
    </row>
    <row r="662" s="69" customFormat="1" spans="2:13">
      <c r="B662" s="84"/>
      <c r="C662" s="85"/>
      <c r="D662" s="86" t="str">
        <f t="shared" si="26"/>
        <v/>
      </c>
      <c r="E662" s="93" t="str">
        <f t="shared" si="27"/>
        <v/>
      </c>
      <c r="F662" s="94"/>
      <c r="G662" s="95"/>
      <c r="H662" s="74"/>
      <c r="I662" s="75" t="s">
        <v>3740</v>
      </c>
      <c r="J662" s="76">
        <v>992.891732</v>
      </c>
      <c r="L662" s="77"/>
      <c r="M662" s="77">
        <v>0</v>
      </c>
    </row>
    <row r="663" s="69" customFormat="1" spans="2:13">
      <c r="B663" s="84"/>
      <c r="C663" s="85"/>
      <c r="D663" s="86" t="str">
        <f t="shared" si="26"/>
        <v/>
      </c>
      <c r="E663" s="93" t="str">
        <f t="shared" si="27"/>
        <v/>
      </c>
      <c r="F663" s="94"/>
      <c r="G663" s="95"/>
      <c r="H663" s="74"/>
      <c r="I663" s="75" t="s">
        <v>3741</v>
      </c>
      <c r="J663" s="76">
        <v>1163.392909</v>
      </c>
      <c r="L663" s="77"/>
      <c r="M663" s="77">
        <v>0</v>
      </c>
    </row>
    <row r="664" s="69" customFormat="1" spans="2:13">
      <c r="B664" s="84"/>
      <c r="C664" s="85"/>
      <c r="D664" s="86" t="str">
        <f t="shared" si="26"/>
        <v/>
      </c>
      <c r="E664" s="93" t="str">
        <f t="shared" si="27"/>
        <v/>
      </c>
      <c r="F664" s="94"/>
      <c r="G664" s="95"/>
      <c r="H664" s="74"/>
      <c r="I664" s="75" t="s">
        <v>3742</v>
      </c>
      <c r="J664" s="76">
        <v>906.484761</v>
      </c>
      <c r="L664" s="77"/>
      <c r="M664" s="77">
        <v>0</v>
      </c>
    </row>
    <row r="665" s="69" customFormat="1" spans="2:13">
      <c r="B665" s="84"/>
      <c r="C665" s="85"/>
      <c r="D665" s="86" t="str">
        <f t="shared" si="26"/>
        <v/>
      </c>
      <c r="E665" s="93" t="str">
        <f t="shared" si="27"/>
        <v/>
      </c>
      <c r="F665" s="94"/>
      <c r="G665" s="95"/>
      <c r="H665" s="74"/>
      <c r="I665" s="75" t="s">
        <v>3743</v>
      </c>
      <c r="J665" s="76">
        <v>848.916845</v>
      </c>
      <c r="L665" s="77"/>
      <c r="M665" s="77">
        <v>0</v>
      </c>
    </row>
    <row r="666" s="69" customFormat="1" spans="2:13">
      <c r="B666" s="84"/>
      <c r="C666" s="85"/>
      <c r="D666" s="86" t="str">
        <f t="shared" si="26"/>
        <v/>
      </c>
      <c r="E666" s="93" t="str">
        <f t="shared" si="27"/>
        <v/>
      </c>
      <c r="F666" s="94"/>
      <c r="G666" s="95"/>
      <c r="H666" s="74"/>
      <c r="I666" s="75" t="s">
        <v>424</v>
      </c>
      <c r="J666" s="76">
        <v>1016.350321</v>
      </c>
      <c r="L666" s="77"/>
      <c r="M666" s="77">
        <v>0</v>
      </c>
    </row>
    <row r="667" s="69" customFormat="1" spans="2:13">
      <c r="B667" s="84"/>
      <c r="C667" s="85"/>
      <c r="D667" s="86" t="str">
        <f t="shared" si="26"/>
        <v/>
      </c>
      <c r="E667" s="93" t="str">
        <f t="shared" si="27"/>
        <v/>
      </c>
      <c r="F667" s="94"/>
      <c r="G667" s="95"/>
      <c r="H667" s="74"/>
      <c r="I667" s="75" t="s">
        <v>422</v>
      </c>
      <c r="J667" s="76">
        <v>1016.350321</v>
      </c>
      <c r="L667" s="77"/>
      <c r="M667" s="77">
        <v>0</v>
      </c>
    </row>
    <row r="668" s="69" customFormat="1" spans="2:13">
      <c r="B668" s="84"/>
      <c r="C668" s="85"/>
      <c r="D668" s="86" t="str">
        <f t="shared" si="26"/>
        <v/>
      </c>
      <c r="E668" s="93" t="str">
        <f t="shared" si="27"/>
        <v/>
      </c>
      <c r="F668" s="94"/>
      <c r="G668" s="95"/>
      <c r="H668" s="74"/>
      <c r="I668" s="75" t="s">
        <v>3744</v>
      </c>
      <c r="J668" s="76">
        <v>878.860101</v>
      </c>
      <c r="L668" s="77"/>
      <c r="M668" s="77">
        <v>0</v>
      </c>
    </row>
    <row r="669" s="69" customFormat="1" spans="2:13">
      <c r="B669" s="84"/>
      <c r="C669" s="85"/>
      <c r="D669" s="86" t="str">
        <f t="shared" si="26"/>
        <v/>
      </c>
      <c r="E669" s="93" t="str">
        <f t="shared" si="27"/>
        <v/>
      </c>
      <c r="F669" s="94"/>
      <c r="G669" s="95"/>
      <c r="H669" s="74"/>
      <c r="I669" s="75" t="s">
        <v>3745</v>
      </c>
      <c r="J669" s="76">
        <v>801.505817</v>
      </c>
      <c r="L669" s="77"/>
      <c r="M669" s="77">
        <v>0</v>
      </c>
    </row>
    <row r="670" s="69" customFormat="1" spans="2:13">
      <c r="B670" s="84"/>
      <c r="C670" s="85"/>
      <c r="D670" s="86" t="str">
        <f t="shared" si="26"/>
        <v/>
      </c>
      <c r="E670" s="93" t="str">
        <f t="shared" si="27"/>
        <v/>
      </c>
      <c r="F670" s="94"/>
      <c r="G670" s="95"/>
      <c r="H670" s="74"/>
      <c r="I670" s="75" t="s">
        <v>3746</v>
      </c>
      <c r="J670" s="76">
        <v>793.442258</v>
      </c>
      <c r="L670" s="77"/>
      <c r="M670" s="77">
        <v>0</v>
      </c>
    </row>
    <row r="671" s="69" customFormat="1" spans="2:13">
      <c r="B671" s="84"/>
      <c r="C671" s="85"/>
      <c r="D671" s="86" t="str">
        <f t="shared" si="26"/>
        <v/>
      </c>
      <c r="E671" s="93" t="str">
        <f t="shared" si="27"/>
        <v/>
      </c>
      <c r="F671" s="94"/>
      <c r="G671" s="95"/>
      <c r="H671" s="74"/>
      <c r="I671" s="75" t="s">
        <v>3747</v>
      </c>
      <c r="J671" s="76">
        <v>1164.204965</v>
      </c>
      <c r="L671" s="77"/>
      <c r="M671" s="77">
        <v>0</v>
      </c>
    </row>
    <row r="672" s="69" customFormat="1" spans="2:13">
      <c r="B672" s="84"/>
      <c r="C672" s="85"/>
      <c r="D672" s="86" t="str">
        <f t="shared" si="26"/>
        <v/>
      </c>
      <c r="E672" s="93" t="str">
        <f t="shared" si="27"/>
        <v/>
      </c>
      <c r="F672" s="94"/>
      <c r="G672" s="95"/>
      <c r="H672" s="74"/>
      <c r="I672" s="75" t="s">
        <v>3748</v>
      </c>
      <c r="J672" s="76">
        <v>142.967076</v>
      </c>
      <c r="L672" s="77"/>
      <c r="M672" s="77">
        <v>0</v>
      </c>
    </row>
    <row r="673" s="69" customFormat="1" spans="2:13">
      <c r="B673" s="84"/>
      <c r="C673" s="85"/>
      <c r="D673" s="86" t="str">
        <f t="shared" si="26"/>
        <v/>
      </c>
      <c r="E673" s="93" t="str">
        <f t="shared" si="27"/>
        <v/>
      </c>
      <c r="F673" s="94"/>
      <c r="G673" s="95"/>
      <c r="H673" s="74"/>
      <c r="I673" s="75" t="s">
        <v>3749</v>
      </c>
      <c r="J673" s="76">
        <v>155.264298</v>
      </c>
      <c r="L673" s="77"/>
      <c r="M673" s="77">
        <v>0</v>
      </c>
    </row>
    <row r="674" s="69" customFormat="1" spans="2:13">
      <c r="B674" s="84"/>
      <c r="C674" s="85"/>
      <c r="D674" s="86" t="str">
        <f t="shared" si="26"/>
        <v/>
      </c>
      <c r="E674" s="93" t="str">
        <f t="shared" si="27"/>
        <v/>
      </c>
      <c r="F674" s="94"/>
      <c r="G674" s="95"/>
      <c r="H674" s="74"/>
      <c r="I674" s="75" t="s">
        <v>648</v>
      </c>
      <c r="J674" s="76">
        <v>1281.689024</v>
      </c>
      <c r="L674" s="77"/>
      <c r="M674" s="77">
        <v>0</v>
      </c>
    </row>
    <row r="675" s="69" customFormat="1" spans="2:13">
      <c r="B675" s="84"/>
      <c r="C675" s="85"/>
      <c r="D675" s="86" t="str">
        <f t="shared" si="26"/>
        <v/>
      </c>
      <c r="E675" s="93" t="str">
        <f t="shared" si="27"/>
        <v/>
      </c>
      <c r="F675" s="94"/>
      <c r="G675" s="95"/>
      <c r="H675" s="74"/>
      <c r="I675" s="75" t="s">
        <v>3750</v>
      </c>
      <c r="J675" s="76">
        <v>989.26009</v>
      </c>
      <c r="L675" s="77"/>
      <c r="M675" s="77">
        <v>0</v>
      </c>
    </row>
    <row r="676" s="69" customFormat="1" spans="2:13">
      <c r="B676" s="84"/>
      <c r="C676" s="85"/>
      <c r="D676" s="86" t="str">
        <f t="shared" si="26"/>
        <v/>
      </c>
      <c r="E676" s="93" t="str">
        <f t="shared" si="27"/>
        <v/>
      </c>
      <c r="F676" s="94"/>
      <c r="G676" s="95"/>
      <c r="H676" s="74"/>
      <c r="I676" s="75" t="s">
        <v>3751</v>
      </c>
      <c r="J676" s="76">
        <v>613.838176</v>
      </c>
      <c r="L676" s="77"/>
      <c r="M676" s="77">
        <v>0</v>
      </c>
    </row>
    <row r="677" s="69" customFormat="1" spans="2:13">
      <c r="B677" s="84"/>
      <c r="C677" s="85"/>
      <c r="D677" s="86" t="str">
        <f t="shared" si="26"/>
        <v/>
      </c>
      <c r="E677" s="93" t="str">
        <f t="shared" si="27"/>
        <v/>
      </c>
      <c r="F677" s="94"/>
      <c r="G677" s="95"/>
      <c r="H677" s="74"/>
      <c r="I677" s="75" t="s">
        <v>3752</v>
      </c>
      <c r="J677" s="76">
        <v>181.533905</v>
      </c>
      <c r="L677" s="77"/>
      <c r="M677" s="77">
        <v>0</v>
      </c>
    </row>
    <row r="678" s="69" customFormat="1" spans="2:13">
      <c r="B678" s="84"/>
      <c r="C678" s="85"/>
      <c r="D678" s="86" t="str">
        <f t="shared" si="26"/>
        <v/>
      </c>
      <c r="E678" s="93" t="str">
        <f t="shared" si="27"/>
        <v/>
      </c>
      <c r="F678" s="94"/>
      <c r="G678" s="95"/>
      <c r="H678" s="74"/>
      <c r="I678" s="75" t="s">
        <v>3753</v>
      </c>
      <c r="J678" s="76">
        <v>179.428319</v>
      </c>
      <c r="L678" s="77"/>
      <c r="M678" s="77">
        <v>0</v>
      </c>
    </row>
    <row r="679" s="69" customFormat="1" spans="2:13">
      <c r="B679" s="84"/>
      <c r="C679" s="85"/>
      <c r="D679" s="86" t="str">
        <f t="shared" si="26"/>
        <v/>
      </c>
      <c r="E679" s="93" t="str">
        <f t="shared" si="27"/>
        <v/>
      </c>
      <c r="F679" s="94"/>
      <c r="G679" s="95"/>
      <c r="H679" s="74"/>
      <c r="I679" s="75" t="s">
        <v>3754</v>
      </c>
      <c r="J679" s="76">
        <v>760.50639</v>
      </c>
      <c r="L679" s="77"/>
      <c r="M679" s="77">
        <v>0</v>
      </c>
    </row>
    <row r="680" s="69" customFormat="1" spans="2:13">
      <c r="B680" s="84"/>
      <c r="C680" s="85"/>
      <c r="D680" s="86" t="str">
        <f t="shared" si="26"/>
        <v/>
      </c>
      <c r="E680" s="93" t="str">
        <f t="shared" si="27"/>
        <v/>
      </c>
      <c r="F680" s="94"/>
      <c r="G680" s="95"/>
      <c r="H680" s="74"/>
      <c r="I680" s="75" t="s">
        <v>507</v>
      </c>
      <c r="J680" s="76">
        <v>796.95728</v>
      </c>
      <c r="L680" s="77"/>
      <c r="M680" s="77">
        <v>0</v>
      </c>
    </row>
    <row r="681" s="69" customFormat="1" spans="2:13">
      <c r="B681" s="84"/>
      <c r="C681" s="85"/>
      <c r="D681" s="86" t="str">
        <f t="shared" si="26"/>
        <v/>
      </c>
      <c r="E681" s="93" t="str">
        <f t="shared" si="27"/>
        <v/>
      </c>
      <c r="F681" s="94"/>
      <c r="G681" s="95"/>
      <c r="H681" s="74"/>
      <c r="I681" s="75" t="s">
        <v>3755</v>
      </c>
      <c r="J681" s="76">
        <v>808.992107</v>
      </c>
      <c r="L681" s="77"/>
      <c r="M681" s="77">
        <v>0</v>
      </c>
    </row>
    <row r="682" s="69" customFormat="1" spans="2:13">
      <c r="B682" s="84"/>
      <c r="C682" s="85"/>
      <c r="D682" s="86" t="str">
        <f t="shared" si="26"/>
        <v/>
      </c>
      <c r="E682" s="93" t="str">
        <f t="shared" si="27"/>
        <v/>
      </c>
      <c r="F682" s="94"/>
      <c r="G682" s="95"/>
      <c r="H682" s="74"/>
      <c r="I682" s="75" t="s">
        <v>3756</v>
      </c>
      <c r="J682" s="76">
        <v>795.226663</v>
      </c>
      <c r="L682" s="77"/>
      <c r="M682" s="77">
        <v>0</v>
      </c>
    </row>
    <row r="683" s="69" customFormat="1" spans="2:13">
      <c r="B683" s="84"/>
      <c r="C683" s="85"/>
      <c r="D683" s="86" t="str">
        <f t="shared" si="26"/>
        <v/>
      </c>
      <c r="E683" s="93" t="str">
        <f t="shared" si="27"/>
        <v/>
      </c>
      <c r="F683" s="94"/>
      <c r="G683" s="95"/>
      <c r="H683" s="74"/>
      <c r="I683" s="75" t="s">
        <v>3757</v>
      </c>
      <c r="J683" s="76">
        <v>780.120327</v>
      </c>
      <c r="L683" s="77"/>
      <c r="M683" s="77">
        <v>0</v>
      </c>
    </row>
    <row r="684" s="69" customFormat="1" spans="2:13">
      <c r="B684" s="84"/>
      <c r="C684" s="85"/>
      <c r="D684" s="86" t="str">
        <f t="shared" si="26"/>
        <v/>
      </c>
      <c r="E684" s="93" t="str">
        <f t="shared" si="27"/>
        <v/>
      </c>
      <c r="F684" s="94"/>
      <c r="G684" s="95"/>
      <c r="H684" s="74"/>
      <c r="I684" s="75" t="s">
        <v>3758</v>
      </c>
      <c r="J684" s="76">
        <v>851.583397</v>
      </c>
      <c r="L684" s="77"/>
      <c r="M684" s="77">
        <v>0</v>
      </c>
    </row>
    <row r="685" s="69" customFormat="1" spans="2:13">
      <c r="B685" s="84"/>
      <c r="C685" s="85"/>
      <c r="D685" s="86" t="str">
        <f t="shared" si="26"/>
        <v/>
      </c>
      <c r="E685" s="93" t="str">
        <f t="shared" si="27"/>
        <v/>
      </c>
      <c r="F685" s="94"/>
      <c r="G685" s="95"/>
      <c r="H685" s="74"/>
      <c r="I685" s="75" t="s">
        <v>3759</v>
      </c>
      <c r="J685" s="76">
        <v>823.969566</v>
      </c>
      <c r="L685" s="77"/>
      <c r="M685" s="77">
        <v>0</v>
      </c>
    </row>
    <row r="686" s="69" customFormat="1" spans="2:13">
      <c r="B686" s="84"/>
      <c r="C686" s="85"/>
      <c r="D686" s="86" t="str">
        <f t="shared" si="26"/>
        <v/>
      </c>
      <c r="E686" s="93" t="str">
        <f t="shared" si="27"/>
        <v/>
      </c>
      <c r="F686" s="94"/>
      <c r="G686" s="95"/>
      <c r="H686" s="74"/>
      <c r="I686" s="75" t="s">
        <v>3760</v>
      </c>
      <c r="J686" s="76">
        <v>271.704132</v>
      </c>
      <c r="L686" s="77"/>
      <c r="M686" s="77">
        <v>0</v>
      </c>
    </row>
    <row r="687" s="69" customFormat="1" spans="2:13">
      <c r="B687" s="84"/>
      <c r="C687" s="85"/>
      <c r="D687" s="86" t="str">
        <f t="shared" si="26"/>
        <v/>
      </c>
      <c r="E687" s="93" t="str">
        <f t="shared" si="27"/>
        <v/>
      </c>
      <c r="F687" s="94"/>
      <c r="G687" s="95"/>
      <c r="H687" s="74"/>
      <c r="I687" s="75" t="s">
        <v>3761</v>
      </c>
      <c r="J687" s="76">
        <v>159.234376</v>
      </c>
      <c r="L687" s="77"/>
      <c r="M687" s="77">
        <v>0</v>
      </c>
    </row>
    <row r="688" s="69" customFormat="1" spans="2:13">
      <c r="B688" s="84"/>
      <c r="C688" s="85"/>
      <c r="D688" s="86" t="str">
        <f t="shared" si="26"/>
        <v/>
      </c>
      <c r="E688" s="93" t="str">
        <f t="shared" si="27"/>
        <v/>
      </c>
      <c r="F688" s="94"/>
      <c r="G688" s="95"/>
      <c r="H688" s="74"/>
      <c r="I688" s="75" t="s">
        <v>3762</v>
      </c>
      <c r="J688" s="76">
        <v>1069.891872</v>
      </c>
      <c r="L688" s="77"/>
      <c r="M688" s="77">
        <v>0</v>
      </c>
    </row>
    <row r="689" s="69" customFormat="1" spans="2:13">
      <c r="B689" s="84"/>
      <c r="C689" s="85"/>
      <c r="D689" s="86" t="str">
        <f t="shared" si="26"/>
        <v/>
      </c>
      <c r="E689" s="93" t="str">
        <f t="shared" si="27"/>
        <v/>
      </c>
      <c r="F689" s="94"/>
      <c r="G689" s="95"/>
      <c r="H689" s="74"/>
      <c r="I689" s="75" t="s">
        <v>518</v>
      </c>
      <c r="J689" s="76">
        <v>769.604059</v>
      </c>
      <c r="L689" s="77"/>
      <c r="M689" s="77">
        <v>0</v>
      </c>
    </row>
    <row r="690" s="69" customFormat="1" spans="2:13">
      <c r="B690" s="84"/>
      <c r="C690" s="85"/>
      <c r="D690" s="86" t="str">
        <f t="shared" si="26"/>
        <v/>
      </c>
      <c r="E690" s="93" t="str">
        <f t="shared" si="27"/>
        <v/>
      </c>
      <c r="F690" s="94"/>
      <c r="G690" s="95"/>
      <c r="H690" s="74"/>
      <c r="I690" s="75" t="s">
        <v>3763</v>
      </c>
      <c r="J690" s="76">
        <v>769.604059</v>
      </c>
      <c r="L690" s="77"/>
      <c r="M690" s="77">
        <v>0</v>
      </c>
    </row>
    <row r="691" s="69" customFormat="1" spans="2:13">
      <c r="B691" s="84"/>
      <c r="C691" s="85"/>
      <c r="D691" s="86" t="str">
        <f t="shared" si="26"/>
        <v/>
      </c>
      <c r="E691" s="93" t="str">
        <f t="shared" si="27"/>
        <v/>
      </c>
      <c r="F691" s="94"/>
      <c r="G691" s="95"/>
      <c r="H691" s="74"/>
      <c r="I691" s="75" t="s">
        <v>3764</v>
      </c>
      <c r="J691" s="76">
        <v>769.604059</v>
      </c>
      <c r="L691" s="77"/>
      <c r="M691" s="77">
        <v>0</v>
      </c>
    </row>
    <row r="692" s="69" customFormat="1" spans="2:13">
      <c r="B692" s="84"/>
      <c r="C692" s="85"/>
      <c r="D692" s="86" t="str">
        <f t="shared" si="26"/>
        <v/>
      </c>
      <c r="E692" s="93" t="str">
        <f t="shared" si="27"/>
        <v/>
      </c>
      <c r="F692" s="94"/>
      <c r="G692" s="95"/>
      <c r="H692" s="74"/>
      <c r="I692" s="75" t="s">
        <v>3765</v>
      </c>
      <c r="J692" s="76">
        <v>402.482395</v>
      </c>
      <c r="L692" s="77"/>
      <c r="M692" s="77">
        <v>0</v>
      </c>
    </row>
    <row r="693" s="69" customFormat="1" spans="2:13">
      <c r="B693" s="84"/>
      <c r="C693" s="85"/>
      <c r="D693" s="86" t="str">
        <f t="shared" si="26"/>
        <v/>
      </c>
      <c r="E693" s="93" t="str">
        <f t="shared" si="27"/>
        <v/>
      </c>
      <c r="F693" s="94"/>
      <c r="G693" s="95"/>
      <c r="H693" s="74"/>
      <c r="I693" s="75" t="s">
        <v>3766</v>
      </c>
      <c r="J693" s="76">
        <v>705.136642</v>
      </c>
      <c r="L693" s="77"/>
      <c r="M693" s="77">
        <v>0</v>
      </c>
    </row>
    <row r="694" s="69" customFormat="1" spans="2:13">
      <c r="B694" s="84"/>
      <c r="C694" s="85"/>
      <c r="D694" s="86" t="str">
        <f t="shared" si="26"/>
        <v/>
      </c>
      <c r="E694" s="93" t="str">
        <f t="shared" si="27"/>
        <v/>
      </c>
      <c r="F694" s="94"/>
      <c r="G694" s="95"/>
      <c r="H694" s="74"/>
      <c r="I694" s="75" t="s">
        <v>3767</v>
      </c>
      <c r="J694" s="76">
        <v>158.552863</v>
      </c>
      <c r="L694" s="77"/>
      <c r="M694" s="77">
        <v>0</v>
      </c>
    </row>
    <row r="695" s="69" customFormat="1" spans="2:13">
      <c r="B695" s="84"/>
      <c r="C695" s="85"/>
      <c r="D695" s="86" t="str">
        <f t="shared" si="26"/>
        <v/>
      </c>
      <c r="E695" s="93" t="str">
        <f t="shared" si="27"/>
        <v/>
      </c>
      <c r="F695" s="94"/>
      <c r="G695" s="95"/>
      <c r="H695" s="74"/>
      <c r="I695" s="75" t="s">
        <v>3768</v>
      </c>
      <c r="J695" s="76">
        <v>110.135809</v>
      </c>
      <c r="L695" s="77"/>
      <c r="M695" s="77">
        <v>0</v>
      </c>
    </row>
    <row r="696" s="69" customFormat="1" spans="2:13">
      <c r="B696" s="84"/>
      <c r="C696" s="85"/>
      <c r="D696" s="86" t="str">
        <f t="shared" si="26"/>
        <v/>
      </c>
      <c r="E696" s="93" t="str">
        <f t="shared" si="27"/>
        <v/>
      </c>
      <c r="F696" s="94"/>
      <c r="G696" s="95"/>
      <c r="H696" s="74"/>
      <c r="I696" s="75" t="s">
        <v>3769</v>
      </c>
      <c r="J696" s="76">
        <v>1053.679996</v>
      </c>
      <c r="L696" s="77"/>
      <c r="M696" s="77">
        <v>0</v>
      </c>
    </row>
    <row r="697" s="69" customFormat="1" spans="2:13">
      <c r="B697" s="84"/>
      <c r="C697" s="85"/>
      <c r="D697" s="86" t="str">
        <f t="shared" si="26"/>
        <v/>
      </c>
      <c r="E697" s="93" t="str">
        <f t="shared" si="27"/>
        <v/>
      </c>
      <c r="F697" s="94"/>
      <c r="G697" s="95"/>
      <c r="H697" s="74"/>
      <c r="I697" s="75" t="s">
        <v>3770</v>
      </c>
      <c r="J697" s="76">
        <v>824.728915</v>
      </c>
      <c r="L697" s="77"/>
      <c r="M697" s="77">
        <v>0</v>
      </c>
    </row>
    <row r="698" s="69" customFormat="1" spans="2:13">
      <c r="B698" s="84"/>
      <c r="C698" s="85"/>
      <c r="D698" s="86" t="str">
        <f t="shared" si="26"/>
        <v/>
      </c>
      <c r="E698" s="93" t="str">
        <f t="shared" si="27"/>
        <v/>
      </c>
      <c r="F698" s="94"/>
      <c r="G698" s="95"/>
      <c r="H698" s="74"/>
      <c r="I698" s="75" t="s">
        <v>3771</v>
      </c>
      <c r="J698" s="76">
        <v>851.583452</v>
      </c>
      <c r="L698" s="77"/>
      <c r="M698" s="77">
        <v>0</v>
      </c>
    </row>
    <row r="699" s="69" customFormat="1" spans="2:13">
      <c r="B699" s="84"/>
      <c r="C699" s="85"/>
      <c r="D699" s="86" t="str">
        <f t="shared" si="26"/>
        <v/>
      </c>
      <c r="E699" s="93" t="str">
        <f t="shared" si="27"/>
        <v/>
      </c>
      <c r="F699" s="94"/>
      <c r="G699" s="95"/>
      <c r="H699" s="74"/>
      <c r="I699" s="75" t="s">
        <v>3772</v>
      </c>
      <c r="J699" s="76">
        <v>229.76</v>
      </c>
      <c r="L699" s="77"/>
      <c r="M699" s="77">
        <v>0</v>
      </c>
    </row>
    <row r="700" s="69" customFormat="1" spans="2:13">
      <c r="B700" s="84"/>
      <c r="C700" s="85"/>
      <c r="D700" s="86" t="str">
        <f t="shared" si="26"/>
        <v/>
      </c>
      <c r="E700" s="93" t="str">
        <f t="shared" si="27"/>
        <v/>
      </c>
      <c r="F700" s="94"/>
      <c r="G700" s="95"/>
      <c r="H700" s="74"/>
      <c r="I700" s="75" t="s">
        <v>3773</v>
      </c>
      <c r="J700" s="76">
        <v>890.84</v>
      </c>
      <c r="L700" s="77"/>
      <c r="M700" s="77">
        <v>0</v>
      </c>
    </row>
    <row r="701" s="69" customFormat="1" spans="2:13">
      <c r="B701" s="84"/>
      <c r="C701" s="85"/>
      <c r="D701" s="86" t="str">
        <f t="shared" si="26"/>
        <v/>
      </c>
      <c r="E701" s="93" t="str">
        <f t="shared" si="27"/>
        <v/>
      </c>
      <c r="F701" s="94"/>
      <c r="G701" s="95"/>
      <c r="H701" s="74"/>
      <c r="I701" s="75" t="s">
        <v>3774</v>
      </c>
      <c r="J701" s="76">
        <v>784.78</v>
      </c>
      <c r="L701" s="77"/>
      <c r="M701" s="77">
        <v>0</v>
      </c>
    </row>
    <row r="702" s="69" customFormat="1" spans="2:13">
      <c r="B702" s="84"/>
      <c r="C702" s="85"/>
      <c r="D702" s="86" t="str">
        <f t="shared" si="26"/>
        <v/>
      </c>
      <c r="E702" s="93" t="str">
        <f t="shared" si="27"/>
        <v/>
      </c>
      <c r="F702" s="94"/>
      <c r="G702" s="95"/>
      <c r="H702" s="74"/>
      <c r="I702" s="75" t="s">
        <v>3775</v>
      </c>
      <c r="J702" s="76">
        <v>911.3</v>
      </c>
      <c r="L702" s="77"/>
      <c r="M702" s="77">
        <v>0</v>
      </c>
    </row>
    <row r="703" s="69" customFormat="1" spans="2:13">
      <c r="B703" s="84"/>
      <c r="C703" s="85"/>
      <c r="D703" s="86" t="str">
        <f t="shared" si="26"/>
        <v/>
      </c>
      <c r="E703" s="93" t="str">
        <f t="shared" si="27"/>
        <v/>
      </c>
      <c r="F703" s="94"/>
      <c r="G703" s="95"/>
      <c r="H703" s="74"/>
      <c r="I703" s="75" t="s">
        <v>3776</v>
      </c>
      <c r="J703" s="76">
        <v>854.7</v>
      </c>
      <c r="L703" s="77"/>
      <c r="M703" s="77">
        <v>0</v>
      </c>
    </row>
    <row r="704" s="69" customFormat="1" spans="2:13">
      <c r="B704" s="84"/>
      <c r="C704" s="85"/>
      <c r="D704" s="86" t="str">
        <f t="shared" si="26"/>
        <v/>
      </c>
      <c r="E704" s="93" t="str">
        <f t="shared" si="27"/>
        <v/>
      </c>
      <c r="F704" s="94"/>
      <c r="G704" s="95"/>
      <c r="H704" s="74"/>
      <c r="I704" s="75" t="s">
        <v>377</v>
      </c>
      <c r="J704" s="76">
        <v>791.1</v>
      </c>
      <c r="L704" s="77"/>
      <c r="M704" s="77">
        <v>0</v>
      </c>
    </row>
    <row r="705" s="69" customFormat="1" spans="2:13">
      <c r="B705" s="84"/>
      <c r="C705" s="85"/>
      <c r="D705" s="86" t="str">
        <f t="shared" si="26"/>
        <v/>
      </c>
      <c r="E705" s="93" t="str">
        <f t="shared" si="27"/>
        <v/>
      </c>
      <c r="F705" s="94"/>
      <c r="G705" s="95"/>
      <c r="H705" s="74"/>
      <c r="I705" s="75" t="s">
        <v>632</v>
      </c>
      <c r="J705" s="76">
        <v>1163.392909</v>
      </c>
      <c r="L705" s="77"/>
      <c r="M705" s="77">
        <v>0</v>
      </c>
    </row>
    <row r="706" s="69" customFormat="1" spans="2:13">
      <c r="B706" s="84"/>
      <c r="C706" s="85"/>
      <c r="D706" s="86" t="str">
        <f t="shared" si="26"/>
        <v/>
      </c>
      <c r="E706" s="93" t="str">
        <f t="shared" si="27"/>
        <v/>
      </c>
      <c r="F706" s="94"/>
      <c r="G706" s="95"/>
      <c r="H706" s="74"/>
      <c r="I706" s="75" t="s">
        <v>3777</v>
      </c>
      <c r="J706" s="76">
        <v>925.293663</v>
      </c>
      <c r="L706" s="77"/>
      <c r="M706" s="77">
        <v>0</v>
      </c>
    </row>
    <row r="707" s="69" customFormat="1" spans="2:13">
      <c r="B707" s="84"/>
      <c r="C707" s="85"/>
      <c r="D707" s="86" t="str">
        <f t="shared" ref="D707:D770" si="28">IF(C707="","",C707/(C707+$E$1/60))</f>
        <v/>
      </c>
      <c r="E707" s="93" t="str">
        <f t="shared" ref="E707:E770" si="29">IFERROR(ROUND(1440/C707*2*D707,0),"")</f>
        <v/>
      </c>
      <c r="F707" s="94"/>
      <c r="G707" s="95"/>
      <c r="H707" s="74"/>
      <c r="I707" s="75" t="s">
        <v>3778</v>
      </c>
      <c r="J707" s="76">
        <v>988.566677</v>
      </c>
      <c r="L707" s="77"/>
      <c r="M707" s="77">
        <v>0</v>
      </c>
    </row>
    <row r="708" s="69" customFormat="1" spans="2:13">
      <c r="B708" s="84"/>
      <c r="C708" s="85"/>
      <c r="D708" s="86" t="str">
        <f t="shared" si="28"/>
        <v/>
      </c>
      <c r="E708" s="93" t="str">
        <f t="shared" si="29"/>
        <v/>
      </c>
      <c r="F708" s="94"/>
      <c r="G708" s="95"/>
      <c r="H708" s="74"/>
      <c r="I708" s="75" t="s">
        <v>3779</v>
      </c>
      <c r="J708" s="76">
        <v>925.293663</v>
      </c>
      <c r="L708" s="77"/>
      <c r="M708" s="77">
        <v>0</v>
      </c>
    </row>
    <row r="709" s="69" customFormat="1" spans="2:13">
      <c r="B709" s="84"/>
      <c r="C709" s="85"/>
      <c r="D709" s="86" t="str">
        <f t="shared" si="28"/>
        <v/>
      </c>
      <c r="E709" s="93" t="str">
        <f t="shared" si="29"/>
        <v/>
      </c>
      <c r="F709" s="94"/>
      <c r="G709" s="95"/>
      <c r="H709" s="74"/>
      <c r="I709" s="75" t="s">
        <v>3780</v>
      </c>
      <c r="J709" s="76">
        <v>925.293663</v>
      </c>
      <c r="L709" s="77"/>
      <c r="M709" s="77">
        <v>0</v>
      </c>
    </row>
    <row r="710" s="69" customFormat="1" spans="2:13">
      <c r="B710" s="84"/>
      <c r="C710" s="85"/>
      <c r="D710" s="86" t="str">
        <f t="shared" si="28"/>
        <v/>
      </c>
      <c r="E710" s="93" t="str">
        <f t="shared" si="29"/>
        <v/>
      </c>
      <c r="F710" s="94"/>
      <c r="G710" s="95"/>
      <c r="H710" s="74"/>
      <c r="I710" s="75" t="s">
        <v>3781</v>
      </c>
      <c r="J710" s="76">
        <v>925.293663</v>
      </c>
      <c r="L710" s="77"/>
      <c r="M710" s="77">
        <v>0</v>
      </c>
    </row>
    <row r="711" s="69" customFormat="1" spans="2:13">
      <c r="B711" s="84"/>
      <c r="C711" s="85"/>
      <c r="D711" s="86" t="str">
        <f t="shared" si="28"/>
        <v/>
      </c>
      <c r="E711" s="93" t="str">
        <f t="shared" si="29"/>
        <v/>
      </c>
      <c r="F711" s="94"/>
      <c r="G711" s="95"/>
      <c r="H711" s="74"/>
      <c r="I711" s="75" t="s">
        <v>3782</v>
      </c>
      <c r="J711" s="76">
        <v>1018.714613</v>
      </c>
      <c r="L711" s="77"/>
      <c r="M711" s="77">
        <v>0</v>
      </c>
    </row>
    <row r="712" s="69" customFormat="1" spans="2:13">
      <c r="B712" s="84"/>
      <c r="C712" s="85"/>
      <c r="D712" s="86" t="str">
        <f t="shared" si="28"/>
        <v/>
      </c>
      <c r="E712" s="93" t="str">
        <f t="shared" si="29"/>
        <v/>
      </c>
      <c r="F712" s="94"/>
      <c r="G712" s="95"/>
      <c r="H712" s="74"/>
      <c r="I712" s="75" t="s">
        <v>3783</v>
      </c>
      <c r="J712" s="76">
        <v>1018.714613</v>
      </c>
      <c r="L712" s="77"/>
      <c r="M712" s="77">
        <v>0</v>
      </c>
    </row>
    <row r="713" s="69" customFormat="1" spans="2:13">
      <c r="B713" s="84"/>
      <c r="C713" s="85"/>
      <c r="D713" s="86" t="str">
        <f t="shared" si="28"/>
        <v/>
      </c>
      <c r="E713" s="93" t="str">
        <f t="shared" si="29"/>
        <v/>
      </c>
      <c r="F713" s="94"/>
      <c r="G713" s="95"/>
      <c r="H713" s="74"/>
      <c r="I713" s="75" t="s">
        <v>3784</v>
      </c>
      <c r="J713" s="76">
        <v>903.423129</v>
      </c>
      <c r="L713" s="77"/>
      <c r="M713" s="77">
        <v>0</v>
      </c>
    </row>
    <row r="714" s="69" customFormat="1" spans="2:13">
      <c r="B714" s="84"/>
      <c r="C714" s="85"/>
      <c r="D714" s="86" t="str">
        <f t="shared" si="28"/>
        <v/>
      </c>
      <c r="E714" s="93" t="str">
        <f t="shared" si="29"/>
        <v/>
      </c>
      <c r="F714" s="94"/>
      <c r="G714" s="95"/>
      <c r="H714" s="74"/>
      <c r="I714" s="75" t="s">
        <v>3785</v>
      </c>
      <c r="J714" s="76">
        <v>928.314121</v>
      </c>
      <c r="L714" s="77"/>
      <c r="M714" s="77">
        <v>0</v>
      </c>
    </row>
    <row r="715" s="69" customFormat="1" spans="2:13">
      <c r="B715" s="84"/>
      <c r="C715" s="85"/>
      <c r="D715" s="86" t="str">
        <f t="shared" si="28"/>
        <v/>
      </c>
      <c r="E715" s="93" t="str">
        <f t="shared" si="29"/>
        <v/>
      </c>
      <c r="F715" s="94"/>
      <c r="G715" s="95"/>
      <c r="H715" s="74"/>
      <c r="I715" s="75" t="s">
        <v>3786</v>
      </c>
      <c r="J715" s="76">
        <v>446.181694</v>
      </c>
      <c r="L715" s="77"/>
      <c r="M715" s="77">
        <v>0</v>
      </c>
    </row>
    <row r="716" s="69" customFormat="1" spans="2:13">
      <c r="B716" s="84"/>
      <c r="C716" s="85"/>
      <c r="D716" s="86" t="str">
        <f t="shared" si="28"/>
        <v/>
      </c>
      <c r="E716" s="93" t="str">
        <f t="shared" si="29"/>
        <v/>
      </c>
      <c r="F716" s="94"/>
      <c r="G716" s="95"/>
      <c r="H716" s="74"/>
      <c r="I716" s="75" t="s">
        <v>3787</v>
      </c>
      <c r="J716" s="76">
        <v>986.903533</v>
      </c>
      <c r="L716" s="77"/>
      <c r="M716" s="77">
        <v>0</v>
      </c>
    </row>
    <row r="717" s="69" customFormat="1" spans="2:13">
      <c r="B717" s="84"/>
      <c r="C717" s="85"/>
      <c r="D717" s="86" t="str">
        <f t="shared" si="28"/>
        <v/>
      </c>
      <c r="E717" s="93" t="str">
        <f t="shared" si="29"/>
        <v/>
      </c>
      <c r="F717" s="94"/>
      <c r="G717" s="95"/>
      <c r="H717" s="74"/>
      <c r="I717" s="75" t="s">
        <v>3788</v>
      </c>
      <c r="J717" s="76">
        <v>949.850979</v>
      </c>
      <c r="L717" s="77"/>
      <c r="M717" s="77">
        <v>0</v>
      </c>
    </row>
    <row r="718" s="69" customFormat="1" spans="2:13">
      <c r="B718" s="84"/>
      <c r="C718" s="85"/>
      <c r="D718" s="86" t="str">
        <f t="shared" si="28"/>
        <v/>
      </c>
      <c r="E718" s="93" t="str">
        <f t="shared" si="29"/>
        <v/>
      </c>
      <c r="F718" s="94"/>
      <c r="G718" s="95"/>
      <c r="H718" s="74"/>
      <c r="I718" s="75" t="s">
        <v>3789</v>
      </c>
      <c r="J718" s="76">
        <v>976.436174</v>
      </c>
      <c r="L718" s="77"/>
      <c r="M718" s="77">
        <v>0</v>
      </c>
    </row>
    <row r="719" s="69" customFormat="1" spans="2:13">
      <c r="B719" s="84"/>
      <c r="C719" s="85"/>
      <c r="D719" s="86" t="str">
        <f t="shared" si="28"/>
        <v/>
      </c>
      <c r="E719" s="93" t="str">
        <f t="shared" si="29"/>
        <v/>
      </c>
      <c r="F719" s="94"/>
      <c r="G719" s="95"/>
      <c r="H719" s="74"/>
      <c r="I719" s="75" t="s">
        <v>3790</v>
      </c>
      <c r="J719" s="76">
        <v>972.532974</v>
      </c>
      <c r="L719" s="77"/>
      <c r="M719" s="77">
        <v>0</v>
      </c>
    </row>
    <row r="720" s="69" customFormat="1" spans="2:13">
      <c r="B720" s="84"/>
      <c r="C720" s="85"/>
      <c r="D720" s="86" t="str">
        <f t="shared" si="28"/>
        <v/>
      </c>
      <c r="E720" s="93" t="str">
        <f t="shared" si="29"/>
        <v/>
      </c>
      <c r="F720" s="94"/>
      <c r="G720" s="95"/>
      <c r="H720" s="74"/>
      <c r="I720" s="75" t="s">
        <v>3791</v>
      </c>
      <c r="J720" s="76">
        <v>772.852997</v>
      </c>
      <c r="L720" s="77"/>
      <c r="M720" s="77">
        <v>0</v>
      </c>
    </row>
    <row r="721" s="69" customFormat="1" spans="2:13">
      <c r="B721" s="84"/>
      <c r="C721" s="85"/>
      <c r="D721" s="86" t="str">
        <f t="shared" si="28"/>
        <v/>
      </c>
      <c r="E721" s="93" t="str">
        <f t="shared" si="29"/>
        <v/>
      </c>
      <c r="F721" s="94"/>
      <c r="G721" s="95"/>
      <c r="H721" s="74"/>
      <c r="I721" s="75" t="s">
        <v>3792</v>
      </c>
      <c r="J721" s="76">
        <v>746.630038</v>
      </c>
      <c r="L721" s="77"/>
      <c r="M721" s="77">
        <v>0</v>
      </c>
    </row>
    <row r="722" s="69" customFormat="1" spans="2:13">
      <c r="B722" s="84"/>
      <c r="C722" s="85"/>
      <c r="D722" s="86" t="str">
        <f t="shared" si="28"/>
        <v/>
      </c>
      <c r="E722" s="93" t="str">
        <f t="shared" si="29"/>
        <v/>
      </c>
      <c r="F722" s="94"/>
      <c r="G722" s="95"/>
      <c r="H722" s="74"/>
      <c r="I722" s="75" t="s">
        <v>3793</v>
      </c>
      <c r="J722" s="76">
        <v>758.343446</v>
      </c>
      <c r="L722" s="77"/>
      <c r="M722" s="77">
        <v>0</v>
      </c>
    </row>
    <row r="723" s="69" customFormat="1" spans="2:13">
      <c r="B723" s="84"/>
      <c r="C723" s="85"/>
      <c r="D723" s="86" t="str">
        <f t="shared" si="28"/>
        <v/>
      </c>
      <c r="E723" s="93" t="str">
        <f t="shared" si="29"/>
        <v/>
      </c>
      <c r="F723" s="94"/>
      <c r="G723" s="95"/>
      <c r="H723" s="74"/>
      <c r="I723" s="75" t="s">
        <v>3794</v>
      </c>
      <c r="J723" s="76">
        <v>824.399513</v>
      </c>
      <c r="L723" s="77"/>
      <c r="M723" s="77">
        <v>0</v>
      </c>
    </row>
    <row r="724" s="69" customFormat="1" spans="2:13">
      <c r="B724" s="84"/>
      <c r="C724" s="85"/>
      <c r="D724" s="86" t="str">
        <f t="shared" si="28"/>
        <v/>
      </c>
      <c r="E724" s="93" t="str">
        <f t="shared" si="29"/>
        <v/>
      </c>
      <c r="F724" s="94"/>
      <c r="G724" s="95"/>
      <c r="H724" s="74"/>
      <c r="I724" s="75" t="s">
        <v>3795</v>
      </c>
      <c r="J724" s="76">
        <v>902.849668</v>
      </c>
      <c r="L724" s="77"/>
      <c r="M724" s="77">
        <v>0</v>
      </c>
    </row>
    <row r="725" s="69" customFormat="1" spans="2:13">
      <c r="B725" s="84"/>
      <c r="C725" s="85"/>
      <c r="D725" s="86" t="str">
        <f t="shared" si="28"/>
        <v/>
      </c>
      <c r="E725" s="93" t="str">
        <f t="shared" si="29"/>
        <v/>
      </c>
      <c r="F725" s="94"/>
      <c r="G725" s="95"/>
      <c r="H725" s="74"/>
      <c r="I725" s="75" t="s">
        <v>3796</v>
      </c>
      <c r="J725" s="76">
        <v>1004.658809</v>
      </c>
      <c r="L725" s="77"/>
      <c r="M725" s="77">
        <v>0</v>
      </c>
    </row>
    <row r="726" s="69" customFormat="1" spans="2:13">
      <c r="B726" s="84"/>
      <c r="C726" s="85"/>
      <c r="D726" s="86" t="str">
        <f t="shared" si="28"/>
        <v/>
      </c>
      <c r="E726" s="93" t="str">
        <f t="shared" si="29"/>
        <v/>
      </c>
      <c r="F726" s="94"/>
      <c r="G726" s="95"/>
      <c r="H726" s="74"/>
      <c r="I726" s="75" t="s">
        <v>3797</v>
      </c>
      <c r="J726" s="76">
        <v>798.105154</v>
      </c>
      <c r="L726" s="77"/>
      <c r="M726" s="77">
        <v>0</v>
      </c>
    </row>
    <row r="727" s="69" customFormat="1" spans="2:13">
      <c r="B727" s="84"/>
      <c r="C727" s="85"/>
      <c r="D727" s="86" t="str">
        <f t="shared" si="28"/>
        <v/>
      </c>
      <c r="E727" s="93" t="str">
        <f t="shared" si="29"/>
        <v/>
      </c>
      <c r="F727" s="94"/>
      <c r="G727" s="95"/>
      <c r="H727" s="74"/>
      <c r="I727" s="75" t="s">
        <v>3798</v>
      </c>
      <c r="J727" s="76">
        <v>798.105154</v>
      </c>
      <c r="L727" s="77"/>
      <c r="M727" s="77">
        <v>0</v>
      </c>
    </row>
    <row r="728" s="69" customFormat="1" spans="2:13">
      <c r="B728" s="84"/>
      <c r="C728" s="85"/>
      <c r="D728" s="86" t="str">
        <f t="shared" si="28"/>
        <v/>
      </c>
      <c r="E728" s="93" t="str">
        <f t="shared" si="29"/>
        <v/>
      </c>
      <c r="F728" s="94"/>
      <c r="G728" s="95"/>
      <c r="H728" s="74"/>
      <c r="I728" s="75" t="s">
        <v>3799</v>
      </c>
      <c r="J728" s="76">
        <v>747.197549</v>
      </c>
      <c r="L728" s="77"/>
      <c r="M728" s="77">
        <v>0</v>
      </c>
    </row>
    <row r="729" s="69" customFormat="1" spans="2:13">
      <c r="B729" s="84"/>
      <c r="C729" s="85"/>
      <c r="D729" s="86" t="str">
        <f t="shared" si="28"/>
        <v/>
      </c>
      <c r="E729" s="93" t="str">
        <f t="shared" si="29"/>
        <v/>
      </c>
      <c r="F729" s="94"/>
      <c r="G729" s="95"/>
      <c r="H729" s="74"/>
      <c r="I729" s="75" t="s">
        <v>3800</v>
      </c>
      <c r="J729" s="76">
        <v>856.046968</v>
      </c>
      <c r="L729" s="77"/>
      <c r="M729" s="77">
        <v>0</v>
      </c>
    </row>
    <row r="730" s="69" customFormat="1" spans="2:13">
      <c r="B730" s="84"/>
      <c r="C730" s="85"/>
      <c r="D730" s="86" t="str">
        <f t="shared" si="28"/>
        <v/>
      </c>
      <c r="E730" s="93" t="str">
        <f t="shared" si="29"/>
        <v/>
      </c>
      <c r="F730" s="94"/>
      <c r="G730" s="95"/>
      <c r="H730" s="74"/>
      <c r="I730" s="75" t="s">
        <v>3801</v>
      </c>
      <c r="J730" s="76">
        <v>784.783937</v>
      </c>
      <c r="L730" s="77"/>
      <c r="M730" s="77">
        <v>0</v>
      </c>
    </row>
    <row r="731" s="69" customFormat="1" spans="2:13">
      <c r="B731" s="84"/>
      <c r="C731" s="85"/>
      <c r="D731" s="86" t="str">
        <f t="shared" si="28"/>
        <v/>
      </c>
      <c r="E731" s="93" t="str">
        <f t="shared" si="29"/>
        <v/>
      </c>
      <c r="F731" s="94"/>
      <c r="G731" s="95"/>
      <c r="H731" s="74"/>
      <c r="I731" s="75" t="s">
        <v>3802</v>
      </c>
      <c r="J731" s="76">
        <v>690.716103</v>
      </c>
      <c r="L731" s="77"/>
      <c r="M731" s="77">
        <v>0</v>
      </c>
    </row>
    <row r="732" s="69" customFormat="1" spans="2:13">
      <c r="B732" s="84"/>
      <c r="C732" s="85"/>
      <c r="D732" s="86" t="str">
        <f t="shared" si="28"/>
        <v/>
      </c>
      <c r="E732" s="93" t="str">
        <f t="shared" si="29"/>
        <v/>
      </c>
      <c r="F732" s="94"/>
      <c r="G732" s="95"/>
      <c r="H732" s="74"/>
      <c r="I732" s="75" t="s">
        <v>3803</v>
      </c>
      <c r="J732" s="76">
        <v>730.353456</v>
      </c>
      <c r="L732" s="77"/>
      <c r="M732" s="77">
        <v>0</v>
      </c>
    </row>
    <row r="733" s="69" customFormat="1" spans="2:13">
      <c r="B733" s="84"/>
      <c r="C733" s="85"/>
      <c r="D733" s="86" t="str">
        <f t="shared" si="28"/>
        <v/>
      </c>
      <c r="E733" s="93" t="str">
        <f t="shared" si="29"/>
        <v/>
      </c>
      <c r="F733" s="94"/>
      <c r="G733" s="95"/>
      <c r="H733" s="74"/>
      <c r="I733" s="75" t="s">
        <v>3804</v>
      </c>
      <c r="J733" s="76">
        <v>745.860346</v>
      </c>
      <c r="L733" s="77"/>
      <c r="M733" s="77">
        <v>0</v>
      </c>
    </row>
    <row r="734" s="69" customFormat="1" spans="2:13">
      <c r="B734" s="84"/>
      <c r="C734" s="85"/>
      <c r="D734" s="86" t="str">
        <f t="shared" si="28"/>
        <v/>
      </c>
      <c r="E734" s="93" t="str">
        <f t="shared" si="29"/>
        <v/>
      </c>
      <c r="F734" s="94"/>
      <c r="G734" s="95"/>
      <c r="H734" s="74"/>
      <c r="I734" s="75" t="s">
        <v>3805</v>
      </c>
      <c r="J734" s="76">
        <v>774.215309</v>
      </c>
      <c r="L734" s="77"/>
      <c r="M734" s="77">
        <v>0</v>
      </c>
    </row>
    <row r="735" s="69" customFormat="1" spans="2:13">
      <c r="B735" s="84"/>
      <c r="C735" s="85"/>
      <c r="D735" s="86" t="str">
        <f t="shared" si="28"/>
        <v/>
      </c>
      <c r="E735" s="93" t="str">
        <f t="shared" si="29"/>
        <v/>
      </c>
      <c r="F735" s="94"/>
      <c r="G735" s="95"/>
      <c r="H735" s="74"/>
      <c r="I735" s="75" t="s">
        <v>3806</v>
      </c>
      <c r="J735" s="76">
        <v>695.775507</v>
      </c>
      <c r="L735" s="77"/>
      <c r="M735" s="77">
        <v>0</v>
      </c>
    </row>
    <row r="736" s="69" customFormat="1" spans="2:13">
      <c r="B736" s="84"/>
      <c r="C736" s="85"/>
      <c r="D736" s="86" t="str">
        <f t="shared" si="28"/>
        <v/>
      </c>
      <c r="E736" s="93" t="str">
        <f t="shared" si="29"/>
        <v/>
      </c>
      <c r="F736" s="94"/>
      <c r="G736" s="95"/>
      <c r="H736" s="74"/>
      <c r="I736" s="75" t="s">
        <v>3807</v>
      </c>
      <c r="J736" s="76">
        <v>802.151392</v>
      </c>
      <c r="L736" s="77"/>
      <c r="M736" s="77">
        <v>0</v>
      </c>
    </row>
    <row r="737" s="69" customFormat="1" spans="2:13">
      <c r="B737" s="84"/>
      <c r="C737" s="85"/>
      <c r="D737" s="86" t="str">
        <f t="shared" si="28"/>
        <v/>
      </c>
      <c r="E737" s="93" t="str">
        <f t="shared" si="29"/>
        <v/>
      </c>
      <c r="F737" s="94"/>
      <c r="G737" s="95"/>
      <c r="H737" s="74"/>
      <c r="I737" s="75" t="s">
        <v>3808</v>
      </c>
      <c r="J737" s="76">
        <v>837.560437</v>
      </c>
      <c r="L737" s="77"/>
      <c r="M737" s="77">
        <v>0</v>
      </c>
    </row>
    <row r="738" s="69" customFormat="1" spans="2:13">
      <c r="B738" s="84"/>
      <c r="C738" s="85"/>
      <c r="D738" s="86" t="str">
        <f t="shared" si="28"/>
        <v/>
      </c>
      <c r="E738" s="93" t="str">
        <f t="shared" si="29"/>
        <v/>
      </c>
      <c r="F738" s="94"/>
      <c r="G738" s="95"/>
      <c r="H738" s="74"/>
      <c r="I738" s="75" t="s">
        <v>3809</v>
      </c>
      <c r="J738" s="76">
        <v>757.318023</v>
      </c>
      <c r="L738" s="77"/>
      <c r="M738" s="77">
        <v>0</v>
      </c>
    </row>
    <row r="739" s="69" customFormat="1" spans="2:13">
      <c r="B739" s="84"/>
      <c r="C739" s="85"/>
      <c r="D739" s="86" t="str">
        <f t="shared" si="28"/>
        <v/>
      </c>
      <c r="E739" s="93" t="str">
        <f t="shared" si="29"/>
        <v/>
      </c>
      <c r="F739" s="94"/>
      <c r="G739" s="95"/>
      <c r="H739" s="74"/>
      <c r="I739" s="75" t="s">
        <v>3810</v>
      </c>
      <c r="J739" s="76">
        <v>715.093967</v>
      </c>
      <c r="L739" s="77"/>
      <c r="M739" s="77">
        <v>0</v>
      </c>
    </row>
    <row r="740" s="69" customFormat="1" spans="2:13">
      <c r="B740" s="84"/>
      <c r="C740" s="85"/>
      <c r="D740" s="86" t="str">
        <f t="shared" si="28"/>
        <v/>
      </c>
      <c r="E740" s="93" t="str">
        <f t="shared" si="29"/>
        <v/>
      </c>
      <c r="F740" s="94"/>
      <c r="G740" s="95"/>
      <c r="H740" s="74"/>
      <c r="I740" s="75" t="s">
        <v>3811</v>
      </c>
      <c r="J740" s="76">
        <v>763.545412</v>
      </c>
      <c r="L740" s="77"/>
      <c r="M740" s="77">
        <v>0</v>
      </c>
    </row>
    <row r="741" s="69" customFormat="1" spans="2:13">
      <c r="B741" s="84"/>
      <c r="C741" s="85"/>
      <c r="D741" s="86" t="str">
        <f t="shared" si="28"/>
        <v/>
      </c>
      <c r="E741" s="93" t="str">
        <f t="shared" si="29"/>
        <v/>
      </c>
      <c r="F741" s="94"/>
      <c r="G741" s="95"/>
      <c r="H741" s="74"/>
      <c r="I741" s="75" t="s">
        <v>3812</v>
      </c>
      <c r="J741" s="76">
        <v>822.848348</v>
      </c>
      <c r="L741" s="77"/>
      <c r="M741" s="77">
        <v>0</v>
      </c>
    </row>
    <row r="742" s="69" customFormat="1" spans="2:13">
      <c r="B742" s="84"/>
      <c r="C742" s="85"/>
      <c r="D742" s="86" t="str">
        <f t="shared" si="28"/>
        <v/>
      </c>
      <c r="E742" s="93" t="str">
        <f t="shared" si="29"/>
        <v/>
      </c>
      <c r="F742" s="94"/>
      <c r="G742" s="95"/>
      <c r="H742" s="74"/>
      <c r="I742" s="75" t="s">
        <v>3813</v>
      </c>
      <c r="J742" s="76">
        <v>862.032192</v>
      </c>
      <c r="L742" s="77"/>
      <c r="M742" s="77">
        <v>0</v>
      </c>
    </row>
    <row r="743" s="69" customFormat="1" spans="2:13">
      <c r="B743" s="84"/>
      <c r="C743" s="85"/>
      <c r="D743" s="86" t="str">
        <f t="shared" si="28"/>
        <v/>
      </c>
      <c r="E743" s="93" t="str">
        <f t="shared" si="29"/>
        <v/>
      </c>
      <c r="F743" s="94"/>
      <c r="G743" s="95"/>
      <c r="H743" s="74"/>
      <c r="I743" s="75" t="s">
        <v>3814</v>
      </c>
      <c r="J743" s="76">
        <v>528.894786</v>
      </c>
      <c r="L743" s="77"/>
      <c r="M743" s="77">
        <v>0</v>
      </c>
    </row>
    <row r="744" s="69" customFormat="1" spans="2:13">
      <c r="B744" s="84"/>
      <c r="C744" s="85"/>
      <c r="D744" s="86" t="str">
        <f t="shared" si="28"/>
        <v/>
      </c>
      <c r="E744" s="93" t="str">
        <f t="shared" si="29"/>
        <v/>
      </c>
      <c r="F744" s="94"/>
      <c r="G744" s="95"/>
      <c r="H744" s="74"/>
      <c r="I744" s="75" t="s">
        <v>3815</v>
      </c>
      <c r="J744" s="76">
        <v>471.564632</v>
      </c>
      <c r="L744" s="77"/>
      <c r="M744" s="77">
        <v>0</v>
      </c>
    </row>
    <row r="745" s="69" customFormat="1" spans="2:13">
      <c r="B745" s="84"/>
      <c r="C745" s="85"/>
      <c r="D745" s="86" t="str">
        <f t="shared" si="28"/>
        <v/>
      </c>
      <c r="E745" s="93" t="str">
        <f t="shared" si="29"/>
        <v/>
      </c>
      <c r="F745" s="94"/>
      <c r="G745" s="95"/>
      <c r="H745" s="74"/>
      <c r="I745" s="75" t="s">
        <v>3816</v>
      </c>
      <c r="J745" s="76">
        <v>447.914453</v>
      </c>
      <c r="L745" s="77"/>
      <c r="M745" s="77">
        <v>0</v>
      </c>
    </row>
    <row r="746" s="69" customFormat="1" spans="2:13">
      <c r="B746" s="84"/>
      <c r="C746" s="85"/>
      <c r="D746" s="86" t="str">
        <f t="shared" si="28"/>
        <v/>
      </c>
      <c r="E746" s="93" t="str">
        <f t="shared" si="29"/>
        <v/>
      </c>
      <c r="F746" s="94"/>
      <c r="G746" s="95"/>
      <c r="H746" s="74"/>
      <c r="I746" s="75" t="s">
        <v>3817</v>
      </c>
      <c r="J746" s="76">
        <v>447.914453</v>
      </c>
      <c r="L746" s="77"/>
      <c r="M746" s="77">
        <v>0</v>
      </c>
    </row>
    <row r="747" s="69" customFormat="1" spans="2:13">
      <c r="B747" s="84"/>
      <c r="C747" s="85"/>
      <c r="D747" s="86" t="str">
        <f t="shared" si="28"/>
        <v/>
      </c>
      <c r="E747" s="93" t="str">
        <f t="shared" si="29"/>
        <v/>
      </c>
      <c r="F747" s="94"/>
      <c r="G747" s="95"/>
      <c r="H747" s="74"/>
      <c r="I747" s="75" t="s">
        <v>3818</v>
      </c>
      <c r="J747" s="76">
        <v>447.914453</v>
      </c>
      <c r="L747" s="77"/>
      <c r="M747" s="77">
        <v>0</v>
      </c>
    </row>
    <row r="748" s="69" customFormat="1" spans="2:13">
      <c r="B748" s="84"/>
      <c r="C748" s="85"/>
      <c r="D748" s="86" t="str">
        <f t="shared" si="28"/>
        <v/>
      </c>
      <c r="E748" s="93" t="str">
        <f t="shared" si="29"/>
        <v/>
      </c>
      <c r="F748" s="94"/>
      <c r="G748" s="95"/>
      <c r="H748" s="74"/>
      <c r="I748" s="75" t="s">
        <v>3819</v>
      </c>
      <c r="J748" s="76">
        <v>469.661346</v>
      </c>
      <c r="L748" s="77"/>
      <c r="M748" s="77">
        <v>0</v>
      </c>
    </row>
    <row r="749" s="69" customFormat="1" spans="2:13">
      <c r="B749" s="84"/>
      <c r="C749" s="85"/>
      <c r="D749" s="86" t="str">
        <f t="shared" si="28"/>
        <v/>
      </c>
      <c r="E749" s="93" t="str">
        <f t="shared" si="29"/>
        <v/>
      </c>
      <c r="F749" s="94"/>
      <c r="G749" s="95"/>
      <c r="H749" s="74"/>
      <c r="I749" s="75" t="s">
        <v>3820</v>
      </c>
      <c r="J749" s="76">
        <v>390.89477</v>
      </c>
      <c r="L749" s="77"/>
      <c r="M749" s="77">
        <v>0</v>
      </c>
    </row>
    <row r="750" s="69" customFormat="1" spans="2:13">
      <c r="B750" s="84"/>
      <c r="C750" s="85"/>
      <c r="D750" s="86" t="str">
        <f t="shared" si="28"/>
        <v/>
      </c>
      <c r="E750" s="93" t="str">
        <f t="shared" si="29"/>
        <v/>
      </c>
      <c r="F750" s="94"/>
      <c r="G750" s="95"/>
      <c r="H750" s="74"/>
      <c r="I750" s="75" t="s">
        <v>3821</v>
      </c>
      <c r="J750" s="76">
        <v>860.814703</v>
      </c>
      <c r="L750" s="77"/>
      <c r="M750" s="77">
        <v>0</v>
      </c>
    </row>
    <row r="751" s="69" customFormat="1" spans="2:13">
      <c r="B751" s="84"/>
      <c r="C751" s="85"/>
      <c r="D751" s="86" t="str">
        <f t="shared" si="28"/>
        <v/>
      </c>
      <c r="E751" s="93" t="str">
        <f t="shared" si="29"/>
        <v/>
      </c>
      <c r="F751" s="94"/>
      <c r="G751" s="95"/>
      <c r="H751" s="74"/>
      <c r="I751" s="75" t="s">
        <v>3822</v>
      </c>
      <c r="J751" s="76">
        <v>937.886005</v>
      </c>
      <c r="L751" s="77"/>
      <c r="M751" s="77">
        <v>0</v>
      </c>
    </row>
    <row r="752" s="69" customFormat="1" spans="2:13">
      <c r="B752" s="84"/>
      <c r="C752" s="85"/>
      <c r="D752" s="86" t="str">
        <f t="shared" si="28"/>
        <v/>
      </c>
      <c r="E752" s="93" t="str">
        <f t="shared" si="29"/>
        <v/>
      </c>
      <c r="F752" s="94"/>
      <c r="G752" s="95"/>
      <c r="H752" s="74"/>
      <c r="I752" s="75" t="s">
        <v>3823</v>
      </c>
      <c r="J752" s="76">
        <v>941.365089</v>
      </c>
      <c r="L752" s="77"/>
      <c r="M752" s="77">
        <v>0</v>
      </c>
    </row>
    <row r="753" s="69" customFormat="1" spans="2:13">
      <c r="B753" s="84"/>
      <c r="C753" s="85"/>
      <c r="D753" s="86" t="str">
        <f t="shared" si="28"/>
        <v/>
      </c>
      <c r="E753" s="93" t="str">
        <f t="shared" si="29"/>
        <v/>
      </c>
      <c r="F753" s="94"/>
      <c r="G753" s="95"/>
      <c r="H753" s="74"/>
      <c r="I753" s="75" t="s">
        <v>3824</v>
      </c>
      <c r="J753" s="76">
        <v>938.368312</v>
      </c>
      <c r="L753" s="77"/>
      <c r="M753" s="77">
        <v>0</v>
      </c>
    </row>
    <row r="754" s="69" customFormat="1" spans="2:13">
      <c r="B754" s="84"/>
      <c r="C754" s="85"/>
      <c r="D754" s="86" t="str">
        <f t="shared" si="28"/>
        <v/>
      </c>
      <c r="E754" s="93" t="str">
        <f t="shared" si="29"/>
        <v/>
      </c>
      <c r="F754" s="94"/>
      <c r="G754" s="95"/>
      <c r="H754" s="74"/>
      <c r="I754" s="75" t="s">
        <v>3825</v>
      </c>
      <c r="J754" s="76">
        <v>802.709621</v>
      </c>
      <c r="L754" s="77"/>
      <c r="M754" s="77">
        <v>0</v>
      </c>
    </row>
    <row r="755" s="69" customFormat="1" spans="2:13">
      <c r="B755" s="84"/>
      <c r="C755" s="85"/>
      <c r="D755" s="86" t="str">
        <f t="shared" si="28"/>
        <v/>
      </c>
      <c r="E755" s="93" t="str">
        <f t="shared" si="29"/>
        <v/>
      </c>
      <c r="F755" s="94"/>
      <c r="G755" s="95"/>
      <c r="H755" s="74"/>
      <c r="I755" s="75" t="s">
        <v>3826</v>
      </c>
      <c r="J755" s="76">
        <v>797.069021</v>
      </c>
      <c r="L755" s="77"/>
      <c r="M755" s="77">
        <v>0</v>
      </c>
    </row>
    <row r="756" s="69" customFormat="1" spans="2:13">
      <c r="B756" s="84"/>
      <c r="C756" s="85"/>
      <c r="D756" s="86" t="str">
        <f t="shared" si="28"/>
        <v/>
      </c>
      <c r="E756" s="93" t="str">
        <f t="shared" si="29"/>
        <v/>
      </c>
      <c r="F756" s="94"/>
      <c r="G756" s="95"/>
      <c r="H756" s="74"/>
      <c r="I756" s="75" t="s">
        <v>3827</v>
      </c>
      <c r="J756" s="76">
        <v>851.923142</v>
      </c>
      <c r="L756" s="77"/>
      <c r="M756" s="77">
        <v>0</v>
      </c>
    </row>
    <row r="757" s="69" customFormat="1" spans="2:13">
      <c r="B757" s="84"/>
      <c r="C757" s="85"/>
      <c r="D757" s="86" t="str">
        <f t="shared" si="28"/>
        <v/>
      </c>
      <c r="E757" s="93" t="str">
        <f t="shared" si="29"/>
        <v/>
      </c>
      <c r="F757" s="94"/>
      <c r="G757" s="95"/>
      <c r="H757" s="74"/>
      <c r="I757" s="75" t="s">
        <v>3828</v>
      </c>
      <c r="J757" s="76">
        <v>821.776515</v>
      </c>
      <c r="L757" s="77"/>
      <c r="M757" s="77">
        <v>0</v>
      </c>
    </row>
    <row r="758" s="69" customFormat="1" spans="2:13">
      <c r="B758" s="84"/>
      <c r="C758" s="85"/>
      <c r="D758" s="86" t="str">
        <f t="shared" si="28"/>
        <v/>
      </c>
      <c r="E758" s="93" t="str">
        <f t="shared" si="29"/>
        <v/>
      </c>
      <c r="F758" s="94"/>
      <c r="G758" s="95"/>
      <c r="H758" s="74"/>
      <c r="I758" s="75" t="s">
        <v>3829</v>
      </c>
      <c r="J758" s="76">
        <v>806.654114</v>
      </c>
      <c r="L758" s="77"/>
      <c r="M758" s="77">
        <v>0</v>
      </c>
    </row>
    <row r="759" s="69" customFormat="1" spans="2:13">
      <c r="B759" s="84"/>
      <c r="C759" s="85"/>
      <c r="D759" s="86" t="str">
        <f t="shared" si="28"/>
        <v/>
      </c>
      <c r="E759" s="93" t="str">
        <f t="shared" si="29"/>
        <v/>
      </c>
      <c r="F759" s="94"/>
      <c r="G759" s="95"/>
      <c r="H759" s="74"/>
      <c r="I759" s="75" t="s">
        <v>3830</v>
      </c>
      <c r="J759" s="76">
        <v>701.916502</v>
      </c>
      <c r="L759" s="77"/>
      <c r="M759" s="77">
        <v>0</v>
      </c>
    </row>
    <row r="760" s="69" customFormat="1" spans="2:13">
      <c r="B760" s="84"/>
      <c r="C760" s="85"/>
      <c r="D760" s="86" t="str">
        <f t="shared" si="28"/>
        <v/>
      </c>
      <c r="E760" s="93" t="str">
        <f t="shared" si="29"/>
        <v/>
      </c>
      <c r="F760" s="94"/>
      <c r="G760" s="95"/>
      <c r="H760" s="74"/>
      <c r="I760" s="75" t="s">
        <v>3831</v>
      </c>
      <c r="J760" s="76">
        <v>742.755636</v>
      </c>
      <c r="L760" s="77"/>
      <c r="M760" s="77">
        <v>0</v>
      </c>
    </row>
    <row r="761" s="69" customFormat="1" spans="2:13">
      <c r="B761" s="84"/>
      <c r="C761" s="85"/>
      <c r="D761" s="86" t="str">
        <f t="shared" si="28"/>
        <v/>
      </c>
      <c r="E761" s="93" t="str">
        <f t="shared" si="29"/>
        <v/>
      </c>
      <c r="F761" s="94"/>
      <c r="G761" s="95"/>
      <c r="H761" s="74"/>
      <c r="I761" s="75" t="s">
        <v>3832</v>
      </c>
      <c r="J761" s="76">
        <v>750.651524</v>
      </c>
      <c r="L761" s="77"/>
      <c r="M761" s="77">
        <v>0</v>
      </c>
    </row>
    <row r="762" s="69" customFormat="1" spans="2:13">
      <c r="B762" s="84"/>
      <c r="C762" s="85"/>
      <c r="D762" s="86" t="str">
        <f t="shared" si="28"/>
        <v/>
      </c>
      <c r="E762" s="93" t="str">
        <f t="shared" si="29"/>
        <v/>
      </c>
      <c r="F762" s="94"/>
      <c r="G762" s="95"/>
      <c r="H762" s="74"/>
      <c r="I762" s="75" t="s">
        <v>3833</v>
      </c>
      <c r="J762" s="76">
        <v>747.865853</v>
      </c>
      <c r="L762" s="77"/>
      <c r="M762" s="77">
        <v>0</v>
      </c>
    </row>
    <row r="763" s="69" customFormat="1" spans="2:13">
      <c r="B763" s="84"/>
      <c r="C763" s="85"/>
      <c r="D763" s="86" t="str">
        <f t="shared" si="28"/>
        <v/>
      </c>
      <c r="E763" s="93" t="str">
        <f t="shared" si="29"/>
        <v/>
      </c>
      <c r="F763" s="94"/>
      <c r="G763" s="95"/>
      <c r="H763" s="74"/>
      <c r="I763" s="75" t="s">
        <v>3834</v>
      </c>
      <c r="J763" s="76">
        <v>793.646105</v>
      </c>
      <c r="L763" s="77"/>
      <c r="M763" s="77">
        <v>0</v>
      </c>
    </row>
    <row r="764" s="69" customFormat="1" spans="2:13">
      <c r="B764" s="84"/>
      <c r="C764" s="85"/>
      <c r="D764" s="86" t="str">
        <f t="shared" si="28"/>
        <v/>
      </c>
      <c r="E764" s="93" t="str">
        <f t="shared" si="29"/>
        <v/>
      </c>
      <c r="F764" s="94"/>
      <c r="G764" s="95"/>
      <c r="H764" s="74"/>
      <c r="I764" s="75" t="s">
        <v>3835</v>
      </c>
      <c r="J764" s="76">
        <v>827.441034</v>
      </c>
      <c r="L764" s="77"/>
      <c r="M764" s="77">
        <v>0</v>
      </c>
    </row>
    <row r="765" s="69" customFormat="1" spans="2:13">
      <c r="B765" s="84"/>
      <c r="C765" s="85"/>
      <c r="D765" s="86" t="str">
        <f t="shared" si="28"/>
        <v/>
      </c>
      <c r="E765" s="93" t="str">
        <f t="shared" si="29"/>
        <v/>
      </c>
      <c r="F765" s="94"/>
      <c r="G765" s="95"/>
      <c r="H765" s="74"/>
      <c r="I765" s="75" t="s">
        <v>3836</v>
      </c>
      <c r="J765" s="76">
        <v>613.838176</v>
      </c>
      <c r="L765" s="77"/>
      <c r="M765" s="77">
        <v>0</v>
      </c>
    </row>
    <row r="766" s="69" customFormat="1" spans="2:13">
      <c r="B766" s="84"/>
      <c r="C766" s="85"/>
      <c r="D766" s="86" t="str">
        <f t="shared" si="28"/>
        <v/>
      </c>
      <c r="E766" s="93" t="str">
        <f t="shared" si="29"/>
        <v/>
      </c>
      <c r="F766" s="94"/>
      <c r="G766" s="95"/>
      <c r="H766" s="74"/>
      <c r="I766" s="75" t="s">
        <v>3837</v>
      </c>
      <c r="J766" s="76">
        <v>613.838176</v>
      </c>
      <c r="L766" s="77"/>
      <c r="M766" s="77">
        <v>0</v>
      </c>
    </row>
    <row r="767" s="69" customFormat="1" spans="2:13">
      <c r="B767" s="84"/>
      <c r="C767" s="85"/>
      <c r="D767" s="86" t="str">
        <f t="shared" si="28"/>
        <v/>
      </c>
      <c r="E767" s="93" t="str">
        <f t="shared" si="29"/>
        <v/>
      </c>
      <c r="F767" s="94"/>
      <c r="G767" s="95"/>
      <c r="H767" s="74"/>
      <c r="I767" s="75" t="s">
        <v>3838</v>
      </c>
      <c r="J767" s="76">
        <v>1286.988927</v>
      </c>
      <c r="L767" s="77"/>
      <c r="M767" s="77">
        <v>0</v>
      </c>
    </row>
    <row r="768" s="69" customFormat="1" spans="2:13">
      <c r="B768" s="84"/>
      <c r="C768" s="85"/>
      <c r="D768" s="86" t="str">
        <f t="shared" si="28"/>
        <v/>
      </c>
      <c r="E768" s="93" t="str">
        <f t="shared" si="29"/>
        <v/>
      </c>
      <c r="F768" s="94"/>
      <c r="G768" s="95"/>
      <c r="H768" s="74"/>
      <c r="I768" s="75" t="s">
        <v>3839</v>
      </c>
      <c r="J768" s="76">
        <v>701.431339</v>
      </c>
      <c r="L768" s="77"/>
      <c r="M768" s="77">
        <v>0</v>
      </c>
    </row>
    <row r="769" s="69" customFormat="1" spans="2:13">
      <c r="B769" s="84"/>
      <c r="C769" s="85"/>
      <c r="D769" s="86" t="str">
        <f t="shared" si="28"/>
        <v/>
      </c>
      <c r="E769" s="93" t="str">
        <f t="shared" si="29"/>
        <v/>
      </c>
      <c r="F769" s="94"/>
      <c r="G769" s="95"/>
      <c r="H769" s="74"/>
      <c r="I769" s="75" t="s">
        <v>3840</v>
      </c>
      <c r="J769" s="76">
        <v>803.17146</v>
      </c>
      <c r="L769" s="77"/>
      <c r="M769" s="77">
        <v>0</v>
      </c>
    </row>
    <row r="770" s="69" customFormat="1" spans="2:13">
      <c r="B770" s="84"/>
      <c r="C770" s="85"/>
      <c r="D770" s="86" t="str">
        <f t="shared" si="28"/>
        <v/>
      </c>
      <c r="E770" s="93" t="str">
        <f t="shared" si="29"/>
        <v/>
      </c>
      <c r="F770" s="94"/>
      <c r="G770" s="95"/>
      <c r="H770" s="74"/>
      <c r="I770" s="75" t="s">
        <v>3841</v>
      </c>
      <c r="J770" s="76">
        <v>803.17146</v>
      </c>
      <c r="L770" s="77"/>
      <c r="M770" s="77">
        <v>0</v>
      </c>
    </row>
    <row r="771" s="69" customFormat="1" spans="2:13">
      <c r="B771" s="84"/>
      <c r="C771" s="85"/>
      <c r="D771" s="86" t="str">
        <f t="shared" ref="D771:D834" si="30">IF(C771="","",C771/(C771+$E$1/60))</f>
        <v/>
      </c>
      <c r="E771" s="93" t="str">
        <f t="shared" ref="E771:E834" si="31">IFERROR(ROUND(1440/C771*2*D771,0),"")</f>
        <v/>
      </c>
      <c r="F771" s="94"/>
      <c r="G771" s="95"/>
      <c r="H771" s="74"/>
      <c r="I771" s="75" t="s">
        <v>3842</v>
      </c>
      <c r="J771" s="76">
        <v>577.742739</v>
      </c>
      <c r="L771" s="77"/>
      <c r="M771" s="77">
        <v>0</v>
      </c>
    </row>
    <row r="772" s="69" customFormat="1" spans="2:13">
      <c r="B772" s="84"/>
      <c r="C772" s="85"/>
      <c r="D772" s="86" t="str">
        <f t="shared" si="30"/>
        <v/>
      </c>
      <c r="E772" s="93" t="str">
        <f t="shared" si="31"/>
        <v/>
      </c>
      <c r="F772" s="94"/>
      <c r="G772" s="95"/>
      <c r="H772" s="74"/>
      <c r="I772" s="75" t="s">
        <v>3843</v>
      </c>
      <c r="J772" s="76">
        <v>466.255209</v>
      </c>
      <c r="L772" s="77"/>
      <c r="M772" s="77">
        <v>0</v>
      </c>
    </row>
    <row r="773" s="69" customFormat="1" spans="2:13">
      <c r="B773" s="84"/>
      <c r="C773" s="85"/>
      <c r="D773" s="86" t="str">
        <f t="shared" si="30"/>
        <v/>
      </c>
      <c r="E773" s="93" t="str">
        <f t="shared" si="31"/>
        <v/>
      </c>
      <c r="F773" s="94"/>
      <c r="G773" s="95"/>
      <c r="H773" s="74"/>
      <c r="I773" s="75" t="s">
        <v>3844</v>
      </c>
      <c r="J773" s="76">
        <v>446.891767</v>
      </c>
      <c r="L773" s="77"/>
      <c r="M773" s="77">
        <v>0</v>
      </c>
    </row>
    <row r="774" s="69" customFormat="1" spans="2:13">
      <c r="B774" s="84"/>
      <c r="C774" s="85"/>
      <c r="D774" s="86" t="str">
        <f t="shared" si="30"/>
        <v/>
      </c>
      <c r="E774" s="93" t="str">
        <f t="shared" si="31"/>
        <v/>
      </c>
      <c r="F774" s="94"/>
      <c r="G774" s="95"/>
      <c r="H774" s="74"/>
      <c r="I774" s="75" t="s">
        <v>3845</v>
      </c>
      <c r="J774" s="76">
        <v>1225.568148</v>
      </c>
      <c r="L774" s="77"/>
      <c r="M774" s="77">
        <v>0</v>
      </c>
    </row>
    <row r="775" s="69" customFormat="1" spans="2:13">
      <c r="B775" s="84"/>
      <c r="C775" s="85"/>
      <c r="D775" s="86" t="str">
        <f t="shared" si="30"/>
        <v/>
      </c>
      <c r="E775" s="93" t="str">
        <f t="shared" si="31"/>
        <v/>
      </c>
      <c r="F775" s="94"/>
      <c r="G775" s="95"/>
      <c r="H775" s="74"/>
      <c r="I775" s="75" t="s">
        <v>3846</v>
      </c>
      <c r="J775" s="76">
        <v>1250.478061</v>
      </c>
      <c r="L775" s="77"/>
      <c r="M775" s="77">
        <v>0</v>
      </c>
    </row>
    <row r="776" s="69" customFormat="1" spans="2:13">
      <c r="B776" s="84"/>
      <c r="C776" s="85"/>
      <c r="D776" s="86" t="str">
        <f t="shared" si="30"/>
        <v/>
      </c>
      <c r="E776" s="93" t="str">
        <f t="shared" si="31"/>
        <v/>
      </c>
      <c r="F776" s="94"/>
      <c r="G776" s="95"/>
      <c r="H776" s="74"/>
      <c r="I776" s="75" t="s">
        <v>3847</v>
      </c>
      <c r="J776" s="76">
        <v>1197.284228</v>
      </c>
      <c r="L776" s="77"/>
      <c r="M776" s="77">
        <v>0</v>
      </c>
    </row>
    <row r="777" s="69" customFormat="1" spans="2:13">
      <c r="B777" s="84"/>
      <c r="C777" s="85"/>
      <c r="D777" s="86" t="str">
        <f t="shared" si="30"/>
        <v/>
      </c>
      <c r="E777" s="93" t="str">
        <f t="shared" si="31"/>
        <v/>
      </c>
      <c r="F777" s="94"/>
      <c r="G777" s="95"/>
      <c r="H777" s="74"/>
      <c r="I777" s="75" t="s">
        <v>3848</v>
      </c>
      <c r="J777" s="76">
        <v>1140.466964</v>
      </c>
      <c r="L777" s="77"/>
      <c r="M777" s="77">
        <v>0</v>
      </c>
    </row>
    <row r="778" s="69" customFormat="1" spans="2:13">
      <c r="B778" s="84"/>
      <c r="C778" s="85"/>
      <c r="D778" s="86" t="str">
        <f t="shared" si="30"/>
        <v/>
      </c>
      <c r="E778" s="93" t="str">
        <f t="shared" si="31"/>
        <v/>
      </c>
      <c r="F778" s="94"/>
      <c r="G778" s="95"/>
      <c r="H778" s="74"/>
      <c r="I778" s="75" t="s">
        <v>3849</v>
      </c>
      <c r="J778" s="76">
        <v>1112.850396</v>
      </c>
      <c r="L778" s="77"/>
      <c r="M778" s="77">
        <v>0</v>
      </c>
    </row>
    <row r="779" s="69" customFormat="1" spans="2:13">
      <c r="B779" s="84"/>
      <c r="C779" s="85"/>
      <c r="D779" s="86" t="str">
        <f t="shared" si="30"/>
        <v/>
      </c>
      <c r="E779" s="93" t="str">
        <f t="shared" si="31"/>
        <v/>
      </c>
      <c r="F779" s="94"/>
      <c r="G779" s="95"/>
      <c r="H779" s="74"/>
      <c r="I779" s="75" t="s">
        <v>3850</v>
      </c>
      <c r="J779" s="76">
        <v>1163.392909</v>
      </c>
      <c r="L779" s="77"/>
      <c r="M779" s="77">
        <v>0</v>
      </c>
    </row>
    <row r="780" s="69" customFormat="1" spans="2:13">
      <c r="B780" s="84"/>
      <c r="C780" s="85"/>
      <c r="D780" s="86" t="str">
        <f t="shared" si="30"/>
        <v/>
      </c>
      <c r="E780" s="93" t="str">
        <f t="shared" si="31"/>
        <v/>
      </c>
      <c r="F780" s="94"/>
      <c r="G780" s="95"/>
      <c r="H780" s="74"/>
      <c r="I780" s="75" t="s">
        <v>3851</v>
      </c>
      <c r="J780" s="76">
        <v>1215.732084</v>
      </c>
      <c r="L780" s="77"/>
      <c r="M780" s="77">
        <v>0</v>
      </c>
    </row>
    <row r="781" s="69" customFormat="1" spans="2:13">
      <c r="B781" s="84"/>
      <c r="C781" s="85"/>
      <c r="D781" s="86" t="str">
        <f t="shared" si="30"/>
        <v/>
      </c>
      <c r="E781" s="93" t="str">
        <f t="shared" si="31"/>
        <v/>
      </c>
      <c r="F781" s="94"/>
      <c r="G781" s="95"/>
      <c r="H781" s="74"/>
      <c r="I781" s="75" t="s">
        <v>3852</v>
      </c>
      <c r="J781" s="76">
        <v>988.566677</v>
      </c>
      <c r="L781" s="77"/>
      <c r="M781" s="77">
        <v>0</v>
      </c>
    </row>
    <row r="782" s="69" customFormat="1" spans="2:13">
      <c r="B782" s="84"/>
      <c r="C782" s="85"/>
      <c r="D782" s="86" t="str">
        <f t="shared" si="30"/>
        <v/>
      </c>
      <c r="E782" s="93" t="str">
        <f t="shared" si="31"/>
        <v/>
      </c>
      <c r="F782" s="94"/>
      <c r="G782" s="95"/>
      <c r="H782" s="74"/>
      <c r="I782" s="75" t="s">
        <v>3853</v>
      </c>
      <c r="J782" s="76">
        <v>1068.348561</v>
      </c>
      <c r="L782" s="77"/>
      <c r="M782" s="77">
        <v>0</v>
      </c>
    </row>
    <row r="783" s="69" customFormat="1" spans="2:13">
      <c r="B783" s="84"/>
      <c r="C783" s="85"/>
      <c r="D783" s="86" t="str">
        <f t="shared" si="30"/>
        <v/>
      </c>
      <c r="E783" s="93" t="str">
        <f t="shared" si="31"/>
        <v/>
      </c>
      <c r="F783" s="94"/>
      <c r="G783" s="95"/>
      <c r="H783" s="74"/>
      <c r="I783" s="75" t="s">
        <v>3854</v>
      </c>
      <c r="J783" s="76">
        <v>1068.348561</v>
      </c>
      <c r="L783" s="77"/>
      <c r="M783" s="77">
        <v>0</v>
      </c>
    </row>
    <row r="784" s="69" customFormat="1" spans="2:13">
      <c r="B784" s="84"/>
      <c r="C784" s="85"/>
      <c r="D784" s="86" t="str">
        <f t="shared" si="30"/>
        <v/>
      </c>
      <c r="E784" s="93" t="str">
        <f t="shared" si="31"/>
        <v/>
      </c>
      <c r="F784" s="94"/>
      <c r="G784" s="95"/>
      <c r="H784" s="74"/>
      <c r="I784" s="75" t="s">
        <v>3855</v>
      </c>
      <c r="J784" s="76">
        <v>955.076269</v>
      </c>
      <c r="L784" s="77"/>
      <c r="M784" s="77">
        <v>0</v>
      </c>
    </row>
    <row r="785" s="69" customFormat="1" spans="2:13">
      <c r="B785" s="84"/>
      <c r="C785" s="85"/>
      <c r="D785" s="86" t="str">
        <f t="shared" si="30"/>
        <v/>
      </c>
      <c r="E785" s="93" t="str">
        <f t="shared" si="31"/>
        <v/>
      </c>
      <c r="F785" s="94"/>
      <c r="G785" s="95"/>
      <c r="H785" s="74"/>
      <c r="I785" s="75" t="s">
        <v>3856</v>
      </c>
      <c r="J785" s="76">
        <v>859.619943</v>
      </c>
      <c r="L785" s="77"/>
      <c r="M785" s="77">
        <v>0</v>
      </c>
    </row>
    <row r="786" s="69" customFormat="1" spans="2:13">
      <c r="B786" s="84"/>
      <c r="C786" s="85"/>
      <c r="D786" s="86" t="str">
        <f t="shared" si="30"/>
        <v/>
      </c>
      <c r="E786" s="93" t="str">
        <f t="shared" si="31"/>
        <v/>
      </c>
      <c r="F786" s="94"/>
      <c r="G786" s="95"/>
      <c r="H786" s="74"/>
      <c r="I786" s="75" t="s">
        <v>3857</v>
      </c>
      <c r="J786" s="76">
        <v>934.166303</v>
      </c>
      <c r="L786" s="77"/>
      <c r="M786" s="77">
        <v>0</v>
      </c>
    </row>
    <row r="787" s="69" customFormat="1" spans="2:13">
      <c r="B787" s="84"/>
      <c r="C787" s="85"/>
      <c r="D787" s="86" t="str">
        <f t="shared" si="30"/>
        <v/>
      </c>
      <c r="E787" s="93" t="str">
        <f t="shared" si="31"/>
        <v/>
      </c>
      <c r="F787" s="94"/>
      <c r="G787" s="95"/>
      <c r="H787" s="74"/>
      <c r="I787" s="75" t="s">
        <v>3858</v>
      </c>
      <c r="J787" s="76">
        <v>763.642159</v>
      </c>
      <c r="L787" s="77"/>
      <c r="M787" s="77">
        <v>0</v>
      </c>
    </row>
    <row r="788" s="69" customFormat="1" spans="2:13">
      <c r="B788" s="84"/>
      <c r="C788" s="85"/>
      <c r="D788" s="86" t="str">
        <f t="shared" si="30"/>
        <v/>
      </c>
      <c r="E788" s="93" t="str">
        <f t="shared" si="31"/>
        <v/>
      </c>
      <c r="F788" s="94"/>
      <c r="G788" s="95"/>
      <c r="H788" s="74"/>
      <c r="I788" s="75" t="s">
        <v>3859</v>
      </c>
      <c r="J788" s="76">
        <v>870.777502</v>
      </c>
      <c r="L788" s="77"/>
      <c r="M788" s="77">
        <v>0</v>
      </c>
    </row>
    <row r="789" s="69" customFormat="1" spans="2:13">
      <c r="B789" s="84"/>
      <c r="C789" s="85"/>
      <c r="D789" s="86" t="str">
        <f t="shared" si="30"/>
        <v/>
      </c>
      <c r="E789" s="93" t="str">
        <f t="shared" si="31"/>
        <v/>
      </c>
      <c r="F789" s="94"/>
      <c r="G789" s="95"/>
      <c r="H789" s="74"/>
      <c r="I789" s="75" t="s">
        <v>3860</v>
      </c>
      <c r="J789" s="76">
        <v>736.961407</v>
      </c>
      <c r="L789" s="77"/>
      <c r="M789" s="77">
        <v>0</v>
      </c>
    </row>
    <row r="790" s="69" customFormat="1" spans="2:13">
      <c r="B790" s="84"/>
      <c r="C790" s="85"/>
      <c r="D790" s="86" t="str">
        <f t="shared" si="30"/>
        <v/>
      </c>
      <c r="E790" s="93" t="str">
        <f t="shared" si="31"/>
        <v/>
      </c>
      <c r="F790" s="94"/>
      <c r="G790" s="95"/>
      <c r="H790" s="74"/>
      <c r="I790" s="75" t="s">
        <v>3861</v>
      </c>
      <c r="J790" s="76">
        <v>736.961407</v>
      </c>
      <c r="L790" s="77"/>
      <c r="M790" s="77">
        <v>0</v>
      </c>
    </row>
    <row r="791" s="69" customFormat="1" spans="2:13">
      <c r="B791" s="84"/>
      <c r="C791" s="85"/>
      <c r="D791" s="86" t="str">
        <f t="shared" si="30"/>
        <v/>
      </c>
      <c r="E791" s="93" t="str">
        <f t="shared" si="31"/>
        <v/>
      </c>
      <c r="F791" s="94"/>
      <c r="G791" s="95"/>
      <c r="H791" s="74"/>
      <c r="I791" s="75" t="s">
        <v>3862</v>
      </c>
      <c r="J791" s="76">
        <v>913.058083</v>
      </c>
      <c r="L791" s="77"/>
      <c r="M791" s="77">
        <v>0</v>
      </c>
    </row>
    <row r="792" s="69" customFormat="1" spans="2:13">
      <c r="B792" s="84"/>
      <c r="C792" s="85"/>
      <c r="D792" s="86" t="str">
        <f t="shared" si="30"/>
        <v/>
      </c>
      <c r="E792" s="93" t="str">
        <f t="shared" si="31"/>
        <v/>
      </c>
      <c r="F792" s="94"/>
      <c r="G792" s="95"/>
      <c r="H792" s="74"/>
      <c r="I792" s="75" t="s">
        <v>3863</v>
      </c>
      <c r="J792" s="76">
        <v>823.339461</v>
      </c>
      <c r="L792" s="77"/>
      <c r="M792" s="77">
        <v>0</v>
      </c>
    </row>
    <row r="793" s="69" customFormat="1" spans="2:13">
      <c r="B793" s="84"/>
      <c r="C793" s="85"/>
      <c r="D793" s="86" t="str">
        <f t="shared" si="30"/>
        <v/>
      </c>
      <c r="E793" s="93" t="str">
        <f t="shared" si="31"/>
        <v/>
      </c>
      <c r="F793" s="94"/>
      <c r="G793" s="95"/>
      <c r="H793" s="74"/>
      <c r="I793" s="75" t="s">
        <v>3864</v>
      </c>
      <c r="J793" s="76">
        <v>761.26085</v>
      </c>
      <c r="L793" s="77"/>
      <c r="M793" s="77">
        <v>0</v>
      </c>
    </row>
    <row r="794" s="69" customFormat="1" spans="2:13">
      <c r="B794" s="84"/>
      <c r="C794" s="85"/>
      <c r="D794" s="86" t="str">
        <f t="shared" si="30"/>
        <v/>
      </c>
      <c r="E794" s="93" t="str">
        <f t="shared" si="31"/>
        <v/>
      </c>
      <c r="F794" s="94"/>
      <c r="G794" s="95"/>
      <c r="H794" s="74"/>
      <c r="I794" s="75" t="s">
        <v>3865</v>
      </c>
      <c r="J794" s="76">
        <v>533.72571</v>
      </c>
      <c r="L794" s="77"/>
      <c r="M794" s="77">
        <v>0</v>
      </c>
    </row>
    <row r="795" s="69" customFormat="1" spans="2:13">
      <c r="B795" s="84"/>
      <c r="C795" s="85"/>
      <c r="D795" s="86" t="str">
        <f t="shared" si="30"/>
        <v/>
      </c>
      <c r="E795" s="93" t="str">
        <f t="shared" si="31"/>
        <v/>
      </c>
      <c r="F795" s="94"/>
      <c r="G795" s="95"/>
      <c r="H795" s="74"/>
      <c r="I795" s="75" t="s">
        <v>3866</v>
      </c>
      <c r="J795" s="76">
        <v>533.607186</v>
      </c>
      <c r="L795" s="77"/>
      <c r="M795" s="77">
        <v>0</v>
      </c>
    </row>
    <row r="796" s="69" customFormat="1" spans="2:13">
      <c r="B796" s="84"/>
      <c r="C796" s="85"/>
      <c r="D796" s="86" t="str">
        <f t="shared" si="30"/>
        <v/>
      </c>
      <c r="E796" s="93" t="str">
        <f t="shared" si="31"/>
        <v/>
      </c>
      <c r="F796" s="94"/>
      <c r="G796" s="95"/>
      <c r="H796" s="74"/>
      <c r="I796" s="75" t="s">
        <v>3867</v>
      </c>
      <c r="J796" s="76">
        <v>398.184234</v>
      </c>
      <c r="L796" s="77"/>
      <c r="M796" s="77">
        <v>0</v>
      </c>
    </row>
    <row r="797" s="69" customFormat="1" spans="2:13">
      <c r="B797" s="84"/>
      <c r="C797" s="85"/>
      <c r="D797" s="86" t="str">
        <f t="shared" si="30"/>
        <v/>
      </c>
      <c r="E797" s="93" t="str">
        <f t="shared" si="31"/>
        <v/>
      </c>
      <c r="F797" s="94"/>
      <c r="G797" s="95"/>
      <c r="H797" s="74"/>
      <c r="I797" s="75" t="s">
        <v>3868</v>
      </c>
      <c r="J797" s="76">
        <v>860.814703</v>
      </c>
      <c r="L797" s="77"/>
      <c r="M797" s="77">
        <v>0</v>
      </c>
    </row>
    <row r="798" s="69" customFormat="1" spans="2:13">
      <c r="B798" s="84"/>
      <c r="C798" s="85"/>
      <c r="D798" s="86" t="str">
        <f t="shared" si="30"/>
        <v/>
      </c>
      <c r="E798" s="93" t="str">
        <f t="shared" si="31"/>
        <v/>
      </c>
      <c r="F798" s="94"/>
      <c r="G798" s="95"/>
      <c r="H798" s="74"/>
      <c r="I798" s="75" t="s">
        <v>3869</v>
      </c>
      <c r="J798" s="76">
        <v>752.316215</v>
      </c>
      <c r="L798" s="77"/>
      <c r="M798" s="77">
        <v>0</v>
      </c>
    </row>
    <row r="799" s="69" customFormat="1" spans="2:13">
      <c r="B799" s="84"/>
      <c r="C799" s="85"/>
      <c r="D799" s="86" t="str">
        <f t="shared" si="30"/>
        <v/>
      </c>
      <c r="E799" s="93" t="str">
        <f t="shared" si="31"/>
        <v/>
      </c>
      <c r="F799" s="94"/>
      <c r="G799" s="95"/>
      <c r="H799" s="74"/>
      <c r="I799" s="75" t="s">
        <v>3870</v>
      </c>
      <c r="J799" s="76">
        <v>833.266084</v>
      </c>
      <c r="L799" s="77"/>
      <c r="M799" s="77">
        <v>0</v>
      </c>
    </row>
    <row r="800" s="69" customFormat="1" spans="2:13">
      <c r="B800" s="84"/>
      <c r="C800" s="85"/>
      <c r="D800" s="86" t="str">
        <f t="shared" si="30"/>
        <v/>
      </c>
      <c r="E800" s="93" t="str">
        <f t="shared" si="31"/>
        <v/>
      </c>
      <c r="F800" s="94"/>
      <c r="G800" s="95"/>
      <c r="H800" s="74"/>
      <c r="I800" s="75" t="s">
        <v>3871</v>
      </c>
      <c r="J800" s="76">
        <v>806.654114</v>
      </c>
      <c r="L800" s="77"/>
      <c r="M800" s="77">
        <v>0</v>
      </c>
    </row>
    <row r="801" s="69" customFormat="1" spans="2:13">
      <c r="B801" s="84"/>
      <c r="C801" s="85"/>
      <c r="D801" s="86" t="str">
        <f t="shared" si="30"/>
        <v/>
      </c>
      <c r="E801" s="93" t="str">
        <f t="shared" si="31"/>
        <v/>
      </c>
      <c r="F801" s="94"/>
      <c r="G801" s="95"/>
      <c r="H801" s="74"/>
      <c r="I801" s="75" t="s">
        <v>3872</v>
      </c>
      <c r="J801" s="76">
        <v>697.352376</v>
      </c>
      <c r="L801" s="77"/>
      <c r="M801" s="77">
        <v>0</v>
      </c>
    </row>
    <row r="802" s="69" customFormat="1" spans="2:13">
      <c r="B802" s="84"/>
      <c r="C802" s="85"/>
      <c r="D802" s="86" t="str">
        <f t="shared" si="30"/>
        <v/>
      </c>
      <c r="E802" s="93" t="str">
        <f t="shared" si="31"/>
        <v/>
      </c>
      <c r="F802" s="94"/>
      <c r="G802" s="95"/>
      <c r="H802" s="74"/>
      <c r="I802" s="75" t="s">
        <v>3873</v>
      </c>
      <c r="J802" s="76">
        <v>793.646105</v>
      </c>
      <c r="L802" s="77"/>
      <c r="M802" s="77">
        <v>0</v>
      </c>
    </row>
    <row r="803" s="69" customFormat="1" spans="2:13">
      <c r="B803" s="84"/>
      <c r="C803" s="85"/>
      <c r="D803" s="86" t="str">
        <f t="shared" si="30"/>
        <v/>
      </c>
      <c r="E803" s="93" t="str">
        <f t="shared" si="31"/>
        <v/>
      </c>
      <c r="F803" s="94"/>
      <c r="G803" s="95"/>
      <c r="H803" s="74"/>
      <c r="I803" s="75" t="s">
        <v>3874</v>
      </c>
      <c r="J803" s="76">
        <v>1178.646567</v>
      </c>
      <c r="L803" s="77"/>
      <c r="M803" s="77">
        <v>0</v>
      </c>
    </row>
    <row r="804" s="69" customFormat="1" spans="2:13">
      <c r="B804" s="84"/>
      <c r="C804" s="85"/>
      <c r="D804" s="86" t="str">
        <f t="shared" si="30"/>
        <v/>
      </c>
      <c r="E804" s="93" t="str">
        <f t="shared" si="31"/>
        <v/>
      </c>
      <c r="F804" s="94"/>
      <c r="G804" s="95"/>
      <c r="H804" s="74"/>
      <c r="I804" s="75" t="s">
        <v>3875</v>
      </c>
      <c r="J804" s="76">
        <v>1178.646567</v>
      </c>
      <c r="L804" s="77"/>
      <c r="M804" s="77">
        <v>0</v>
      </c>
    </row>
    <row r="805" s="69" customFormat="1" spans="2:13">
      <c r="B805" s="84"/>
      <c r="C805" s="85"/>
      <c r="D805" s="86" t="str">
        <f t="shared" si="30"/>
        <v/>
      </c>
      <c r="E805" s="93" t="str">
        <f t="shared" si="31"/>
        <v/>
      </c>
      <c r="F805" s="94"/>
      <c r="G805" s="95"/>
      <c r="H805" s="74"/>
      <c r="I805" s="75" t="s">
        <v>3876</v>
      </c>
      <c r="J805" s="76">
        <v>1175.15594</v>
      </c>
      <c r="L805" s="77"/>
      <c r="M805" s="77">
        <v>0</v>
      </c>
    </row>
    <row r="806" s="69" customFormat="1" spans="2:13">
      <c r="B806" s="84"/>
      <c r="C806" s="85"/>
      <c r="D806" s="86" t="str">
        <f t="shared" si="30"/>
        <v/>
      </c>
      <c r="E806" s="93" t="str">
        <f t="shared" si="31"/>
        <v/>
      </c>
      <c r="F806" s="94"/>
      <c r="G806" s="95"/>
      <c r="H806" s="74"/>
      <c r="I806" s="75" t="s">
        <v>3877</v>
      </c>
      <c r="J806" s="76">
        <v>1140.466964</v>
      </c>
      <c r="L806" s="77"/>
      <c r="M806" s="77">
        <v>0</v>
      </c>
    </row>
    <row r="807" s="69" customFormat="1" spans="2:13">
      <c r="B807" s="84"/>
      <c r="C807" s="85"/>
      <c r="D807" s="86" t="str">
        <f t="shared" si="30"/>
        <v/>
      </c>
      <c r="E807" s="93" t="str">
        <f t="shared" si="31"/>
        <v/>
      </c>
      <c r="F807" s="94"/>
      <c r="G807" s="95"/>
      <c r="H807" s="74"/>
      <c r="I807" s="75" t="s">
        <v>3878</v>
      </c>
      <c r="J807" s="76">
        <v>31.714452</v>
      </c>
      <c r="L807" s="77"/>
      <c r="M807" s="77">
        <v>0</v>
      </c>
    </row>
    <row r="808" s="69" customFormat="1" spans="2:13">
      <c r="B808" s="84"/>
      <c r="C808" s="85"/>
      <c r="D808" s="86" t="str">
        <f t="shared" si="30"/>
        <v/>
      </c>
      <c r="E808" s="93" t="str">
        <f t="shared" si="31"/>
        <v/>
      </c>
      <c r="F808" s="94"/>
      <c r="G808" s="95"/>
      <c r="H808" s="74"/>
      <c r="I808" s="75" t="s">
        <v>3879</v>
      </c>
      <c r="J808" s="76">
        <v>1230.077058</v>
      </c>
      <c r="L808" s="77"/>
      <c r="M808" s="77">
        <v>0</v>
      </c>
    </row>
    <row r="809" s="69" customFormat="1" spans="2:13">
      <c r="B809" s="84"/>
      <c r="C809" s="85"/>
      <c r="D809" s="86" t="str">
        <f t="shared" si="30"/>
        <v/>
      </c>
      <c r="E809" s="93" t="str">
        <f t="shared" si="31"/>
        <v/>
      </c>
      <c r="F809" s="94"/>
      <c r="G809" s="95"/>
      <c r="H809" s="74"/>
      <c r="I809" s="75" t="s">
        <v>3880</v>
      </c>
      <c r="J809" s="76">
        <v>924.825874</v>
      </c>
      <c r="L809" s="77"/>
      <c r="M809" s="77">
        <v>0</v>
      </c>
    </row>
    <row r="810" s="69" customFormat="1" spans="2:13">
      <c r="B810" s="84"/>
      <c r="C810" s="85"/>
      <c r="D810" s="86" t="str">
        <f t="shared" si="30"/>
        <v/>
      </c>
      <c r="E810" s="93" t="str">
        <f t="shared" si="31"/>
        <v/>
      </c>
      <c r="F810" s="94"/>
      <c r="G810" s="95"/>
      <c r="H810" s="74"/>
      <c r="I810" s="75" t="s">
        <v>3881</v>
      </c>
      <c r="J810" s="76">
        <v>781.539402</v>
      </c>
      <c r="L810" s="77"/>
      <c r="M810" s="77">
        <v>0</v>
      </c>
    </row>
    <row r="811" s="69" customFormat="1" spans="2:13">
      <c r="B811" s="84"/>
      <c r="C811" s="85"/>
      <c r="D811" s="86" t="str">
        <f t="shared" si="30"/>
        <v/>
      </c>
      <c r="E811" s="93" t="str">
        <f t="shared" si="31"/>
        <v/>
      </c>
      <c r="F811" s="94"/>
      <c r="G811" s="95"/>
      <c r="H811" s="74"/>
      <c r="I811" s="75" t="s">
        <v>3882</v>
      </c>
      <c r="J811" s="76">
        <v>483.259238</v>
      </c>
      <c r="L811" s="77"/>
      <c r="M811" s="77">
        <v>0</v>
      </c>
    </row>
    <row r="812" s="69" customFormat="1" spans="2:13">
      <c r="B812" s="84"/>
      <c r="C812" s="85"/>
      <c r="D812" s="86" t="str">
        <f t="shared" si="30"/>
        <v/>
      </c>
      <c r="E812" s="93" t="str">
        <f t="shared" si="31"/>
        <v/>
      </c>
      <c r="F812" s="94"/>
      <c r="G812" s="95"/>
      <c r="H812" s="74"/>
      <c r="I812" s="75" t="s">
        <v>3883</v>
      </c>
      <c r="J812" s="76">
        <v>439.126898</v>
      </c>
      <c r="L812" s="77"/>
      <c r="M812" s="77">
        <v>0</v>
      </c>
    </row>
    <row r="813" s="69" customFormat="1" spans="2:13">
      <c r="B813" s="84"/>
      <c r="C813" s="85"/>
      <c r="D813" s="86" t="str">
        <f t="shared" si="30"/>
        <v/>
      </c>
      <c r="E813" s="93" t="str">
        <f t="shared" si="31"/>
        <v/>
      </c>
      <c r="F813" s="94"/>
      <c r="G813" s="95"/>
      <c r="H813" s="74"/>
      <c r="I813" s="75" t="s">
        <v>3884</v>
      </c>
      <c r="J813" s="76">
        <v>765.102646</v>
      </c>
      <c r="L813" s="77"/>
      <c r="M813" s="77">
        <v>0</v>
      </c>
    </row>
    <row r="814" s="69" customFormat="1" spans="2:13">
      <c r="B814" s="84"/>
      <c r="C814" s="85"/>
      <c r="D814" s="86" t="str">
        <f t="shared" si="30"/>
        <v/>
      </c>
      <c r="E814" s="93" t="str">
        <f t="shared" si="31"/>
        <v/>
      </c>
      <c r="F814" s="94"/>
      <c r="G814" s="95"/>
      <c r="H814" s="74"/>
      <c r="I814" s="75" t="s">
        <v>3885</v>
      </c>
      <c r="J814" s="76">
        <v>951.973463</v>
      </c>
      <c r="L814" s="77"/>
      <c r="M814" s="77">
        <v>0</v>
      </c>
    </row>
    <row r="815" s="69" customFormat="1" spans="2:13">
      <c r="B815" s="84"/>
      <c r="C815" s="85"/>
      <c r="D815" s="86" t="str">
        <f t="shared" si="30"/>
        <v/>
      </c>
      <c r="E815" s="93" t="str">
        <f t="shared" si="31"/>
        <v/>
      </c>
      <c r="F815" s="94"/>
      <c r="G815" s="95"/>
      <c r="H815" s="74"/>
      <c r="I815" s="75" t="s">
        <v>3886</v>
      </c>
      <c r="J815" s="76">
        <v>699.59981</v>
      </c>
      <c r="L815" s="77"/>
      <c r="M815" s="77">
        <v>0</v>
      </c>
    </row>
    <row r="816" s="69" customFormat="1" spans="2:13">
      <c r="B816" s="84"/>
      <c r="C816" s="85"/>
      <c r="D816" s="86" t="str">
        <f t="shared" si="30"/>
        <v/>
      </c>
      <c r="E816" s="93" t="str">
        <f t="shared" si="31"/>
        <v/>
      </c>
      <c r="F816" s="94"/>
      <c r="G816" s="95"/>
      <c r="H816" s="74"/>
      <c r="I816" s="75" t="s">
        <v>3887</v>
      </c>
      <c r="J816" s="76">
        <v>745.860346</v>
      </c>
      <c r="L816" s="77"/>
      <c r="M816" s="77">
        <v>0</v>
      </c>
    </row>
    <row r="817" s="69" customFormat="1" spans="2:13">
      <c r="B817" s="84"/>
      <c r="C817" s="85"/>
      <c r="D817" s="86" t="str">
        <f t="shared" si="30"/>
        <v/>
      </c>
      <c r="E817" s="93" t="str">
        <f t="shared" si="31"/>
        <v/>
      </c>
      <c r="F817" s="94"/>
      <c r="G817" s="95"/>
      <c r="H817" s="74"/>
      <c r="I817" s="75" t="s">
        <v>3888</v>
      </c>
      <c r="J817" s="76">
        <v>793.912189</v>
      </c>
      <c r="L817" s="77"/>
      <c r="M817" s="77">
        <v>0</v>
      </c>
    </row>
    <row r="818" s="69" customFormat="1" spans="2:13">
      <c r="B818" s="84"/>
      <c r="C818" s="85"/>
      <c r="D818" s="86" t="str">
        <f t="shared" si="30"/>
        <v/>
      </c>
      <c r="E818" s="93" t="str">
        <f t="shared" si="31"/>
        <v/>
      </c>
      <c r="F818" s="94"/>
      <c r="G818" s="95"/>
      <c r="H818" s="74"/>
      <c r="I818" s="75" t="s">
        <v>3889</v>
      </c>
      <c r="J818" s="76">
        <v>774.215309</v>
      </c>
      <c r="L818" s="77"/>
      <c r="M818" s="77">
        <v>0</v>
      </c>
    </row>
    <row r="819" s="69" customFormat="1" spans="2:13">
      <c r="B819" s="84"/>
      <c r="C819" s="85"/>
      <c r="D819" s="86" t="str">
        <f t="shared" si="30"/>
        <v/>
      </c>
      <c r="E819" s="93" t="str">
        <f t="shared" si="31"/>
        <v/>
      </c>
      <c r="F819" s="94"/>
      <c r="G819" s="95"/>
      <c r="H819" s="74"/>
      <c r="I819" s="75" t="s">
        <v>3890</v>
      </c>
      <c r="J819" s="76">
        <v>837.560437</v>
      </c>
      <c r="L819" s="77"/>
      <c r="M819" s="77">
        <v>0</v>
      </c>
    </row>
    <row r="820" s="69" customFormat="1" spans="2:13">
      <c r="B820" s="84"/>
      <c r="C820" s="85"/>
      <c r="D820" s="86" t="str">
        <f t="shared" si="30"/>
        <v/>
      </c>
      <c r="E820" s="93" t="str">
        <f t="shared" si="31"/>
        <v/>
      </c>
      <c r="F820" s="94"/>
      <c r="G820" s="95"/>
      <c r="H820" s="74"/>
      <c r="I820" s="75" t="s">
        <v>3891</v>
      </c>
      <c r="J820" s="76">
        <v>710.973116</v>
      </c>
      <c r="L820" s="77"/>
      <c r="M820" s="77">
        <v>0</v>
      </c>
    </row>
    <row r="821" s="69" customFormat="1" spans="2:13">
      <c r="B821" s="84"/>
      <c r="C821" s="85"/>
      <c r="D821" s="86" t="str">
        <f t="shared" si="30"/>
        <v/>
      </c>
      <c r="E821" s="93" t="str">
        <f t="shared" si="31"/>
        <v/>
      </c>
      <c r="F821" s="94"/>
      <c r="G821" s="95"/>
      <c r="H821" s="74"/>
      <c r="I821" s="75" t="s">
        <v>3892</v>
      </c>
      <c r="J821" s="76">
        <v>890.705004</v>
      </c>
      <c r="L821" s="77" t="s">
        <v>2144</v>
      </c>
      <c r="M821" s="77" t="s">
        <v>3893</v>
      </c>
    </row>
    <row r="822" s="69" customFormat="1" spans="2:13">
      <c r="B822" s="84"/>
      <c r="C822" s="85"/>
      <c r="D822" s="86" t="str">
        <f t="shared" si="30"/>
        <v/>
      </c>
      <c r="E822" s="93" t="str">
        <f t="shared" si="31"/>
        <v/>
      </c>
      <c r="F822" s="94"/>
      <c r="G822" s="95"/>
      <c r="H822" s="74"/>
      <c r="I822" s="75" t="s">
        <v>3894</v>
      </c>
      <c r="J822" s="76">
        <v>815.685976</v>
      </c>
      <c r="L822" s="77" t="s">
        <v>2144</v>
      </c>
      <c r="M822" s="77" t="s">
        <v>3893</v>
      </c>
    </row>
    <row r="823" s="69" customFormat="1" spans="2:13">
      <c r="B823" s="84"/>
      <c r="C823" s="85"/>
      <c r="D823" s="86" t="str">
        <f t="shared" si="30"/>
        <v/>
      </c>
      <c r="E823" s="93" t="str">
        <f t="shared" si="31"/>
        <v/>
      </c>
      <c r="F823" s="94"/>
      <c r="G823" s="95"/>
      <c r="H823" s="74"/>
      <c r="I823" s="75" t="s">
        <v>3895</v>
      </c>
      <c r="J823" s="76">
        <v>747.865853</v>
      </c>
      <c r="L823" s="77" t="s">
        <v>2144</v>
      </c>
      <c r="M823" s="77" t="s">
        <v>3893</v>
      </c>
    </row>
    <row r="824" s="69" customFormat="1" spans="2:13">
      <c r="B824" s="84"/>
      <c r="C824" s="85"/>
      <c r="D824" s="86" t="str">
        <f t="shared" si="30"/>
        <v/>
      </c>
      <c r="E824" s="93" t="str">
        <f t="shared" si="31"/>
        <v/>
      </c>
      <c r="F824" s="94"/>
      <c r="G824" s="95"/>
      <c r="H824" s="74"/>
      <c r="I824" s="75" t="s">
        <v>3896</v>
      </c>
      <c r="J824" s="76">
        <v>442.51221</v>
      </c>
      <c r="L824" s="77" t="s">
        <v>2144</v>
      </c>
      <c r="M824" s="77" t="s">
        <v>3893</v>
      </c>
    </row>
    <row r="825" s="69" customFormat="1" spans="2:13">
      <c r="B825" s="84"/>
      <c r="C825" s="85"/>
      <c r="D825" s="86" t="str">
        <f t="shared" si="30"/>
        <v/>
      </c>
      <c r="E825" s="93" t="str">
        <f t="shared" si="31"/>
        <v/>
      </c>
      <c r="F825" s="94"/>
      <c r="G825" s="95"/>
      <c r="H825" s="74"/>
      <c r="I825" s="75" t="s">
        <v>3897</v>
      </c>
      <c r="J825" s="76">
        <v>141.191953</v>
      </c>
      <c r="L825" s="77" t="s">
        <v>2144</v>
      </c>
      <c r="M825" s="77" t="s">
        <v>3893</v>
      </c>
    </row>
    <row r="826" s="69" customFormat="1" spans="2:13">
      <c r="B826" s="84"/>
      <c r="C826" s="85"/>
      <c r="D826" s="86" t="str">
        <f t="shared" si="30"/>
        <v/>
      </c>
      <c r="E826" s="93" t="str">
        <f t="shared" si="31"/>
        <v/>
      </c>
      <c r="F826" s="94"/>
      <c r="G826" s="95"/>
      <c r="H826" s="74"/>
      <c r="I826" s="75" t="s">
        <v>707</v>
      </c>
      <c r="J826" s="76">
        <v>32.331586</v>
      </c>
      <c r="L826" s="77" t="s">
        <v>2144</v>
      </c>
      <c r="M826" s="77" t="s">
        <v>3893</v>
      </c>
    </row>
    <row r="827" s="69" customFormat="1" spans="2:13">
      <c r="B827" s="84"/>
      <c r="C827" s="85"/>
      <c r="D827" s="86" t="str">
        <f t="shared" si="30"/>
        <v/>
      </c>
      <c r="E827" s="93" t="str">
        <f t="shared" si="31"/>
        <v/>
      </c>
      <c r="F827" s="94"/>
      <c r="G827" s="95"/>
      <c r="H827" s="74"/>
      <c r="I827" s="75" t="s">
        <v>3898</v>
      </c>
      <c r="J827" s="76">
        <v>985.844195</v>
      </c>
      <c r="L827" s="77" t="s">
        <v>1633</v>
      </c>
      <c r="M827" s="77" t="s">
        <v>3893</v>
      </c>
    </row>
    <row r="828" s="69" customFormat="1" spans="2:13">
      <c r="B828" s="84"/>
      <c r="C828" s="85"/>
      <c r="D828" s="86" t="str">
        <f t="shared" si="30"/>
        <v/>
      </c>
      <c r="E828" s="93" t="str">
        <f t="shared" si="31"/>
        <v/>
      </c>
      <c r="F828" s="94"/>
      <c r="G828" s="95"/>
      <c r="H828" s="74"/>
      <c r="I828" s="75" t="s">
        <v>3899</v>
      </c>
      <c r="J828" s="76">
        <v>1034.991909</v>
      </c>
      <c r="L828" s="77" t="s">
        <v>1633</v>
      </c>
      <c r="M828" s="77" t="s">
        <v>3893</v>
      </c>
    </row>
    <row r="829" s="69" customFormat="1" spans="2:13">
      <c r="B829" s="84"/>
      <c r="C829" s="85"/>
      <c r="D829" s="86" t="str">
        <f t="shared" si="30"/>
        <v/>
      </c>
      <c r="E829" s="93" t="str">
        <f t="shared" si="31"/>
        <v/>
      </c>
      <c r="F829" s="94"/>
      <c r="G829" s="95"/>
      <c r="H829" s="74"/>
      <c r="I829" s="75" t="s">
        <v>3900</v>
      </c>
      <c r="J829" s="76">
        <v>975.072196</v>
      </c>
      <c r="L829" s="77" t="s">
        <v>1872</v>
      </c>
      <c r="M829" s="77" t="s">
        <v>3893</v>
      </c>
    </row>
    <row r="830" s="69" customFormat="1" spans="2:13">
      <c r="B830" s="84"/>
      <c r="C830" s="85"/>
      <c r="D830" s="86" t="str">
        <f t="shared" si="30"/>
        <v/>
      </c>
      <c r="E830" s="93" t="str">
        <f t="shared" si="31"/>
        <v/>
      </c>
      <c r="F830" s="94"/>
      <c r="G830" s="95"/>
      <c r="H830" s="74"/>
      <c r="I830" s="75" t="s">
        <v>3901</v>
      </c>
      <c r="J830" s="76">
        <v>924.825874</v>
      </c>
      <c r="L830" s="77" t="s">
        <v>1872</v>
      </c>
      <c r="M830" s="77" t="s">
        <v>3893</v>
      </c>
    </row>
    <row r="831" s="69" customFormat="1" spans="2:13">
      <c r="B831" s="84"/>
      <c r="C831" s="85"/>
      <c r="D831" s="86" t="str">
        <f t="shared" si="30"/>
        <v/>
      </c>
      <c r="E831" s="93" t="str">
        <f t="shared" si="31"/>
        <v/>
      </c>
      <c r="F831" s="94"/>
      <c r="G831" s="95"/>
      <c r="H831" s="74"/>
      <c r="I831" s="75" t="s">
        <v>3902</v>
      </c>
      <c r="J831" s="76">
        <v>949.850979</v>
      </c>
      <c r="L831" s="77" t="s">
        <v>2144</v>
      </c>
      <c r="M831" s="77" t="s">
        <v>3903</v>
      </c>
    </row>
    <row r="832" s="69" customFormat="1" spans="2:13">
      <c r="B832" s="84"/>
      <c r="C832" s="85"/>
      <c r="D832" s="86" t="str">
        <f t="shared" si="30"/>
        <v/>
      </c>
      <c r="E832" s="93" t="str">
        <f t="shared" si="31"/>
        <v/>
      </c>
      <c r="F832" s="94"/>
      <c r="G832" s="95"/>
      <c r="H832" s="74"/>
      <c r="I832" s="75" t="s">
        <v>3904</v>
      </c>
      <c r="J832" s="76">
        <v>946.221003</v>
      </c>
      <c r="L832" s="77" t="s">
        <v>2144</v>
      </c>
      <c r="M832" s="77" t="s">
        <v>3903</v>
      </c>
    </row>
    <row r="833" s="69" customFormat="1" spans="2:13">
      <c r="B833" s="84"/>
      <c r="C833" s="85"/>
      <c r="D833" s="86" t="str">
        <f t="shared" si="30"/>
        <v/>
      </c>
      <c r="E833" s="93" t="str">
        <f t="shared" si="31"/>
        <v/>
      </c>
      <c r="F833" s="94"/>
      <c r="G833" s="95"/>
      <c r="H833" s="74"/>
      <c r="I833" s="75" t="s">
        <v>3905</v>
      </c>
      <c r="J833" s="76">
        <v>904.639071</v>
      </c>
      <c r="L833" s="77" t="s">
        <v>1633</v>
      </c>
      <c r="M833" s="77" t="s">
        <v>3903</v>
      </c>
    </row>
    <row r="834" s="69" customFormat="1" spans="2:13">
      <c r="B834" s="84"/>
      <c r="C834" s="85"/>
      <c r="D834" s="86" t="str">
        <f t="shared" si="30"/>
        <v/>
      </c>
      <c r="E834" s="93" t="str">
        <f t="shared" si="31"/>
        <v/>
      </c>
      <c r="F834" s="94"/>
      <c r="G834" s="95"/>
      <c r="H834" s="74"/>
      <c r="I834" s="75" t="s">
        <v>3906</v>
      </c>
      <c r="J834" s="76">
        <v>907.387495</v>
      </c>
      <c r="L834" s="77" t="s">
        <v>1633</v>
      </c>
      <c r="M834" s="77" t="s">
        <v>3903</v>
      </c>
    </row>
    <row r="835" s="69" customFormat="1" spans="2:13">
      <c r="B835" s="84"/>
      <c r="C835" s="85"/>
      <c r="D835" s="86" t="str">
        <f t="shared" ref="D835:D898" si="32">IF(C835="","",C835/(C835+$E$1/60))</f>
        <v/>
      </c>
      <c r="E835" s="93" t="str">
        <f t="shared" ref="E835:E898" si="33">IFERROR(ROUND(1440/C835*2*D835,0),"")</f>
        <v/>
      </c>
      <c r="F835" s="94"/>
      <c r="G835" s="95"/>
      <c r="H835" s="74"/>
      <c r="I835" s="75" t="s">
        <v>3907</v>
      </c>
      <c r="J835" s="76">
        <v>390.89477</v>
      </c>
      <c r="L835" s="77" t="s">
        <v>1872</v>
      </c>
      <c r="M835" s="77" t="s">
        <v>3903</v>
      </c>
    </row>
    <row r="836" s="69" customFormat="1" spans="2:13">
      <c r="B836" s="84"/>
      <c r="C836" s="85"/>
      <c r="D836" s="86" t="str">
        <f t="shared" si="32"/>
        <v/>
      </c>
      <c r="E836" s="93" t="str">
        <f t="shared" si="33"/>
        <v/>
      </c>
      <c r="F836" s="94"/>
      <c r="G836" s="95"/>
      <c r="H836" s="74"/>
      <c r="I836" s="75" t="s">
        <v>3908</v>
      </c>
      <c r="J836" s="76">
        <v>884.876979</v>
      </c>
      <c r="L836" s="77" t="s">
        <v>1872</v>
      </c>
      <c r="M836" s="77" t="s">
        <v>3903</v>
      </c>
    </row>
    <row r="837" s="69" customFormat="1" spans="2:13">
      <c r="B837" s="84"/>
      <c r="C837" s="85"/>
      <c r="D837" s="86" t="str">
        <f t="shared" si="32"/>
        <v/>
      </c>
      <c r="E837" s="93" t="str">
        <f t="shared" si="33"/>
        <v/>
      </c>
      <c r="F837" s="94"/>
      <c r="G837" s="95"/>
      <c r="H837" s="74"/>
      <c r="I837" s="75" t="s">
        <v>3909</v>
      </c>
      <c r="J837" s="76">
        <v>851.923142</v>
      </c>
      <c r="L837" s="77" t="s">
        <v>2144</v>
      </c>
      <c r="M837" s="77" t="s">
        <v>3910</v>
      </c>
    </row>
    <row r="838" s="69" customFormat="1" spans="2:13">
      <c r="B838" s="84"/>
      <c r="C838" s="85"/>
      <c r="D838" s="86" t="str">
        <f t="shared" si="32"/>
        <v/>
      </c>
      <c r="E838" s="93" t="str">
        <f t="shared" si="33"/>
        <v/>
      </c>
      <c r="F838" s="94"/>
      <c r="G838" s="95"/>
      <c r="H838" s="74"/>
      <c r="I838" s="75" t="s">
        <v>3911</v>
      </c>
      <c r="J838" s="76">
        <v>872.854647</v>
      </c>
      <c r="L838" s="77" t="s">
        <v>2144</v>
      </c>
      <c r="M838" s="77" t="s">
        <v>3910</v>
      </c>
    </row>
    <row r="839" s="69" customFormat="1" spans="2:13">
      <c r="B839" s="84"/>
      <c r="C839" s="85"/>
      <c r="D839" s="86" t="str">
        <f t="shared" si="32"/>
        <v/>
      </c>
      <c r="E839" s="93" t="str">
        <f t="shared" si="33"/>
        <v/>
      </c>
      <c r="F839" s="94"/>
      <c r="G839" s="95"/>
      <c r="H839" s="74"/>
      <c r="I839" s="75" t="s">
        <v>3912</v>
      </c>
      <c r="J839" s="76">
        <v>889.150269</v>
      </c>
      <c r="L839" s="77" t="s">
        <v>2144</v>
      </c>
      <c r="M839" s="77" t="s">
        <v>3913</v>
      </c>
    </row>
    <row r="840" s="69" customFormat="1" spans="2:13">
      <c r="B840" s="84"/>
      <c r="C840" s="85"/>
      <c r="D840" s="86" t="str">
        <f t="shared" si="32"/>
        <v/>
      </c>
      <c r="E840" s="93" t="str">
        <f t="shared" si="33"/>
        <v/>
      </c>
      <c r="F840" s="94"/>
      <c r="G840" s="95"/>
      <c r="H840" s="74"/>
      <c r="I840" s="75" t="s">
        <v>3914</v>
      </c>
      <c r="J840" s="76">
        <v>822.353546</v>
      </c>
      <c r="L840" s="77" t="s">
        <v>2144</v>
      </c>
      <c r="M840" s="77" t="s">
        <v>3913</v>
      </c>
    </row>
    <row r="841" s="69" customFormat="1" spans="2:13">
      <c r="B841" s="84"/>
      <c r="C841" s="85"/>
      <c r="D841" s="86" t="str">
        <f t="shared" si="32"/>
        <v/>
      </c>
      <c r="E841" s="93" t="str">
        <f t="shared" si="33"/>
        <v/>
      </c>
      <c r="F841" s="94"/>
      <c r="G841" s="95"/>
      <c r="H841" s="74"/>
      <c r="I841" s="75" t="s">
        <v>3915</v>
      </c>
      <c r="J841" s="76">
        <v>793.646105</v>
      </c>
      <c r="L841" s="77"/>
      <c r="M841" s="77"/>
    </row>
    <row r="842" s="69" customFormat="1" spans="2:13">
      <c r="B842" s="84"/>
      <c r="C842" s="85"/>
      <c r="D842" s="86" t="str">
        <f t="shared" si="32"/>
        <v/>
      </c>
      <c r="E842" s="93" t="str">
        <f t="shared" si="33"/>
        <v/>
      </c>
      <c r="F842" s="94"/>
      <c r="G842" s="95"/>
      <c r="H842" s="74"/>
      <c r="I842" s="75" t="s">
        <v>3916</v>
      </c>
      <c r="J842" s="76">
        <v>803.970545</v>
      </c>
      <c r="L842" s="77"/>
      <c r="M842" s="77"/>
    </row>
    <row r="843" s="69" customFormat="1" spans="2:13">
      <c r="B843" s="84"/>
      <c r="C843" s="85"/>
      <c r="D843" s="86" t="str">
        <f t="shared" si="32"/>
        <v/>
      </c>
      <c r="E843" s="93" t="str">
        <f t="shared" si="33"/>
        <v/>
      </c>
      <c r="F843" s="94"/>
      <c r="G843" s="95"/>
      <c r="H843" s="74"/>
      <c r="I843" s="75" t="s">
        <v>3917</v>
      </c>
      <c r="J843" s="76">
        <v>747.865853</v>
      </c>
      <c r="L843" s="77"/>
      <c r="M843" s="77"/>
    </row>
    <row r="844" s="69" customFormat="1" spans="2:13">
      <c r="B844" s="84"/>
      <c r="C844" s="85"/>
      <c r="D844" s="86" t="str">
        <f t="shared" si="32"/>
        <v/>
      </c>
      <c r="E844" s="93" t="str">
        <f t="shared" si="33"/>
        <v/>
      </c>
      <c r="F844" s="94"/>
      <c r="G844" s="95"/>
      <c r="H844" s="74"/>
      <c r="I844" s="75" t="s">
        <v>369</v>
      </c>
      <c r="J844" s="76">
        <v>711.929995</v>
      </c>
      <c r="L844" s="77"/>
      <c r="M844" s="77"/>
    </row>
    <row r="845" s="69" customFormat="1" spans="2:13">
      <c r="B845" s="84"/>
      <c r="C845" s="85"/>
      <c r="D845" s="86" t="str">
        <f t="shared" si="32"/>
        <v/>
      </c>
      <c r="E845" s="93" t="str">
        <f t="shared" si="33"/>
        <v/>
      </c>
      <c r="F845" s="94"/>
      <c r="G845" s="95"/>
      <c r="H845" s="74"/>
      <c r="I845" s="75" t="s">
        <v>3918</v>
      </c>
      <c r="J845" s="76">
        <v>1298.806698</v>
      </c>
      <c r="L845" s="77"/>
      <c r="M845" s="77"/>
    </row>
    <row r="846" s="69" customFormat="1" spans="2:13">
      <c r="B846" s="84"/>
      <c r="C846" s="85"/>
      <c r="D846" s="86" t="str">
        <f t="shared" si="32"/>
        <v/>
      </c>
      <c r="E846" s="93" t="str">
        <f t="shared" si="33"/>
        <v/>
      </c>
      <c r="F846" s="94"/>
      <c r="G846" s="95"/>
      <c r="H846" s="74"/>
      <c r="I846" s="75" t="s">
        <v>3919</v>
      </c>
      <c r="J846" s="76">
        <v>842.817381</v>
      </c>
      <c r="L846" s="77"/>
      <c r="M846" s="77"/>
    </row>
    <row r="847" s="69" customFormat="1" spans="2:13">
      <c r="B847" s="84"/>
      <c r="C847" s="85"/>
      <c r="D847" s="86" t="str">
        <f t="shared" si="32"/>
        <v/>
      </c>
      <c r="E847" s="93" t="str">
        <f t="shared" si="33"/>
        <v/>
      </c>
      <c r="F847" s="94"/>
      <c r="G847" s="95"/>
      <c r="H847" s="74"/>
      <c r="I847" s="75" t="s">
        <v>444</v>
      </c>
      <c r="J847" s="76">
        <v>443.117563</v>
      </c>
      <c r="L847" s="77"/>
      <c r="M847" s="77"/>
    </row>
    <row r="848" s="69" customFormat="1" spans="2:13">
      <c r="B848" s="84"/>
      <c r="C848" s="85"/>
      <c r="D848" s="86" t="str">
        <f t="shared" si="32"/>
        <v/>
      </c>
      <c r="E848" s="93" t="str">
        <f t="shared" si="33"/>
        <v/>
      </c>
      <c r="F848" s="94"/>
      <c r="G848" s="95"/>
      <c r="H848" s="74"/>
      <c r="I848" s="75" t="s">
        <v>3920</v>
      </c>
      <c r="J848" s="76">
        <v>1160.946983</v>
      </c>
      <c r="L848" s="77"/>
      <c r="M848" s="77"/>
    </row>
    <row r="849" s="69" customFormat="1" spans="2:13">
      <c r="B849" s="84"/>
      <c r="C849" s="85"/>
      <c r="D849" s="86" t="str">
        <f t="shared" si="32"/>
        <v/>
      </c>
      <c r="E849" s="93" t="str">
        <f t="shared" si="33"/>
        <v/>
      </c>
      <c r="F849" s="94"/>
      <c r="G849" s="95"/>
      <c r="H849" s="74"/>
      <c r="I849" s="75" t="s">
        <v>3921</v>
      </c>
      <c r="J849" s="76">
        <v>1197.284228</v>
      </c>
      <c r="L849" s="77"/>
      <c r="M849" s="77"/>
    </row>
    <row r="850" s="69" customFormat="1" spans="2:13">
      <c r="B850" s="84"/>
      <c r="C850" s="85"/>
      <c r="D850" s="86" t="str">
        <f t="shared" si="32"/>
        <v/>
      </c>
      <c r="E850" s="93" t="str">
        <f t="shared" si="33"/>
        <v/>
      </c>
      <c r="F850" s="94"/>
      <c r="G850" s="95"/>
      <c r="H850" s="74"/>
      <c r="I850" s="75" t="s">
        <v>3922</v>
      </c>
      <c r="J850" s="76">
        <v>1164.204965</v>
      </c>
      <c r="L850" s="77"/>
      <c r="M850" s="77"/>
    </row>
    <row r="851" s="69" customFormat="1" spans="2:13">
      <c r="B851" s="84"/>
      <c r="C851" s="85"/>
      <c r="D851" s="86" t="str">
        <f t="shared" si="32"/>
        <v/>
      </c>
      <c r="E851" s="93" t="str">
        <f t="shared" si="33"/>
        <v/>
      </c>
      <c r="F851" s="94"/>
      <c r="G851" s="95"/>
      <c r="H851" s="74"/>
      <c r="I851" s="75" t="s">
        <v>3923</v>
      </c>
      <c r="J851" s="76">
        <v>161.769076</v>
      </c>
      <c r="L851" s="77"/>
      <c r="M851" s="77"/>
    </row>
    <row r="852" s="69" customFormat="1" spans="2:13">
      <c r="B852" s="84"/>
      <c r="C852" s="85"/>
      <c r="D852" s="86" t="str">
        <f t="shared" si="32"/>
        <v/>
      </c>
      <c r="E852" s="93" t="str">
        <f t="shared" si="33"/>
        <v/>
      </c>
      <c r="F852" s="94"/>
      <c r="G852" s="95"/>
      <c r="H852" s="74"/>
      <c r="I852" s="75" t="s">
        <v>3924</v>
      </c>
      <c r="J852" s="76">
        <v>153.253317</v>
      </c>
      <c r="L852" s="77"/>
      <c r="M852" s="77"/>
    </row>
    <row r="853" s="69" customFormat="1" spans="2:13">
      <c r="B853" s="84"/>
      <c r="C853" s="85"/>
      <c r="D853" s="86" t="str">
        <f t="shared" si="32"/>
        <v/>
      </c>
      <c r="E853" s="93" t="str">
        <f t="shared" si="33"/>
        <v/>
      </c>
      <c r="F853" s="94"/>
      <c r="G853" s="95"/>
      <c r="H853" s="74"/>
      <c r="I853" s="75" t="s">
        <v>3925</v>
      </c>
      <c r="J853" s="76">
        <v>145.374922</v>
      </c>
      <c r="L853" s="77"/>
      <c r="M853" s="77"/>
    </row>
    <row r="854" s="69" customFormat="1" spans="2:13">
      <c r="B854" s="84"/>
      <c r="C854" s="85"/>
      <c r="D854" s="86" t="str">
        <f t="shared" si="32"/>
        <v/>
      </c>
      <c r="E854" s="93" t="str">
        <f t="shared" si="33"/>
        <v/>
      </c>
      <c r="F854" s="94"/>
      <c r="G854" s="95"/>
      <c r="H854" s="74"/>
      <c r="I854" s="75" t="s">
        <v>3926</v>
      </c>
      <c r="J854" s="76">
        <v>989.26009</v>
      </c>
      <c r="L854" s="77"/>
      <c r="M854" s="77"/>
    </row>
    <row r="855" s="69" customFormat="1" spans="2:13">
      <c r="B855" s="84"/>
      <c r="C855" s="85"/>
      <c r="D855" s="86" t="str">
        <f t="shared" si="32"/>
        <v/>
      </c>
      <c r="E855" s="93" t="str">
        <f t="shared" si="33"/>
        <v/>
      </c>
      <c r="F855" s="94"/>
      <c r="G855" s="95"/>
      <c r="H855" s="74"/>
      <c r="I855" s="75" t="s">
        <v>3927</v>
      </c>
      <c r="J855" s="76">
        <v>184.656941</v>
      </c>
      <c r="L855" s="77"/>
      <c r="M855" s="77"/>
    </row>
    <row r="856" s="69" customFormat="1" spans="2:13">
      <c r="B856" s="84"/>
      <c r="C856" s="85"/>
      <c r="D856" s="86" t="str">
        <f t="shared" si="32"/>
        <v/>
      </c>
      <c r="E856" s="93" t="str">
        <f t="shared" si="33"/>
        <v/>
      </c>
      <c r="F856" s="94"/>
      <c r="G856" s="95"/>
      <c r="H856" s="74"/>
      <c r="I856" s="75" t="s">
        <v>3928</v>
      </c>
      <c r="J856" s="76">
        <v>924.825874</v>
      </c>
      <c r="L856" s="77"/>
      <c r="M856" s="77"/>
    </row>
    <row r="857" s="69" customFormat="1" spans="2:13">
      <c r="B857" s="84"/>
      <c r="C857" s="85"/>
      <c r="D857" s="86" t="str">
        <f t="shared" si="32"/>
        <v/>
      </c>
      <c r="E857" s="93" t="str">
        <f t="shared" si="33"/>
        <v/>
      </c>
      <c r="F857" s="94"/>
      <c r="G857" s="95"/>
      <c r="H857" s="74"/>
      <c r="I857" s="75" t="s">
        <v>3929</v>
      </c>
      <c r="J857" s="76">
        <v>683.345481</v>
      </c>
      <c r="L857" s="77"/>
      <c r="M857" s="77"/>
    </row>
    <row r="858" s="69" customFormat="1" spans="2:13">
      <c r="B858" s="84"/>
      <c r="C858" s="85"/>
      <c r="D858" s="86" t="str">
        <f t="shared" si="32"/>
        <v/>
      </c>
      <c r="E858" s="93" t="str">
        <f t="shared" si="33"/>
        <v/>
      </c>
      <c r="F858" s="94"/>
      <c r="G858" s="95"/>
      <c r="H858" s="74"/>
      <c r="I858" s="75" t="s">
        <v>3930</v>
      </c>
      <c r="J858" s="76">
        <v>1230.37313</v>
      </c>
      <c r="L858" s="77"/>
      <c r="M858" s="77"/>
    </row>
    <row r="859" s="69" customFormat="1" spans="2:13">
      <c r="B859" s="84"/>
      <c r="C859" s="85"/>
      <c r="D859" s="86" t="str">
        <f t="shared" si="32"/>
        <v/>
      </c>
      <c r="E859" s="93" t="str">
        <f t="shared" si="33"/>
        <v/>
      </c>
      <c r="F859" s="94"/>
      <c r="G859" s="95"/>
      <c r="H859" s="74"/>
      <c r="I859" s="75" t="s">
        <v>333</v>
      </c>
      <c r="J859" s="76">
        <v>920.908275</v>
      </c>
      <c r="L859" s="77"/>
      <c r="M859" s="77"/>
    </row>
    <row r="860" s="69" customFormat="1" spans="2:13">
      <c r="B860" s="84"/>
      <c r="C860" s="85"/>
      <c r="D860" s="86" t="str">
        <f t="shared" si="32"/>
        <v/>
      </c>
      <c r="E860" s="93" t="str">
        <f t="shared" si="33"/>
        <v/>
      </c>
      <c r="F860" s="94"/>
      <c r="G860" s="95"/>
      <c r="H860" s="74"/>
      <c r="I860" s="75" t="s">
        <v>3931</v>
      </c>
      <c r="J860" s="76">
        <v>1230.077058</v>
      </c>
      <c r="L860" s="77"/>
      <c r="M860" s="77"/>
    </row>
    <row r="861" s="69" customFormat="1" spans="2:13">
      <c r="B861" s="84"/>
      <c r="C861" s="85"/>
      <c r="D861" s="86" t="str">
        <f t="shared" si="32"/>
        <v/>
      </c>
      <c r="E861" s="93" t="str">
        <f t="shared" si="33"/>
        <v/>
      </c>
      <c r="F861" s="94"/>
      <c r="G861" s="95"/>
      <c r="H861" s="74"/>
      <c r="I861" s="75" t="s">
        <v>3932</v>
      </c>
      <c r="J861" s="76">
        <v>758.343446</v>
      </c>
      <c r="L861" s="77"/>
      <c r="M861" s="77"/>
    </row>
    <row r="862" s="69" customFormat="1" spans="2:13">
      <c r="B862" s="84"/>
      <c r="C862" s="85"/>
      <c r="D862" s="86" t="str">
        <f t="shared" si="32"/>
        <v/>
      </c>
      <c r="E862" s="93" t="str">
        <f t="shared" si="33"/>
        <v/>
      </c>
      <c r="F862" s="94"/>
      <c r="G862" s="95"/>
      <c r="H862" s="74"/>
      <c r="I862" s="75" t="s">
        <v>405</v>
      </c>
      <c r="J862" s="76">
        <v>769.168519</v>
      </c>
      <c r="L862" s="77"/>
      <c r="M862" s="77"/>
    </row>
    <row r="863" s="69" customFormat="1" spans="2:13">
      <c r="B863" s="84"/>
      <c r="C863" s="85"/>
      <c r="D863" s="86" t="str">
        <f t="shared" si="32"/>
        <v/>
      </c>
      <c r="E863" s="93" t="str">
        <f t="shared" si="33"/>
        <v/>
      </c>
      <c r="F863" s="94"/>
      <c r="G863" s="95"/>
      <c r="H863" s="74"/>
      <c r="I863" s="75" t="s">
        <v>3933</v>
      </c>
      <c r="J863" s="76">
        <v>903.423129</v>
      </c>
      <c r="L863" s="77"/>
      <c r="M863" s="77"/>
    </row>
    <row r="864" s="69" customFormat="1" spans="2:13">
      <c r="B864" s="84"/>
      <c r="C864" s="85"/>
      <c r="D864" s="86" t="str">
        <f t="shared" si="32"/>
        <v/>
      </c>
      <c r="E864" s="93" t="str">
        <f t="shared" si="33"/>
        <v/>
      </c>
      <c r="F864" s="94"/>
      <c r="G864" s="95"/>
      <c r="H864" s="74"/>
      <c r="I864" s="75" t="s">
        <v>650</v>
      </c>
      <c r="J864" s="76">
        <v>442.430695</v>
      </c>
      <c r="L864" s="77"/>
      <c r="M864" s="77"/>
    </row>
    <row r="865" s="69" customFormat="1" spans="2:13">
      <c r="B865" s="84"/>
      <c r="C865" s="85"/>
      <c r="D865" s="86" t="str">
        <f t="shared" si="32"/>
        <v/>
      </c>
      <c r="E865" s="93" t="str">
        <f t="shared" si="33"/>
        <v/>
      </c>
      <c r="F865" s="94"/>
      <c r="G865" s="95"/>
      <c r="H865" s="74"/>
      <c r="I865" s="75" t="s">
        <v>135</v>
      </c>
      <c r="J865" s="76">
        <v>743.481893</v>
      </c>
      <c r="L865" s="77"/>
      <c r="M865" s="77"/>
    </row>
    <row r="866" s="69" customFormat="1" spans="2:13">
      <c r="B866" s="84"/>
      <c r="C866" s="85"/>
      <c r="D866" s="86" t="str">
        <f t="shared" si="32"/>
        <v/>
      </c>
      <c r="E866" s="93" t="str">
        <f t="shared" si="33"/>
        <v/>
      </c>
      <c r="F866" s="94"/>
      <c r="G866" s="95"/>
      <c r="H866" s="74"/>
      <c r="I866" s="75" t="s">
        <v>574</v>
      </c>
      <c r="J866" s="76">
        <v>1092.271012</v>
      </c>
      <c r="L866" s="77"/>
      <c r="M866" s="77"/>
    </row>
    <row r="867" s="69" customFormat="1" spans="2:13">
      <c r="B867" s="84"/>
      <c r="C867" s="85"/>
      <c r="D867" s="86" t="str">
        <f t="shared" si="32"/>
        <v/>
      </c>
      <c r="E867" s="93" t="str">
        <f t="shared" si="33"/>
        <v/>
      </c>
      <c r="F867" s="94"/>
      <c r="G867" s="95"/>
      <c r="H867" s="74"/>
      <c r="I867" s="75" t="s">
        <v>3934</v>
      </c>
      <c r="J867" s="76">
        <v>1395.404353</v>
      </c>
      <c r="L867" s="77"/>
      <c r="M867" s="77"/>
    </row>
    <row r="868" s="69" customFormat="1" spans="2:13">
      <c r="B868" s="84"/>
      <c r="C868" s="85"/>
      <c r="D868" s="86" t="str">
        <f t="shared" si="32"/>
        <v/>
      </c>
      <c r="E868" s="93" t="str">
        <f t="shared" si="33"/>
        <v/>
      </c>
      <c r="F868" s="94"/>
      <c r="G868" s="95"/>
      <c r="H868" s="74"/>
      <c r="I868" s="75" t="s">
        <v>3935</v>
      </c>
      <c r="J868" s="76">
        <v>1140.466964</v>
      </c>
      <c r="L868" s="77"/>
      <c r="M868" s="77"/>
    </row>
    <row r="869" s="69" customFormat="1" spans="2:13">
      <c r="B869" s="84"/>
      <c r="C869" s="85"/>
      <c r="D869" s="86" t="str">
        <f t="shared" si="32"/>
        <v/>
      </c>
      <c r="E869" s="93" t="str">
        <f t="shared" si="33"/>
        <v/>
      </c>
      <c r="F869" s="94"/>
      <c r="G869" s="95"/>
      <c r="H869" s="74"/>
      <c r="I869" s="75" t="s">
        <v>3936</v>
      </c>
      <c r="J869" s="76">
        <v>904.639071</v>
      </c>
      <c r="L869" s="77"/>
      <c r="M869" s="77"/>
    </row>
    <row r="870" s="69" customFormat="1" spans="2:13">
      <c r="B870" s="84"/>
      <c r="C870" s="85"/>
      <c r="D870" s="86" t="str">
        <f t="shared" si="32"/>
        <v/>
      </c>
      <c r="E870" s="93" t="str">
        <f t="shared" si="33"/>
        <v/>
      </c>
      <c r="F870" s="94"/>
      <c r="G870" s="95"/>
      <c r="H870" s="74"/>
      <c r="I870" s="75" t="s">
        <v>3937</v>
      </c>
      <c r="J870" s="76">
        <v>798.105154</v>
      </c>
      <c r="L870" s="77"/>
      <c r="M870" s="77"/>
    </row>
    <row r="871" s="69" customFormat="1" spans="2:13">
      <c r="B871" s="84"/>
      <c r="C871" s="85"/>
      <c r="D871" s="86" t="str">
        <f t="shared" si="32"/>
        <v/>
      </c>
      <c r="E871" s="93" t="str">
        <f t="shared" si="33"/>
        <v/>
      </c>
      <c r="F871" s="94"/>
      <c r="G871" s="95"/>
      <c r="H871" s="74"/>
      <c r="I871" s="75" t="s">
        <v>576</v>
      </c>
      <c r="J871" s="76">
        <v>1302.394429</v>
      </c>
      <c r="L871" s="77"/>
      <c r="M871" s="77"/>
    </row>
    <row r="872" s="69" customFormat="1" spans="2:13">
      <c r="B872" s="84"/>
      <c r="C872" s="85"/>
      <c r="D872" s="86" t="str">
        <f t="shared" si="32"/>
        <v/>
      </c>
      <c r="E872" s="93" t="str">
        <f t="shared" si="33"/>
        <v/>
      </c>
      <c r="F872" s="94"/>
      <c r="G872" s="95"/>
      <c r="H872" s="74"/>
      <c r="I872" s="75" t="s">
        <v>3938</v>
      </c>
      <c r="J872" s="76">
        <v>498.649627</v>
      </c>
      <c r="L872" s="77"/>
      <c r="M872" s="77"/>
    </row>
    <row r="873" s="69" customFormat="1" spans="2:13">
      <c r="B873" s="84"/>
      <c r="C873" s="85"/>
      <c r="D873" s="86" t="str">
        <f t="shared" si="32"/>
        <v/>
      </c>
      <c r="E873" s="93" t="str">
        <f t="shared" si="33"/>
        <v/>
      </c>
      <c r="F873" s="94"/>
      <c r="G873" s="95"/>
      <c r="H873" s="74"/>
      <c r="I873" s="75" t="s">
        <v>3939</v>
      </c>
      <c r="J873" s="76">
        <v>1209.646067</v>
      </c>
      <c r="L873" s="77"/>
      <c r="M873" s="77"/>
    </row>
    <row r="874" s="69" customFormat="1" spans="2:13">
      <c r="B874" s="84"/>
      <c r="C874" s="85"/>
      <c r="D874" s="86" t="str">
        <f t="shared" si="32"/>
        <v/>
      </c>
      <c r="E874" s="93" t="str">
        <f t="shared" si="33"/>
        <v/>
      </c>
      <c r="F874" s="94"/>
      <c r="G874" s="95"/>
      <c r="H874" s="74"/>
      <c r="I874" s="75" t="s">
        <v>3940</v>
      </c>
      <c r="J874" s="76">
        <v>964.881036</v>
      </c>
      <c r="L874" s="77"/>
      <c r="M874" s="77"/>
    </row>
    <row r="875" s="69" customFormat="1" spans="2:13">
      <c r="B875" s="84"/>
      <c r="C875" s="85"/>
      <c r="D875" s="86" t="str">
        <f t="shared" si="32"/>
        <v/>
      </c>
      <c r="E875" s="93" t="str">
        <f t="shared" si="33"/>
        <v/>
      </c>
      <c r="F875" s="94"/>
      <c r="G875" s="95"/>
      <c r="H875" s="74"/>
      <c r="I875" s="75" t="s">
        <v>3941</v>
      </c>
      <c r="J875" s="76">
        <v>666.553867</v>
      </c>
      <c r="L875" s="77"/>
      <c r="M875" s="77"/>
    </row>
    <row r="876" s="69" customFormat="1" spans="2:13">
      <c r="B876" s="84"/>
      <c r="C876" s="85"/>
      <c r="D876" s="86" t="str">
        <f t="shared" si="32"/>
        <v/>
      </c>
      <c r="E876" s="93" t="str">
        <f t="shared" si="33"/>
        <v/>
      </c>
      <c r="F876" s="94"/>
      <c r="G876" s="95"/>
      <c r="H876" s="74"/>
      <c r="I876" s="75" t="s">
        <v>3942</v>
      </c>
      <c r="J876" s="76">
        <v>161.769076</v>
      </c>
      <c r="L876" s="77"/>
      <c r="M876" s="77"/>
    </row>
    <row r="877" s="69" customFormat="1" spans="2:13">
      <c r="B877" s="84"/>
      <c r="C877" s="85"/>
      <c r="D877" s="86" t="str">
        <f t="shared" si="32"/>
        <v/>
      </c>
      <c r="E877" s="93" t="str">
        <f t="shared" si="33"/>
        <v/>
      </c>
      <c r="F877" s="94"/>
      <c r="G877" s="95"/>
      <c r="H877" s="74"/>
      <c r="I877" s="75" t="s">
        <v>605</v>
      </c>
      <c r="J877" s="76">
        <v>904.1739</v>
      </c>
      <c r="L877" s="77"/>
      <c r="M877" s="77"/>
    </row>
    <row r="878" s="69" customFormat="1" spans="2:13">
      <c r="B878" s="84"/>
      <c r="C878" s="85"/>
      <c r="D878" s="86" t="str">
        <f t="shared" si="32"/>
        <v/>
      </c>
      <c r="E878" s="93" t="str">
        <f t="shared" si="33"/>
        <v/>
      </c>
      <c r="F878" s="94"/>
      <c r="G878" s="95"/>
      <c r="H878" s="74"/>
      <c r="I878" s="75" t="s">
        <v>495</v>
      </c>
      <c r="J878" s="76">
        <v>686.847889</v>
      </c>
      <c r="L878" s="77"/>
      <c r="M878" s="77"/>
    </row>
    <row r="879" s="69" customFormat="1" spans="2:13">
      <c r="B879" s="84"/>
      <c r="C879" s="85"/>
      <c r="D879" s="86" t="str">
        <f t="shared" si="32"/>
        <v/>
      </c>
      <c r="E879" s="93" t="str">
        <f t="shared" si="33"/>
        <v/>
      </c>
      <c r="F879" s="94"/>
      <c r="G879" s="95"/>
      <c r="H879" s="74"/>
      <c r="I879" s="75" t="s">
        <v>426</v>
      </c>
      <c r="J879" s="76">
        <v>398.184234</v>
      </c>
      <c r="L879" s="77"/>
      <c r="M879" s="77"/>
    </row>
    <row r="880" s="69" customFormat="1" spans="2:13">
      <c r="B880" s="84"/>
      <c r="C880" s="85"/>
      <c r="D880" s="86" t="str">
        <f t="shared" si="32"/>
        <v/>
      </c>
      <c r="E880" s="93" t="str">
        <f t="shared" si="33"/>
        <v/>
      </c>
      <c r="F880" s="94"/>
      <c r="G880" s="95"/>
      <c r="H880" s="74"/>
      <c r="I880" s="75" t="s">
        <v>3943</v>
      </c>
      <c r="J880" s="76">
        <v>153.253317</v>
      </c>
      <c r="L880" s="77"/>
      <c r="M880" s="77"/>
    </row>
    <row r="881" s="69" customFormat="1" spans="2:13">
      <c r="B881" s="84"/>
      <c r="C881" s="85"/>
      <c r="D881" s="86" t="str">
        <f t="shared" si="32"/>
        <v/>
      </c>
      <c r="E881" s="93" t="str">
        <f t="shared" si="33"/>
        <v/>
      </c>
      <c r="F881" s="94"/>
      <c r="G881" s="95"/>
      <c r="H881" s="74"/>
      <c r="I881" s="75" t="s">
        <v>3944</v>
      </c>
      <c r="J881" s="76">
        <v>193.784598</v>
      </c>
      <c r="L881" s="77"/>
      <c r="M881" s="77"/>
    </row>
    <row r="882" s="69" customFormat="1" spans="2:13">
      <c r="B882" s="84"/>
      <c r="C882" s="85"/>
      <c r="D882" s="86" t="str">
        <f t="shared" si="32"/>
        <v/>
      </c>
      <c r="E882" s="93" t="str">
        <f t="shared" si="33"/>
        <v/>
      </c>
      <c r="F882" s="94"/>
      <c r="G882" s="95"/>
      <c r="H882" s="74"/>
      <c r="I882" s="75" t="s">
        <v>3945</v>
      </c>
      <c r="J882" s="76">
        <v>207.922036</v>
      </c>
      <c r="L882" s="77"/>
      <c r="M882" s="77"/>
    </row>
    <row r="883" s="69" customFormat="1" spans="2:13">
      <c r="B883" s="84"/>
      <c r="C883" s="85"/>
      <c r="D883" s="86" t="str">
        <f t="shared" si="32"/>
        <v/>
      </c>
      <c r="E883" s="93" t="str">
        <f t="shared" si="33"/>
        <v/>
      </c>
      <c r="F883" s="94"/>
      <c r="G883" s="95"/>
      <c r="H883" s="74"/>
      <c r="I883" s="75" t="s">
        <v>3946</v>
      </c>
      <c r="J883" s="76">
        <v>879.366089</v>
      </c>
      <c r="L883" s="77"/>
      <c r="M883" s="77"/>
    </row>
    <row r="884" s="69" customFormat="1" spans="2:13">
      <c r="B884" s="84"/>
      <c r="C884" s="85"/>
      <c r="D884" s="86" t="str">
        <f t="shared" si="32"/>
        <v/>
      </c>
      <c r="E884" s="93" t="str">
        <f t="shared" si="33"/>
        <v/>
      </c>
      <c r="F884" s="94"/>
      <c r="G884" s="95"/>
      <c r="H884" s="74"/>
      <c r="I884" s="75" t="s">
        <v>3947</v>
      </c>
      <c r="J884" s="76">
        <v>1068.348561</v>
      </c>
      <c r="L884" s="77"/>
      <c r="M884" s="77"/>
    </row>
    <row r="885" s="69" customFormat="1" spans="2:13">
      <c r="B885" s="84"/>
      <c r="C885" s="85"/>
      <c r="D885" s="86" t="str">
        <f t="shared" si="32"/>
        <v/>
      </c>
      <c r="E885" s="93" t="str">
        <f t="shared" si="33"/>
        <v/>
      </c>
      <c r="F885" s="94"/>
      <c r="G885" s="95"/>
      <c r="H885" s="74"/>
      <c r="I885" s="75" t="s">
        <v>3948</v>
      </c>
      <c r="J885" s="76">
        <v>153.253317</v>
      </c>
      <c r="L885" s="77"/>
      <c r="M885" s="77"/>
    </row>
    <row r="886" s="69" customFormat="1" spans="2:13">
      <c r="B886" s="84"/>
      <c r="C886" s="85"/>
      <c r="D886" s="86" t="str">
        <f t="shared" si="32"/>
        <v/>
      </c>
      <c r="E886" s="93" t="str">
        <f t="shared" si="33"/>
        <v/>
      </c>
      <c r="F886" s="94"/>
      <c r="G886" s="95"/>
      <c r="H886" s="74"/>
      <c r="I886" s="75" t="s">
        <v>573</v>
      </c>
      <c r="J886" s="76">
        <v>1153.70857</v>
      </c>
      <c r="L886" s="77"/>
      <c r="M886" s="77"/>
    </row>
    <row r="887" s="69" customFormat="1" spans="2:13">
      <c r="B887" s="84"/>
      <c r="C887" s="85"/>
      <c r="D887" s="86" t="str">
        <f t="shared" si="32"/>
        <v/>
      </c>
      <c r="E887" s="93" t="str">
        <f t="shared" si="33"/>
        <v/>
      </c>
      <c r="F887" s="94"/>
      <c r="G887" s="95"/>
      <c r="H887" s="74"/>
      <c r="I887" s="75" t="s">
        <v>506</v>
      </c>
      <c r="J887" s="76">
        <v>694.360954</v>
      </c>
      <c r="L887" s="77"/>
      <c r="M887" s="77"/>
    </row>
    <row r="888" s="69" customFormat="1" spans="2:13">
      <c r="B888" s="84"/>
      <c r="C888" s="85"/>
      <c r="D888" s="86" t="str">
        <f t="shared" si="32"/>
        <v/>
      </c>
      <c r="E888" s="93" t="str">
        <f t="shared" si="33"/>
        <v/>
      </c>
      <c r="F888" s="94"/>
      <c r="G888" s="95"/>
      <c r="H888" s="74"/>
      <c r="I888" s="75" t="s">
        <v>462</v>
      </c>
      <c r="J888" s="76">
        <v>689.877629</v>
      </c>
      <c r="L888" s="77"/>
      <c r="M888" s="77"/>
    </row>
    <row r="889" s="69" customFormat="1" spans="2:13">
      <c r="B889" s="84"/>
      <c r="C889" s="85"/>
      <c r="D889" s="86" t="str">
        <f t="shared" si="32"/>
        <v/>
      </c>
      <c r="E889" s="93" t="str">
        <f t="shared" si="33"/>
        <v/>
      </c>
      <c r="F889" s="94"/>
      <c r="G889" s="95"/>
      <c r="H889" s="74"/>
      <c r="I889" s="75" t="s">
        <v>425</v>
      </c>
      <c r="J889" s="76">
        <v>1035.286672</v>
      </c>
      <c r="L889" s="77"/>
      <c r="M889" s="77"/>
    </row>
    <row r="890" s="69" customFormat="1" spans="2:13">
      <c r="B890" s="84"/>
      <c r="C890" s="85"/>
      <c r="D890" s="86" t="str">
        <f t="shared" si="32"/>
        <v/>
      </c>
      <c r="E890" s="93" t="str">
        <f t="shared" si="33"/>
        <v/>
      </c>
      <c r="F890" s="94"/>
      <c r="G890" s="95"/>
      <c r="H890" s="74"/>
      <c r="I890" s="75" t="s">
        <v>457</v>
      </c>
      <c r="J890" s="76">
        <v>611.205658</v>
      </c>
      <c r="L890" s="77"/>
      <c r="M890" s="77"/>
    </row>
    <row r="891" s="69" customFormat="1" spans="2:13">
      <c r="B891" s="84"/>
      <c r="C891" s="85"/>
      <c r="D891" s="86" t="str">
        <f t="shared" si="32"/>
        <v/>
      </c>
      <c r="E891" s="93" t="str">
        <f t="shared" si="33"/>
        <v/>
      </c>
      <c r="F891" s="94"/>
      <c r="G891" s="95"/>
      <c r="H891" s="74"/>
      <c r="I891" s="75" t="s">
        <v>3949</v>
      </c>
      <c r="J891" s="76">
        <v>1140.466964</v>
      </c>
      <c r="L891" s="77"/>
      <c r="M891" s="77"/>
    </row>
    <row r="892" s="69" customFormat="1" spans="2:13">
      <c r="B892" s="84"/>
      <c r="C892" s="85"/>
      <c r="D892" s="86" t="str">
        <f t="shared" si="32"/>
        <v/>
      </c>
      <c r="E892" s="93" t="str">
        <f t="shared" si="33"/>
        <v/>
      </c>
      <c r="F892" s="94"/>
      <c r="G892" s="95"/>
      <c r="H892" s="74"/>
      <c r="I892" s="75" t="s">
        <v>380</v>
      </c>
      <c r="J892" s="76">
        <v>869.122688</v>
      </c>
      <c r="L892" s="77"/>
      <c r="M892" s="77"/>
    </row>
    <row r="893" s="69" customFormat="1" spans="2:13">
      <c r="B893" s="84"/>
      <c r="C893" s="85"/>
      <c r="D893" s="86" t="str">
        <f t="shared" si="32"/>
        <v/>
      </c>
      <c r="E893" s="93" t="str">
        <f t="shared" si="33"/>
        <v/>
      </c>
      <c r="F893" s="94"/>
      <c r="G893" s="95"/>
      <c r="H893" s="74"/>
      <c r="I893" s="75" t="s">
        <v>3950</v>
      </c>
      <c r="J893" s="76">
        <v>1452.538157</v>
      </c>
      <c r="L893" s="77"/>
      <c r="M893" s="77"/>
    </row>
    <row r="894" s="69" customFormat="1" spans="2:13">
      <c r="B894" s="84"/>
      <c r="C894" s="85"/>
      <c r="D894" s="86" t="str">
        <f t="shared" si="32"/>
        <v/>
      </c>
      <c r="E894" s="93" t="str">
        <f t="shared" si="33"/>
        <v/>
      </c>
      <c r="F894" s="94"/>
      <c r="G894" s="95"/>
      <c r="H894" s="74"/>
      <c r="I894" s="75" t="s">
        <v>3951</v>
      </c>
      <c r="J894" s="76">
        <v>945.605654</v>
      </c>
      <c r="L894" s="77"/>
      <c r="M894" s="77"/>
    </row>
    <row r="895" s="69" customFormat="1" spans="2:13">
      <c r="B895" s="84"/>
      <c r="C895" s="85"/>
      <c r="D895" s="86" t="str">
        <f t="shared" si="32"/>
        <v/>
      </c>
      <c r="E895" s="93" t="str">
        <f t="shared" si="33"/>
        <v/>
      </c>
      <c r="F895" s="94"/>
      <c r="G895" s="95"/>
      <c r="H895" s="74"/>
      <c r="I895" s="75" t="s">
        <v>3952</v>
      </c>
      <c r="J895" s="76">
        <v>978.697293</v>
      </c>
      <c r="L895" s="77"/>
      <c r="M895" s="77"/>
    </row>
    <row r="896" s="69" customFormat="1" spans="2:13">
      <c r="B896" s="84"/>
      <c r="C896" s="85"/>
      <c r="D896" s="86" t="str">
        <f t="shared" si="32"/>
        <v/>
      </c>
      <c r="E896" s="93" t="str">
        <f t="shared" si="33"/>
        <v/>
      </c>
      <c r="F896" s="94"/>
      <c r="G896" s="95"/>
      <c r="H896" s="74"/>
      <c r="I896" s="75" t="s">
        <v>3953</v>
      </c>
      <c r="J896" s="76">
        <v>621.653858</v>
      </c>
      <c r="L896" s="77"/>
      <c r="M896" s="77"/>
    </row>
    <row r="897" s="69" customFormat="1" spans="2:13">
      <c r="B897" s="84"/>
      <c r="C897" s="85"/>
      <c r="D897" s="86" t="str">
        <f t="shared" si="32"/>
        <v/>
      </c>
      <c r="E897" s="93" t="str">
        <f t="shared" si="33"/>
        <v/>
      </c>
      <c r="F897" s="94"/>
      <c r="G897" s="95"/>
      <c r="H897" s="74"/>
      <c r="I897" s="75" t="s">
        <v>586</v>
      </c>
      <c r="J897" s="76">
        <v>1336.754251</v>
      </c>
      <c r="L897" s="77"/>
      <c r="M897" s="77"/>
    </row>
    <row r="898" s="69" customFormat="1" spans="2:13">
      <c r="B898" s="84"/>
      <c r="C898" s="85"/>
      <c r="D898" s="86" t="str">
        <f t="shared" si="32"/>
        <v/>
      </c>
      <c r="E898" s="93" t="str">
        <f t="shared" si="33"/>
        <v/>
      </c>
      <c r="F898" s="94"/>
      <c r="G898" s="95"/>
      <c r="H898" s="74"/>
      <c r="I898" s="75" t="s">
        <v>517</v>
      </c>
      <c r="J898" s="76">
        <v>742.554288</v>
      </c>
      <c r="L898" s="77"/>
      <c r="M898" s="77"/>
    </row>
    <row r="899" s="69" customFormat="1" spans="2:13">
      <c r="B899" s="84"/>
      <c r="C899" s="85"/>
      <c r="D899" s="86" t="str">
        <f t="shared" ref="D899:D962" si="34">IF(C899="","",C899/(C899+$E$1/60))</f>
        <v/>
      </c>
      <c r="E899" s="93" t="str">
        <f t="shared" ref="E899:E962" si="35">IFERROR(ROUND(1440/C899*2*D899,0),"")</f>
        <v/>
      </c>
      <c r="F899" s="94"/>
      <c r="G899" s="95"/>
      <c r="H899" s="74"/>
      <c r="I899" s="75" t="s">
        <v>3954</v>
      </c>
      <c r="J899" s="76">
        <v>937.886005</v>
      </c>
      <c r="L899" s="77"/>
      <c r="M899" s="77"/>
    </row>
    <row r="900" s="69" customFormat="1" spans="2:13">
      <c r="B900" s="84"/>
      <c r="C900" s="85"/>
      <c r="D900" s="86" t="str">
        <f t="shared" si="34"/>
        <v/>
      </c>
      <c r="E900" s="93" t="str">
        <f t="shared" si="35"/>
        <v/>
      </c>
      <c r="F900" s="94"/>
      <c r="G900" s="95"/>
      <c r="H900" s="74"/>
      <c r="I900" s="75" t="s">
        <v>3955</v>
      </c>
      <c r="J900" s="76">
        <v>173.949321</v>
      </c>
      <c r="L900" s="77"/>
      <c r="M900" s="77"/>
    </row>
    <row r="901" s="69" customFormat="1" spans="2:13">
      <c r="B901" s="84"/>
      <c r="C901" s="85"/>
      <c r="D901" s="86" t="str">
        <f t="shared" si="34"/>
        <v/>
      </c>
      <c r="E901" s="93" t="str">
        <f t="shared" si="35"/>
        <v/>
      </c>
      <c r="F901" s="94"/>
      <c r="G901" s="95"/>
      <c r="H901" s="74"/>
      <c r="I901" s="75" t="s">
        <v>710</v>
      </c>
      <c r="J901" s="76">
        <v>36.889048</v>
      </c>
      <c r="L901" s="77"/>
      <c r="M901" s="77"/>
    </row>
    <row r="902" s="69" customFormat="1" spans="2:13">
      <c r="B902" s="84"/>
      <c r="C902" s="85"/>
      <c r="D902" s="86" t="str">
        <f t="shared" si="34"/>
        <v/>
      </c>
      <c r="E902" s="93" t="str">
        <f t="shared" si="35"/>
        <v/>
      </c>
      <c r="F902" s="94"/>
      <c r="G902" s="95"/>
      <c r="H902" s="74"/>
      <c r="I902" s="75" t="s">
        <v>3956</v>
      </c>
      <c r="J902" s="76">
        <v>1163.392909</v>
      </c>
      <c r="L902" s="77"/>
      <c r="M902" s="77"/>
    </row>
    <row r="903" s="69" customFormat="1" spans="2:13">
      <c r="B903" s="84"/>
      <c r="C903" s="85"/>
      <c r="D903" s="86" t="str">
        <f t="shared" si="34"/>
        <v/>
      </c>
      <c r="E903" s="93" t="str">
        <f t="shared" si="35"/>
        <v/>
      </c>
      <c r="F903" s="94"/>
      <c r="G903" s="95"/>
      <c r="H903" s="74"/>
      <c r="I903" s="75" t="s">
        <v>627</v>
      </c>
      <c r="J903" s="76">
        <v>1142.314915</v>
      </c>
      <c r="L903" s="77"/>
      <c r="M903" s="77"/>
    </row>
    <row r="904" s="69" customFormat="1" spans="2:13">
      <c r="B904" s="84"/>
      <c r="C904" s="85"/>
      <c r="D904" s="86" t="str">
        <f t="shared" si="34"/>
        <v/>
      </c>
      <c r="E904" s="93" t="str">
        <f t="shared" si="35"/>
        <v/>
      </c>
      <c r="F904" s="94"/>
      <c r="G904" s="95"/>
      <c r="H904" s="74"/>
      <c r="I904" s="75" t="s">
        <v>634</v>
      </c>
      <c r="J904" s="76">
        <v>1163.392909</v>
      </c>
      <c r="L904" s="77"/>
      <c r="M904" s="77"/>
    </row>
    <row r="905" s="69" customFormat="1" spans="2:13">
      <c r="B905" s="84"/>
      <c r="C905" s="85"/>
      <c r="D905" s="86" t="str">
        <f t="shared" si="34"/>
        <v/>
      </c>
      <c r="E905" s="93" t="str">
        <f t="shared" si="35"/>
        <v/>
      </c>
      <c r="F905" s="94"/>
      <c r="G905" s="95"/>
      <c r="H905" s="74"/>
      <c r="I905" s="75" t="s">
        <v>3957</v>
      </c>
      <c r="J905" s="76">
        <v>1035.286672</v>
      </c>
      <c r="L905" s="77"/>
      <c r="M905" s="77"/>
    </row>
    <row r="906" s="69" customFormat="1" spans="2:13">
      <c r="B906" s="84"/>
      <c r="C906" s="85"/>
      <c r="D906" s="86" t="str">
        <f t="shared" si="34"/>
        <v/>
      </c>
      <c r="E906" s="93" t="str">
        <f t="shared" si="35"/>
        <v/>
      </c>
      <c r="F906" s="94"/>
      <c r="G906" s="95"/>
      <c r="H906" s="74"/>
      <c r="I906" s="75" t="s">
        <v>713</v>
      </c>
      <c r="J906" s="76">
        <v>42.421834</v>
      </c>
      <c r="L906" s="77"/>
      <c r="M906" s="77"/>
    </row>
    <row r="907" s="69" customFormat="1" spans="2:13">
      <c r="B907" s="84"/>
      <c r="C907" s="85"/>
      <c r="D907" s="86" t="str">
        <f t="shared" si="34"/>
        <v/>
      </c>
      <c r="E907" s="93" t="str">
        <f t="shared" si="35"/>
        <v/>
      </c>
      <c r="F907" s="94"/>
      <c r="G907" s="95"/>
      <c r="H907" s="74"/>
      <c r="I907" s="75" t="s">
        <v>3958</v>
      </c>
      <c r="J907" s="76">
        <v>68.434639</v>
      </c>
      <c r="L907" s="77"/>
      <c r="M907" s="77"/>
    </row>
    <row r="908" s="69" customFormat="1" spans="2:13">
      <c r="B908" s="84"/>
      <c r="C908" s="85"/>
      <c r="D908" s="86" t="str">
        <f t="shared" si="34"/>
        <v/>
      </c>
      <c r="E908" s="93" t="str">
        <f t="shared" si="35"/>
        <v/>
      </c>
      <c r="F908" s="94"/>
      <c r="G908" s="95"/>
      <c r="H908" s="74"/>
      <c r="I908" s="75" t="s">
        <v>3959</v>
      </c>
      <c r="J908" s="76">
        <v>946.221003</v>
      </c>
      <c r="L908" s="77"/>
      <c r="M908" s="77"/>
    </row>
    <row r="909" s="69" customFormat="1" spans="2:13">
      <c r="B909" s="84"/>
      <c r="C909" s="85"/>
      <c r="D909" s="86" t="str">
        <f t="shared" si="34"/>
        <v/>
      </c>
      <c r="E909" s="93" t="str">
        <f t="shared" si="35"/>
        <v/>
      </c>
      <c r="F909" s="94"/>
      <c r="G909" s="95"/>
      <c r="H909" s="74"/>
      <c r="I909" s="75" t="s">
        <v>3960</v>
      </c>
      <c r="J909" s="76">
        <v>240.974167</v>
      </c>
      <c r="L909" s="77"/>
      <c r="M909" s="77"/>
    </row>
    <row r="910" s="69" customFormat="1" spans="2:13">
      <c r="B910" s="84"/>
      <c r="C910" s="85"/>
      <c r="D910" s="86" t="str">
        <f t="shared" si="34"/>
        <v/>
      </c>
      <c r="E910" s="93" t="str">
        <f t="shared" si="35"/>
        <v/>
      </c>
      <c r="F910" s="94"/>
      <c r="G910" s="95"/>
      <c r="H910" s="74"/>
      <c r="I910" s="75" t="s">
        <v>3961</v>
      </c>
      <c r="J910" s="76">
        <v>180.147198</v>
      </c>
      <c r="L910" s="77"/>
      <c r="M910" s="77"/>
    </row>
    <row r="911" s="69" customFormat="1" spans="2:13">
      <c r="B911" s="103"/>
      <c r="C911" s="85"/>
      <c r="D911" s="86" t="str">
        <f t="shared" si="34"/>
        <v/>
      </c>
      <c r="E911" s="93" t="str">
        <f t="shared" si="35"/>
        <v/>
      </c>
      <c r="F911" s="94"/>
      <c r="G911" s="95"/>
      <c r="H911" s="74"/>
      <c r="I911" s="75" t="s">
        <v>3962</v>
      </c>
      <c r="J911" s="76">
        <v>33.009648</v>
      </c>
      <c r="L911" s="77"/>
      <c r="M911" s="77"/>
    </row>
    <row r="912" s="69" customFormat="1" spans="2:13">
      <c r="B912" s="103"/>
      <c r="C912" s="85"/>
      <c r="D912" s="86" t="str">
        <f t="shared" si="34"/>
        <v/>
      </c>
      <c r="E912" s="93" t="str">
        <f t="shared" si="35"/>
        <v/>
      </c>
      <c r="F912" s="94"/>
      <c r="G912" s="95"/>
      <c r="H912" s="74"/>
      <c r="I912" s="75" t="s">
        <v>3963</v>
      </c>
      <c r="J912" s="76">
        <v>61.696264</v>
      </c>
      <c r="L912" s="77"/>
      <c r="M912" s="77"/>
    </row>
    <row r="913" s="69" customFormat="1" spans="2:13">
      <c r="B913" s="103"/>
      <c r="C913" s="85"/>
      <c r="D913" s="86" t="str">
        <f t="shared" si="34"/>
        <v/>
      </c>
      <c r="E913" s="93" t="str">
        <f t="shared" si="35"/>
        <v/>
      </c>
      <c r="F913" s="94"/>
      <c r="G913" s="95"/>
      <c r="H913" s="74"/>
      <c r="I913" s="75" t="s">
        <v>3964</v>
      </c>
      <c r="J913" s="76">
        <v>883.733508</v>
      </c>
      <c r="L913" s="77"/>
      <c r="M913" s="77"/>
    </row>
    <row r="914" s="69" customFormat="1" spans="2:13">
      <c r="B914" s="84"/>
      <c r="C914" s="85"/>
      <c r="D914" s="86" t="str">
        <f t="shared" si="34"/>
        <v/>
      </c>
      <c r="E914" s="93" t="str">
        <f t="shared" si="35"/>
        <v/>
      </c>
      <c r="F914" s="94"/>
      <c r="G914" s="95"/>
      <c r="H914" s="74"/>
      <c r="I914" s="75" t="s">
        <v>3965</v>
      </c>
      <c r="J914" s="76">
        <v>751.423834</v>
      </c>
      <c r="L914" s="77"/>
      <c r="M914" s="77"/>
    </row>
    <row r="915" s="69" customFormat="1" spans="2:13">
      <c r="B915" s="84"/>
      <c r="C915" s="85"/>
      <c r="D915" s="86" t="str">
        <f t="shared" si="34"/>
        <v/>
      </c>
      <c r="E915" s="93" t="str">
        <f t="shared" si="35"/>
        <v/>
      </c>
      <c r="F915" s="94"/>
      <c r="G915" s="95"/>
      <c r="H915" s="74"/>
      <c r="I915" s="75" t="s">
        <v>3966</v>
      </c>
      <c r="J915" s="76">
        <v>751.65517</v>
      </c>
      <c r="L915" s="77"/>
      <c r="M915" s="77"/>
    </row>
    <row r="916" s="69" customFormat="1" spans="2:13">
      <c r="B916" s="84"/>
      <c r="C916" s="85"/>
      <c r="D916" s="86" t="str">
        <f t="shared" si="34"/>
        <v/>
      </c>
      <c r="E916" s="93" t="str">
        <f t="shared" si="35"/>
        <v/>
      </c>
      <c r="F916" s="94"/>
      <c r="G916" s="95"/>
      <c r="H916" s="74"/>
      <c r="I916" s="75" t="s">
        <v>3967</v>
      </c>
      <c r="J916" s="76">
        <v>1228.080476</v>
      </c>
      <c r="L916" s="77"/>
      <c r="M916" s="77"/>
    </row>
    <row r="917" s="69" customFormat="1" spans="2:13">
      <c r="B917" s="84"/>
      <c r="C917" s="85"/>
      <c r="D917" s="86" t="str">
        <f t="shared" si="34"/>
        <v/>
      </c>
      <c r="E917" s="93" t="str">
        <f t="shared" si="35"/>
        <v/>
      </c>
      <c r="F917" s="94"/>
      <c r="G917" s="95"/>
      <c r="H917" s="74"/>
      <c r="I917" s="75" t="s">
        <v>3968</v>
      </c>
      <c r="J917" s="76">
        <v>957.981059</v>
      </c>
      <c r="L917" s="77"/>
      <c r="M917" s="77"/>
    </row>
    <row r="918" s="69" customFormat="1" spans="2:13">
      <c r="B918" s="84"/>
      <c r="C918" s="85"/>
      <c r="D918" s="86" t="str">
        <f t="shared" si="34"/>
        <v/>
      </c>
      <c r="E918" s="93" t="str">
        <f t="shared" si="35"/>
        <v/>
      </c>
      <c r="F918" s="94"/>
      <c r="G918" s="95"/>
      <c r="H918" s="74"/>
      <c r="I918" s="75" t="s">
        <v>3969</v>
      </c>
      <c r="J918" s="76">
        <v>1066.932818</v>
      </c>
      <c r="L918" s="77"/>
      <c r="M918" s="77"/>
    </row>
    <row r="919" s="69" customFormat="1" spans="2:13">
      <c r="B919" s="84"/>
      <c r="C919" s="85"/>
      <c r="D919" s="86" t="str">
        <f t="shared" si="34"/>
        <v/>
      </c>
      <c r="E919" s="93" t="str">
        <f t="shared" si="35"/>
        <v/>
      </c>
      <c r="F919" s="94"/>
      <c r="G919" s="95"/>
      <c r="H919" s="74"/>
      <c r="I919" s="75" t="s">
        <v>3970</v>
      </c>
      <c r="J919" s="76">
        <v>1017.358608</v>
      </c>
      <c r="L919" s="77"/>
      <c r="M919" s="77"/>
    </row>
    <row r="920" s="69" customFormat="1" spans="2:13">
      <c r="B920" s="84"/>
      <c r="C920" s="85"/>
      <c r="D920" s="86" t="str">
        <f t="shared" si="34"/>
        <v/>
      </c>
      <c r="E920" s="93" t="str">
        <f t="shared" si="35"/>
        <v/>
      </c>
      <c r="F920" s="94"/>
      <c r="G920" s="95"/>
      <c r="H920" s="74"/>
      <c r="I920" s="75" t="s">
        <v>3971</v>
      </c>
      <c r="J920" s="76">
        <v>1017.358608</v>
      </c>
      <c r="L920" s="77"/>
      <c r="M920" s="77"/>
    </row>
    <row r="921" s="69" customFormat="1" spans="2:13">
      <c r="B921" s="84"/>
      <c r="C921" s="85"/>
      <c r="D921" s="86" t="str">
        <f t="shared" si="34"/>
        <v/>
      </c>
      <c r="E921" s="93" t="str">
        <f t="shared" si="35"/>
        <v/>
      </c>
      <c r="F921" s="94"/>
      <c r="G921" s="95"/>
      <c r="H921" s="74"/>
      <c r="I921" s="75" t="s">
        <v>3972</v>
      </c>
      <c r="J921" s="76">
        <v>948.190096</v>
      </c>
      <c r="L921" s="77"/>
      <c r="M921" s="77"/>
    </row>
    <row r="922" s="69" customFormat="1" spans="2:13">
      <c r="B922" s="84"/>
      <c r="C922" s="85"/>
      <c r="D922" s="86" t="str">
        <f t="shared" si="34"/>
        <v/>
      </c>
      <c r="E922" s="93" t="str">
        <f t="shared" si="35"/>
        <v/>
      </c>
      <c r="F922" s="94"/>
      <c r="G922" s="95"/>
      <c r="H922" s="74"/>
      <c r="I922" s="75" t="s">
        <v>3973</v>
      </c>
      <c r="J922" s="76">
        <v>950.276642</v>
      </c>
      <c r="L922" s="77"/>
      <c r="M922" s="77"/>
    </row>
    <row r="923" s="69" customFormat="1" spans="2:13">
      <c r="B923" s="84"/>
      <c r="C923" s="85"/>
      <c r="D923" s="86" t="str">
        <f t="shared" si="34"/>
        <v/>
      </c>
      <c r="E923" s="93" t="str">
        <f t="shared" si="35"/>
        <v/>
      </c>
      <c r="F923" s="94"/>
      <c r="G923" s="95"/>
      <c r="H923" s="74"/>
      <c r="I923" s="75" t="s">
        <v>491</v>
      </c>
      <c r="J923" s="76">
        <v>759.360301</v>
      </c>
      <c r="L923" s="77"/>
      <c r="M923" s="77"/>
    </row>
    <row r="924" s="69" customFormat="1" spans="2:13">
      <c r="B924" s="84"/>
      <c r="C924" s="85"/>
      <c r="D924" s="86" t="str">
        <f t="shared" si="34"/>
        <v/>
      </c>
      <c r="E924" s="93" t="str">
        <f t="shared" si="35"/>
        <v/>
      </c>
      <c r="F924" s="94"/>
      <c r="G924" s="95"/>
      <c r="H924" s="74"/>
      <c r="I924" s="75" t="s">
        <v>489</v>
      </c>
      <c r="J924" s="76">
        <v>730.694153</v>
      </c>
      <c r="L924" s="77"/>
      <c r="M924" s="77"/>
    </row>
    <row r="925" s="69" customFormat="1" spans="2:13">
      <c r="B925" s="84"/>
      <c r="C925" s="85"/>
      <c r="D925" s="86" t="str">
        <f t="shared" si="34"/>
        <v/>
      </c>
      <c r="E925" s="93" t="str">
        <f t="shared" si="35"/>
        <v/>
      </c>
      <c r="F925" s="94"/>
      <c r="G925" s="95"/>
      <c r="H925" s="74"/>
      <c r="I925" s="75" t="s">
        <v>486</v>
      </c>
      <c r="J925" s="76">
        <v>819.179578</v>
      </c>
      <c r="L925" s="77"/>
      <c r="M925" s="77"/>
    </row>
    <row r="926" s="69" customFormat="1" spans="2:13">
      <c r="B926" s="84"/>
      <c r="C926" s="85"/>
      <c r="D926" s="86" t="str">
        <f t="shared" si="34"/>
        <v/>
      </c>
      <c r="E926" s="93" t="str">
        <f t="shared" si="35"/>
        <v/>
      </c>
      <c r="F926" s="94"/>
      <c r="G926" s="95"/>
      <c r="H926" s="74"/>
      <c r="I926" s="75" t="s">
        <v>3974</v>
      </c>
      <c r="J926" s="76">
        <v>885.241357</v>
      </c>
      <c r="L926" s="77"/>
      <c r="M926" s="77"/>
    </row>
    <row r="927" s="69" customFormat="1" spans="2:13">
      <c r="B927" s="84"/>
      <c r="C927" s="85"/>
      <c r="D927" s="86" t="str">
        <f t="shared" si="34"/>
        <v/>
      </c>
      <c r="E927" s="93" t="str">
        <f t="shared" si="35"/>
        <v/>
      </c>
      <c r="F927" s="94"/>
      <c r="G927" s="95"/>
      <c r="H927" s="74"/>
      <c r="I927" s="75" t="s">
        <v>397</v>
      </c>
      <c r="J927" s="76">
        <v>820.189174</v>
      </c>
      <c r="L927" s="77"/>
      <c r="M927" s="77"/>
    </row>
    <row r="928" s="69" customFormat="1" spans="2:13">
      <c r="B928" s="84"/>
      <c r="C928" s="85"/>
      <c r="D928" s="86" t="str">
        <f t="shared" si="34"/>
        <v/>
      </c>
      <c r="E928" s="93" t="str">
        <f t="shared" si="35"/>
        <v/>
      </c>
      <c r="F928" s="94"/>
      <c r="G928" s="95"/>
      <c r="H928" s="74"/>
      <c r="I928" s="75" t="s">
        <v>3975</v>
      </c>
      <c r="J928" s="76">
        <v>1296.555099</v>
      </c>
      <c r="L928" s="77"/>
      <c r="M928" s="77"/>
    </row>
    <row r="929" s="69" customFormat="1" spans="2:13">
      <c r="B929" s="84"/>
      <c r="C929" s="85"/>
      <c r="D929" s="86" t="str">
        <f t="shared" si="34"/>
        <v/>
      </c>
      <c r="E929" s="93" t="str">
        <f t="shared" si="35"/>
        <v/>
      </c>
      <c r="F929" s="94"/>
      <c r="G929" s="95"/>
      <c r="H929" s="74"/>
      <c r="I929" s="75" t="s">
        <v>3976</v>
      </c>
      <c r="J929" s="76">
        <v>1324.06778</v>
      </c>
      <c r="L929" s="77"/>
      <c r="M929" s="77"/>
    </row>
    <row r="930" s="69" customFormat="1" spans="2:13">
      <c r="B930" s="84"/>
      <c r="C930" s="85"/>
      <c r="D930" s="86" t="str">
        <f t="shared" si="34"/>
        <v/>
      </c>
      <c r="E930" s="93" t="str">
        <f t="shared" si="35"/>
        <v/>
      </c>
      <c r="F930" s="94"/>
      <c r="G930" s="95"/>
      <c r="H930" s="74"/>
      <c r="I930" s="75" t="s">
        <v>338</v>
      </c>
      <c r="J930" s="76">
        <v>848.030533</v>
      </c>
      <c r="L930" s="77"/>
      <c r="M930" s="77"/>
    </row>
    <row r="931" s="69" customFormat="1" spans="2:13">
      <c r="B931" s="84"/>
      <c r="C931" s="85"/>
      <c r="D931" s="86" t="str">
        <f t="shared" si="34"/>
        <v/>
      </c>
      <c r="E931" s="93" t="str">
        <f t="shared" si="35"/>
        <v/>
      </c>
      <c r="F931" s="94"/>
      <c r="G931" s="95"/>
      <c r="H931" s="74"/>
      <c r="I931" s="75" t="s">
        <v>3977</v>
      </c>
      <c r="J931" s="76">
        <v>953.595314</v>
      </c>
      <c r="L931" s="77"/>
      <c r="M931" s="77"/>
    </row>
    <row r="932" s="69" customFormat="1" spans="2:13">
      <c r="B932" s="84"/>
      <c r="C932" s="85"/>
      <c r="D932" s="86" t="str">
        <f t="shared" si="34"/>
        <v/>
      </c>
      <c r="E932" s="93" t="str">
        <f t="shared" si="35"/>
        <v/>
      </c>
      <c r="F932" s="94"/>
      <c r="G932" s="95"/>
      <c r="H932" s="74"/>
      <c r="I932" s="75" t="s">
        <v>3978</v>
      </c>
      <c r="J932" s="76">
        <v>995.641941</v>
      </c>
      <c r="L932" s="77"/>
      <c r="M932" s="77"/>
    </row>
    <row r="933" s="69" customFormat="1" spans="2:13">
      <c r="B933" s="84"/>
      <c r="C933" s="85"/>
      <c r="D933" s="86" t="str">
        <f t="shared" si="34"/>
        <v/>
      </c>
      <c r="E933" s="93" t="str">
        <f t="shared" si="35"/>
        <v/>
      </c>
      <c r="F933" s="94"/>
      <c r="G933" s="95"/>
      <c r="H933" s="74"/>
      <c r="I933" s="75" t="s">
        <v>3979</v>
      </c>
      <c r="J933" s="76">
        <v>779.764041</v>
      </c>
      <c r="L933" s="77"/>
      <c r="M933" s="77"/>
    </row>
    <row r="934" s="69" customFormat="1" spans="2:13">
      <c r="B934" s="84"/>
      <c r="C934" s="85"/>
      <c r="D934" s="86" t="str">
        <f t="shared" si="34"/>
        <v/>
      </c>
      <c r="E934" s="93" t="str">
        <f t="shared" si="35"/>
        <v/>
      </c>
      <c r="F934" s="94"/>
      <c r="G934" s="95"/>
      <c r="H934" s="74"/>
      <c r="I934" s="75" t="s">
        <v>3980</v>
      </c>
      <c r="J934" s="76">
        <v>698.032342</v>
      </c>
      <c r="L934" s="77"/>
      <c r="M934" s="77"/>
    </row>
    <row r="935" s="69" customFormat="1" spans="2:13">
      <c r="B935" s="84"/>
      <c r="C935" s="85"/>
      <c r="D935" s="86" t="str">
        <f t="shared" si="34"/>
        <v/>
      </c>
      <c r="E935" s="93" t="str">
        <f t="shared" si="35"/>
        <v/>
      </c>
      <c r="F935" s="94"/>
      <c r="G935" s="95"/>
      <c r="H935" s="74"/>
      <c r="I935" s="75" t="s">
        <v>3981</v>
      </c>
      <c r="J935" s="76">
        <v>749.840896</v>
      </c>
      <c r="L935" s="77"/>
      <c r="M935" s="77"/>
    </row>
    <row r="936" s="69" customFormat="1" spans="2:13">
      <c r="B936" s="84"/>
      <c r="C936" s="85"/>
      <c r="D936" s="86" t="str">
        <f t="shared" si="34"/>
        <v/>
      </c>
      <c r="E936" s="93" t="str">
        <f t="shared" si="35"/>
        <v/>
      </c>
      <c r="F936" s="94"/>
      <c r="G936" s="95"/>
      <c r="H936" s="74"/>
      <c r="I936" s="75" t="s">
        <v>3982</v>
      </c>
      <c r="J936" s="76">
        <v>1247.80068</v>
      </c>
      <c r="L936" s="77"/>
      <c r="M936" s="77"/>
    </row>
    <row r="937" s="69" customFormat="1" spans="2:13">
      <c r="B937" s="84"/>
      <c r="C937" s="85"/>
      <c r="D937" s="86" t="str">
        <f t="shared" si="34"/>
        <v/>
      </c>
      <c r="E937" s="93" t="str">
        <f t="shared" si="35"/>
        <v/>
      </c>
      <c r="F937" s="94"/>
      <c r="G937" s="95"/>
      <c r="H937" s="74"/>
      <c r="I937" s="75" t="s">
        <v>3983</v>
      </c>
      <c r="J937" s="76">
        <v>1138.411596</v>
      </c>
      <c r="L937" s="77"/>
      <c r="M937" s="77"/>
    </row>
    <row r="938" s="69" customFormat="1" spans="2:13">
      <c r="B938" s="84"/>
      <c r="C938" s="85"/>
      <c r="D938" s="86" t="str">
        <f t="shared" si="34"/>
        <v/>
      </c>
      <c r="E938" s="93" t="str">
        <f t="shared" si="35"/>
        <v/>
      </c>
      <c r="F938" s="94"/>
      <c r="G938" s="95"/>
      <c r="H938" s="74"/>
      <c r="I938" s="75" t="s">
        <v>624</v>
      </c>
      <c r="J938" s="76">
        <v>1033.103379</v>
      </c>
      <c r="L938" s="77"/>
      <c r="M938" s="77"/>
    </row>
    <row r="939" s="69" customFormat="1" spans="2:13">
      <c r="B939" s="84"/>
      <c r="C939" s="105"/>
      <c r="D939" s="106" t="str">
        <f t="shared" si="34"/>
        <v/>
      </c>
      <c r="E939" s="93" t="str">
        <f t="shared" si="35"/>
        <v/>
      </c>
      <c r="F939" s="107"/>
      <c r="G939" s="95"/>
      <c r="H939" s="74"/>
      <c r="I939" s="75" t="s">
        <v>3984</v>
      </c>
      <c r="J939" s="76">
        <v>757.236032</v>
      </c>
      <c r="L939" s="77"/>
      <c r="M939" s="77"/>
    </row>
    <row r="940" s="69" customFormat="1" spans="2:13">
      <c r="B940" s="84"/>
      <c r="C940" s="85"/>
      <c r="D940" s="86" t="str">
        <f t="shared" si="34"/>
        <v/>
      </c>
      <c r="E940" s="93" t="str">
        <f t="shared" si="35"/>
        <v/>
      </c>
      <c r="F940" s="94"/>
      <c r="G940" s="95"/>
      <c r="H940" s="74"/>
      <c r="I940" s="75" t="s">
        <v>379</v>
      </c>
      <c r="J940" s="76">
        <v>699.637057</v>
      </c>
      <c r="L940" s="77"/>
      <c r="M940" s="77"/>
    </row>
    <row r="941" s="69" customFormat="1" spans="2:13">
      <c r="B941" s="84"/>
      <c r="C941" s="85"/>
      <c r="D941" s="86" t="str">
        <f t="shared" si="34"/>
        <v/>
      </c>
      <c r="E941" s="93" t="str">
        <f t="shared" si="35"/>
        <v/>
      </c>
      <c r="F941" s="94"/>
      <c r="G941" s="95"/>
      <c r="H941" s="74"/>
      <c r="I941" s="75" t="s">
        <v>3985</v>
      </c>
      <c r="J941" s="76">
        <v>278.043738</v>
      </c>
      <c r="L941" s="77"/>
      <c r="M941" s="77"/>
    </row>
    <row r="942" s="69" customFormat="1" spans="2:13">
      <c r="B942" s="84"/>
      <c r="C942" s="85"/>
      <c r="D942" s="86" t="str">
        <f t="shared" si="34"/>
        <v/>
      </c>
      <c r="E942" s="93" t="str">
        <f t="shared" si="35"/>
        <v/>
      </c>
      <c r="F942" s="94"/>
      <c r="G942" s="95"/>
      <c r="H942" s="74"/>
      <c r="I942" s="75" t="s">
        <v>3986</v>
      </c>
      <c r="J942" s="76">
        <v>878.153717</v>
      </c>
      <c r="L942" s="77"/>
      <c r="M942" s="77"/>
    </row>
    <row r="943" s="69" customFormat="1" spans="2:13">
      <c r="B943" s="84"/>
      <c r="C943" s="85"/>
      <c r="D943" s="86" t="str">
        <f t="shared" si="34"/>
        <v/>
      </c>
      <c r="E943" s="93" t="str">
        <f t="shared" si="35"/>
        <v/>
      </c>
      <c r="F943" s="94"/>
      <c r="G943" s="95"/>
      <c r="H943" s="74"/>
      <c r="I943" s="75" t="s">
        <v>3987</v>
      </c>
      <c r="J943" s="76">
        <v>413.713377</v>
      </c>
      <c r="L943" s="77"/>
      <c r="M943" s="77"/>
    </row>
    <row r="944" s="69" customFormat="1" spans="2:13">
      <c r="B944" s="84"/>
      <c r="C944" s="85"/>
      <c r="D944" s="86" t="str">
        <f t="shared" si="34"/>
        <v/>
      </c>
      <c r="E944" s="93" t="str">
        <f t="shared" si="35"/>
        <v/>
      </c>
      <c r="F944" s="94"/>
      <c r="G944" s="95"/>
      <c r="H944" s="74"/>
      <c r="I944" s="75" t="s">
        <v>607</v>
      </c>
      <c r="J944" s="76">
        <v>926.784733</v>
      </c>
      <c r="L944" s="77"/>
      <c r="M944" s="77"/>
    </row>
    <row r="945" s="69" customFormat="1" spans="2:13">
      <c r="B945" s="84"/>
      <c r="C945" s="85"/>
      <c r="D945" s="86" t="str">
        <f t="shared" si="34"/>
        <v/>
      </c>
      <c r="E945" s="93" t="str">
        <f t="shared" si="35"/>
        <v/>
      </c>
      <c r="F945" s="94"/>
      <c r="G945" s="95"/>
      <c r="H945" s="74"/>
      <c r="I945" s="75" t="s">
        <v>3988</v>
      </c>
      <c r="J945" s="76">
        <v>979.173293</v>
      </c>
      <c r="L945" s="77"/>
      <c r="M945" s="77"/>
    </row>
    <row r="946" s="69" customFormat="1" spans="2:13">
      <c r="B946" s="84"/>
      <c r="C946" s="85"/>
      <c r="D946" s="86" t="str">
        <f t="shared" si="34"/>
        <v/>
      </c>
      <c r="E946" s="93" t="str">
        <f t="shared" si="35"/>
        <v/>
      </c>
      <c r="F946" s="94"/>
      <c r="G946" s="95"/>
      <c r="H946" s="74"/>
      <c r="I946" s="75" t="s">
        <v>3989</v>
      </c>
      <c r="J946" s="76">
        <v>762.522726</v>
      </c>
      <c r="L946" s="77"/>
      <c r="M946" s="77"/>
    </row>
    <row r="947" s="69" customFormat="1" spans="2:13">
      <c r="B947" s="84"/>
      <c r="C947" s="85"/>
      <c r="D947" s="86" t="str">
        <f t="shared" si="34"/>
        <v/>
      </c>
      <c r="E947" s="93" t="str">
        <f t="shared" si="35"/>
        <v/>
      </c>
      <c r="F947" s="94"/>
      <c r="G947" s="95"/>
      <c r="H947" s="74"/>
      <c r="I947" s="75" t="s">
        <v>3990</v>
      </c>
      <c r="J947" s="76">
        <v>865.695726</v>
      </c>
      <c r="L947" s="77"/>
      <c r="M947" s="77"/>
    </row>
    <row r="948" s="69" customFormat="1" spans="2:13">
      <c r="B948" s="84"/>
      <c r="C948" s="85"/>
      <c r="D948" s="86" t="str">
        <f t="shared" si="34"/>
        <v/>
      </c>
      <c r="E948" s="93" t="str">
        <f t="shared" si="35"/>
        <v/>
      </c>
      <c r="F948" s="94"/>
      <c r="G948" s="95"/>
      <c r="H948" s="74"/>
      <c r="I948" s="75" t="s">
        <v>3991</v>
      </c>
      <c r="J948" s="76">
        <v>821.534826</v>
      </c>
      <c r="L948" s="77"/>
      <c r="M948" s="77"/>
    </row>
    <row r="949" s="69" customFormat="1" spans="2:13">
      <c r="B949" s="84"/>
      <c r="C949" s="85"/>
      <c r="D949" s="86" t="str">
        <f t="shared" si="34"/>
        <v/>
      </c>
      <c r="E949" s="93" t="str">
        <f t="shared" si="35"/>
        <v/>
      </c>
      <c r="F949" s="94"/>
      <c r="G949" s="95"/>
      <c r="H949" s="74"/>
      <c r="I949" s="75" t="s">
        <v>3992</v>
      </c>
      <c r="J949" s="76">
        <v>468.63152</v>
      </c>
      <c r="L949" s="77"/>
      <c r="M949" s="77"/>
    </row>
    <row r="950" s="69" customFormat="1" spans="2:13">
      <c r="B950" s="84"/>
      <c r="C950" s="85"/>
      <c r="D950" s="86" t="str">
        <f t="shared" si="34"/>
        <v/>
      </c>
      <c r="E950" s="93" t="str">
        <f t="shared" si="35"/>
        <v/>
      </c>
      <c r="F950" s="94"/>
      <c r="G950" s="95"/>
      <c r="H950" s="74"/>
      <c r="I950" s="75" t="s">
        <v>3993</v>
      </c>
      <c r="J950" s="76">
        <v>887.502119</v>
      </c>
      <c r="L950" s="77"/>
      <c r="M950" s="77"/>
    </row>
    <row r="951" s="69" customFormat="1" spans="2:13">
      <c r="B951" s="84"/>
      <c r="C951" s="85"/>
      <c r="D951" s="86" t="str">
        <f t="shared" si="34"/>
        <v/>
      </c>
      <c r="E951" s="93" t="str">
        <f t="shared" si="35"/>
        <v/>
      </c>
      <c r="F951" s="94"/>
      <c r="G951" s="95"/>
      <c r="H951" s="74"/>
      <c r="I951" s="75" t="s">
        <v>3994</v>
      </c>
      <c r="J951" s="76">
        <v>700.051177</v>
      </c>
      <c r="L951" s="77"/>
      <c r="M951" s="77"/>
    </row>
    <row r="952" s="69" customFormat="1" spans="2:13">
      <c r="B952" s="84"/>
      <c r="C952" s="85"/>
      <c r="D952" s="86" t="str">
        <f t="shared" si="34"/>
        <v/>
      </c>
      <c r="E952" s="93" t="str">
        <f t="shared" si="35"/>
        <v/>
      </c>
      <c r="F952" s="94"/>
      <c r="G952" s="95"/>
      <c r="H952" s="74"/>
      <c r="I952" s="75" t="s">
        <v>3995</v>
      </c>
      <c r="J952" s="76">
        <v>160.9118</v>
      </c>
      <c r="L952" s="77"/>
      <c r="M952" s="77"/>
    </row>
    <row r="953" s="69" customFormat="1" spans="2:13">
      <c r="B953" s="84"/>
      <c r="C953" s="85"/>
      <c r="D953" s="86" t="str">
        <f t="shared" si="34"/>
        <v/>
      </c>
      <c r="E953" s="93" t="str">
        <f t="shared" si="35"/>
        <v/>
      </c>
      <c r="F953" s="94"/>
      <c r="G953" s="95"/>
      <c r="H953" s="74"/>
      <c r="I953" s="75" t="s">
        <v>3996</v>
      </c>
      <c r="J953" s="76">
        <v>142.624475</v>
      </c>
      <c r="L953" s="77"/>
      <c r="M953" s="77"/>
    </row>
    <row r="954" s="69" customFormat="1" spans="2:13">
      <c r="B954" s="84"/>
      <c r="C954" s="85"/>
      <c r="D954" s="86" t="str">
        <f t="shared" si="34"/>
        <v/>
      </c>
      <c r="E954" s="93" t="str">
        <f t="shared" si="35"/>
        <v/>
      </c>
      <c r="F954" s="94"/>
      <c r="G954" s="95"/>
      <c r="H954" s="74"/>
      <c r="I954" s="75" t="s">
        <v>3997</v>
      </c>
      <c r="J954" s="76">
        <v>1516.644885</v>
      </c>
      <c r="L954" s="77"/>
      <c r="M954" s="77"/>
    </row>
    <row r="955" s="69" customFormat="1" spans="2:13">
      <c r="B955" s="84"/>
      <c r="C955" s="85"/>
      <c r="D955" s="86" t="str">
        <f t="shared" si="34"/>
        <v/>
      </c>
      <c r="E955" s="93" t="str">
        <f t="shared" si="35"/>
        <v/>
      </c>
      <c r="F955" s="94"/>
      <c r="G955" s="95"/>
      <c r="H955" s="74"/>
      <c r="I955" s="75" t="s">
        <v>716</v>
      </c>
      <c r="J955" s="76">
        <v>40.908868</v>
      </c>
      <c r="L955" s="77"/>
      <c r="M955" s="77"/>
    </row>
    <row r="956" s="69" customFormat="1" spans="2:13">
      <c r="B956" s="84"/>
      <c r="C956" s="85"/>
      <c r="D956" s="86" t="str">
        <f t="shared" si="34"/>
        <v/>
      </c>
      <c r="E956" s="93" t="str">
        <f t="shared" si="35"/>
        <v/>
      </c>
      <c r="F956" s="94"/>
      <c r="G956" s="95"/>
      <c r="H956" s="74"/>
      <c r="I956" s="75" t="s">
        <v>3998</v>
      </c>
      <c r="J956" s="76">
        <v>1248.467004</v>
      </c>
      <c r="L956" s="77"/>
      <c r="M956" s="77"/>
    </row>
    <row r="957" s="69" customFormat="1" spans="2:13">
      <c r="B957" s="84"/>
      <c r="C957" s="85"/>
      <c r="D957" s="86" t="str">
        <f t="shared" si="34"/>
        <v/>
      </c>
      <c r="E957" s="93" t="str">
        <f t="shared" si="35"/>
        <v/>
      </c>
      <c r="F957" s="94"/>
      <c r="G957" s="95"/>
      <c r="H957" s="74"/>
      <c r="I957" s="75" t="s">
        <v>3999</v>
      </c>
      <c r="J957" s="76">
        <v>2652.844033</v>
      </c>
      <c r="L957" s="77"/>
      <c r="M957" s="77"/>
    </row>
    <row r="958" s="69" customFormat="1" spans="2:13">
      <c r="B958" s="84"/>
      <c r="C958" s="85"/>
      <c r="D958" s="86" t="str">
        <f t="shared" si="34"/>
        <v/>
      </c>
      <c r="E958" s="93" t="str">
        <f t="shared" si="35"/>
        <v/>
      </c>
      <c r="F958" s="94"/>
      <c r="G958" s="95"/>
      <c r="H958" s="74"/>
      <c r="I958" s="75" t="s">
        <v>4000</v>
      </c>
      <c r="J958" s="76">
        <v>2249.065847</v>
      </c>
      <c r="L958" s="77"/>
      <c r="M958" s="77"/>
    </row>
    <row r="959" s="69" customFormat="1" spans="2:13">
      <c r="B959" s="84"/>
      <c r="C959" s="85"/>
      <c r="D959" s="86" t="str">
        <f t="shared" si="34"/>
        <v/>
      </c>
      <c r="E959" s="93" t="str">
        <f t="shared" si="35"/>
        <v/>
      </c>
      <c r="F959" s="94"/>
      <c r="G959" s="95"/>
      <c r="H959" s="74"/>
      <c r="I959" s="75" t="s">
        <v>4001</v>
      </c>
      <c r="J959" s="76">
        <v>1375.293591</v>
      </c>
      <c r="L959" s="77"/>
      <c r="M959" s="77"/>
    </row>
    <row r="960" s="69" customFormat="1" spans="2:13">
      <c r="B960" s="84"/>
      <c r="C960" s="85"/>
      <c r="D960" s="86" t="str">
        <f t="shared" si="34"/>
        <v/>
      </c>
      <c r="E960" s="93" t="str">
        <f t="shared" si="35"/>
        <v/>
      </c>
      <c r="F960" s="94"/>
      <c r="G960" s="95"/>
      <c r="H960" s="74"/>
      <c r="I960" s="75" t="s">
        <v>492</v>
      </c>
      <c r="J960" s="76">
        <v>836.267475</v>
      </c>
      <c r="L960" s="77"/>
      <c r="M960" s="77"/>
    </row>
    <row r="961" s="69" customFormat="1" spans="2:13">
      <c r="B961" s="84"/>
      <c r="C961" s="85"/>
      <c r="D961" s="86" t="str">
        <f t="shared" si="34"/>
        <v/>
      </c>
      <c r="E961" s="93" t="str">
        <f t="shared" si="35"/>
        <v/>
      </c>
      <c r="F961" s="94"/>
      <c r="G961" s="95"/>
      <c r="H961" s="74"/>
      <c r="I961" s="75" t="s">
        <v>4002</v>
      </c>
      <c r="J961" s="76">
        <v>60.439386</v>
      </c>
      <c r="L961" s="77"/>
      <c r="M961" s="77"/>
    </row>
    <row r="962" s="69" customFormat="1" spans="2:13">
      <c r="B962" s="84"/>
      <c r="C962" s="85"/>
      <c r="D962" s="86" t="str">
        <f t="shared" si="34"/>
        <v/>
      </c>
      <c r="E962" s="93" t="str">
        <f t="shared" si="35"/>
        <v/>
      </c>
      <c r="F962" s="94"/>
      <c r="G962" s="95"/>
      <c r="H962" s="74"/>
      <c r="I962" s="75" t="s">
        <v>4003</v>
      </c>
      <c r="J962" s="76">
        <v>933.096537</v>
      </c>
      <c r="L962" s="77"/>
      <c r="M962" s="77"/>
    </row>
    <row r="963" s="69" customFormat="1" spans="2:13">
      <c r="B963" s="84"/>
      <c r="C963" s="85"/>
      <c r="D963" s="86" t="str">
        <f t="shared" ref="D963:D1026" si="36">IF(C963="","",C963/(C963+$E$1/60))</f>
        <v/>
      </c>
      <c r="E963" s="93" t="str">
        <f t="shared" ref="E963:E1026" si="37">IFERROR(ROUND(1440/C963*2*D963,0),"")</f>
        <v/>
      </c>
      <c r="F963" s="94"/>
      <c r="G963" s="95"/>
      <c r="H963" s="74"/>
      <c r="I963" s="75" t="s">
        <v>487</v>
      </c>
      <c r="J963" s="76">
        <v>713.801016</v>
      </c>
      <c r="L963" s="77"/>
      <c r="M963" s="77"/>
    </row>
    <row r="964" s="69" customFormat="1" spans="2:13">
      <c r="B964" s="84"/>
      <c r="C964" s="85"/>
      <c r="D964" s="86" t="str">
        <f t="shared" si="36"/>
        <v/>
      </c>
      <c r="E964" s="93" t="str">
        <f t="shared" si="37"/>
        <v/>
      </c>
      <c r="F964" s="94"/>
      <c r="G964" s="95"/>
      <c r="H964" s="74"/>
      <c r="I964" s="75" t="s">
        <v>4004</v>
      </c>
      <c r="J964" s="76">
        <v>802.834348</v>
      </c>
      <c r="L964" s="77"/>
      <c r="M964" s="77"/>
    </row>
    <row r="965" s="69" customFormat="1" spans="2:13">
      <c r="B965" s="84"/>
      <c r="C965" s="85"/>
      <c r="D965" s="86" t="str">
        <f t="shared" si="36"/>
        <v/>
      </c>
      <c r="E965" s="93" t="str">
        <f t="shared" si="37"/>
        <v/>
      </c>
      <c r="F965" s="94"/>
      <c r="G965" s="95"/>
      <c r="H965" s="74"/>
      <c r="I965" s="75" t="s">
        <v>4005</v>
      </c>
      <c r="J965" s="76">
        <v>809.292738</v>
      </c>
      <c r="L965" s="77"/>
      <c r="M965" s="77"/>
    </row>
    <row r="966" s="69" customFormat="1" spans="2:13">
      <c r="B966" s="84"/>
      <c r="C966" s="85"/>
      <c r="D966" s="86" t="str">
        <f t="shared" si="36"/>
        <v/>
      </c>
      <c r="E966" s="93" t="str">
        <f t="shared" si="37"/>
        <v/>
      </c>
      <c r="F966" s="94"/>
      <c r="G966" s="95"/>
      <c r="H966" s="74"/>
      <c r="I966" s="75" t="s">
        <v>4006</v>
      </c>
      <c r="J966" s="76">
        <v>63.123907</v>
      </c>
      <c r="L966" s="77"/>
      <c r="M966" s="77"/>
    </row>
    <row r="967" s="69" customFormat="1" spans="2:13">
      <c r="B967" s="84"/>
      <c r="C967" s="85"/>
      <c r="D967" s="86" t="str">
        <f t="shared" si="36"/>
        <v/>
      </c>
      <c r="E967" s="93" t="str">
        <f t="shared" si="37"/>
        <v/>
      </c>
      <c r="F967" s="94"/>
      <c r="G967" s="95"/>
      <c r="H967" s="74"/>
      <c r="I967" s="75" t="s">
        <v>463</v>
      </c>
      <c r="J967" s="76">
        <v>710.066723</v>
      </c>
      <c r="L967" s="77"/>
      <c r="M967" s="77"/>
    </row>
    <row r="968" s="69" customFormat="1" spans="2:13">
      <c r="B968" s="84"/>
      <c r="C968" s="85"/>
      <c r="D968" s="86" t="str">
        <f t="shared" si="36"/>
        <v/>
      </c>
      <c r="E968" s="93" t="str">
        <f t="shared" si="37"/>
        <v/>
      </c>
      <c r="F968" s="94"/>
      <c r="G968" s="95"/>
      <c r="H968" s="74"/>
      <c r="I968" s="75" t="s">
        <v>4007</v>
      </c>
      <c r="J968" s="76">
        <v>795.46412</v>
      </c>
      <c r="L968" s="77"/>
      <c r="M968" s="77"/>
    </row>
    <row r="969" s="69" customFormat="1" spans="2:13">
      <c r="B969" s="84"/>
      <c r="C969" s="85"/>
      <c r="D969" s="86" t="str">
        <f t="shared" si="36"/>
        <v/>
      </c>
      <c r="E969" s="93" t="str">
        <f t="shared" si="37"/>
        <v/>
      </c>
      <c r="F969" s="94"/>
      <c r="G969" s="95"/>
      <c r="H969" s="74"/>
      <c r="I969" s="75" t="s">
        <v>396</v>
      </c>
      <c r="J969" s="76">
        <v>850.447645</v>
      </c>
      <c r="L969" s="77"/>
      <c r="M969" s="77"/>
    </row>
    <row r="970" s="69" customFormat="1" spans="2:13">
      <c r="B970" s="84"/>
      <c r="C970" s="85"/>
      <c r="D970" s="86" t="str">
        <f t="shared" si="36"/>
        <v/>
      </c>
      <c r="E970" s="93" t="str">
        <f t="shared" si="37"/>
        <v/>
      </c>
      <c r="F970" s="94"/>
      <c r="G970" s="95"/>
      <c r="H970" s="74"/>
      <c r="I970" s="75" t="s">
        <v>571</v>
      </c>
      <c r="J970" s="76">
        <v>1080.470349</v>
      </c>
      <c r="L970" s="77"/>
      <c r="M970" s="77"/>
    </row>
    <row r="971" s="69" customFormat="1" spans="2:13">
      <c r="B971" s="84"/>
      <c r="C971" s="85"/>
      <c r="D971" s="86" t="str">
        <f t="shared" si="36"/>
        <v/>
      </c>
      <c r="E971" s="93" t="str">
        <f t="shared" si="37"/>
        <v/>
      </c>
      <c r="F971" s="94"/>
      <c r="G971" s="95"/>
      <c r="H971" s="74"/>
      <c r="I971" s="75" t="s">
        <v>57</v>
      </c>
      <c r="J971" s="76">
        <v>345.1119</v>
      </c>
      <c r="L971" s="77"/>
      <c r="M971" s="77"/>
    </row>
    <row r="972" s="69" customFormat="1" spans="2:13">
      <c r="B972" s="84"/>
      <c r="C972" s="85"/>
      <c r="D972" s="86" t="str">
        <f t="shared" si="36"/>
        <v/>
      </c>
      <c r="E972" s="93" t="str">
        <f t="shared" si="37"/>
        <v/>
      </c>
      <c r="F972" s="94"/>
      <c r="G972" s="95"/>
      <c r="H972" s="74"/>
      <c r="I972" s="75" t="s">
        <v>335</v>
      </c>
      <c r="J972" s="76">
        <v>920.908275</v>
      </c>
      <c r="L972" s="77"/>
      <c r="M972" s="77"/>
    </row>
    <row r="973" s="69" customFormat="1" spans="2:13">
      <c r="B973" s="84"/>
      <c r="C973" s="85"/>
      <c r="D973" s="86" t="str">
        <f t="shared" si="36"/>
        <v/>
      </c>
      <c r="E973" s="93" t="str">
        <f t="shared" si="37"/>
        <v/>
      </c>
      <c r="F973" s="94"/>
      <c r="G973" s="95"/>
      <c r="H973" s="74"/>
      <c r="I973" s="75" t="s">
        <v>628</v>
      </c>
      <c r="J973" s="76">
        <v>1275.963403</v>
      </c>
      <c r="L973" s="77"/>
      <c r="M973" s="77"/>
    </row>
    <row r="974" s="69" customFormat="1" spans="2:13">
      <c r="B974" s="84"/>
      <c r="C974" s="85"/>
      <c r="D974" s="86" t="str">
        <f t="shared" si="36"/>
        <v/>
      </c>
      <c r="E974" s="93" t="str">
        <f t="shared" si="37"/>
        <v/>
      </c>
      <c r="F974" s="94"/>
      <c r="G974" s="95"/>
      <c r="H974" s="74"/>
      <c r="I974" s="75" t="s">
        <v>4008</v>
      </c>
      <c r="J974" s="76">
        <v>1214.139096</v>
      </c>
      <c r="L974" s="77"/>
      <c r="M974" s="77"/>
    </row>
    <row r="975" s="69" customFormat="1" spans="2:13">
      <c r="B975" s="84"/>
      <c r="C975" s="85"/>
      <c r="D975" s="86" t="str">
        <f t="shared" si="36"/>
        <v/>
      </c>
      <c r="E975" s="93" t="str">
        <f t="shared" si="37"/>
        <v/>
      </c>
      <c r="F975" s="94"/>
      <c r="G975" s="95"/>
      <c r="H975" s="74"/>
      <c r="I975" s="75" t="s">
        <v>4009</v>
      </c>
      <c r="J975" s="76">
        <v>948.654644</v>
      </c>
      <c r="L975" s="77"/>
      <c r="M975" s="77"/>
    </row>
    <row r="976" s="69" customFormat="1" spans="2:13">
      <c r="B976" s="84"/>
      <c r="C976" s="85"/>
      <c r="D976" s="86" t="str">
        <f t="shared" si="36"/>
        <v/>
      </c>
      <c r="E976" s="93" t="str">
        <f t="shared" si="37"/>
        <v/>
      </c>
      <c r="F976" s="94"/>
      <c r="G976" s="95"/>
      <c r="H976" s="74"/>
      <c r="I976" s="75" t="s">
        <v>4010</v>
      </c>
      <c r="J976" s="76">
        <v>683.170076</v>
      </c>
      <c r="L976" s="77"/>
      <c r="M976" s="77"/>
    </row>
    <row r="977" s="69" customFormat="1" spans="2:13">
      <c r="B977" s="84"/>
      <c r="C977" s="85"/>
      <c r="D977" s="86" t="str">
        <f t="shared" si="36"/>
        <v/>
      </c>
      <c r="E977" s="93" t="str">
        <f t="shared" si="37"/>
        <v/>
      </c>
      <c r="F977" s="94"/>
      <c r="G977" s="95"/>
      <c r="H977" s="74"/>
      <c r="I977" s="75" t="s">
        <v>4011</v>
      </c>
      <c r="J977" s="76">
        <v>678.975995</v>
      </c>
      <c r="L977" s="77"/>
      <c r="M977" s="77"/>
    </row>
    <row r="978" s="69" customFormat="1" spans="2:13">
      <c r="B978" s="84"/>
      <c r="C978" s="85"/>
      <c r="D978" s="86" t="str">
        <f t="shared" si="36"/>
        <v/>
      </c>
      <c r="E978" s="93" t="str">
        <f t="shared" si="37"/>
        <v/>
      </c>
      <c r="F978" s="94"/>
      <c r="G978" s="95"/>
      <c r="H978" s="74"/>
      <c r="I978" s="75" t="s">
        <v>4012</v>
      </c>
      <c r="J978" s="76">
        <v>836.267475</v>
      </c>
      <c r="L978" s="77"/>
      <c r="M978" s="77"/>
    </row>
    <row r="979" s="69" customFormat="1" spans="2:13">
      <c r="B979" s="84"/>
      <c r="C979" s="85"/>
      <c r="D979" s="86" t="str">
        <f t="shared" si="36"/>
        <v/>
      </c>
      <c r="E979" s="93" t="str">
        <f t="shared" si="37"/>
        <v/>
      </c>
      <c r="F979" s="94"/>
      <c r="G979" s="95"/>
      <c r="H979" s="74"/>
      <c r="I979" s="75" t="s">
        <v>4013</v>
      </c>
      <c r="J979" s="76">
        <v>987.961523</v>
      </c>
      <c r="L979" s="77"/>
      <c r="M979" s="77"/>
    </row>
    <row r="980" s="69" customFormat="1" spans="2:13">
      <c r="B980" s="84"/>
      <c r="C980" s="85"/>
      <c r="D980" s="86" t="str">
        <f t="shared" si="36"/>
        <v/>
      </c>
      <c r="E980" s="93" t="str">
        <f t="shared" si="37"/>
        <v/>
      </c>
      <c r="F980" s="94"/>
      <c r="G980" s="95"/>
      <c r="H980" s="74"/>
      <c r="I980" s="75" t="s">
        <v>4014</v>
      </c>
      <c r="J980" s="76">
        <v>865.604281</v>
      </c>
      <c r="L980" s="77"/>
      <c r="M980" s="77"/>
    </row>
    <row r="981" s="69" customFormat="1" spans="2:13">
      <c r="B981" s="84"/>
      <c r="C981" s="85"/>
      <c r="D981" s="86" t="str">
        <f t="shared" si="36"/>
        <v/>
      </c>
      <c r="E981" s="93" t="str">
        <f t="shared" si="37"/>
        <v/>
      </c>
      <c r="F981" s="94"/>
      <c r="G981" s="95"/>
      <c r="H981" s="74"/>
      <c r="I981" s="75" t="s">
        <v>4015</v>
      </c>
      <c r="J981" s="76">
        <v>801.968254</v>
      </c>
      <c r="L981" s="77"/>
      <c r="M981" s="77"/>
    </row>
    <row r="982" s="69" customFormat="1" spans="2:13">
      <c r="B982" s="84"/>
      <c r="C982" s="85"/>
      <c r="D982" s="86" t="str">
        <f t="shared" si="36"/>
        <v/>
      </c>
      <c r="E982" s="93" t="str">
        <f t="shared" si="37"/>
        <v/>
      </c>
      <c r="F982" s="94"/>
      <c r="G982" s="95"/>
      <c r="H982" s="74"/>
      <c r="I982" s="75" t="s">
        <v>4016</v>
      </c>
      <c r="J982" s="76">
        <v>832.022739</v>
      </c>
      <c r="L982" s="77"/>
      <c r="M982" s="77"/>
    </row>
    <row r="983" s="69" customFormat="1" spans="2:13">
      <c r="B983" s="84"/>
      <c r="C983" s="85"/>
      <c r="D983" s="86" t="str">
        <f t="shared" si="36"/>
        <v/>
      </c>
      <c r="E983" s="93" t="str">
        <f t="shared" si="37"/>
        <v/>
      </c>
      <c r="F983" s="94"/>
      <c r="G983" s="95"/>
      <c r="H983" s="74"/>
      <c r="I983" s="75" t="s">
        <v>4017</v>
      </c>
      <c r="J983" s="76">
        <v>820.640694</v>
      </c>
      <c r="L983" s="77"/>
      <c r="M983" s="77"/>
    </row>
    <row r="984" s="69" customFormat="1" spans="2:13">
      <c r="B984" s="84"/>
      <c r="C984" s="85"/>
      <c r="D984" s="86" t="str">
        <f t="shared" si="36"/>
        <v/>
      </c>
      <c r="E984" s="93" t="str">
        <f t="shared" si="37"/>
        <v/>
      </c>
      <c r="F984" s="94"/>
      <c r="G984" s="95"/>
      <c r="H984" s="74"/>
      <c r="I984" s="75" t="s">
        <v>4018</v>
      </c>
      <c r="J984" s="76">
        <v>741.602185</v>
      </c>
      <c r="L984" s="77"/>
      <c r="M984" s="77"/>
    </row>
    <row r="985" s="69" customFormat="1" spans="2:13">
      <c r="B985" s="84"/>
      <c r="C985" s="85"/>
      <c r="D985" s="86" t="str">
        <f t="shared" si="36"/>
        <v/>
      </c>
      <c r="E985" s="93" t="str">
        <f t="shared" si="37"/>
        <v/>
      </c>
      <c r="F985" s="94"/>
      <c r="G985" s="95"/>
      <c r="H985" s="74"/>
      <c r="I985" s="75" t="s">
        <v>4019</v>
      </c>
      <c r="J985" s="76">
        <v>822.702409</v>
      </c>
      <c r="L985" s="77"/>
      <c r="M985" s="77"/>
    </row>
    <row r="986" s="69" customFormat="1" spans="2:13">
      <c r="B986" s="84"/>
      <c r="C986" s="85"/>
      <c r="D986" s="86" t="str">
        <f t="shared" si="36"/>
        <v/>
      </c>
      <c r="E986" s="93" t="str">
        <f t="shared" si="37"/>
        <v/>
      </c>
      <c r="F986" s="94"/>
      <c r="G986" s="95"/>
      <c r="H986" s="74"/>
      <c r="I986" s="75" t="s">
        <v>4020</v>
      </c>
      <c r="J986" s="76">
        <v>777.99453</v>
      </c>
      <c r="L986" s="77"/>
      <c r="M986" s="77"/>
    </row>
    <row r="987" s="69" customFormat="1" spans="2:13">
      <c r="B987" s="84"/>
      <c r="C987" s="85"/>
      <c r="D987" s="86" t="str">
        <f t="shared" si="36"/>
        <v/>
      </c>
      <c r="E987" s="93" t="str">
        <f t="shared" si="37"/>
        <v/>
      </c>
      <c r="F987" s="94"/>
      <c r="G987" s="95"/>
      <c r="H987" s="74"/>
      <c r="I987" s="75" t="s">
        <v>4021</v>
      </c>
      <c r="J987" s="76">
        <v>777.99453</v>
      </c>
      <c r="L987" s="77"/>
      <c r="M987" s="77"/>
    </row>
    <row r="988" s="69" customFormat="1" spans="2:13">
      <c r="B988" s="84"/>
      <c r="C988" s="85"/>
      <c r="D988" s="86" t="str">
        <f t="shared" si="36"/>
        <v/>
      </c>
      <c r="E988" s="93" t="str">
        <f t="shared" si="37"/>
        <v/>
      </c>
      <c r="F988" s="94"/>
      <c r="G988" s="95"/>
      <c r="H988" s="74"/>
      <c r="I988" s="75" t="s">
        <v>4022</v>
      </c>
      <c r="J988" s="76">
        <v>822.073418</v>
      </c>
      <c r="L988" s="77"/>
      <c r="M988" s="77"/>
    </row>
    <row r="989" s="69" customFormat="1" spans="2:13">
      <c r="B989" s="84"/>
      <c r="C989" s="85"/>
      <c r="D989" s="86" t="str">
        <f t="shared" si="36"/>
        <v/>
      </c>
      <c r="E989" s="93" t="str">
        <f t="shared" si="37"/>
        <v/>
      </c>
      <c r="F989" s="94"/>
      <c r="G989" s="95"/>
      <c r="H989" s="74"/>
      <c r="I989" s="75" t="s">
        <v>4023</v>
      </c>
      <c r="J989" s="76">
        <v>612.861635</v>
      </c>
      <c r="L989" s="77"/>
      <c r="M989" s="77"/>
    </row>
    <row r="990" s="69" customFormat="1" spans="2:13">
      <c r="B990" s="84"/>
      <c r="C990" s="85"/>
      <c r="D990" s="86" t="str">
        <f t="shared" si="36"/>
        <v/>
      </c>
      <c r="E990" s="93" t="str">
        <f t="shared" si="37"/>
        <v/>
      </c>
      <c r="F990" s="94"/>
      <c r="G990" s="95"/>
      <c r="H990" s="74"/>
      <c r="I990" s="75" t="s">
        <v>4024</v>
      </c>
      <c r="J990" s="76">
        <v>1297.221784</v>
      </c>
      <c r="L990" s="77"/>
      <c r="M990" s="77"/>
    </row>
    <row r="991" s="69" customFormat="1" spans="2:13">
      <c r="B991" s="84"/>
      <c r="C991" s="85"/>
      <c r="D991" s="86" t="str">
        <f t="shared" si="36"/>
        <v/>
      </c>
      <c r="E991" s="93" t="str">
        <f t="shared" si="37"/>
        <v/>
      </c>
      <c r="F991" s="94"/>
      <c r="G991" s="95"/>
      <c r="H991" s="74"/>
      <c r="I991" s="75" t="s">
        <v>4025</v>
      </c>
      <c r="J991" s="76">
        <v>700.420172</v>
      </c>
      <c r="L991" s="77"/>
      <c r="M991" s="77"/>
    </row>
    <row r="992" s="69" customFormat="1" spans="2:13">
      <c r="B992" s="84"/>
      <c r="C992" s="85"/>
      <c r="D992" s="86" t="str">
        <f t="shared" si="36"/>
        <v/>
      </c>
      <c r="E992" s="93" t="str">
        <f t="shared" si="37"/>
        <v/>
      </c>
      <c r="F992" s="94"/>
      <c r="G992" s="95"/>
      <c r="H992" s="74"/>
      <c r="I992" s="75" t="s">
        <v>4026</v>
      </c>
      <c r="J992" s="76">
        <v>728.447219</v>
      </c>
      <c r="L992" s="77"/>
      <c r="M992" s="77"/>
    </row>
    <row r="993" s="69" customFormat="1" spans="2:13">
      <c r="B993" s="84"/>
      <c r="C993" s="85"/>
      <c r="D993" s="86" t="str">
        <f t="shared" si="36"/>
        <v/>
      </c>
      <c r="E993" s="93" t="str">
        <f t="shared" si="37"/>
        <v/>
      </c>
      <c r="F993" s="94"/>
      <c r="G993" s="95"/>
      <c r="H993" s="74"/>
      <c r="I993" s="75" t="s">
        <v>4027</v>
      </c>
      <c r="J993" s="76">
        <v>1162.194284</v>
      </c>
      <c r="L993" s="77"/>
      <c r="M993" s="77"/>
    </row>
    <row r="994" s="69" customFormat="1" spans="2:13">
      <c r="B994" s="84"/>
      <c r="C994" s="85"/>
      <c r="D994" s="86" t="str">
        <f t="shared" si="36"/>
        <v/>
      </c>
      <c r="E994" s="93" t="str">
        <f t="shared" si="37"/>
        <v/>
      </c>
      <c r="F994" s="94"/>
      <c r="G994" s="95"/>
      <c r="H994" s="74"/>
      <c r="I994" s="75" t="s">
        <v>4028</v>
      </c>
      <c r="J994" s="76">
        <v>151.011476</v>
      </c>
      <c r="L994" s="77"/>
      <c r="M994" s="77"/>
    </row>
    <row r="995" s="69" customFormat="1" spans="2:13">
      <c r="B995" s="84"/>
      <c r="C995" s="85"/>
      <c r="D995" s="86" t="str">
        <f t="shared" si="36"/>
        <v/>
      </c>
      <c r="E995" s="93" t="str">
        <f t="shared" si="37"/>
        <v/>
      </c>
      <c r="F995" s="94"/>
      <c r="G995" s="95"/>
      <c r="H995" s="74"/>
      <c r="I995" s="75" t="s">
        <v>4029</v>
      </c>
      <c r="J995" s="76">
        <v>140.00588</v>
      </c>
      <c r="L995" s="77"/>
      <c r="M995" s="77"/>
    </row>
    <row r="996" s="69" customFormat="1" spans="2:13">
      <c r="B996" s="84"/>
      <c r="C996" s="85"/>
      <c r="D996" s="86" t="str">
        <f t="shared" si="36"/>
        <v/>
      </c>
      <c r="E996" s="93" t="str">
        <f t="shared" si="37"/>
        <v/>
      </c>
      <c r="F996" s="94"/>
      <c r="G996" s="95"/>
      <c r="H996" s="74"/>
      <c r="I996" s="75" t="s">
        <v>718</v>
      </c>
      <c r="J996" s="76">
        <v>46.698456</v>
      </c>
      <c r="L996" s="77"/>
      <c r="M996" s="77"/>
    </row>
    <row r="997" s="69" customFormat="1" spans="2:13">
      <c r="B997" s="84"/>
      <c r="C997" s="85"/>
      <c r="D997" s="86" t="str">
        <f t="shared" si="36"/>
        <v/>
      </c>
      <c r="E997" s="93" t="str">
        <f t="shared" si="37"/>
        <v/>
      </c>
      <c r="F997" s="94"/>
      <c r="G997" s="95"/>
      <c r="H997" s="74"/>
      <c r="I997" s="75" t="s">
        <v>4030</v>
      </c>
      <c r="J997" s="76">
        <v>66.588711</v>
      </c>
      <c r="L997" s="77"/>
      <c r="M997" s="77"/>
    </row>
    <row r="998" s="69" customFormat="1" spans="2:13">
      <c r="B998" s="84"/>
      <c r="C998" s="85"/>
      <c r="D998" s="86" t="str">
        <f t="shared" si="36"/>
        <v/>
      </c>
      <c r="E998" s="93" t="str">
        <f t="shared" si="37"/>
        <v/>
      </c>
      <c r="F998" s="94"/>
      <c r="G998" s="95"/>
      <c r="H998" s="74"/>
      <c r="I998" s="75" t="s">
        <v>4031</v>
      </c>
      <c r="J998" s="76">
        <v>927.308633</v>
      </c>
      <c r="L998" s="77"/>
      <c r="M998" s="77"/>
    </row>
    <row r="999" s="69" customFormat="1" spans="2:13">
      <c r="B999" s="84"/>
      <c r="C999" s="85"/>
      <c r="D999" s="86" t="str">
        <f t="shared" si="36"/>
        <v/>
      </c>
      <c r="E999" s="93" t="str">
        <f t="shared" si="37"/>
        <v/>
      </c>
      <c r="F999" s="94"/>
      <c r="G999" s="95"/>
      <c r="H999" s="74"/>
      <c r="I999" s="75" t="s">
        <v>4032</v>
      </c>
      <c r="J999" s="76">
        <v>854.918367</v>
      </c>
      <c r="L999" s="77"/>
      <c r="M999" s="77"/>
    </row>
    <row r="1000" s="69" customFormat="1" spans="2:13">
      <c r="B1000" s="84"/>
      <c r="C1000" s="85"/>
      <c r="D1000" s="86" t="str">
        <f t="shared" si="36"/>
        <v/>
      </c>
      <c r="E1000" s="93" t="str">
        <f t="shared" si="37"/>
        <v/>
      </c>
      <c r="F1000" s="94"/>
      <c r="G1000" s="95"/>
      <c r="H1000" s="74"/>
      <c r="I1000" s="75" t="s">
        <v>500</v>
      </c>
      <c r="J1000" s="76">
        <v>781.763117</v>
      </c>
      <c r="L1000" s="77"/>
      <c r="M1000" s="77"/>
    </row>
    <row r="1001" s="69" customFormat="1" spans="2:13">
      <c r="B1001" s="84"/>
      <c r="C1001" s="85"/>
      <c r="D1001" s="86" t="str">
        <f t="shared" si="36"/>
        <v/>
      </c>
      <c r="E1001" s="93" t="str">
        <f t="shared" si="37"/>
        <v/>
      </c>
      <c r="F1001" s="94"/>
      <c r="G1001" s="95"/>
      <c r="H1001" s="74"/>
      <c r="I1001" s="75" t="s">
        <v>4033</v>
      </c>
      <c r="J1001" s="76">
        <v>795.46412</v>
      </c>
      <c r="L1001" s="77"/>
      <c r="M1001" s="77"/>
    </row>
    <row r="1002" s="69" customFormat="1" spans="2:13">
      <c r="B1002" s="84"/>
      <c r="C1002" s="85"/>
      <c r="D1002" s="86" t="str">
        <f t="shared" si="36"/>
        <v/>
      </c>
      <c r="E1002" s="93" t="str">
        <f t="shared" si="37"/>
        <v/>
      </c>
      <c r="F1002" s="94"/>
      <c r="G1002" s="95"/>
      <c r="H1002" s="74"/>
      <c r="I1002" s="75" t="s">
        <v>4034</v>
      </c>
      <c r="J1002" s="76">
        <v>700.053553</v>
      </c>
      <c r="L1002" s="77"/>
      <c r="M1002" s="77"/>
    </row>
    <row r="1003" s="69" customFormat="1" spans="2:13">
      <c r="B1003" s="84"/>
      <c r="C1003" s="85"/>
      <c r="D1003" s="86" t="str">
        <f t="shared" si="36"/>
        <v/>
      </c>
      <c r="E1003" s="93" t="str">
        <f t="shared" si="37"/>
        <v/>
      </c>
      <c r="F1003" s="94"/>
      <c r="G1003" s="95"/>
      <c r="H1003" s="74"/>
      <c r="I1003" s="75" t="s">
        <v>4035</v>
      </c>
      <c r="J1003" s="76">
        <v>855.553658</v>
      </c>
      <c r="L1003" s="77"/>
      <c r="M1003" s="77"/>
    </row>
    <row r="1004" s="69" customFormat="1" spans="2:13">
      <c r="B1004" s="84"/>
      <c r="C1004" s="85"/>
      <c r="D1004" s="86" t="str">
        <f t="shared" si="36"/>
        <v/>
      </c>
      <c r="E1004" s="93" t="str">
        <f t="shared" si="37"/>
        <v/>
      </c>
      <c r="F1004" s="94"/>
      <c r="G1004" s="95"/>
      <c r="H1004" s="74"/>
      <c r="I1004" s="75" t="s">
        <v>4036</v>
      </c>
      <c r="J1004" s="76">
        <v>812.327652</v>
      </c>
      <c r="L1004" s="77"/>
      <c r="M1004" s="77"/>
    </row>
    <row r="1005" s="69" customFormat="1" spans="2:13">
      <c r="B1005" s="84"/>
      <c r="C1005" s="85"/>
      <c r="D1005" s="86" t="str">
        <f t="shared" si="36"/>
        <v/>
      </c>
      <c r="E1005" s="93" t="str">
        <f t="shared" si="37"/>
        <v/>
      </c>
      <c r="F1005" s="94"/>
      <c r="G1005" s="95"/>
      <c r="H1005" s="74"/>
      <c r="I1005" s="75" t="s">
        <v>4037</v>
      </c>
      <c r="J1005" s="76">
        <v>889.55154</v>
      </c>
      <c r="L1005" s="77"/>
      <c r="M1005" s="77"/>
    </row>
    <row r="1006" s="69" customFormat="1" spans="2:13">
      <c r="B1006" s="84"/>
      <c r="C1006" s="85"/>
      <c r="D1006" s="86" t="str">
        <f t="shared" si="36"/>
        <v/>
      </c>
      <c r="E1006" s="93" t="str">
        <f t="shared" si="37"/>
        <v/>
      </c>
      <c r="F1006" s="94"/>
      <c r="G1006" s="95"/>
      <c r="H1006" s="74"/>
      <c r="I1006" s="75" t="s">
        <v>4038</v>
      </c>
      <c r="J1006" s="76">
        <v>442.068691</v>
      </c>
      <c r="L1006" s="77"/>
      <c r="M1006" s="77"/>
    </row>
    <row r="1007" s="69" customFormat="1" spans="2:13">
      <c r="B1007" s="84"/>
      <c r="C1007" s="85"/>
      <c r="D1007" s="86" t="str">
        <f t="shared" si="36"/>
        <v/>
      </c>
      <c r="E1007" s="93" t="str">
        <f t="shared" si="37"/>
        <v/>
      </c>
      <c r="F1007" s="94"/>
      <c r="G1007" s="95"/>
      <c r="H1007" s="74"/>
      <c r="I1007" s="75" t="s">
        <v>4039</v>
      </c>
      <c r="J1007" s="76">
        <v>1166.213754</v>
      </c>
      <c r="L1007" s="77"/>
      <c r="M1007" s="77"/>
    </row>
    <row r="1008" s="69" customFormat="1" spans="2:13">
      <c r="B1008" s="84"/>
      <c r="C1008" s="85"/>
      <c r="D1008" s="86" t="str">
        <f t="shared" si="36"/>
        <v/>
      </c>
      <c r="E1008" s="93" t="str">
        <f t="shared" si="37"/>
        <v/>
      </c>
      <c r="F1008" s="94"/>
      <c r="G1008" s="95"/>
      <c r="H1008" s="74"/>
      <c r="I1008" s="75" t="s">
        <v>4040</v>
      </c>
      <c r="J1008" s="76">
        <v>922.626107</v>
      </c>
      <c r="L1008" s="77"/>
      <c r="M1008" s="77"/>
    </row>
    <row r="1009" s="69" customFormat="1" spans="2:13">
      <c r="B1009" s="84"/>
      <c r="C1009" s="85"/>
      <c r="D1009" s="86" t="str">
        <f t="shared" si="36"/>
        <v/>
      </c>
      <c r="E1009" s="93" t="str">
        <f t="shared" si="37"/>
        <v/>
      </c>
      <c r="F1009" s="94"/>
      <c r="G1009" s="95"/>
      <c r="H1009" s="74"/>
      <c r="I1009" s="75" t="s">
        <v>4041</v>
      </c>
      <c r="J1009" s="76">
        <v>792.766428</v>
      </c>
      <c r="L1009" s="77"/>
      <c r="M1009" s="77"/>
    </row>
    <row r="1010" s="69" customFormat="1" spans="2:13">
      <c r="B1010" s="84"/>
      <c r="C1010" s="85"/>
      <c r="D1010" s="86" t="str">
        <f t="shared" si="36"/>
        <v/>
      </c>
      <c r="E1010" s="93" t="str">
        <f t="shared" si="37"/>
        <v/>
      </c>
      <c r="F1010" s="94"/>
      <c r="G1010" s="95"/>
      <c r="H1010" s="74"/>
      <c r="I1010" s="75" t="s">
        <v>4042</v>
      </c>
      <c r="J1010" s="76">
        <v>515.652674</v>
      </c>
      <c r="L1010" s="77"/>
      <c r="M1010" s="77"/>
    </row>
    <row r="1011" s="69" customFormat="1" spans="2:13">
      <c r="B1011" s="84"/>
      <c r="C1011" s="85"/>
      <c r="D1011" s="86" t="str">
        <f t="shared" si="36"/>
        <v/>
      </c>
      <c r="E1011" s="93" t="str">
        <f t="shared" si="37"/>
        <v/>
      </c>
      <c r="F1011" s="94"/>
      <c r="G1011" s="95"/>
      <c r="H1011" s="74"/>
      <c r="I1011" s="75" t="s">
        <v>4043</v>
      </c>
      <c r="J1011" s="76">
        <v>462.040385</v>
      </c>
      <c r="L1011" s="77"/>
      <c r="M1011" s="77"/>
    </row>
    <row r="1012" s="69" customFormat="1" spans="2:13">
      <c r="B1012" s="84"/>
      <c r="C1012" s="85"/>
      <c r="D1012" s="86" t="str">
        <f t="shared" si="36"/>
        <v/>
      </c>
      <c r="E1012" s="93" t="str">
        <f t="shared" si="37"/>
        <v/>
      </c>
      <c r="F1012" s="94"/>
      <c r="G1012" s="95"/>
      <c r="H1012" s="74"/>
      <c r="I1012" s="75" t="s">
        <v>4044</v>
      </c>
      <c r="J1012" s="76">
        <v>1033.988011</v>
      </c>
      <c r="L1012" s="77"/>
      <c r="M1012" s="77"/>
    </row>
    <row r="1013" s="69" customFormat="1" spans="2:13">
      <c r="B1013" s="84"/>
      <c r="C1013" s="85"/>
      <c r="D1013" s="86" t="str">
        <f t="shared" si="36"/>
        <v/>
      </c>
      <c r="E1013" s="93" t="str">
        <f t="shared" si="37"/>
        <v/>
      </c>
      <c r="F1013" s="94"/>
      <c r="G1013" s="95"/>
      <c r="H1013" s="74"/>
      <c r="I1013" s="75" t="s">
        <v>4045</v>
      </c>
      <c r="J1013" s="76">
        <v>1088.165508</v>
      </c>
      <c r="L1013" s="77"/>
      <c r="M1013" s="77"/>
    </row>
    <row r="1014" s="69" customFormat="1" spans="2:13">
      <c r="B1014" s="84"/>
      <c r="C1014" s="85"/>
      <c r="D1014" s="86" t="str">
        <f t="shared" si="36"/>
        <v/>
      </c>
      <c r="E1014" s="93" t="str">
        <f t="shared" si="37"/>
        <v/>
      </c>
      <c r="F1014" s="94"/>
      <c r="G1014" s="95"/>
      <c r="H1014" s="74"/>
      <c r="I1014" s="75" t="s">
        <v>4046</v>
      </c>
      <c r="J1014" s="76">
        <v>796.990899</v>
      </c>
      <c r="L1014" s="77"/>
      <c r="M1014" s="77"/>
    </row>
    <row r="1015" s="69" customFormat="1" spans="2:13">
      <c r="B1015" s="84"/>
      <c r="C1015" s="85"/>
      <c r="D1015" s="86" t="str">
        <f t="shared" si="36"/>
        <v/>
      </c>
      <c r="E1015" s="93" t="str">
        <f t="shared" si="37"/>
        <v/>
      </c>
      <c r="F1015" s="94"/>
      <c r="G1015" s="95"/>
      <c r="H1015" s="74"/>
      <c r="I1015" s="75" t="s">
        <v>4047</v>
      </c>
      <c r="J1015" s="76">
        <v>897.110048</v>
      </c>
      <c r="L1015" s="77"/>
      <c r="M1015" s="77"/>
    </row>
    <row r="1016" s="69" customFormat="1" spans="2:13">
      <c r="B1016" s="84"/>
      <c r="C1016" s="85"/>
      <c r="D1016" s="86" t="str">
        <f t="shared" si="36"/>
        <v/>
      </c>
      <c r="E1016" s="93" t="str">
        <f t="shared" si="37"/>
        <v/>
      </c>
      <c r="F1016" s="94"/>
      <c r="G1016" s="95"/>
      <c r="H1016" s="74"/>
      <c r="I1016" s="75" t="s">
        <v>4048</v>
      </c>
      <c r="J1016" s="76">
        <v>883.633537</v>
      </c>
      <c r="L1016" s="77"/>
      <c r="M1016" s="77"/>
    </row>
    <row r="1017" s="69" customFormat="1" spans="2:13">
      <c r="B1017" s="84"/>
      <c r="C1017" s="85"/>
      <c r="D1017" s="86" t="str">
        <f t="shared" si="36"/>
        <v/>
      </c>
      <c r="E1017" s="93" t="str">
        <f t="shared" si="37"/>
        <v/>
      </c>
      <c r="F1017" s="94"/>
      <c r="G1017" s="95"/>
      <c r="H1017" s="74"/>
      <c r="I1017" s="75" t="s">
        <v>4049</v>
      </c>
      <c r="J1017" s="76">
        <v>690.932543</v>
      </c>
      <c r="L1017" s="77"/>
      <c r="M1017" s="77"/>
    </row>
    <row r="1018" s="69" customFormat="1" spans="2:13">
      <c r="B1018" s="84"/>
      <c r="C1018" s="85"/>
      <c r="D1018" s="86" t="str">
        <f t="shared" si="36"/>
        <v/>
      </c>
      <c r="E1018" s="93" t="str">
        <f t="shared" si="37"/>
        <v/>
      </c>
      <c r="F1018" s="94"/>
      <c r="G1018" s="95"/>
      <c r="H1018" s="74"/>
      <c r="I1018" s="75" t="s">
        <v>4050</v>
      </c>
      <c r="J1018" s="76">
        <v>744.879503</v>
      </c>
      <c r="L1018" s="77"/>
      <c r="M1018" s="77"/>
    </row>
    <row r="1019" s="69" customFormat="1" spans="2:13">
      <c r="B1019" s="84"/>
      <c r="C1019" s="85"/>
      <c r="D1019" s="86" t="str">
        <f t="shared" si="36"/>
        <v/>
      </c>
      <c r="E1019" s="93" t="str">
        <f t="shared" si="37"/>
        <v/>
      </c>
      <c r="F1019" s="94"/>
      <c r="G1019" s="95"/>
      <c r="H1019" s="74"/>
      <c r="I1019" s="75" t="s">
        <v>392</v>
      </c>
      <c r="J1019" s="76">
        <v>844.472822</v>
      </c>
      <c r="L1019" s="77"/>
      <c r="M1019" s="77"/>
    </row>
    <row r="1020" s="69" customFormat="1" spans="2:13">
      <c r="B1020" s="84"/>
      <c r="C1020" s="85"/>
      <c r="D1020" s="86" t="str">
        <f t="shared" si="36"/>
        <v/>
      </c>
      <c r="E1020" s="93" t="str">
        <f t="shared" si="37"/>
        <v/>
      </c>
      <c r="F1020" s="94"/>
      <c r="G1020" s="95"/>
      <c r="H1020" s="74"/>
      <c r="I1020" s="75" t="s">
        <v>4051</v>
      </c>
      <c r="J1020" s="76">
        <v>817.703166</v>
      </c>
      <c r="L1020" s="77"/>
      <c r="M1020" s="77"/>
    </row>
    <row r="1021" s="69" customFormat="1" spans="2:13">
      <c r="B1021" s="84"/>
      <c r="C1021" s="85"/>
      <c r="D1021" s="86" t="str">
        <f t="shared" si="36"/>
        <v/>
      </c>
      <c r="E1021" s="93" t="str">
        <f t="shared" si="37"/>
        <v/>
      </c>
      <c r="F1021" s="94"/>
      <c r="G1021" s="95"/>
      <c r="H1021" s="74"/>
      <c r="I1021" s="75" t="s">
        <v>4052</v>
      </c>
      <c r="J1021" s="76">
        <v>1087.267801</v>
      </c>
      <c r="L1021" s="77"/>
      <c r="M1021" s="77"/>
    </row>
    <row r="1022" s="69" customFormat="1" spans="2:13">
      <c r="B1022" s="84"/>
      <c r="C1022" s="85"/>
      <c r="D1022" s="86" t="str">
        <f t="shared" si="36"/>
        <v/>
      </c>
      <c r="E1022" s="93" t="str">
        <f t="shared" si="37"/>
        <v/>
      </c>
      <c r="F1022" s="94"/>
      <c r="G1022" s="95"/>
      <c r="H1022" s="74"/>
      <c r="I1022" s="75" t="s">
        <v>4053</v>
      </c>
      <c r="J1022" s="76">
        <v>1126.342031</v>
      </c>
      <c r="L1022" s="77"/>
      <c r="M1022" s="77"/>
    </row>
    <row r="1023" s="69" customFormat="1" spans="2:13">
      <c r="B1023" s="84"/>
      <c r="C1023" s="85"/>
      <c r="D1023" s="86" t="str">
        <f t="shared" si="36"/>
        <v/>
      </c>
      <c r="E1023" s="93" t="str">
        <f t="shared" si="37"/>
        <v/>
      </c>
      <c r="F1023" s="94"/>
      <c r="G1023" s="95"/>
      <c r="H1023" s="74"/>
      <c r="I1023" s="75" t="s">
        <v>4054</v>
      </c>
      <c r="J1023" s="76">
        <v>592.952998</v>
      </c>
      <c r="L1023" s="77"/>
      <c r="M1023" s="77"/>
    </row>
    <row r="1024" s="69" customFormat="1" spans="2:13">
      <c r="B1024" s="84"/>
      <c r="C1024" s="85"/>
      <c r="D1024" s="86" t="str">
        <f t="shared" si="36"/>
        <v/>
      </c>
      <c r="E1024" s="93" t="str">
        <f t="shared" si="37"/>
        <v/>
      </c>
      <c r="F1024" s="94"/>
      <c r="G1024" s="95"/>
      <c r="H1024" s="74"/>
      <c r="I1024" s="75" t="s">
        <v>4055</v>
      </c>
      <c r="J1024" s="76">
        <v>609.036275</v>
      </c>
      <c r="L1024" s="77"/>
      <c r="M1024" s="77"/>
    </row>
    <row r="1025" s="69" customFormat="1" spans="2:13">
      <c r="B1025" s="84"/>
      <c r="C1025" s="85"/>
      <c r="D1025" s="86" t="str">
        <f t="shared" si="36"/>
        <v/>
      </c>
      <c r="E1025" s="93" t="str">
        <f t="shared" si="37"/>
        <v/>
      </c>
      <c r="F1025" s="94"/>
      <c r="G1025" s="95"/>
      <c r="H1025" s="74"/>
      <c r="I1025" s="75" t="s">
        <v>4056</v>
      </c>
      <c r="J1025" s="76">
        <v>576.043704</v>
      </c>
      <c r="L1025" s="77"/>
      <c r="M1025" s="77"/>
    </row>
    <row r="1026" s="69" customFormat="1" spans="2:13">
      <c r="B1026" s="84"/>
      <c r="C1026" s="85"/>
      <c r="D1026" s="86" t="str">
        <f t="shared" si="36"/>
        <v/>
      </c>
      <c r="E1026" s="93" t="str">
        <f t="shared" si="37"/>
        <v/>
      </c>
      <c r="F1026" s="94"/>
      <c r="G1026" s="95"/>
      <c r="H1026" s="74"/>
      <c r="I1026" s="75" t="s">
        <v>4057</v>
      </c>
      <c r="J1026" s="76">
        <v>1139.137249</v>
      </c>
      <c r="L1026" s="77"/>
      <c r="M1026" s="77"/>
    </row>
    <row r="1027" s="69" customFormat="1" spans="2:13">
      <c r="B1027" s="84"/>
      <c r="C1027" s="85"/>
      <c r="D1027" s="86" t="str">
        <f t="shared" ref="D1027:D1090" si="38">IF(C1027="","",C1027/(C1027+$E$1/60))</f>
        <v/>
      </c>
      <c r="E1027" s="93" t="str">
        <f t="shared" ref="E1027:E1090" si="39">IFERROR(ROUND(1440/C1027*2*D1027,0),"")</f>
        <v/>
      </c>
      <c r="F1027" s="94"/>
      <c r="G1027" s="95"/>
      <c r="H1027" s="74"/>
      <c r="I1027" s="75" t="s">
        <v>4058</v>
      </c>
      <c r="J1027" s="76">
        <v>848.030533</v>
      </c>
      <c r="L1027" s="77"/>
      <c r="M1027" s="77"/>
    </row>
    <row r="1028" s="69" customFormat="1" spans="2:13">
      <c r="B1028" s="84"/>
      <c r="C1028" s="85"/>
      <c r="D1028" s="86" t="str">
        <f t="shared" si="38"/>
        <v/>
      </c>
      <c r="E1028" s="93" t="str">
        <f t="shared" si="39"/>
        <v/>
      </c>
      <c r="F1028" s="94"/>
      <c r="G1028" s="95"/>
      <c r="H1028" s="74"/>
      <c r="I1028" s="75" t="s">
        <v>623</v>
      </c>
      <c r="J1028" s="76">
        <v>984.491094</v>
      </c>
      <c r="L1028" s="77"/>
      <c r="M1028" s="77"/>
    </row>
    <row r="1029" s="69" customFormat="1" spans="2:13">
      <c r="B1029" s="84"/>
      <c r="C1029" s="85"/>
      <c r="D1029" s="86" t="str">
        <f t="shared" si="38"/>
        <v/>
      </c>
      <c r="E1029" s="93" t="str">
        <f t="shared" si="39"/>
        <v/>
      </c>
      <c r="F1029" s="94"/>
      <c r="G1029" s="95"/>
      <c r="H1029" s="74"/>
      <c r="I1029" s="75" t="s">
        <v>4059</v>
      </c>
      <c r="J1029" s="76">
        <v>959.100606</v>
      </c>
      <c r="L1029" s="77"/>
      <c r="M1029" s="77"/>
    </row>
    <row r="1030" s="69" customFormat="1" spans="2:13">
      <c r="B1030" s="84"/>
      <c r="C1030" s="85"/>
      <c r="D1030" s="86" t="str">
        <f t="shared" si="38"/>
        <v/>
      </c>
      <c r="E1030" s="93" t="str">
        <f t="shared" si="39"/>
        <v/>
      </c>
      <c r="F1030" s="94"/>
      <c r="G1030" s="95"/>
      <c r="H1030" s="74"/>
      <c r="I1030" s="75" t="s">
        <v>4060</v>
      </c>
      <c r="J1030" s="76">
        <v>171.756746</v>
      </c>
      <c r="L1030" s="77"/>
      <c r="M1030" s="77"/>
    </row>
    <row r="1031" s="69" customFormat="1" spans="2:13">
      <c r="B1031" s="84"/>
      <c r="C1031" s="85"/>
      <c r="D1031" s="86" t="str">
        <f t="shared" si="38"/>
        <v/>
      </c>
      <c r="E1031" s="93" t="str">
        <f t="shared" si="39"/>
        <v/>
      </c>
      <c r="F1031" s="94"/>
      <c r="G1031" s="95"/>
      <c r="H1031" s="74"/>
      <c r="I1031" s="75" t="s">
        <v>4061</v>
      </c>
      <c r="J1031" s="76">
        <v>81.32222</v>
      </c>
      <c r="L1031" s="77"/>
      <c r="M1031" s="77"/>
    </row>
    <row r="1032" s="69" customFormat="1" spans="2:13">
      <c r="B1032" s="84"/>
      <c r="C1032" s="85"/>
      <c r="D1032" s="86" t="str">
        <f t="shared" si="38"/>
        <v/>
      </c>
      <c r="E1032" s="93" t="str">
        <f t="shared" si="39"/>
        <v/>
      </c>
      <c r="F1032" s="94"/>
      <c r="G1032" s="95"/>
      <c r="H1032" s="74"/>
      <c r="I1032" s="75" t="s">
        <v>4062</v>
      </c>
      <c r="J1032" s="76">
        <v>904.639071</v>
      </c>
      <c r="L1032" s="77"/>
      <c r="M1032" s="77"/>
    </row>
    <row r="1033" s="69" customFormat="1" spans="2:13">
      <c r="B1033" s="84"/>
      <c r="C1033" s="85"/>
      <c r="D1033" s="86" t="str">
        <f t="shared" si="38"/>
        <v/>
      </c>
      <c r="E1033" s="93" t="str">
        <f t="shared" si="39"/>
        <v/>
      </c>
      <c r="F1033" s="94"/>
      <c r="G1033" s="95"/>
      <c r="H1033" s="74"/>
      <c r="I1033" s="75" t="s">
        <v>4063</v>
      </c>
      <c r="J1033" s="76">
        <v>744.26884</v>
      </c>
      <c r="L1033" s="77"/>
      <c r="M1033" s="77"/>
    </row>
    <row r="1034" s="69" customFormat="1" spans="2:13">
      <c r="B1034" s="84"/>
      <c r="C1034" s="85"/>
      <c r="D1034" s="86" t="str">
        <f t="shared" si="38"/>
        <v/>
      </c>
      <c r="E1034" s="93" t="str">
        <f t="shared" si="39"/>
        <v/>
      </c>
      <c r="F1034" s="94"/>
      <c r="G1034" s="95"/>
      <c r="H1034" s="74"/>
      <c r="I1034" s="75" t="s">
        <v>4064</v>
      </c>
      <c r="J1034" s="76">
        <v>13.329428</v>
      </c>
      <c r="L1034" s="77"/>
      <c r="M1034" s="77"/>
    </row>
    <row r="1035" s="69" customFormat="1" spans="2:13">
      <c r="B1035" s="84"/>
      <c r="C1035" s="85"/>
      <c r="D1035" s="86" t="str">
        <f t="shared" si="38"/>
        <v/>
      </c>
      <c r="E1035" s="93" t="str">
        <f t="shared" si="39"/>
        <v/>
      </c>
      <c r="F1035" s="94"/>
      <c r="G1035" s="95"/>
      <c r="H1035" s="74"/>
      <c r="I1035" s="75" t="s">
        <v>4065</v>
      </c>
      <c r="J1035" s="76">
        <v>43.020047</v>
      </c>
      <c r="L1035" s="77"/>
      <c r="M1035" s="77"/>
    </row>
    <row r="1036" s="69" customFormat="1" spans="2:13">
      <c r="B1036" s="84"/>
      <c r="C1036" s="85"/>
      <c r="D1036" s="86" t="str">
        <f t="shared" si="38"/>
        <v/>
      </c>
      <c r="E1036" s="93" t="str">
        <f t="shared" si="39"/>
        <v/>
      </c>
      <c r="F1036" s="94"/>
      <c r="G1036" s="95"/>
      <c r="H1036" s="74"/>
      <c r="I1036" s="75" t="s">
        <v>4066</v>
      </c>
      <c r="J1036" s="76">
        <v>184.509024</v>
      </c>
      <c r="L1036" s="77"/>
      <c r="M1036" s="77"/>
    </row>
    <row r="1037" s="69" customFormat="1" spans="2:13">
      <c r="B1037" s="84"/>
      <c r="C1037" s="85"/>
      <c r="D1037" s="86" t="str">
        <f t="shared" si="38"/>
        <v/>
      </c>
      <c r="E1037" s="93" t="str">
        <f t="shared" si="39"/>
        <v/>
      </c>
      <c r="F1037" s="94"/>
      <c r="G1037" s="95"/>
      <c r="H1037" s="74"/>
      <c r="I1037" s="75" t="s">
        <v>4067</v>
      </c>
      <c r="J1037" s="76">
        <v>154.465213</v>
      </c>
      <c r="L1037" s="77"/>
      <c r="M1037" s="77"/>
    </row>
    <row r="1038" s="69" customFormat="1" spans="2:13">
      <c r="B1038" s="84"/>
      <c r="C1038" s="85"/>
      <c r="D1038" s="86" t="str">
        <f t="shared" si="38"/>
        <v/>
      </c>
      <c r="E1038" s="93" t="str">
        <f t="shared" si="39"/>
        <v/>
      </c>
      <c r="F1038" s="94"/>
      <c r="G1038" s="95"/>
      <c r="H1038" s="74"/>
      <c r="I1038" s="75" t="s">
        <v>4068</v>
      </c>
      <c r="J1038" s="76">
        <v>293.702591</v>
      </c>
      <c r="L1038" s="77"/>
      <c r="M1038" s="77"/>
    </row>
    <row r="1039" s="69" customFormat="1" spans="2:13">
      <c r="B1039" s="84"/>
      <c r="C1039" s="85"/>
      <c r="D1039" s="86" t="str">
        <f t="shared" si="38"/>
        <v/>
      </c>
      <c r="E1039" s="93" t="str">
        <f t="shared" si="39"/>
        <v/>
      </c>
      <c r="F1039" s="94"/>
      <c r="G1039" s="95"/>
      <c r="H1039" s="74"/>
      <c r="I1039" s="75" t="s">
        <v>600</v>
      </c>
      <c r="J1039" s="76">
        <v>902.417341</v>
      </c>
      <c r="L1039" s="77"/>
      <c r="M1039" s="77"/>
    </row>
    <row r="1040" s="69" customFormat="1" spans="2:13">
      <c r="B1040" s="84"/>
      <c r="C1040" s="85"/>
      <c r="D1040" s="86" t="str">
        <f t="shared" si="38"/>
        <v/>
      </c>
      <c r="E1040" s="93" t="str">
        <f t="shared" si="39"/>
        <v/>
      </c>
      <c r="F1040" s="94"/>
      <c r="G1040" s="95"/>
      <c r="H1040" s="74"/>
      <c r="I1040" s="75" t="s">
        <v>509</v>
      </c>
      <c r="J1040" s="76">
        <v>734.987792</v>
      </c>
      <c r="L1040" s="77"/>
      <c r="M1040" s="77"/>
    </row>
    <row r="1041" s="69" customFormat="1" spans="2:13">
      <c r="B1041" s="84"/>
      <c r="C1041" s="85"/>
      <c r="D1041" s="86" t="str">
        <f t="shared" si="38"/>
        <v/>
      </c>
      <c r="E1041" s="93" t="str">
        <f t="shared" si="39"/>
        <v/>
      </c>
      <c r="F1041" s="94"/>
      <c r="G1041" s="95"/>
      <c r="H1041" s="74"/>
      <c r="I1041" s="75" t="s">
        <v>4069</v>
      </c>
      <c r="J1041" s="76">
        <v>936.642455</v>
      </c>
      <c r="L1041" s="77"/>
      <c r="M1041" s="77"/>
    </row>
    <row r="1042" s="69" customFormat="1" spans="2:13">
      <c r="B1042" s="84"/>
      <c r="C1042" s="85"/>
      <c r="D1042" s="86" t="str">
        <f t="shared" si="38"/>
        <v/>
      </c>
      <c r="E1042" s="93" t="str">
        <f t="shared" si="39"/>
        <v/>
      </c>
      <c r="F1042" s="94"/>
      <c r="G1042" s="95"/>
      <c r="H1042" s="74"/>
      <c r="I1042" s="75" t="s">
        <v>4070</v>
      </c>
      <c r="J1042" s="76">
        <v>814.549526</v>
      </c>
      <c r="L1042" s="77"/>
      <c r="M1042" s="77"/>
    </row>
    <row r="1043" s="69" customFormat="1" spans="2:13">
      <c r="B1043" s="84"/>
      <c r="C1043" s="85"/>
      <c r="D1043" s="86" t="str">
        <f t="shared" si="38"/>
        <v/>
      </c>
      <c r="E1043" s="93" t="str">
        <f t="shared" si="39"/>
        <v/>
      </c>
      <c r="F1043" s="94"/>
      <c r="G1043" s="95"/>
      <c r="H1043" s="74"/>
      <c r="I1043" s="75" t="s">
        <v>4071</v>
      </c>
      <c r="J1043" s="76">
        <v>814.024498</v>
      </c>
      <c r="L1043" s="77"/>
      <c r="M1043" s="77"/>
    </row>
    <row r="1044" s="69" customFormat="1" spans="2:13">
      <c r="B1044" s="84"/>
      <c r="C1044" s="85"/>
      <c r="D1044" s="86" t="str">
        <f t="shared" si="38"/>
        <v/>
      </c>
      <c r="E1044" s="93" t="str">
        <f t="shared" si="39"/>
        <v/>
      </c>
      <c r="F1044" s="94"/>
      <c r="G1044" s="95"/>
      <c r="H1044" s="74"/>
      <c r="I1044" s="75" t="s">
        <v>4072</v>
      </c>
      <c r="J1044" s="76">
        <v>1132.712448</v>
      </c>
      <c r="L1044" s="77"/>
      <c r="M1044" s="77"/>
    </row>
    <row r="1045" s="69" customFormat="1" spans="2:13">
      <c r="B1045" s="84"/>
      <c r="C1045" s="85"/>
      <c r="D1045" s="86" t="str">
        <f t="shared" si="38"/>
        <v/>
      </c>
      <c r="E1045" s="93" t="str">
        <f t="shared" si="39"/>
        <v/>
      </c>
      <c r="F1045" s="94"/>
      <c r="G1045" s="95"/>
      <c r="H1045" s="74"/>
      <c r="I1045" s="75" t="s">
        <v>4073</v>
      </c>
      <c r="J1045" s="76">
        <v>125.016283</v>
      </c>
      <c r="L1045" s="77"/>
      <c r="M1045" s="77"/>
    </row>
    <row r="1046" s="69" customFormat="1" spans="2:13">
      <c r="B1046" s="84"/>
      <c r="C1046" s="85"/>
      <c r="D1046" s="86" t="str">
        <f t="shared" si="38"/>
        <v/>
      </c>
      <c r="E1046" s="93" t="str">
        <f t="shared" si="39"/>
        <v/>
      </c>
      <c r="F1046" s="94"/>
      <c r="G1046" s="95"/>
      <c r="H1046" s="74"/>
      <c r="I1046" s="75" t="s">
        <v>561</v>
      </c>
      <c r="J1046" s="76">
        <v>970.318027</v>
      </c>
      <c r="L1046" s="77"/>
      <c r="M1046" s="77"/>
    </row>
    <row r="1047" s="69" customFormat="1" spans="2:13">
      <c r="B1047" s="84"/>
      <c r="C1047" s="85"/>
      <c r="D1047" s="86" t="str">
        <f t="shared" si="38"/>
        <v/>
      </c>
      <c r="E1047" s="93" t="str">
        <f t="shared" si="39"/>
        <v/>
      </c>
      <c r="F1047" s="94"/>
      <c r="G1047" s="95"/>
      <c r="H1047" s="74"/>
      <c r="I1047" s="75" t="s">
        <v>4074</v>
      </c>
      <c r="J1047" s="76">
        <v>397.679555</v>
      </c>
      <c r="L1047" s="77"/>
      <c r="M1047" s="77"/>
    </row>
    <row r="1048" s="69" customFormat="1" spans="2:13">
      <c r="B1048" s="84"/>
      <c r="C1048" s="85"/>
      <c r="D1048" s="86" t="str">
        <f t="shared" si="38"/>
        <v/>
      </c>
      <c r="E1048" s="93" t="str">
        <f t="shared" si="39"/>
        <v/>
      </c>
      <c r="F1048" s="94"/>
      <c r="G1048" s="95"/>
      <c r="H1048" s="74"/>
      <c r="I1048" s="75" t="s">
        <v>4075</v>
      </c>
      <c r="J1048" s="76">
        <v>746.399654</v>
      </c>
      <c r="L1048" s="77"/>
      <c r="M1048" s="77"/>
    </row>
    <row r="1049" s="69" customFormat="1" spans="2:13">
      <c r="B1049" s="84"/>
      <c r="C1049" s="85"/>
      <c r="D1049" s="86" t="str">
        <f t="shared" si="38"/>
        <v/>
      </c>
      <c r="E1049" s="93" t="str">
        <f t="shared" si="39"/>
        <v/>
      </c>
      <c r="F1049" s="94"/>
      <c r="G1049" s="95"/>
      <c r="H1049" s="74"/>
      <c r="I1049" s="75" t="s">
        <v>385</v>
      </c>
      <c r="J1049" s="76">
        <v>792.181334</v>
      </c>
      <c r="L1049" s="77"/>
      <c r="M1049" s="77"/>
    </row>
    <row r="1050" s="69" customFormat="1" spans="2:13">
      <c r="B1050" s="84"/>
      <c r="C1050" s="85"/>
      <c r="D1050" s="86" t="str">
        <f t="shared" si="38"/>
        <v/>
      </c>
      <c r="E1050" s="93" t="str">
        <f t="shared" si="39"/>
        <v/>
      </c>
      <c r="F1050" s="94"/>
      <c r="G1050" s="95"/>
      <c r="H1050" s="74"/>
      <c r="I1050" s="75" t="s">
        <v>562</v>
      </c>
      <c r="J1050" s="76">
        <v>979.684993</v>
      </c>
      <c r="L1050" s="77"/>
      <c r="M1050" s="77"/>
    </row>
    <row r="1051" s="69" customFormat="1" spans="2:13">
      <c r="B1051" s="84"/>
      <c r="C1051" s="85"/>
      <c r="D1051" s="86" t="str">
        <f t="shared" si="38"/>
        <v/>
      </c>
      <c r="E1051" s="93" t="str">
        <f t="shared" si="39"/>
        <v/>
      </c>
      <c r="F1051" s="94"/>
      <c r="G1051" s="95"/>
      <c r="H1051" s="74"/>
      <c r="I1051" s="75" t="s">
        <v>420</v>
      </c>
      <c r="J1051" s="76">
        <v>875.580104</v>
      </c>
      <c r="L1051" s="77"/>
      <c r="M1051" s="77"/>
    </row>
    <row r="1052" s="69" customFormat="1" spans="2:13">
      <c r="B1052" s="84"/>
      <c r="C1052" s="85"/>
      <c r="D1052" s="86" t="str">
        <f t="shared" si="38"/>
        <v/>
      </c>
      <c r="E1052" s="93" t="str">
        <f t="shared" si="39"/>
        <v/>
      </c>
      <c r="F1052" s="94"/>
      <c r="G1052" s="95"/>
      <c r="H1052" s="74"/>
      <c r="I1052" s="75" t="s">
        <v>371</v>
      </c>
      <c r="J1052" s="76">
        <v>748.795481</v>
      </c>
      <c r="L1052" s="77"/>
      <c r="M1052" s="77"/>
    </row>
    <row r="1053" s="69" customFormat="1" spans="2:13">
      <c r="B1053" s="84"/>
      <c r="C1053" s="85"/>
      <c r="D1053" s="86" t="str">
        <f t="shared" si="38"/>
        <v/>
      </c>
      <c r="E1053" s="93" t="str">
        <f t="shared" si="39"/>
        <v/>
      </c>
      <c r="F1053" s="94"/>
      <c r="G1053" s="95"/>
      <c r="H1053" s="74"/>
      <c r="I1053" s="75" t="s">
        <v>4076</v>
      </c>
      <c r="J1053" s="76">
        <v>747.877515</v>
      </c>
      <c r="L1053" s="77"/>
      <c r="M1053" s="77"/>
    </row>
    <row r="1054" s="69" customFormat="1" spans="2:13">
      <c r="B1054" s="84"/>
      <c r="C1054" s="85"/>
      <c r="D1054" s="86" t="str">
        <f t="shared" si="38"/>
        <v/>
      </c>
      <c r="E1054" s="93" t="str">
        <f t="shared" si="39"/>
        <v/>
      </c>
      <c r="F1054" s="94"/>
      <c r="G1054" s="95"/>
      <c r="H1054" s="74"/>
      <c r="I1054" s="75" t="s">
        <v>4077</v>
      </c>
      <c r="J1054" s="76">
        <v>746.399654</v>
      </c>
      <c r="L1054" s="77"/>
      <c r="M1054" s="77"/>
    </row>
    <row r="1055" s="69" customFormat="1" spans="2:13">
      <c r="B1055" s="84"/>
      <c r="C1055" s="85"/>
      <c r="D1055" s="86" t="str">
        <f t="shared" si="38"/>
        <v/>
      </c>
      <c r="E1055" s="93" t="str">
        <f t="shared" si="39"/>
        <v/>
      </c>
      <c r="F1055" s="94"/>
      <c r="G1055" s="95"/>
      <c r="H1055" s="74"/>
      <c r="I1055" s="75" t="s">
        <v>386</v>
      </c>
      <c r="J1055" s="76">
        <v>746.399654</v>
      </c>
      <c r="L1055" s="77"/>
      <c r="M1055" s="77"/>
    </row>
    <row r="1056" s="69" customFormat="1" spans="2:13">
      <c r="B1056" s="84"/>
      <c r="C1056" s="85"/>
      <c r="D1056" s="86" t="str">
        <f t="shared" si="38"/>
        <v/>
      </c>
      <c r="E1056" s="93" t="str">
        <f t="shared" si="39"/>
        <v/>
      </c>
      <c r="F1056" s="94"/>
      <c r="G1056" s="95"/>
      <c r="H1056" s="74"/>
      <c r="I1056" s="75" t="s">
        <v>662</v>
      </c>
      <c r="J1056" s="76">
        <v>482.536075</v>
      </c>
      <c r="L1056" s="77"/>
      <c r="M1056" s="77"/>
    </row>
    <row r="1057" s="69" customFormat="1" spans="2:13">
      <c r="B1057" s="84"/>
      <c r="C1057" s="85"/>
      <c r="D1057" s="86" t="str">
        <f t="shared" si="38"/>
        <v/>
      </c>
      <c r="E1057" s="93" t="str">
        <f t="shared" si="39"/>
        <v/>
      </c>
      <c r="F1057" s="94"/>
      <c r="G1057" s="95"/>
      <c r="H1057" s="74"/>
      <c r="I1057" s="75" t="s">
        <v>4078</v>
      </c>
      <c r="J1057" s="76">
        <v>447.194027</v>
      </c>
      <c r="L1057" s="77"/>
      <c r="M1057" s="77"/>
    </row>
    <row r="1058" s="69" customFormat="1" spans="2:13">
      <c r="B1058" s="84"/>
      <c r="C1058" s="85"/>
      <c r="D1058" s="86" t="str">
        <f t="shared" si="38"/>
        <v/>
      </c>
      <c r="E1058" s="93" t="str">
        <f t="shared" si="39"/>
        <v/>
      </c>
      <c r="F1058" s="94"/>
      <c r="G1058" s="95"/>
      <c r="H1058" s="74"/>
      <c r="I1058" s="75" t="s">
        <v>411</v>
      </c>
      <c r="J1058" s="76">
        <v>800.68198</v>
      </c>
      <c r="L1058" s="77"/>
      <c r="M1058" s="77"/>
    </row>
    <row r="1059" s="69" customFormat="1" spans="2:13">
      <c r="B1059" s="84"/>
      <c r="C1059" s="85"/>
      <c r="D1059" s="86" t="str">
        <f t="shared" si="38"/>
        <v/>
      </c>
      <c r="E1059" s="93" t="str">
        <f t="shared" si="39"/>
        <v/>
      </c>
      <c r="F1059" s="94"/>
      <c r="G1059" s="95"/>
      <c r="H1059" s="74"/>
      <c r="I1059" s="75" t="s">
        <v>4079</v>
      </c>
      <c r="J1059" s="76">
        <v>147.390544</v>
      </c>
      <c r="L1059" s="77"/>
      <c r="M1059" s="77"/>
    </row>
    <row r="1060" s="69" customFormat="1" spans="2:13">
      <c r="B1060" s="84"/>
      <c r="C1060" s="85"/>
      <c r="D1060" s="86" t="str">
        <f t="shared" si="38"/>
        <v/>
      </c>
      <c r="E1060" s="93" t="str">
        <f t="shared" si="39"/>
        <v/>
      </c>
      <c r="F1060" s="94"/>
      <c r="G1060" s="95"/>
      <c r="H1060" s="74"/>
      <c r="I1060" s="75" t="s">
        <v>4080</v>
      </c>
      <c r="J1060" s="76">
        <v>390.390091</v>
      </c>
      <c r="L1060" s="77"/>
      <c r="M1060" s="77"/>
    </row>
    <row r="1061" s="69" customFormat="1" spans="2:13">
      <c r="B1061" s="84"/>
      <c r="C1061" s="85"/>
      <c r="D1061" s="86" t="str">
        <f t="shared" si="38"/>
        <v/>
      </c>
      <c r="E1061" s="93" t="str">
        <f t="shared" si="39"/>
        <v/>
      </c>
      <c r="F1061" s="94"/>
      <c r="G1061" s="95"/>
      <c r="H1061" s="74"/>
      <c r="I1061" s="75" t="s">
        <v>4081</v>
      </c>
      <c r="J1061" s="76">
        <v>871.611097</v>
      </c>
      <c r="L1061" s="77"/>
      <c r="M1061" s="77"/>
    </row>
    <row r="1062" s="69" customFormat="1" spans="2:13">
      <c r="B1062" s="84"/>
      <c r="C1062" s="85"/>
      <c r="D1062" s="86" t="str">
        <f t="shared" si="38"/>
        <v/>
      </c>
      <c r="E1062" s="93" t="str">
        <f t="shared" si="39"/>
        <v/>
      </c>
      <c r="F1062" s="94"/>
      <c r="G1062" s="95"/>
      <c r="H1062" s="74"/>
      <c r="I1062" s="75" t="s">
        <v>359</v>
      </c>
      <c r="J1062" s="76">
        <v>3273.201624</v>
      </c>
      <c r="L1062" s="77"/>
      <c r="M1062" s="77"/>
    </row>
    <row r="1063" s="69" customFormat="1" spans="2:13">
      <c r="B1063" s="84"/>
      <c r="C1063" s="85"/>
      <c r="D1063" s="86" t="str">
        <f t="shared" si="38"/>
        <v/>
      </c>
      <c r="E1063" s="93" t="str">
        <f t="shared" si="39"/>
        <v/>
      </c>
      <c r="F1063" s="94"/>
      <c r="G1063" s="95"/>
      <c r="H1063" s="74"/>
      <c r="I1063" s="75" t="s">
        <v>514</v>
      </c>
      <c r="J1063" s="76">
        <v>699.432139</v>
      </c>
      <c r="L1063" s="77"/>
      <c r="M1063" s="77"/>
    </row>
    <row r="1064" s="69" customFormat="1" spans="2:13">
      <c r="B1064" s="84"/>
      <c r="C1064" s="85"/>
      <c r="D1064" s="86" t="str">
        <f t="shared" si="38"/>
        <v/>
      </c>
      <c r="E1064" s="93" t="str">
        <f t="shared" si="39"/>
        <v/>
      </c>
      <c r="F1064" s="94"/>
      <c r="G1064" s="95"/>
      <c r="H1064" s="74"/>
      <c r="I1064" s="75" t="s">
        <v>4082</v>
      </c>
      <c r="J1064" s="76">
        <v>1173.145078</v>
      </c>
      <c r="L1064" s="77"/>
      <c r="M1064" s="77"/>
    </row>
    <row r="1065" s="69" customFormat="1" spans="2:13">
      <c r="B1065" s="84"/>
      <c r="C1065" s="85"/>
      <c r="D1065" s="86" t="str">
        <f t="shared" si="38"/>
        <v/>
      </c>
      <c r="E1065" s="93" t="str">
        <f t="shared" si="39"/>
        <v/>
      </c>
      <c r="F1065" s="94"/>
      <c r="G1065" s="95"/>
      <c r="H1065" s="74"/>
      <c r="I1065" s="75" t="s">
        <v>147</v>
      </c>
      <c r="J1065" s="76">
        <v>665.070889</v>
      </c>
      <c r="L1065" s="77"/>
      <c r="M1065" s="77"/>
    </row>
    <row r="1066" s="69" customFormat="1" spans="2:13">
      <c r="B1066" s="84"/>
      <c r="C1066" s="85"/>
      <c r="D1066" s="86" t="str">
        <f t="shared" si="38"/>
        <v/>
      </c>
      <c r="E1066" s="93" t="str">
        <f t="shared" si="39"/>
        <v/>
      </c>
      <c r="F1066" s="94"/>
      <c r="G1066" s="95"/>
      <c r="H1066" s="74"/>
      <c r="I1066" s="75" t="s">
        <v>4083</v>
      </c>
      <c r="J1066" s="76">
        <v>734.987792</v>
      </c>
      <c r="L1066" s="77"/>
      <c r="M1066" s="77"/>
    </row>
    <row r="1067" s="69" customFormat="1" spans="2:13">
      <c r="B1067" s="84"/>
      <c r="C1067" s="85"/>
      <c r="D1067" s="86" t="str">
        <f t="shared" si="38"/>
        <v/>
      </c>
      <c r="E1067" s="93" t="str">
        <f t="shared" si="39"/>
        <v/>
      </c>
      <c r="F1067" s="94"/>
      <c r="G1067" s="95"/>
      <c r="H1067" s="74"/>
      <c r="I1067" s="75" t="s">
        <v>4084</v>
      </c>
      <c r="J1067" s="76">
        <v>801.023629</v>
      </c>
      <c r="L1067" s="77"/>
      <c r="M1067" s="77"/>
    </row>
    <row r="1068" s="69" customFormat="1" spans="2:13">
      <c r="B1068" s="84"/>
      <c r="C1068" s="85"/>
      <c r="D1068" s="86" t="str">
        <f t="shared" si="38"/>
        <v/>
      </c>
      <c r="E1068" s="93" t="str">
        <f t="shared" si="39"/>
        <v/>
      </c>
      <c r="F1068" s="94"/>
      <c r="G1068" s="95"/>
      <c r="H1068" s="74"/>
      <c r="I1068" s="75" t="s">
        <v>4085</v>
      </c>
      <c r="J1068" s="76">
        <v>468.94092</v>
      </c>
      <c r="L1068" s="77"/>
      <c r="M1068" s="77"/>
    </row>
    <row r="1069" s="69" customFormat="1" spans="2:13">
      <c r="B1069" s="84"/>
      <c r="C1069" s="85"/>
      <c r="D1069" s="86" t="str">
        <f t="shared" si="38"/>
        <v/>
      </c>
      <c r="E1069" s="93" t="str">
        <f t="shared" si="39"/>
        <v/>
      </c>
      <c r="F1069" s="94"/>
      <c r="G1069" s="95"/>
      <c r="H1069" s="74"/>
      <c r="I1069" s="75" t="s">
        <v>4086</v>
      </c>
      <c r="J1069" s="76">
        <v>859.571867</v>
      </c>
      <c r="L1069" s="77"/>
      <c r="M1069" s="77"/>
    </row>
    <row r="1070" s="69" customFormat="1" spans="2:13">
      <c r="B1070" s="84"/>
      <c r="C1070" s="85"/>
      <c r="D1070" s="86" t="str">
        <f t="shared" si="38"/>
        <v/>
      </c>
      <c r="E1070" s="93" t="str">
        <f t="shared" si="39"/>
        <v/>
      </c>
      <c r="F1070" s="94"/>
      <c r="G1070" s="95"/>
      <c r="H1070" s="74"/>
      <c r="I1070" s="75" t="s">
        <v>4087</v>
      </c>
      <c r="J1070" s="76">
        <v>441.8351</v>
      </c>
      <c r="L1070" s="77"/>
      <c r="M1070" s="77"/>
    </row>
    <row r="1071" s="69" customFormat="1" spans="2:13">
      <c r="B1071" s="84"/>
      <c r="C1071" s="85"/>
      <c r="D1071" s="86" t="str">
        <f t="shared" si="38"/>
        <v/>
      </c>
      <c r="E1071" s="93" t="str">
        <f t="shared" si="39"/>
        <v/>
      </c>
      <c r="F1071" s="94"/>
      <c r="G1071" s="95"/>
      <c r="H1071" s="74"/>
      <c r="I1071" s="75" t="s">
        <v>4088</v>
      </c>
      <c r="J1071" s="76">
        <v>64.873445</v>
      </c>
      <c r="L1071" s="77"/>
      <c r="M1071" s="77"/>
    </row>
    <row r="1072" s="69" customFormat="1" spans="2:13">
      <c r="B1072" s="84"/>
      <c r="C1072" s="85"/>
      <c r="D1072" s="86" t="str">
        <f t="shared" si="38"/>
        <v/>
      </c>
      <c r="E1072" s="93" t="str">
        <f t="shared" si="39"/>
        <v/>
      </c>
      <c r="F1072" s="94"/>
      <c r="G1072" s="95"/>
      <c r="H1072" s="74"/>
      <c r="I1072" s="75" t="s">
        <v>4089</v>
      </c>
      <c r="J1072" s="76">
        <v>45.660419</v>
      </c>
      <c r="L1072" s="77"/>
      <c r="M1072" s="77"/>
    </row>
    <row r="1073" s="69" customFormat="1" spans="2:13">
      <c r="B1073" s="84"/>
      <c r="C1073" s="85"/>
      <c r="D1073" s="86" t="str">
        <f t="shared" si="38"/>
        <v/>
      </c>
      <c r="E1073" s="93" t="str">
        <f t="shared" si="39"/>
        <v/>
      </c>
      <c r="F1073" s="94"/>
      <c r="G1073" s="95"/>
      <c r="H1073" s="74"/>
      <c r="I1073" s="75" t="s">
        <v>4090</v>
      </c>
      <c r="J1073" s="76">
        <v>1214.437602</v>
      </c>
      <c r="L1073" s="77"/>
      <c r="M1073" s="77"/>
    </row>
    <row r="1074" s="69" customFormat="1" spans="2:13">
      <c r="B1074" s="84"/>
      <c r="C1074" s="85"/>
      <c r="D1074" s="86" t="str">
        <f t="shared" si="38"/>
        <v/>
      </c>
      <c r="E1074" s="93" t="str">
        <f t="shared" si="39"/>
        <v/>
      </c>
      <c r="F1074" s="94"/>
      <c r="G1074" s="95"/>
      <c r="H1074" s="74"/>
      <c r="I1074" s="75" t="s">
        <v>159</v>
      </c>
      <c r="J1074" s="76">
        <v>1017.870308</v>
      </c>
      <c r="L1074" s="77"/>
      <c r="M1074" s="77"/>
    </row>
    <row r="1075" s="69" customFormat="1" spans="2:13">
      <c r="B1075" s="84"/>
      <c r="C1075" s="85"/>
      <c r="D1075" s="86" t="str">
        <f t="shared" si="38"/>
        <v/>
      </c>
      <c r="E1075" s="93" t="str">
        <f t="shared" si="39"/>
        <v/>
      </c>
      <c r="F1075" s="94"/>
      <c r="G1075" s="95"/>
      <c r="H1075" s="74"/>
      <c r="I1075" s="75" t="s">
        <v>4091</v>
      </c>
      <c r="J1075" s="76">
        <v>734.987792</v>
      </c>
      <c r="L1075" s="77"/>
      <c r="M1075" s="77"/>
    </row>
    <row r="1076" s="69" customFormat="1" spans="2:13">
      <c r="B1076" s="84"/>
      <c r="C1076" s="85"/>
      <c r="D1076" s="86" t="str">
        <f t="shared" si="38"/>
        <v/>
      </c>
      <c r="E1076" s="93" t="str">
        <f t="shared" si="39"/>
        <v/>
      </c>
      <c r="F1076" s="94"/>
      <c r="G1076" s="95"/>
      <c r="H1076" s="74"/>
      <c r="I1076" s="75" t="s">
        <v>488</v>
      </c>
      <c r="J1076" s="76">
        <v>755.960352</v>
      </c>
      <c r="L1076" s="77"/>
      <c r="M1076" s="77"/>
    </row>
    <row r="1077" s="69" customFormat="1" spans="2:13">
      <c r="B1077" s="84"/>
      <c r="C1077" s="85"/>
      <c r="D1077" s="86" t="str">
        <f t="shared" si="38"/>
        <v/>
      </c>
      <c r="E1077" s="93" t="str">
        <f t="shared" si="39"/>
        <v/>
      </c>
      <c r="F1077" s="94"/>
      <c r="G1077" s="95"/>
      <c r="H1077" s="74"/>
      <c r="I1077" s="75" t="s">
        <v>86</v>
      </c>
      <c r="J1077" s="76">
        <v>748.795481</v>
      </c>
      <c r="L1077" s="77"/>
      <c r="M1077" s="77"/>
    </row>
    <row r="1078" s="69" customFormat="1" spans="2:13">
      <c r="B1078" s="84"/>
      <c r="C1078" s="85"/>
      <c r="D1078" s="86" t="str">
        <f t="shared" si="38"/>
        <v/>
      </c>
      <c r="E1078" s="93" t="str">
        <f t="shared" si="39"/>
        <v/>
      </c>
      <c r="F1078" s="94"/>
      <c r="G1078" s="95"/>
      <c r="H1078" s="74"/>
      <c r="I1078" s="75" t="s">
        <v>4092</v>
      </c>
      <c r="J1078" s="76">
        <v>1223.557167</v>
      </c>
      <c r="L1078" s="77"/>
      <c r="M1078" s="77"/>
    </row>
    <row r="1079" s="69" customFormat="1" spans="2:13">
      <c r="B1079" s="84"/>
      <c r="C1079" s="85"/>
      <c r="D1079" s="86" t="str">
        <f t="shared" si="38"/>
        <v/>
      </c>
      <c r="E1079" s="93" t="str">
        <f t="shared" si="39"/>
        <v/>
      </c>
      <c r="F1079" s="94"/>
      <c r="G1079" s="95"/>
      <c r="H1079" s="74"/>
      <c r="I1079" s="75" t="s">
        <v>4093</v>
      </c>
      <c r="J1079" s="76">
        <v>850.317713</v>
      </c>
      <c r="L1079" s="77"/>
      <c r="M1079" s="77"/>
    </row>
    <row r="1080" s="69" customFormat="1" spans="2:13">
      <c r="B1080" s="84"/>
      <c r="C1080" s="85"/>
      <c r="D1080" s="86" t="str">
        <f t="shared" si="38"/>
        <v/>
      </c>
      <c r="E1080" s="93" t="str">
        <f t="shared" si="39"/>
        <v/>
      </c>
      <c r="F1080" s="94"/>
      <c r="G1080" s="95"/>
      <c r="H1080" s="74"/>
      <c r="I1080" s="75" t="s">
        <v>4094</v>
      </c>
      <c r="J1080" s="76">
        <v>109.406339</v>
      </c>
      <c r="L1080" s="77"/>
      <c r="M1080" s="77"/>
    </row>
    <row r="1081" s="69" customFormat="1" spans="2:13">
      <c r="B1081" s="84"/>
      <c r="C1081" s="85"/>
      <c r="D1081" s="86" t="str">
        <f t="shared" si="38"/>
        <v/>
      </c>
      <c r="E1081" s="93" t="str">
        <f t="shared" si="39"/>
        <v/>
      </c>
      <c r="F1081" s="94"/>
      <c r="G1081" s="95"/>
      <c r="H1081" s="74"/>
      <c r="I1081" s="75" t="s">
        <v>4095</v>
      </c>
      <c r="J1081" s="76">
        <v>953.636964</v>
      </c>
      <c r="L1081" s="77"/>
      <c r="M1081" s="77"/>
    </row>
    <row r="1082" s="69" customFormat="1" spans="2:13">
      <c r="B1082" s="84"/>
      <c r="C1082" s="85"/>
      <c r="D1082" s="86" t="str">
        <f t="shared" si="38"/>
        <v/>
      </c>
      <c r="E1082" s="93" t="str">
        <f t="shared" si="39"/>
        <v/>
      </c>
      <c r="F1082" s="94"/>
      <c r="G1082" s="95"/>
      <c r="H1082" s="74"/>
      <c r="I1082" s="75" t="s">
        <v>381</v>
      </c>
      <c r="J1082" s="76">
        <v>792.181334</v>
      </c>
      <c r="L1082" s="77"/>
      <c r="M1082" s="77"/>
    </row>
    <row r="1083" s="69" customFormat="1" spans="2:13">
      <c r="B1083" s="84"/>
      <c r="C1083" s="85"/>
      <c r="D1083" s="86" t="str">
        <f t="shared" si="38"/>
        <v/>
      </c>
      <c r="E1083" s="93" t="str">
        <f t="shared" si="39"/>
        <v/>
      </c>
      <c r="F1083" s="94"/>
      <c r="G1083" s="95"/>
      <c r="H1083" s="74"/>
      <c r="I1083" s="75" t="s">
        <v>4096</v>
      </c>
      <c r="J1083" s="76">
        <v>1297.221499</v>
      </c>
      <c r="L1083" s="77"/>
      <c r="M1083" s="77"/>
    </row>
    <row r="1084" s="69" customFormat="1" spans="2:13">
      <c r="B1084" s="84"/>
      <c r="C1084" s="85"/>
      <c r="D1084" s="86" t="str">
        <f t="shared" si="38"/>
        <v/>
      </c>
      <c r="E1084" s="93" t="str">
        <f t="shared" si="39"/>
        <v/>
      </c>
      <c r="F1084" s="94"/>
      <c r="G1084" s="95"/>
      <c r="H1084" s="74"/>
      <c r="I1084" s="75" t="s">
        <v>155</v>
      </c>
      <c r="J1084" s="76">
        <v>948.654196</v>
      </c>
      <c r="L1084" s="77"/>
      <c r="M1084" s="77"/>
    </row>
    <row r="1085" s="69" customFormat="1" spans="2:13">
      <c r="B1085" s="84"/>
      <c r="C1085" s="85"/>
      <c r="D1085" s="86" t="str">
        <f t="shared" si="38"/>
        <v/>
      </c>
      <c r="E1085" s="93" t="str">
        <f t="shared" si="39"/>
        <v/>
      </c>
      <c r="F1085" s="94"/>
      <c r="G1085" s="95"/>
      <c r="H1085" s="74"/>
      <c r="I1085" s="75" t="s">
        <v>4097</v>
      </c>
      <c r="J1085" s="76">
        <v>758.837772</v>
      </c>
      <c r="L1085" s="77"/>
      <c r="M1085" s="77"/>
    </row>
    <row r="1086" s="69" customFormat="1" spans="2:13">
      <c r="B1086" s="84"/>
      <c r="C1086" s="85"/>
      <c r="D1086" s="86" t="str">
        <f t="shared" si="38"/>
        <v/>
      </c>
      <c r="E1086" s="93" t="str">
        <f t="shared" si="39"/>
        <v/>
      </c>
      <c r="F1086" s="94"/>
      <c r="G1086" s="95"/>
      <c r="H1086" s="74"/>
      <c r="I1086" s="75" t="s">
        <v>4098</v>
      </c>
      <c r="J1086" s="76">
        <v>869.648787</v>
      </c>
      <c r="L1086" s="77"/>
      <c r="M1086" s="77"/>
    </row>
    <row r="1087" s="69" customFormat="1" spans="2:13">
      <c r="B1087" s="84"/>
      <c r="C1087" s="85"/>
      <c r="D1087" s="86" t="str">
        <f t="shared" si="38"/>
        <v/>
      </c>
      <c r="E1087" s="93" t="str">
        <f t="shared" si="39"/>
        <v/>
      </c>
      <c r="F1087" s="94"/>
      <c r="G1087" s="95"/>
      <c r="H1087" s="74"/>
      <c r="I1087" s="75" t="s">
        <v>408</v>
      </c>
      <c r="J1087" s="76">
        <v>795.46383</v>
      </c>
      <c r="L1087" s="77"/>
      <c r="M1087" s="77"/>
    </row>
    <row r="1088" s="69" customFormat="1" spans="2:13">
      <c r="B1088" s="84"/>
      <c r="C1088" s="85"/>
      <c r="D1088" s="86" t="str">
        <f t="shared" si="38"/>
        <v/>
      </c>
      <c r="E1088" s="93" t="str">
        <f t="shared" si="39"/>
        <v/>
      </c>
      <c r="F1088" s="94"/>
      <c r="G1088" s="95"/>
      <c r="H1088" s="74"/>
      <c r="I1088" s="75" t="s">
        <v>383</v>
      </c>
      <c r="J1088" s="76">
        <v>830.771606</v>
      </c>
      <c r="L1088" s="77"/>
      <c r="M1088" s="77"/>
    </row>
    <row r="1089" s="69" customFormat="1" spans="2:13">
      <c r="B1089" s="84"/>
      <c r="C1089" s="85"/>
      <c r="D1089" s="86" t="str">
        <f t="shared" si="38"/>
        <v/>
      </c>
      <c r="E1089" s="93" t="str">
        <f t="shared" si="39"/>
        <v/>
      </c>
      <c r="F1089" s="94"/>
      <c r="G1089" s="95"/>
      <c r="H1089" s="74"/>
      <c r="I1089" s="75" t="s">
        <v>143</v>
      </c>
      <c r="J1089" s="76">
        <v>689.10163</v>
      </c>
      <c r="L1089" s="77"/>
      <c r="M1089" s="77"/>
    </row>
    <row r="1090" s="69" customFormat="1" spans="2:13">
      <c r="B1090" s="84"/>
      <c r="C1090" s="85"/>
      <c r="D1090" s="86" t="str">
        <f t="shared" si="38"/>
        <v/>
      </c>
      <c r="E1090" s="93" t="str">
        <f t="shared" si="39"/>
        <v/>
      </c>
      <c r="F1090" s="94"/>
      <c r="G1090" s="95"/>
      <c r="H1090" s="74"/>
      <c r="I1090" s="75" t="s">
        <v>4099</v>
      </c>
      <c r="J1090" s="76">
        <v>850.317713</v>
      </c>
      <c r="L1090" s="77"/>
      <c r="M1090" s="77"/>
    </row>
    <row r="1091" s="69" customFormat="1" spans="2:13">
      <c r="B1091" s="84"/>
      <c r="C1091" s="85"/>
      <c r="D1091" s="86" t="str">
        <f t="shared" ref="D1091:D1154" si="40">IF(C1091="","",C1091/(C1091+$E$1/60))</f>
        <v/>
      </c>
      <c r="E1091" s="93" t="str">
        <f t="shared" ref="E1091:E1154" si="41">IFERROR(ROUND(1440/C1091*2*D1091,0),"")</f>
        <v/>
      </c>
      <c r="F1091" s="94"/>
      <c r="G1091" s="95"/>
      <c r="H1091" s="74"/>
      <c r="I1091" s="75" t="s">
        <v>339</v>
      </c>
      <c r="J1091" s="76">
        <v>848.030533</v>
      </c>
      <c r="L1091" s="77"/>
      <c r="M1091" s="77"/>
    </row>
    <row r="1092" s="69" customFormat="1" spans="2:13">
      <c r="B1092" s="84"/>
      <c r="C1092" s="85"/>
      <c r="D1092" s="86" t="str">
        <f t="shared" si="40"/>
        <v/>
      </c>
      <c r="E1092" s="93" t="str">
        <f t="shared" si="41"/>
        <v/>
      </c>
      <c r="F1092" s="94"/>
      <c r="G1092" s="95"/>
      <c r="H1092" s="74"/>
      <c r="I1092" s="75" t="s">
        <v>617</v>
      </c>
      <c r="J1092" s="76">
        <v>854.918372</v>
      </c>
      <c r="L1092" s="77"/>
      <c r="M1092" s="77"/>
    </row>
    <row r="1093" s="69" customFormat="1" spans="2:13">
      <c r="B1093" s="84"/>
      <c r="C1093" s="85"/>
      <c r="D1093" s="86" t="str">
        <f t="shared" si="40"/>
        <v/>
      </c>
      <c r="E1093" s="93" t="str">
        <f t="shared" si="41"/>
        <v/>
      </c>
      <c r="F1093" s="94"/>
      <c r="G1093" s="95"/>
      <c r="H1093" s="74"/>
      <c r="I1093" s="75" t="s">
        <v>508</v>
      </c>
      <c r="J1093" s="76">
        <v>728.510146</v>
      </c>
      <c r="L1093" s="77"/>
      <c r="M1093" s="77"/>
    </row>
    <row r="1094" s="69" customFormat="1" spans="2:13">
      <c r="B1094" s="84"/>
      <c r="C1094" s="85"/>
      <c r="D1094" s="86" t="str">
        <f t="shared" si="40"/>
        <v/>
      </c>
      <c r="E1094" s="93" t="str">
        <f t="shared" si="41"/>
        <v/>
      </c>
      <c r="F1094" s="94"/>
      <c r="G1094" s="95"/>
      <c r="H1094" s="74"/>
      <c r="I1094" s="75" t="s">
        <v>485</v>
      </c>
      <c r="J1094" s="76">
        <v>860.674521</v>
      </c>
      <c r="L1094" s="77"/>
      <c r="M1094" s="77"/>
    </row>
    <row r="1095" s="69" customFormat="1" spans="2:13">
      <c r="B1095" s="84"/>
      <c r="C1095" s="85"/>
      <c r="D1095" s="86" t="str">
        <f t="shared" si="40"/>
        <v/>
      </c>
      <c r="E1095" s="93" t="str">
        <f t="shared" si="41"/>
        <v/>
      </c>
      <c r="F1095" s="94"/>
      <c r="G1095" s="95"/>
      <c r="H1095" s="74"/>
      <c r="I1095" s="75" t="s">
        <v>4100</v>
      </c>
      <c r="J1095" s="76">
        <v>532.845229</v>
      </c>
      <c r="L1095" s="77"/>
      <c r="M1095" s="77"/>
    </row>
    <row r="1096" s="69" customFormat="1" spans="2:13">
      <c r="B1096" s="84"/>
      <c r="C1096" s="85"/>
      <c r="D1096" s="86" t="str">
        <f t="shared" si="40"/>
        <v/>
      </c>
      <c r="E1096" s="93" t="str">
        <f t="shared" si="41"/>
        <v/>
      </c>
      <c r="F1096" s="94"/>
      <c r="G1096" s="95"/>
      <c r="H1096" s="74"/>
      <c r="I1096" s="75" t="s">
        <v>625</v>
      </c>
      <c r="J1096" s="76">
        <v>1228.782576</v>
      </c>
      <c r="L1096" s="77"/>
      <c r="M1096" s="77"/>
    </row>
    <row r="1097" s="69" customFormat="1" spans="2:13">
      <c r="B1097" s="84"/>
      <c r="C1097" s="85"/>
      <c r="D1097" s="86" t="str">
        <f t="shared" si="40"/>
        <v/>
      </c>
      <c r="E1097" s="93" t="str">
        <f t="shared" si="41"/>
        <v/>
      </c>
      <c r="F1097" s="94"/>
      <c r="G1097" s="95"/>
      <c r="H1097" s="74"/>
      <c r="I1097" s="75" t="s">
        <v>4101</v>
      </c>
      <c r="J1097" s="76">
        <v>854.918372</v>
      </c>
      <c r="L1097" s="77"/>
      <c r="M1097" s="77"/>
    </row>
    <row r="1098" s="69" customFormat="1" spans="2:13">
      <c r="B1098" s="84"/>
      <c r="C1098" s="85"/>
      <c r="D1098" s="86" t="str">
        <f t="shared" si="40"/>
        <v/>
      </c>
      <c r="E1098" s="93" t="str">
        <f t="shared" si="41"/>
        <v/>
      </c>
      <c r="F1098" s="94"/>
      <c r="G1098" s="95"/>
      <c r="H1098" s="74"/>
      <c r="I1098" s="75" t="s">
        <v>4102</v>
      </c>
      <c r="J1098" s="76">
        <v>953.636964</v>
      </c>
      <c r="L1098" s="77"/>
      <c r="M1098" s="77"/>
    </row>
    <row r="1099" s="69" customFormat="1" spans="2:13">
      <c r="B1099" s="84"/>
      <c r="C1099" s="85"/>
      <c r="D1099" s="86" t="str">
        <f t="shared" si="40"/>
        <v/>
      </c>
      <c r="E1099" s="93" t="str">
        <f t="shared" si="41"/>
        <v/>
      </c>
      <c r="F1099" s="94"/>
      <c r="G1099" s="95"/>
      <c r="H1099" s="74"/>
      <c r="I1099" s="75" t="s">
        <v>4103</v>
      </c>
      <c r="J1099" s="76">
        <v>447.194027</v>
      </c>
      <c r="L1099" s="77"/>
      <c r="M1099" s="77"/>
    </row>
    <row r="1100" s="69" customFormat="1" spans="2:13">
      <c r="B1100" s="84"/>
      <c r="C1100" s="85"/>
      <c r="D1100" s="86" t="str">
        <f t="shared" si="40"/>
        <v/>
      </c>
      <c r="E1100" s="93" t="str">
        <f t="shared" si="41"/>
        <v/>
      </c>
      <c r="F1100" s="94"/>
      <c r="G1100" s="95"/>
      <c r="H1100" s="74"/>
      <c r="I1100" s="75" t="s">
        <v>4104</v>
      </c>
      <c r="J1100" s="76">
        <v>1067.504018</v>
      </c>
      <c r="L1100" s="77"/>
      <c r="M1100" s="77"/>
    </row>
    <row r="1101" s="69" customFormat="1" spans="2:13">
      <c r="B1101" s="84"/>
      <c r="C1101" s="85"/>
      <c r="D1101" s="86" t="str">
        <f t="shared" si="40"/>
        <v/>
      </c>
      <c r="E1101" s="93" t="str">
        <f t="shared" si="41"/>
        <v/>
      </c>
      <c r="F1101" s="94"/>
      <c r="G1101" s="95"/>
      <c r="H1101" s="74"/>
      <c r="I1101" s="75" t="s">
        <v>4105</v>
      </c>
      <c r="J1101" s="76">
        <v>237.859818</v>
      </c>
      <c r="L1101" s="77"/>
      <c r="M1101" s="77"/>
    </row>
    <row r="1102" s="69" customFormat="1" spans="2:13">
      <c r="B1102" s="84"/>
      <c r="C1102" s="85"/>
      <c r="D1102" s="86" t="str">
        <f t="shared" si="40"/>
        <v/>
      </c>
      <c r="E1102" s="93" t="str">
        <f t="shared" si="41"/>
        <v/>
      </c>
      <c r="F1102" s="94"/>
      <c r="G1102" s="95"/>
      <c r="H1102" s="74"/>
      <c r="I1102" s="75" t="s">
        <v>4106</v>
      </c>
      <c r="J1102" s="76">
        <v>685.791288</v>
      </c>
      <c r="L1102" s="77"/>
      <c r="M1102" s="77"/>
    </row>
    <row r="1103" s="69" customFormat="1" spans="2:13">
      <c r="B1103" s="84"/>
      <c r="C1103" s="85"/>
      <c r="D1103" s="86" t="str">
        <f t="shared" si="40"/>
        <v/>
      </c>
      <c r="E1103" s="93" t="str">
        <f t="shared" si="41"/>
        <v/>
      </c>
      <c r="F1103" s="94"/>
      <c r="G1103" s="95"/>
      <c r="H1103" s="74"/>
      <c r="I1103" s="75" t="s">
        <v>440</v>
      </c>
      <c r="J1103" s="76">
        <v>470.844206</v>
      </c>
      <c r="L1103" s="77"/>
      <c r="M1103" s="77"/>
    </row>
    <row r="1104" s="69" customFormat="1" spans="2:13">
      <c r="B1104" s="84"/>
      <c r="C1104" s="85"/>
      <c r="D1104" s="86" t="str">
        <f t="shared" si="40"/>
        <v/>
      </c>
      <c r="E1104" s="93" t="str">
        <f t="shared" si="41"/>
        <v/>
      </c>
      <c r="F1104" s="94"/>
      <c r="G1104" s="95"/>
      <c r="H1104" s="74"/>
      <c r="I1104" s="75" t="s">
        <v>4107</v>
      </c>
      <c r="J1104" s="76">
        <v>911.189545</v>
      </c>
      <c r="L1104" s="77"/>
      <c r="M1104" s="77"/>
    </row>
    <row r="1105" s="69" customFormat="1" spans="2:13">
      <c r="B1105" s="84"/>
      <c r="C1105" s="85"/>
      <c r="D1105" s="86" t="str">
        <f t="shared" si="40"/>
        <v/>
      </c>
      <c r="E1105" s="93" t="str">
        <f t="shared" si="41"/>
        <v/>
      </c>
      <c r="F1105" s="94"/>
      <c r="G1105" s="95"/>
      <c r="H1105" s="74"/>
      <c r="I1105" s="75" t="s">
        <v>484</v>
      </c>
      <c r="J1105" s="76">
        <v>762.18548</v>
      </c>
      <c r="L1105" s="77"/>
      <c r="M1105" s="77"/>
    </row>
    <row r="1106" s="69" customFormat="1" spans="2:13">
      <c r="B1106" s="84"/>
      <c r="C1106" s="85"/>
      <c r="D1106" s="86" t="str">
        <f t="shared" si="40"/>
        <v/>
      </c>
      <c r="E1106" s="93" t="str">
        <f t="shared" si="41"/>
        <v/>
      </c>
      <c r="F1106" s="94"/>
      <c r="G1106" s="95"/>
      <c r="H1106" s="74"/>
      <c r="I1106" s="75" t="s">
        <v>4108</v>
      </c>
      <c r="J1106" s="76">
        <v>23.552837</v>
      </c>
      <c r="L1106" s="77"/>
      <c r="M1106" s="77"/>
    </row>
    <row r="1107" s="69" customFormat="1" spans="2:13">
      <c r="B1107" s="84"/>
      <c r="C1107" s="85"/>
      <c r="D1107" s="86" t="str">
        <f t="shared" si="40"/>
        <v/>
      </c>
      <c r="E1107" s="93" t="str">
        <f t="shared" si="41"/>
        <v/>
      </c>
      <c r="F1107" s="94"/>
      <c r="G1107" s="95"/>
      <c r="H1107" s="74"/>
      <c r="I1107" s="75" t="s">
        <v>4109</v>
      </c>
      <c r="J1107" s="76">
        <v>157.701894</v>
      </c>
      <c r="L1107" s="77"/>
      <c r="M1107" s="77"/>
    </row>
    <row r="1108" s="69" customFormat="1" spans="2:13">
      <c r="B1108" s="84"/>
      <c r="C1108" s="85"/>
      <c r="D1108" s="86" t="str">
        <f t="shared" si="40"/>
        <v/>
      </c>
      <c r="E1108" s="93" t="str">
        <f t="shared" si="41"/>
        <v/>
      </c>
      <c r="F1108" s="94"/>
      <c r="G1108" s="95"/>
      <c r="H1108" s="74"/>
      <c r="I1108" s="75" t="s">
        <v>665</v>
      </c>
      <c r="J1108" s="76">
        <v>750.293096</v>
      </c>
      <c r="L1108" s="77"/>
      <c r="M1108" s="77"/>
    </row>
    <row r="1109" s="69" customFormat="1" spans="2:13">
      <c r="B1109" s="84"/>
      <c r="C1109" s="85"/>
      <c r="D1109" s="86" t="str">
        <f t="shared" si="40"/>
        <v/>
      </c>
      <c r="E1109" s="93" t="str">
        <f t="shared" si="41"/>
        <v/>
      </c>
      <c r="F1109" s="94"/>
      <c r="G1109" s="95"/>
      <c r="H1109" s="74"/>
      <c r="I1109" s="75" t="s">
        <v>4110</v>
      </c>
      <c r="J1109" s="76">
        <v>46.01373</v>
      </c>
      <c r="L1109" s="77"/>
      <c r="M1109" s="77"/>
    </row>
    <row r="1110" s="69" customFormat="1" spans="2:13">
      <c r="B1110" s="84"/>
      <c r="C1110" s="85"/>
      <c r="D1110" s="86" t="str">
        <f t="shared" si="40"/>
        <v/>
      </c>
      <c r="E1110" s="93" t="str">
        <f t="shared" si="41"/>
        <v/>
      </c>
      <c r="F1110" s="94"/>
      <c r="G1110" s="95"/>
      <c r="H1110" s="74"/>
      <c r="I1110" s="75" t="s">
        <v>4111</v>
      </c>
      <c r="J1110" s="76">
        <v>923.819848</v>
      </c>
      <c r="L1110" s="77"/>
      <c r="M1110" s="77"/>
    </row>
    <row r="1111" s="69" customFormat="1" spans="2:13">
      <c r="B1111" s="84"/>
      <c r="C1111" s="85"/>
      <c r="D1111" s="86" t="str">
        <f t="shared" si="40"/>
        <v/>
      </c>
      <c r="E1111" s="93" t="str">
        <f t="shared" si="41"/>
        <v/>
      </c>
      <c r="F1111" s="94"/>
      <c r="G1111" s="95"/>
      <c r="H1111" s="74"/>
      <c r="I1111" s="75" t="s">
        <v>4112</v>
      </c>
      <c r="J1111" s="76">
        <v>902.417341</v>
      </c>
      <c r="L1111" s="77"/>
      <c r="M1111" s="77"/>
    </row>
    <row r="1112" s="69" customFormat="1" spans="2:13">
      <c r="B1112" s="84"/>
      <c r="C1112" s="85"/>
      <c r="D1112" s="86" t="str">
        <f t="shared" si="40"/>
        <v/>
      </c>
      <c r="E1112" s="93" t="str">
        <f t="shared" si="41"/>
        <v/>
      </c>
      <c r="F1112" s="94"/>
      <c r="G1112" s="95"/>
      <c r="H1112" s="74"/>
      <c r="I1112" s="75" t="s">
        <v>4113</v>
      </c>
      <c r="J1112" s="76">
        <v>923.819848</v>
      </c>
      <c r="L1112" s="77"/>
      <c r="M1112" s="77"/>
    </row>
    <row r="1113" s="69" customFormat="1" spans="2:13">
      <c r="B1113" s="84"/>
      <c r="C1113" s="85"/>
      <c r="D1113" s="86" t="str">
        <f t="shared" si="40"/>
        <v/>
      </c>
      <c r="E1113" s="93" t="str">
        <f t="shared" si="41"/>
        <v/>
      </c>
      <c r="F1113" s="94"/>
      <c r="G1113" s="95"/>
      <c r="H1113" s="74"/>
      <c r="I1113" s="75" t="s">
        <v>565</v>
      </c>
      <c r="J1113" s="76">
        <v>975.239748</v>
      </c>
      <c r="L1113" s="77"/>
      <c r="M1113" s="77"/>
    </row>
    <row r="1114" s="69" customFormat="1" spans="2:13">
      <c r="B1114" s="84"/>
      <c r="C1114" s="85"/>
      <c r="D1114" s="86" t="str">
        <f t="shared" si="40"/>
        <v/>
      </c>
      <c r="E1114" s="93" t="str">
        <f t="shared" si="41"/>
        <v/>
      </c>
      <c r="F1114" s="94"/>
      <c r="G1114" s="95"/>
      <c r="H1114" s="74"/>
      <c r="I1114" s="75" t="s">
        <v>4114</v>
      </c>
      <c r="J1114" s="76">
        <v>764.1228</v>
      </c>
      <c r="L1114" s="77"/>
      <c r="M1114" s="77"/>
    </row>
    <row r="1115" s="69" customFormat="1" spans="2:13">
      <c r="B1115" s="84"/>
      <c r="C1115" s="85"/>
      <c r="D1115" s="86" t="str">
        <f t="shared" si="40"/>
        <v/>
      </c>
      <c r="E1115" s="93" t="str">
        <f t="shared" si="41"/>
        <v/>
      </c>
      <c r="F1115" s="94"/>
      <c r="G1115" s="95"/>
      <c r="H1115" s="74"/>
      <c r="I1115" s="75" t="s">
        <v>4115</v>
      </c>
      <c r="J1115" s="76">
        <v>773.086594</v>
      </c>
      <c r="L1115" s="77"/>
      <c r="M1115" s="77"/>
    </row>
    <row r="1116" s="69" customFormat="1" spans="2:13">
      <c r="B1116" s="84"/>
      <c r="C1116" s="85"/>
      <c r="D1116" s="86" t="str">
        <f t="shared" si="40"/>
        <v/>
      </c>
      <c r="E1116" s="93" t="str">
        <f t="shared" si="41"/>
        <v/>
      </c>
      <c r="F1116" s="94"/>
      <c r="G1116" s="95"/>
      <c r="H1116" s="74"/>
      <c r="I1116" s="75" t="s">
        <v>494</v>
      </c>
      <c r="J1116" s="76">
        <v>734.987792</v>
      </c>
      <c r="L1116" s="77"/>
      <c r="M1116" s="77"/>
    </row>
    <row r="1117" s="69" customFormat="1" spans="2:13">
      <c r="B1117" s="84"/>
      <c r="C1117" s="85"/>
      <c r="D1117" s="86" t="str">
        <f t="shared" si="40"/>
        <v/>
      </c>
      <c r="E1117" s="93" t="str">
        <f t="shared" si="41"/>
        <v/>
      </c>
      <c r="F1117" s="94"/>
      <c r="G1117" s="95"/>
      <c r="H1117" s="74"/>
      <c r="I1117" s="75" t="s">
        <v>4116</v>
      </c>
      <c r="J1117" s="76">
        <v>911.700055</v>
      </c>
      <c r="L1117" s="77"/>
      <c r="M1117" s="77"/>
    </row>
    <row r="1118" s="69" customFormat="1" spans="2:13">
      <c r="B1118" s="84"/>
      <c r="C1118" s="85"/>
      <c r="D1118" s="86" t="str">
        <f t="shared" si="40"/>
        <v/>
      </c>
      <c r="E1118" s="93" t="str">
        <f t="shared" si="41"/>
        <v/>
      </c>
      <c r="F1118" s="94"/>
      <c r="G1118" s="95"/>
      <c r="H1118" s="74"/>
      <c r="I1118" s="75" t="s">
        <v>483</v>
      </c>
      <c r="J1118" s="76">
        <v>821.488416</v>
      </c>
      <c r="L1118" s="77"/>
      <c r="M1118" s="77"/>
    </row>
    <row r="1119" s="69" customFormat="1" spans="2:13">
      <c r="B1119" s="84"/>
      <c r="C1119" s="85"/>
      <c r="D1119" s="86" t="str">
        <f t="shared" si="40"/>
        <v/>
      </c>
      <c r="E1119" s="93" t="str">
        <f t="shared" si="41"/>
        <v/>
      </c>
      <c r="F1119" s="94"/>
      <c r="G1119" s="95"/>
      <c r="H1119" s="74"/>
      <c r="I1119" s="75" t="s">
        <v>4117</v>
      </c>
      <c r="J1119" s="76">
        <v>802.834333</v>
      </c>
      <c r="L1119" s="77"/>
      <c r="M1119" s="77"/>
    </row>
    <row r="1120" s="69" customFormat="1" spans="2:13">
      <c r="B1120" s="84"/>
      <c r="C1120" s="85"/>
      <c r="D1120" s="86" t="str">
        <f t="shared" si="40"/>
        <v/>
      </c>
      <c r="E1120" s="93" t="str">
        <f t="shared" si="41"/>
        <v/>
      </c>
      <c r="F1120" s="94"/>
      <c r="G1120" s="95"/>
      <c r="H1120" s="74"/>
      <c r="I1120" s="75" t="s">
        <v>4118</v>
      </c>
      <c r="J1120" s="76">
        <v>1126.341902</v>
      </c>
      <c r="L1120" s="77"/>
      <c r="M1120" s="77"/>
    </row>
    <row r="1121" s="69" customFormat="1" spans="2:13">
      <c r="B1121" s="84"/>
      <c r="C1121" s="85"/>
      <c r="D1121" s="86" t="str">
        <f t="shared" si="40"/>
        <v/>
      </c>
      <c r="E1121" s="93" t="str">
        <f t="shared" si="41"/>
        <v/>
      </c>
      <c r="F1121" s="94"/>
      <c r="G1121" s="95"/>
      <c r="H1121" s="74"/>
      <c r="I1121" s="75" t="s">
        <v>447</v>
      </c>
      <c r="J1121" s="76">
        <v>497.961807</v>
      </c>
      <c r="L1121" s="77"/>
      <c r="M1121" s="77"/>
    </row>
    <row r="1122" s="69" customFormat="1" spans="2:13">
      <c r="B1122" s="84"/>
      <c r="C1122" s="85"/>
      <c r="D1122" s="86" t="str">
        <f t="shared" si="40"/>
        <v/>
      </c>
      <c r="E1122" s="93" t="str">
        <f t="shared" si="41"/>
        <v/>
      </c>
      <c r="F1122" s="94"/>
      <c r="G1122" s="95"/>
      <c r="H1122" s="74"/>
      <c r="I1122" s="75" t="s">
        <v>584</v>
      </c>
      <c r="J1122" s="76">
        <v>1124.107796</v>
      </c>
      <c r="L1122" s="77"/>
      <c r="M1122" s="77"/>
    </row>
    <row r="1123" s="69" customFormat="1" spans="2:13">
      <c r="B1123" s="84"/>
      <c r="C1123" s="85"/>
      <c r="D1123" s="86" t="str">
        <f t="shared" si="40"/>
        <v/>
      </c>
      <c r="E1123" s="93" t="str">
        <f t="shared" si="41"/>
        <v/>
      </c>
      <c r="F1123" s="94"/>
      <c r="G1123" s="95"/>
      <c r="H1123" s="74"/>
      <c r="I1123" s="75" t="s">
        <v>4119</v>
      </c>
      <c r="J1123" s="76">
        <v>1140.467</v>
      </c>
      <c r="L1123" s="77"/>
      <c r="M1123" s="77"/>
    </row>
    <row r="1124" s="69" customFormat="1" spans="2:13">
      <c r="B1124" s="84"/>
      <c r="C1124" s="85"/>
      <c r="D1124" s="86" t="str">
        <f t="shared" si="40"/>
        <v/>
      </c>
      <c r="E1124" s="93" t="str">
        <f t="shared" si="41"/>
        <v/>
      </c>
      <c r="F1124" s="94"/>
      <c r="G1124" s="95"/>
      <c r="H1124" s="74"/>
      <c r="I1124" s="75" t="s">
        <v>367</v>
      </c>
      <c r="J1124" s="76">
        <v>706.6458</v>
      </c>
      <c r="L1124" s="77"/>
      <c r="M1124" s="77"/>
    </row>
    <row r="1125" s="69" customFormat="1" spans="2:13">
      <c r="B1125" s="84"/>
      <c r="C1125" s="85"/>
      <c r="D1125" s="86" t="str">
        <f t="shared" si="40"/>
        <v/>
      </c>
      <c r="E1125" s="93" t="str">
        <f t="shared" si="41"/>
        <v/>
      </c>
      <c r="F1125" s="94"/>
      <c r="G1125" s="95"/>
      <c r="H1125" s="74"/>
      <c r="I1125" s="75" t="s">
        <v>4120</v>
      </c>
      <c r="J1125" s="76">
        <v>1255.7237</v>
      </c>
      <c r="L1125" s="77"/>
      <c r="M1125" s="77"/>
    </row>
    <row r="1126" s="69" customFormat="1" spans="2:13">
      <c r="B1126" s="84"/>
      <c r="C1126" s="85"/>
      <c r="D1126" s="86" t="str">
        <f t="shared" si="40"/>
        <v/>
      </c>
      <c r="E1126" s="93" t="str">
        <f t="shared" si="41"/>
        <v/>
      </c>
      <c r="F1126" s="94"/>
      <c r="G1126" s="95"/>
      <c r="H1126" s="74"/>
      <c r="I1126" s="75" t="s">
        <v>4121</v>
      </c>
      <c r="J1126" s="76">
        <v>1182.7172</v>
      </c>
      <c r="L1126" s="77"/>
      <c r="M1126" s="77"/>
    </row>
    <row r="1127" s="69" customFormat="1" spans="2:13">
      <c r="B1127" s="84"/>
      <c r="C1127" s="85"/>
      <c r="D1127" s="86" t="str">
        <f t="shared" si="40"/>
        <v/>
      </c>
      <c r="E1127" s="93" t="str">
        <f t="shared" si="41"/>
        <v/>
      </c>
      <c r="F1127" s="94"/>
      <c r="G1127" s="95"/>
      <c r="H1127" s="74"/>
      <c r="I1127" s="75" t="s">
        <v>4122</v>
      </c>
      <c r="J1127" s="76">
        <v>974.6457</v>
      </c>
      <c r="L1127" s="77"/>
      <c r="M1127" s="77"/>
    </row>
    <row r="1128" s="69" customFormat="1" spans="2:13">
      <c r="B1128" s="84"/>
      <c r="C1128" s="85"/>
      <c r="D1128" s="86" t="str">
        <f t="shared" si="40"/>
        <v/>
      </c>
      <c r="E1128" s="93" t="str">
        <f t="shared" si="41"/>
        <v/>
      </c>
      <c r="F1128" s="94"/>
      <c r="G1128" s="95"/>
      <c r="H1128" s="74"/>
      <c r="I1128" s="75" t="s">
        <v>4123</v>
      </c>
      <c r="J1128" s="76">
        <v>885.836</v>
      </c>
      <c r="L1128" s="77"/>
      <c r="M1128" s="77"/>
    </row>
    <row r="1129" s="69" customFormat="1" spans="2:13">
      <c r="B1129" s="84"/>
      <c r="C1129" s="85"/>
      <c r="D1129" s="86" t="str">
        <f t="shared" si="40"/>
        <v/>
      </c>
      <c r="E1129" s="93" t="str">
        <f t="shared" si="41"/>
        <v/>
      </c>
      <c r="F1129" s="94"/>
      <c r="G1129" s="95"/>
      <c r="H1129" s="74"/>
      <c r="I1129" s="75" t="s">
        <v>404</v>
      </c>
      <c r="J1129" s="76">
        <v>758.3513</v>
      </c>
      <c r="L1129" s="77"/>
      <c r="M1129" s="77"/>
    </row>
    <row r="1130" s="69" customFormat="1" spans="2:13">
      <c r="B1130" s="84"/>
      <c r="C1130" s="85"/>
      <c r="D1130" s="86" t="str">
        <f t="shared" si="40"/>
        <v/>
      </c>
      <c r="E1130" s="93" t="str">
        <f t="shared" si="41"/>
        <v/>
      </c>
      <c r="F1130" s="94"/>
      <c r="G1130" s="95"/>
      <c r="H1130" s="74"/>
      <c r="I1130" s="75" t="s">
        <v>4124</v>
      </c>
      <c r="J1130" s="76">
        <v>908.9458</v>
      </c>
      <c r="L1130" s="77"/>
      <c r="M1130" s="77"/>
    </row>
    <row r="1131" s="69" customFormat="1" spans="2:13">
      <c r="B1131" s="84"/>
      <c r="C1131" s="85"/>
      <c r="D1131" s="86" t="str">
        <f t="shared" si="40"/>
        <v/>
      </c>
      <c r="E1131" s="93" t="str">
        <f t="shared" si="41"/>
        <v/>
      </c>
      <c r="F1131" s="94"/>
      <c r="G1131" s="95"/>
      <c r="H1131" s="74"/>
      <c r="I1131" s="75" t="s">
        <v>4125</v>
      </c>
      <c r="J1131" s="76">
        <v>1045.9148</v>
      </c>
      <c r="L1131" s="77"/>
      <c r="M1131" s="77"/>
    </row>
    <row r="1132" s="69" customFormat="1" spans="2:13">
      <c r="B1132" s="84"/>
      <c r="C1132" s="85"/>
      <c r="D1132" s="86" t="str">
        <f t="shared" si="40"/>
        <v/>
      </c>
      <c r="E1132" s="93" t="str">
        <f t="shared" si="41"/>
        <v/>
      </c>
      <c r="F1132" s="94"/>
      <c r="G1132" s="95"/>
      <c r="H1132" s="74"/>
      <c r="I1132" s="75" t="s">
        <v>534</v>
      </c>
      <c r="J1132" s="76">
        <v>795.5864</v>
      </c>
      <c r="L1132" s="77"/>
      <c r="M1132" s="77"/>
    </row>
    <row r="1133" s="69" customFormat="1" spans="2:13">
      <c r="B1133" s="84"/>
      <c r="C1133" s="85"/>
      <c r="D1133" s="86" t="str">
        <f t="shared" si="40"/>
        <v/>
      </c>
      <c r="E1133" s="93" t="str">
        <f t="shared" si="41"/>
        <v/>
      </c>
      <c r="F1133" s="94"/>
      <c r="G1133" s="95"/>
      <c r="H1133" s="74"/>
      <c r="I1133" s="75" t="s">
        <v>4126</v>
      </c>
      <c r="J1133" s="76">
        <v>837.0222</v>
      </c>
      <c r="L1133" s="77"/>
      <c r="M1133" s="77"/>
    </row>
    <row r="1134" s="69" customFormat="1" spans="2:13">
      <c r="B1134" s="84"/>
      <c r="C1134" s="85"/>
      <c r="D1134" s="86" t="str">
        <f t="shared" si="40"/>
        <v/>
      </c>
      <c r="E1134" s="93" t="str">
        <f t="shared" si="41"/>
        <v/>
      </c>
      <c r="F1134" s="94"/>
      <c r="G1134" s="95"/>
      <c r="H1134" s="74"/>
      <c r="I1134" s="75" t="s">
        <v>4127</v>
      </c>
      <c r="J1134" s="76">
        <v>931.5677</v>
      </c>
      <c r="L1134" s="77"/>
      <c r="M1134" s="77"/>
    </row>
    <row r="1135" s="69" customFormat="1" spans="2:13">
      <c r="B1135" s="84"/>
      <c r="C1135" s="85"/>
      <c r="D1135" s="86" t="str">
        <f t="shared" si="40"/>
        <v/>
      </c>
      <c r="E1135" s="93" t="str">
        <f t="shared" si="41"/>
        <v/>
      </c>
      <c r="F1135" s="94"/>
      <c r="G1135" s="95"/>
      <c r="H1135" s="74"/>
      <c r="I1135" s="75" t="s">
        <v>4128</v>
      </c>
      <c r="J1135" s="76">
        <v>1285.8188</v>
      </c>
      <c r="L1135" s="77"/>
      <c r="M1135" s="77"/>
    </row>
    <row r="1136" s="69" customFormat="1" spans="2:13">
      <c r="B1136" s="84"/>
      <c r="C1136" s="85"/>
      <c r="D1136" s="86" t="str">
        <f t="shared" si="40"/>
        <v/>
      </c>
      <c r="E1136" s="93" t="str">
        <f t="shared" si="41"/>
        <v/>
      </c>
      <c r="F1136" s="94"/>
      <c r="G1136" s="95"/>
      <c r="H1136" s="74"/>
      <c r="I1136" s="75" t="s">
        <v>442</v>
      </c>
      <c r="J1136" s="76">
        <v>450.6054</v>
      </c>
      <c r="L1136" s="77"/>
      <c r="M1136" s="77"/>
    </row>
    <row r="1137" s="69" customFormat="1" spans="2:13">
      <c r="B1137" s="84"/>
      <c r="C1137" s="85"/>
      <c r="D1137" s="86" t="str">
        <f t="shared" si="40"/>
        <v/>
      </c>
      <c r="E1137" s="93" t="str">
        <f t="shared" si="41"/>
        <v/>
      </c>
      <c r="F1137" s="94"/>
      <c r="G1137" s="95"/>
      <c r="H1137" s="74"/>
      <c r="I1137" s="75" t="s">
        <v>4129</v>
      </c>
      <c r="J1137" s="76">
        <v>10.140347</v>
      </c>
      <c r="L1137" s="77"/>
      <c r="M1137" s="77"/>
    </row>
    <row r="1138" s="69" customFormat="1" spans="2:13">
      <c r="B1138" s="84"/>
      <c r="C1138" s="85"/>
      <c r="D1138" s="86" t="str">
        <f t="shared" si="40"/>
        <v/>
      </c>
      <c r="E1138" s="93" t="str">
        <f t="shared" si="41"/>
        <v/>
      </c>
      <c r="F1138" s="94"/>
      <c r="G1138" s="95"/>
      <c r="H1138" s="74"/>
      <c r="I1138" s="75" t="s">
        <v>4130</v>
      </c>
      <c r="J1138" s="76">
        <v>447.1901</v>
      </c>
      <c r="L1138" s="77"/>
      <c r="M1138" s="77"/>
    </row>
    <row r="1139" s="69" customFormat="1" spans="2:13">
      <c r="B1139" s="84"/>
      <c r="C1139" s="85"/>
      <c r="D1139" s="86" t="str">
        <f t="shared" si="40"/>
        <v/>
      </c>
      <c r="E1139" s="93" t="str">
        <f t="shared" si="41"/>
        <v/>
      </c>
      <c r="F1139" s="94"/>
      <c r="G1139" s="95"/>
      <c r="H1139" s="74"/>
      <c r="I1139" s="75" t="s">
        <v>4131</v>
      </c>
      <c r="J1139" s="76">
        <v>450.2008</v>
      </c>
      <c r="L1139" s="77"/>
      <c r="M1139" s="77"/>
    </row>
    <row r="1140" s="69" customFormat="1" spans="2:13">
      <c r="B1140" s="84"/>
      <c r="C1140" s="85"/>
      <c r="D1140" s="86" t="str">
        <f t="shared" si="40"/>
        <v/>
      </c>
      <c r="E1140" s="93" t="str">
        <f t="shared" si="41"/>
        <v/>
      </c>
      <c r="F1140" s="94"/>
      <c r="G1140" s="95"/>
      <c r="H1140" s="74"/>
      <c r="I1140" s="75" t="s">
        <v>4132</v>
      </c>
      <c r="J1140" s="76">
        <v>441.7399</v>
      </c>
      <c r="L1140" s="77"/>
      <c r="M1140" s="77"/>
    </row>
    <row r="1141" s="69" customFormat="1" spans="2:13">
      <c r="B1141" s="84"/>
      <c r="C1141" s="85"/>
      <c r="D1141" s="86" t="str">
        <f t="shared" si="40"/>
        <v/>
      </c>
      <c r="E1141" s="93" t="str">
        <f t="shared" si="41"/>
        <v/>
      </c>
      <c r="F1141" s="94"/>
      <c r="G1141" s="95"/>
      <c r="H1141" s="74"/>
      <c r="I1141" s="75" t="s">
        <v>4133</v>
      </c>
      <c r="J1141" s="76">
        <v>456.246</v>
      </c>
      <c r="L1141" s="77"/>
      <c r="M1141" s="77"/>
    </row>
    <row r="1142" s="69" customFormat="1" spans="2:13">
      <c r="B1142" s="84"/>
      <c r="C1142" s="85"/>
      <c r="D1142" s="86" t="str">
        <f t="shared" si="40"/>
        <v/>
      </c>
      <c r="E1142" s="93" t="str">
        <f t="shared" si="41"/>
        <v/>
      </c>
      <c r="F1142" s="94"/>
      <c r="G1142" s="95"/>
      <c r="H1142" s="74"/>
      <c r="I1142" s="75" t="s">
        <v>4134</v>
      </c>
      <c r="J1142" s="76">
        <v>815.5665</v>
      </c>
      <c r="L1142" s="77"/>
      <c r="M1142" s="77"/>
    </row>
    <row r="1143" s="69" customFormat="1" spans="2:13">
      <c r="B1143" s="84"/>
      <c r="C1143" s="85"/>
      <c r="D1143" s="86" t="str">
        <f t="shared" si="40"/>
        <v/>
      </c>
      <c r="E1143" s="93" t="str">
        <f t="shared" si="41"/>
        <v/>
      </c>
      <c r="F1143" s="94"/>
      <c r="G1143" s="95"/>
      <c r="H1143" s="74"/>
      <c r="I1143" s="75" t="s">
        <v>4135</v>
      </c>
      <c r="J1143" s="76">
        <v>528.1339</v>
      </c>
      <c r="L1143" s="77"/>
      <c r="M1143" s="77"/>
    </row>
    <row r="1144" s="69" customFormat="1" spans="2:13">
      <c r="B1144" s="84"/>
      <c r="C1144" s="85"/>
      <c r="D1144" s="86" t="str">
        <f t="shared" si="40"/>
        <v/>
      </c>
      <c r="E1144" s="93" t="str">
        <f t="shared" si="41"/>
        <v/>
      </c>
      <c r="F1144" s="94"/>
      <c r="G1144" s="95"/>
      <c r="H1144" s="74"/>
      <c r="I1144" s="75" t="s">
        <v>4136</v>
      </c>
      <c r="J1144" s="76">
        <v>592.9532</v>
      </c>
      <c r="L1144" s="77"/>
      <c r="M1144" s="77"/>
    </row>
    <row r="1145" s="69" customFormat="1" spans="2:13">
      <c r="B1145" s="84"/>
      <c r="C1145" s="85"/>
      <c r="D1145" s="86" t="str">
        <f t="shared" si="40"/>
        <v/>
      </c>
      <c r="E1145" s="93" t="str">
        <f t="shared" si="41"/>
        <v/>
      </c>
      <c r="F1145" s="94"/>
      <c r="G1145" s="95"/>
      <c r="H1145" s="74"/>
      <c r="I1145" s="75" t="s">
        <v>460</v>
      </c>
      <c r="J1145" s="76">
        <v>576.912</v>
      </c>
      <c r="L1145" s="77"/>
      <c r="M1145" s="77"/>
    </row>
    <row r="1146" s="69" customFormat="1" spans="2:13">
      <c r="B1146" s="84"/>
      <c r="C1146" s="85"/>
      <c r="D1146" s="86" t="str">
        <f t="shared" si="40"/>
        <v/>
      </c>
      <c r="E1146" s="93" t="str">
        <f t="shared" si="41"/>
        <v/>
      </c>
      <c r="F1146" s="94"/>
      <c r="G1146" s="95"/>
      <c r="H1146" s="74"/>
      <c r="I1146" s="75" t="s">
        <v>4137</v>
      </c>
      <c r="J1146" s="76">
        <v>446.2262</v>
      </c>
      <c r="L1146" s="77"/>
      <c r="M1146" s="77"/>
    </row>
    <row r="1147" s="69" customFormat="1" spans="2:13">
      <c r="B1147" s="84"/>
      <c r="C1147" s="85"/>
      <c r="D1147" s="86" t="str">
        <f t="shared" si="40"/>
        <v/>
      </c>
      <c r="E1147" s="93" t="str">
        <f t="shared" si="41"/>
        <v/>
      </c>
      <c r="F1147" s="94"/>
      <c r="G1147" s="95"/>
      <c r="H1147" s="74"/>
      <c r="I1147" s="75" t="s">
        <v>4138</v>
      </c>
      <c r="J1147" s="76">
        <v>734.7298</v>
      </c>
      <c r="L1147" s="77"/>
      <c r="M1147" s="77"/>
    </row>
    <row r="1148" s="69" customFormat="1" spans="2:13">
      <c r="B1148" s="84"/>
      <c r="C1148" s="85"/>
      <c r="D1148" s="86" t="str">
        <f t="shared" si="40"/>
        <v/>
      </c>
      <c r="E1148" s="93" t="str">
        <f t="shared" si="41"/>
        <v/>
      </c>
      <c r="F1148" s="94"/>
      <c r="G1148" s="95"/>
      <c r="H1148" s="74"/>
      <c r="I1148" s="75" t="s">
        <v>410</v>
      </c>
      <c r="J1148" s="76">
        <v>890.6436</v>
      </c>
      <c r="L1148" s="77"/>
      <c r="M1148" s="77"/>
    </row>
    <row r="1149" s="69" customFormat="1" spans="2:13">
      <c r="B1149" s="84"/>
      <c r="C1149" s="85"/>
      <c r="D1149" s="86" t="str">
        <f t="shared" si="40"/>
        <v/>
      </c>
      <c r="E1149" s="93" t="str">
        <f t="shared" si="41"/>
        <v/>
      </c>
      <c r="F1149" s="94"/>
      <c r="G1149" s="95"/>
      <c r="H1149" s="74"/>
      <c r="I1149" s="75" t="s">
        <v>4139</v>
      </c>
      <c r="J1149" s="76">
        <v>884.6936</v>
      </c>
      <c r="L1149" s="77"/>
      <c r="M1149" s="77"/>
    </row>
    <row r="1150" s="69" customFormat="1" spans="2:13">
      <c r="B1150" s="84"/>
      <c r="C1150" s="85"/>
      <c r="D1150" s="86" t="str">
        <f t="shared" si="40"/>
        <v/>
      </c>
      <c r="E1150" s="93" t="str">
        <f t="shared" si="41"/>
        <v/>
      </c>
      <c r="F1150" s="94"/>
      <c r="G1150" s="95"/>
      <c r="H1150" s="74"/>
      <c r="I1150" s="75" t="s">
        <v>388</v>
      </c>
      <c r="J1150" s="76">
        <v>833.2023</v>
      </c>
      <c r="L1150" s="77"/>
      <c r="M1150" s="77"/>
    </row>
    <row r="1151" s="69" customFormat="1" spans="2:13">
      <c r="B1151" s="84"/>
      <c r="C1151" s="85"/>
      <c r="D1151" s="86" t="str">
        <f t="shared" si="40"/>
        <v/>
      </c>
      <c r="E1151" s="93" t="str">
        <f t="shared" si="41"/>
        <v/>
      </c>
      <c r="F1151" s="94"/>
      <c r="G1151" s="95"/>
      <c r="H1151" s="74"/>
      <c r="I1151" s="75" t="s">
        <v>389</v>
      </c>
      <c r="J1151" s="76">
        <v>830.7152</v>
      </c>
      <c r="L1151" s="77"/>
      <c r="M1151" s="77"/>
    </row>
    <row r="1152" s="69" customFormat="1" spans="2:13">
      <c r="B1152" s="84"/>
      <c r="C1152" s="85"/>
      <c r="D1152" s="86" t="str">
        <f t="shared" si="40"/>
        <v/>
      </c>
      <c r="E1152" s="93" t="str">
        <f t="shared" si="41"/>
        <v/>
      </c>
      <c r="F1152" s="94"/>
      <c r="G1152" s="95"/>
      <c r="H1152" s="74"/>
      <c r="I1152" s="75" t="s">
        <v>4140</v>
      </c>
      <c r="J1152" s="76">
        <v>800.767184</v>
      </c>
      <c r="L1152" s="77"/>
      <c r="M1152" s="77"/>
    </row>
    <row r="1153" s="69" customFormat="1" spans="2:13">
      <c r="B1153" s="84"/>
      <c r="C1153" s="85"/>
      <c r="D1153" s="86" t="str">
        <f t="shared" si="40"/>
        <v/>
      </c>
      <c r="E1153" s="93" t="str">
        <f t="shared" si="41"/>
        <v/>
      </c>
      <c r="F1153" s="94"/>
      <c r="G1153" s="95"/>
      <c r="H1153" s="74"/>
      <c r="I1153" s="75" t="s">
        <v>4141</v>
      </c>
      <c r="J1153" s="76">
        <v>321.549305</v>
      </c>
      <c r="L1153" s="77"/>
      <c r="M1153" s="77"/>
    </row>
    <row r="1154" s="69" customFormat="1" spans="2:13">
      <c r="B1154" s="84"/>
      <c r="C1154" s="85"/>
      <c r="D1154" s="86" t="str">
        <f t="shared" si="40"/>
        <v/>
      </c>
      <c r="E1154" s="93" t="str">
        <f t="shared" si="41"/>
        <v/>
      </c>
      <c r="F1154" s="94"/>
      <c r="G1154" s="95"/>
      <c r="H1154" s="74"/>
      <c r="I1154" s="75" t="s">
        <v>4142</v>
      </c>
      <c r="J1154" s="76">
        <v>961.760975</v>
      </c>
      <c r="L1154" s="77"/>
      <c r="M1154" s="77"/>
    </row>
    <row r="1155" s="69" customFormat="1" spans="2:13">
      <c r="B1155" s="84"/>
      <c r="C1155" s="85"/>
      <c r="D1155" s="86" t="str">
        <f t="shared" ref="D1155:D1213" si="42">IF(C1155="","",C1155/(C1155+$E$1/60))</f>
        <v/>
      </c>
      <c r="E1155" s="93" t="str">
        <f t="shared" ref="E1155:E1212" si="43">IFERROR(ROUND(1440/C1155*2*D1155,0),"")</f>
        <v/>
      </c>
      <c r="F1155" s="94"/>
      <c r="G1155" s="95"/>
      <c r="H1155" s="74"/>
      <c r="I1155" s="75" t="s">
        <v>4143</v>
      </c>
      <c r="J1155" s="76">
        <v>1015.339178</v>
      </c>
      <c r="L1155" s="77"/>
      <c r="M1155" s="77"/>
    </row>
    <row r="1156" s="69" customFormat="1" spans="2:13">
      <c r="B1156" s="84"/>
      <c r="C1156" s="85"/>
      <c r="D1156" s="86" t="str">
        <f t="shared" si="42"/>
        <v/>
      </c>
      <c r="E1156" s="93" t="str">
        <f t="shared" si="43"/>
        <v/>
      </c>
      <c r="F1156" s="94"/>
      <c r="G1156" s="95"/>
      <c r="H1156" s="74"/>
      <c r="I1156" s="75" t="s">
        <v>4144</v>
      </c>
      <c r="J1156" s="76">
        <v>880.538953</v>
      </c>
      <c r="L1156" s="77"/>
      <c r="M1156" s="77"/>
    </row>
    <row r="1157" s="69" customFormat="1" spans="2:13">
      <c r="B1157" s="84"/>
      <c r="C1157" s="85"/>
      <c r="D1157" s="86" t="str">
        <f t="shared" si="42"/>
        <v/>
      </c>
      <c r="E1157" s="93" t="str">
        <f t="shared" si="43"/>
        <v/>
      </c>
      <c r="F1157" s="94"/>
      <c r="G1157" s="95"/>
      <c r="H1157" s="74"/>
      <c r="I1157" s="75" t="s">
        <v>4145</v>
      </c>
      <c r="J1157" s="76">
        <v>754.799388</v>
      </c>
      <c r="L1157" s="77"/>
      <c r="M1157" s="77"/>
    </row>
    <row r="1158" s="69" customFormat="1" spans="2:13">
      <c r="B1158" s="84"/>
      <c r="C1158" s="85"/>
      <c r="D1158" s="86" t="str">
        <f t="shared" si="42"/>
        <v/>
      </c>
      <c r="E1158" s="93" t="str">
        <f t="shared" si="43"/>
        <v/>
      </c>
      <c r="F1158" s="94"/>
      <c r="G1158" s="95"/>
      <c r="H1158" s="74"/>
      <c r="I1158" s="75" t="s">
        <v>4146</v>
      </c>
      <c r="J1158" s="76">
        <v>777.547071</v>
      </c>
      <c r="L1158" s="77"/>
      <c r="M1158" s="77"/>
    </row>
    <row r="1159" s="69" customFormat="1" spans="2:13">
      <c r="B1159" s="84"/>
      <c r="C1159" s="85"/>
      <c r="D1159" s="86" t="str">
        <f t="shared" si="42"/>
        <v/>
      </c>
      <c r="E1159" s="93" t="str">
        <f t="shared" si="43"/>
        <v/>
      </c>
      <c r="F1159" s="94"/>
      <c r="G1159" s="95"/>
      <c r="H1159" s="74"/>
      <c r="I1159" s="75" t="s">
        <v>428</v>
      </c>
      <c r="J1159" s="76">
        <v>397.679555</v>
      </c>
      <c r="L1159" s="77"/>
      <c r="M1159" s="77"/>
    </row>
    <row r="1160" s="69" customFormat="1" spans="2:13">
      <c r="B1160" s="84"/>
      <c r="C1160" s="85"/>
      <c r="D1160" s="86" t="str">
        <f t="shared" si="42"/>
        <v/>
      </c>
      <c r="E1160" s="93" t="str">
        <f t="shared" si="43"/>
        <v/>
      </c>
      <c r="F1160" s="94"/>
      <c r="G1160" s="95"/>
      <c r="H1160" s="74"/>
      <c r="I1160" s="75" t="s">
        <v>4147</v>
      </c>
      <c r="J1160" s="76">
        <v>819.15792</v>
      </c>
      <c r="L1160" s="77"/>
      <c r="M1160" s="77"/>
    </row>
    <row r="1161" s="69" customFormat="1" spans="2:13">
      <c r="B1161" s="84"/>
      <c r="C1161" s="85"/>
      <c r="D1161" s="86" t="str">
        <f t="shared" si="42"/>
        <v/>
      </c>
      <c r="E1161" s="93" t="str">
        <f t="shared" si="43"/>
        <v/>
      </c>
      <c r="F1161" s="94"/>
      <c r="G1161" s="95"/>
      <c r="H1161" s="74"/>
      <c r="I1161" s="75" t="s">
        <v>4148</v>
      </c>
      <c r="J1161" s="76">
        <v>807.556967</v>
      </c>
      <c r="L1161" s="77"/>
      <c r="M1161" s="77"/>
    </row>
    <row r="1162" s="69" customFormat="1" spans="2:13">
      <c r="B1162" s="84"/>
      <c r="C1162" s="85"/>
      <c r="D1162" s="86" t="str">
        <f t="shared" si="42"/>
        <v/>
      </c>
      <c r="E1162" s="93" t="str">
        <f t="shared" si="43"/>
        <v/>
      </c>
      <c r="F1162" s="94"/>
      <c r="G1162" s="95"/>
      <c r="H1162" s="74"/>
      <c r="I1162" s="75" t="s">
        <v>4149</v>
      </c>
      <c r="J1162" s="76">
        <v>911.217272</v>
      </c>
      <c r="L1162" s="77"/>
      <c r="M1162" s="77"/>
    </row>
    <row r="1163" s="69" customFormat="1" spans="2:13">
      <c r="B1163" s="84"/>
      <c r="C1163" s="85"/>
      <c r="D1163" s="86" t="str">
        <f t="shared" si="42"/>
        <v/>
      </c>
      <c r="E1163" s="93" t="str">
        <f t="shared" si="43"/>
        <v/>
      </c>
      <c r="F1163" s="94"/>
      <c r="G1163" s="95"/>
      <c r="H1163" s="74"/>
      <c r="I1163" s="75" t="s">
        <v>4150</v>
      </c>
      <c r="J1163" s="76">
        <v>876.946105</v>
      </c>
      <c r="L1163" s="77"/>
      <c r="M1163" s="77"/>
    </row>
    <row r="1164" s="69" customFormat="1" spans="2:13">
      <c r="B1164" s="84"/>
      <c r="C1164" s="85"/>
      <c r="D1164" s="86" t="str">
        <f t="shared" si="42"/>
        <v/>
      </c>
      <c r="E1164" s="93" t="str">
        <f t="shared" si="43"/>
        <v/>
      </c>
      <c r="F1164" s="94"/>
      <c r="G1164" s="95"/>
      <c r="H1164" s="74"/>
      <c r="I1164" s="75" t="s">
        <v>4151</v>
      </c>
      <c r="J1164" s="76">
        <v>766.485783</v>
      </c>
      <c r="L1164" s="77"/>
      <c r="M1164" s="77"/>
    </row>
    <row r="1165" s="69" customFormat="1" spans="2:13">
      <c r="B1165" s="84"/>
      <c r="C1165" s="85"/>
      <c r="D1165" s="86" t="str">
        <f t="shared" si="42"/>
        <v/>
      </c>
      <c r="E1165" s="93" t="str">
        <f t="shared" si="43"/>
        <v/>
      </c>
      <c r="F1165" s="94"/>
      <c r="G1165" s="95"/>
      <c r="H1165" s="74"/>
      <c r="I1165" s="75" t="s">
        <v>4152</v>
      </c>
      <c r="J1165" s="76">
        <v>852.818617</v>
      </c>
      <c r="L1165" s="77"/>
      <c r="M1165" s="77"/>
    </row>
    <row r="1166" s="69" customFormat="1" spans="2:13">
      <c r="B1166" s="84"/>
      <c r="C1166" s="85"/>
      <c r="D1166" s="86" t="str">
        <f t="shared" si="42"/>
        <v/>
      </c>
      <c r="E1166" s="93" t="str">
        <f t="shared" si="43"/>
        <v/>
      </c>
      <c r="F1166" s="94"/>
      <c r="G1166" s="95"/>
      <c r="H1166" s="74"/>
      <c r="I1166" s="75" t="s">
        <v>4153</v>
      </c>
      <c r="J1166" s="76">
        <v>822.770403</v>
      </c>
      <c r="L1166" s="77"/>
      <c r="M1166" s="77"/>
    </row>
    <row r="1167" s="69" customFormat="1" spans="2:13">
      <c r="B1167" s="84"/>
      <c r="C1167" s="85"/>
      <c r="D1167" s="86" t="str">
        <f t="shared" si="42"/>
        <v/>
      </c>
      <c r="E1167" s="93" t="str">
        <f t="shared" si="43"/>
        <v/>
      </c>
      <c r="F1167" s="94"/>
      <c r="G1167" s="95"/>
      <c r="H1167" s="74"/>
      <c r="I1167" s="75" t="s">
        <v>4154</v>
      </c>
      <c r="J1167" s="76">
        <v>681.404115</v>
      </c>
      <c r="L1167" s="77"/>
      <c r="M1167" s="77"/>
    </row>
    <row r="1168" s="69" customFormat="1" spans="2:13">
      <c r="B1168" s="84"/>
      <c r="C1168" s="85"/>
      <c r="D1168" s="86" t="str">
        <f t="shared" si="42"/>
        <v/>
      </c>
      <c r="E1168" s="93" t="str">
        <f t="shared" si="43"/>
        <v/>
      </c>
      <c r="F1168" s="94"/>
      <c r="G1168" s="95"/>
      <c r="H1168" s="74"/>
      <c r="I1168" s="75" t="s">
        <v>4155</v>
      </c>
      <c r="J1168" s="76">
        <v>1291.115609</v>
      </c>
      <c r="L1168" s="77"/>
      <c r="M1168" s="77"/>
    </row>
    <row r="1169" s="69" customFormat="1" spans="2:13">
      <c r="B1169" s="84"/>
      <c r="C1169" s="85"/>
      <c r="D1169" s="86" t="str">
        <f t="shared" si="42"/>
        <v/>
      </c>
      <c r="E1169" s="93" t="str">
        <f t="shared" si="43"/>
        <v/>
      </c>
      <c r="F1169" s="94"/>
      <c r="G1169" s="95"/>
      <c r="H1169" s="74"/>
      <c r="I1169" s="75" t="s">
        <v>4156</v>
      </c>
      <c r="J1169" s="76">
        <v>738.561005</v>
      </c>
      <c r="L1169" s="77"/>
      <c r="M1169" s="77"/>
    </row>
    <row r="1170" s="69" customFormat="1" spans="2:13">
      <c r="B1170" s="84"/>
      <c r="C1170" s="85"/>
      <c r="D1170" s="86" t="str">
        <f t="shared" si="42"/>
        <v/>
      </c>
      <c r="E1170" s="93" t="str">
        <f t="shared" si="43"/>
        <v/>
      </c>
      <c r="F1170" s="94"/>
      <c r="G1170" s="95"/>
      <c r="H1170" s="74"/>
      <c r="I1170" s="75" t="s">
        <v>4157</v>
      </c>
      <c r="J1170" s="76">
        <v>780.786132</v>
      </c>
      <c r="L1170" s="77"/>
      <c r="M1170" s="77"/>
    </row>
    <row r="1171" s="69" customFormat="1" spans="2:13">
      <c r="B1171" s="84"/>
      <c r="C1171" s="85"/>
      <c r="D1171" s="86" t="str">
        <f t="shared" si="42"/>
        <v/>
      </c>
      <c r="E1171" s="93" t="str">
        <f t="shared" si="43"/>
        <v/>
      </c>
      <c r="F1171" s="94"/>
      <c r="G1171" s="95"/>
      <c r="H1171" s="74"/>
      <c r="I1171" s="75" t="s">
        <v>4158</v>
      </c>
      <c r="J1171" s="76">
        <v>1168.537517</v>
      </c>
      <c r="L1171" s="77"/>
      <c r="M1171" s="77"/>
    </row>
    <row r="1172" s="69" customFormat="1" spans="2:13">
      <c r="B1172" s="84"/>
      <c r="C1172" s="85"/>
      <c r="D1172" s="86" t="str">
        <f t="shared" si="42"/>
        <v/>
      </c>
      <c r="E1172" s="93" t="str">
        <f t="shared" si="43"/>
        <v/>
      </c>
      <c r="F1172" s="94"/>
      <c r="G1172" s="95"/>
      <c r="H1172" s="74"/>
      <c r="I1172" s="75" t="s">
        <v>4159</v>
      </c>
      <c r="J1172" s="76">
        <v>1233.158563</v>
      </c>
      <c r="L1172" s="77"/>
      <c r="M1172" s="77"/>
    </row>
    <row r="1173" s="69" customFormat="1" spans="2:13">
      <c r="B1173" s="84"/>
      <c r="C1173" s="85"/>
      <c r="D1173" s="86" t="str">
        <f t="shared" si="42"/>
        <v/>
      </c>
      <c r="E1173" s="93" t="str">
        <f t="shared" si="43"/>
        <v/>
      </c>
      <c r="F1173" s="94"/>
      <c r="G1173" s="95"/>
      <c r="H1173" s="74"/>
      <c r="I1173" s="75" t="s">
        <v>4160</v>
      </c>
      <c r="J1173" s="76">
        <v>1032.411513</v>
      </c>
      <c r="L1173" s="77"/>
      <c r="M1173" s="77"/>
    </row>
    <row r="1174" s="69" customFormat="1" spans="2:13">
      <c r="B1174" s="84"/>
      <c r="C1174" s="85"/>
      <c r="D1174" s="86" t="str">
        <f t="shared" si="42"/>
        <v/>
      </c>
      <c r="E1174" s="93" t="str">
        <f t="shared" si="43"/>
        <v/>
      </c>
      <c r="F1174" s="94"/>
      <c r="G1174" s="95"/>
      <c r="H1174" s="74"/>
      <c r="I1174" s="75" t="s">
        <v>4161</v>
      </c>
      <c r="J1174" s="76">
        <v>946.603231</v>
      </c>
      <c r="L1174" s="77"/>
      <c r="M1174" s="77"/>
    </row>
    <row r="1175" s="69" customFormat="1" spans="2:13">
      <c r="B1175" s="84"/>
      <c r="C1175" s="85"/>
      <c r="D1175" s="86" t="str">
        <f t="shared" si="42"/>
        <v/>
      </c>
      <c r="E1175" s="93" t="str">
        <f t="shared" si="43"/>
        <v/>
      </c>
      <c r="F1175" s="94"/>
      <c r="G1175" s="95"/>
      <c r="H1175" s="74"/>
      <c r="I1175" s="75" t="s">
        <v>4162</v>
      </c>
      <c r="J1175" s="76">
        <v>923.066816</v>
      </c>
      <c r="L1175" s="77"/>
      <c r="M1175" s="77"/>
    </row>
    <row r="1176" s="69" customFormat="1" spans="2:13">
      <c r="B1176" s="84"/>
      <c r="C1176" s="85"/>
      <c r="D1176" s="86" t="str">
        <f t="shared" si="42"/>
        <v/>
      </c>
      <c r="E1176" s="93" t="str">
        <f t="shared" si="43"/>
        <v/>
      </c>
      <c r="F1176" s="94"/>
      <c r="G1176" s="95"/>
      <c r="H1176" s="74"/>
      <c r="I1176" s="75" t="s">
        <v>4163</v>
      </c>
      <c r="J1176" s="76">
        <v>889.86058</v>
      </c>
      <c r="L1176" s="77"/>
      <c r="M1176" s="77"/>
    </row>
    <row r="1177" s="69" customFormat="1" spans="2:13">
      <c r="B1177" s="84"/>
      <c r="C1177" s="85"/>
      <c r="D1177" s="86" t="str">
        <f t="shared" si="42"/>
        <v/>
      </c>
      <c r="E1177" s="93" t="str">
        <f t="shared" si="43"/>
        <v/>
      </c>
      <c r="F1177" s="94"/>
      <c r="G1177" s="95"/>
      <c r="H1177" s="74"/>
      <c r="I1177" s="75" t="s">
        <v>4164</v>
      </c>
      <c r="J1177" s="76">
        <v>618.751329</v>
      </c>
      <c r="L1177" s="77"/>
      <c r="M1177" s="77"/>
    </row>
    <row r="1178" s="69" customFormat="1" spans="2:13">
      <c r="B1178" s="84"/>
      <c r="C1178" s="85"/>
      <c r="D1178" s="86" t="str">
        <f t="shared" si="42"/>
        <v/>
      </c>
      <c r="E1178" s="93" t="str">
        <f t="shared" si="43"/>
        <v/>
      </c>
      <c r="F1178" s="94"/>
      <c r="G1178" s="95"/>
      <c r="H1178" s="74"/>
      <c r="I1178" s="75" t="s">
        <v>524</v>
      </c>
      <c r="J1178" s="76">
        <v>948.852331</v>
      </c>
      <c r="L1178" s="77"/>
      <c r="M1178" s="77"/>
    </row>
    <row r="1179" s="69" customFormat="1" spans="2:13">
      <c r="B1179" s="84"/>
      <c r="C1179" s="85"/>
      <c r="D1179" s="86" t="str">
        <f t="shared" si="42"/>
        <v/>
      </c>
      <c r="E1179" s="93" t="str">
        <f t="shared" si="43"/>
        <v/>
      </c>
      <c r="F1179" s="94"/>
      <c r="G1179" s="95"/>
      <c r="H1179" s="74"/>
      <c r="I1179" s="75" t="s">
        <v>4165</v>
      </c>
      <c r="J1179" s="76">
        <v>796.60385</v>
      </c>
      <c r="L1179" s="77"/>
      <c r="M1179" s="77"/>
    </row>
    <row r="1180" s="69" customFormat="1" spans="2:13">
      <c r="B1180" s="84"/>
      <c r="C1180" s="85"/>
      <c r="D1180" s="86" t="str">
        <f t="shared" si="42"/>
        <v/>
      </c>
      <c r="E1180" s="93" t="str">
        <f t="shared" si="43"/>
        <v/>
      </c>
      <c r="F1180" s="94"/>
      <c r="G1180" s="95"/>
      <c r="H1180" s="74"/>
      <c r="I1180" s="75" t="s">
        <v>4166</v>
      </c>
      <c r="J1180" s="76">
        <v>864.940076</v>
      </c>
      <c r="L1180" s="77"/>
      <c r="M1180" s="77"/>
    </row>
    <row r="1181" s="69" customFormat="1" spans="2:13">
      <c r="B1181" s="84"/>
      <c r="C1181" s="85"/>
      <c r="D1181" s="86" t="str">
        <f t="shared" si="42"/>
        <v/>
      </c>
      <c r="E1181" s="93" t="str">
        <f t="shared" si="43"/>
        <v/>
      </c>
      <c r="F1181" s="94"/>
      <c r="G1181" s="95"/>
      <c r="H1181" s="74"/>
      <c r="I1181" s="75" t="s">
        <v>4167</v>
      </c>
      <c r="J1181" s="76">
        <v>787.997532</v>
      </c>
      <c r="L1181" s="77"/>
      <c r="M1181" s="77"/>
    </row>
    <row r="1182" s="69" customFormat="1" spans="2:13">
      <c r="B1182" s="84"/>
      <c r="C1182" s="85"/>
      <c r="D1182" s="86" t="str">
        <f t="shared" si="42"/>
        <v/>
      </c>
      <c r="E1182" s="93" t="str">
        <f t="shared" si="43"/>
        <v/>
      </c>
      <c r="F1182" s="94"/>
      <c r="G1182" s="95"/>
      <c r="H1182" s="74"/>
      <c r="I1182" s="75" t="s">
        <v>4168</v>
      </c>
      <c r="J1182" s="76">
        <v>73.650528</v>
      </c>
      <c r="L1182" s="77"/>
      <c r="M1182" s="77"/>
    </row>
    <row r="1183" s="69" customFormat="1" spans="2:13">
      <c r="B1183" s="84"/>
      <c r="C1183" s="85"/>
      <c r="D1183" s="86" t="str">
        <f t="shared" si="42"/>
        <v/>
      </c>
      <c r="E1183" s="93" t="str">
        <f t="shared" si="43"/>
        <v/>
      </c>
      <c r="F1183" s="94"/>
      <c r="G1183" s="95"/>
      <c r="H1183" s="74"/>
      <c r="I1183" s="75" t="s">
        <v>4169</v>
      </c>
      <c r="J1183" s="76">
        <v>772.556806</v>
      </c>
      <c r="L1183" s="77"/>
      <c r="M1183" s="77"/>
    </row>
    <row r="1184" s="69" customFormat="1" spans="2:13">
      <c r="B1184" s="84"/>
      <c r="C1184" s="85"/>
      <c r="D1184" s="86" t="str">
        <f t="shared" si="42"/>
        <v/>
      </c>
      <c r="E1184" s="93" t="str">
        <f t="shared" si="43"/>
        <v/>
      </c>
      <c r="F1184" s="94"/>
      <c r="G1184" s="95"/>
      <c r="H1184" s="74"/>
      <c r="I1184" s="75" t="s">
        <v>4170</v>
      </c>
      <c r="J1184" s="76">
        <v>1087.72307</v>
      </c>
      <c r="L1184" s="77"/>
      <c r="M1184" s="77"/>
    </row>
    <row r="1185" s="69" customFormat="1" spans="2:13">
      <c r="B1185" s="84"/>
      <c r="C1185" s="85"/>
      <c r="D1185" s="86" t="str">
        <f t="shared" si="42"/>
        <v/>
      </c>
      <c r="E1185" s="93" t="str">
        <f t="shared" si="43"/>
        <v/>
      </c>
      <c r="F1185" s="94"/>
      <c r="G1185" s="95"/>
      <c r="H1185" s="74"/>
      <c r="I1185" s="75" t="s">
        <v>4171</v>
      </c>
      <c r="J1185" s="76">
        <v>1163.419327</v>
      </c>
      <c r="L1185" s="77"/>
      <c r="M1185" s="77"/>
    </row>
    <row r="1186" s="69" customFormat="1" spans="2:13">
      <c r="B1186" s="84"/>
      <c r="C1186" s="85"/>
      <c r="D1186" s="86" t="str">
        <f t="shared" si="42"/>
        <v/>
      </c>
      <c r="E1186" s="93" t="str">
        <f t="shared" si="43"/>
        <v/>
      </c>
      <c r="F1186" s="94"/>
      <c r="G1186" s="95"/>
      <c r="H1186" s="74"/>
      <c r="I1186" s="75" t="s">
        <v>4172</v>
      </c>
      <c r="J1186" s="76">
        <v>1019.905208</v>
      </c>
      <c r="L1186" s="77"/>
      <c r="M1186" s="77"/>
    </row>
    <row r="1187" s="69" customFormat="1" spans="2:13">
      <c r="B1187" s="84"/>
      <c r="C1187" s="85"/>
      <c r="D1187" s="86" t="str">
        <f t="shared" si="42"/>
        <v/>
      </c>
      <c r="E1187" s="93" t="str">
        <f t="shared" si="43"/>
        <v/>
      </c>
      <c r="F1187" s="94"/>
      <c r="G1187" s="95"/>
      <c r="H1187" s="74"/>
      <c r="I1187" s="75" t="s">
        <v>4173</v>
      </c>
      <c r="J1187" s="76">
        <v>811.730297</v>
      </c>
      <c r="L1187" s="77"/>
      <c r="M1187" s="77"/>
    </row>
    <row r="1188" s="69" customFormat="1" spans="2:13">
      <c r="B1188" s="84"/>
      <c r="C1188" s="85"/>
      <c r="D1188" s="86" t="str">
        <f t="shared" si="42"/>
        <v/>
      </c>
      <c r="E1188" s="93" t="str">
        <f t="shared" si="43"/>
        <v/>
      </c>
      <c r="F1188" s="94"/>
      <c r="G1188" s="95"/>
      <c r="H1188" s="74"/>
      <c r="I1188" s="75" t="s">
        <v>4174</v>
      </c>
      <c r="J1188" s="76">
        <v>797.569654</v>
      </c>
      <c r="L1188" s="77"/>
      <c r="M1188" s="77"/>
    </row>
    <row r="1189" s="69" customFormat="1" spans="2:13">
      <c r="B1189" s="84"/>
      <c r="C1189" s="85"/>
      <c r="D1189" s="86" t="str">
        <f t="shared" si="42"/>
        <v/>
      </c>
      <c r="E1189" s="93" t="str">
        <f t="shared" si="43"/>
        <v/>
      </c>
      <c r="F1189" s="94"/>
      <c r="G1189" s="95"/>
      <c r="H1189" s="74"/>
      <c r="I1189" s="75" t="s">
        <v>4175</v>
      </c>
      <c r="J1189" s="76">
        <v>772.556806</v>
      </c>
      <c r="L1189" s="77"/>
      <c r="M1189" s="77"/>
    </row>
    <row r="1190" s="69" customFormat="1" spans="2:13">
      <c r="B1190" s="84"/>
      <c r="C1190" s="85"/>
      <c r="D1190" s="86" t="str">
        <f t="shared" si="42"/>
        <v/>
      </c>
      <c r="E1190" s="93" t="str">
        <f t="shared" si="43"/>
        <v/>
      </c>
      <c r="F1190" s="94"/>
      <c r="G1190" s="95"/>
      <c r="H1190" s="74"/>
      <c r="I1190" s="75" t="s">
        <v>4176</v>
      </c>
      <c r="J1190" s="76">
        <v>772.556806</v>
      </c>
      <c r="L1190" s="77"/>
      <c r="M1190" s="77"/>
    </row>
    <row r="1191" s="69" customFormat="1" spans="2:13">
      <c r="B1191" s="84"/>
      <c r="C1191" s="85"/>
      <c r="D1191" s="86" t="str">
        <f t="shared" si="42"/>
        <v/>
      </c>
      <c r="E1191" s="93" t="str">
        <f t="shared" si="43"/>
        <v/>
      </c>
      <c r="F1191" s="94"/>
      <c r="G1191" s="95"/>
      <c r="H1191" s="74"/>
      <c r="I1191" s="75" t="s">
        <v>4177</v>
      </c>
      <c r="J1191" s="76">
        <v>759.611272</v>
      </c>
      <c r="L1191" s="77"/>
      <c r="M1191" s="77"/>
    </row>
    <row r="1192" s="69" customFormat="1" spans="2:13">
      <c r="B1192" s="84"/>
      <c r="C1192" s="85"/>
      <c r="D1192" s="86" t="str">
        <f t="shared" si="42"/>
        <v/>
      </c>
      <c r="E1192" s="93" t="str">
        <f t="shared" si="43"/>
        <v/>
      </c>
      <c r="F1192" s="94"/>
      <c r="G1192" s="95"/>
      <c r="H1192" s="74"/>
      <c r="I1192" s="75" t="s">
        <v>4178</v>
      </c>
      <c r="J1192" s="76">
        <v>746.369428</v>
      </c>
      <c r="L1192" s="77"/>
      <c r="M1192" s="77"/>
    </row>
    <row r="1193" s="69" customFormat="1" spans="2:13">
      <c r="B1193" s="84"/>
      <c r="C1193" s="85"/>
      <c r="D1193" s="86" t="str">
        <f t="shared" si="42"/>
        <v/>
      </c>
      <c r="E1193" s="93" t="str">
        <f t="shared" si="43"/>
        <v/>
      </c>
      <c r="F1193" s="94"/>
      <c r="G1193" s="95"/>
      <c r="H1193" s="74"/>
      <c r="I1193" s="75" t="s">
        <v>4179</v>
      </c>
      <c r="J1193" s="76">
        <v>679.73752</v>
      </c>
      <c r="L1193" s="77"/>
      <c r="M1193" s="77"/>
    </row>
    <row r="1194" s="69" customFormat="1" spans="2:13">
      <c r="B1194" s="84"/>
      <c r="C1194" s="85"/>
      <c r="D1194" s="86" t="str">
        <f t="shared" si="42"/>
        <v/>
      </c>
      <c r="E1194" s="93" t="str">
        <f t="shared" si="43"/>
        <v/>
      </c>
      <c r="F1194" s="94"/>
      <c r="G1194" s="95"/>
      <c r="H1194" s="74"/>
      <c r="I1194" s="75" t="s">
        <v>4180</v>
      </c>
      <c r="J1194" s="76">
        <v>535.439667</v>
      </c>
      <c r="L1194" s="77"/>
      <c r="M1194" s="77"/>
    </row>
    <row r="1195" s="69" customFormat="1" spans="2:13">
      <c r="B1195" s="84"/>
      <c r="C1195" s="85"/>
      <c r="D1195" s="86" t="str">
        <f t="shared" si="42"/>
        <v/>
      </c>
      <c r="E1195" s="93" t="str">
        <f t="shared" si="43"/>
        <v/>
      </c>
      <c r="F1195" s="94"/>
      <c r="G1195" s="95"/>
      <c r="H1195" s="74"/>
      <c r="I1195" s="75" t="s">
        <v>4181</v>
      </c>
      <c r="J1195" s="76">
        <v>452.913048</v>
      </c>
      <c r="L1195" s="77"/>
      <c r="M1195" s="77"/>
    </row>
    <row r="1196" s="69" customFormat="1" spans="2:13">
      <c r="B1196" s="84"/>
      <c r="C1196" s="85"/>
      <c r="D1196" s="86" t="str">
        <f t="shared" si="42"/>
        <v/>
      </c>
      <c r="E1196" s="93" t="str">
        <f t="shared" si="43"/>
        <v/>
      </c>
      <c r="F1196" s="94"/>
      <c r="G1196" s="95"/>
      <c r="H1196" s="74"/>
      <c r="I1196" s="75" t="s">
        <v>438</v>
      </c>
      <c r="J1196" s="76">
        <v>447.194027</v>
      </c>
      <c r="L1196" s="77"/>
      <c r="M1196" s="77"/>
    </row>
    <row r="1197" s="69" customFormat="1" spans="2:13">
      <c r="B1197" s="84"/>
      <c r="C1197" s="85"/>
      <c r="D1197" s="86" t="str">
        <f t="shared" si="42"/>
        <v/>
      </c>
      <c r="E1197" s="93" t="str">
        <f t="shared" si="43"/>
        <v/>
      </c>
      <c r="F1197" s="94"/>
      <c r="G1197" s="95"/>
      <c r="H1197" s="74"/>
      <c r="I1197" s="75" t="s">
        <v>439</v>
      </c>
      <c r="J1197" s="76">
        <v>468.94092</v>
      </c>
      <c r="L1197" s="77"/>
      <c r="M1197" s="77"/>
    </row>
    <row r="1198" s="69" customFormat="1" spans="2:13">
      <c r="B1198" s="84"/>
      <c r="C1198" s="85"/>
      <c r="D1198" s="86" t="str">
        <f t="shared" si="42"/>
        <v/>
      </c>
      <c r="E1198" s="93" t="str">
        <f t="shared" si="43"/>
        <v/>
      </c>
      <c r="F1198" s="94"/>
      <c r="G1198" s="95"/>
      <c r="H1198" s="74"/>
      <c r="I1198" s="75" t="s">
        <v>4182</v>
      </c>
      <c r="J1198" s="76">
        <v>796.464382</v>
      </c>
      <c r="L1198" s="77"/>
      <c r="M1198" s="77"/>
    </row>
    <row r="1199" s="69" customFormat="1" spans="2:13">
      <c r="B1199" s="84"/>
      <c r="C1199" s="85"/>
      <c r="D1199" s="86" t="str">
        <f t="shared" si="42"/>
        <v/>
      </c>
      <c r="E1199" s="93" t="str">
        <f t="shared" si="43"/>
        <v/>
      </c>
      <c r="F1199" s="94"/>
      <c r="G1199" s="95"/>
      <c r="H1199" s="74"/>
      <c r="I1199" s="75" t="s">
        <v>4183</v>
      </c>
      <c r="J1199" s="76">
        <v>829.525557</v>
      </c>
      <c r="L1199" s="77"/>
      <c r="M1199" s="77"/>
    </row>
    <row r="1200" s="69" customFormat="1" spans="2:13">
      <c r="B1200" s="84"/>
      <c r="C1200" s="85"/>
      <c r="D1200" s="86" t="str">
        <f t="shared" si="42"/>
        <v/>
      </c>
      <c r="E1200" s="93" t="str">
        <f t="shared" si="43"/>
        <v/>
      </c>
      <c r="F1200" s="94"/>
      <c r="G1200" s="95"/>
      <c r="H1200" s="74"/>
      <c r="I1200" s="75" t="s">
        <v>4184</v>
      </c>
      <c r="J1200" s="76">
        <v>702.967153</v>
      </c>
      <c r="L1200" s="77"/>
      <c r="M1200" s="77"/>
    </row>
    <row r="1201" s="69" customFormat="1" spans="2:13">
      <c r="B1201" s="84"/>
      <c r="C1201" s="85"/>
      <c r="D1201" s="86" t="str">
        <f t="shared" si="42"/>
        <v/>
      </c>
      <c r="E1201" s="93" t="str">
        <f t="shared" si="43"/>
        <v/>
      </c>
      <c r="F1201" s="94"/>
      <c r="G1201" s="95"/>
      <c r="H1201" s="74"/>
      <c r="I1201" s="75" t="s">
        <v>126</v>
      </c>
      <c r="J1201" s="76">
        <v>613.420843</v>
      </c>
      <c r="L1201" s="77"/>
      <c r="M1201" s="77"/>
    </row>
    <row r="1202" s="69" customFormat="1" spans="2:13">
      <c r="B1202" s="84"/>
      <c r="C1202" s="85"/>
      <c r="D1202" s="86" t="str">
        <f t="shared" si="42"/>
        <v/>
      </c>
      <c r="E1202" s="93" t="str">
        <f t="shared" si="43"/>
        <v/>
      </c>
      <c r="F1202" s="94"/>
      <c r="G1202" s="95"/>
      <c r="H1202" s="74"/>
      <c r="I1202" s="75" t="s">
        <v>4185</v>
      </c>
      <c r="J1202" s="76">
        <v>1196.867966</v>
      </c>
      <c r="L1202" s="77"/>
      <c r="M1202" s="77"/>
    </row>
    <row r="1203" s="69" customFormat="1" spans="2:13">
      <c r="B1203" s="84"/>
      <c r="C1203" s="85"/>
      <c r="D1203" s="86" t="str">
        <f t="shared" si="42"/>
        <v/>
      </c>
      <c r="E1203" s="93" t="str">
        <f t="shared" si="43"/>
        <v/>
      </c>
      <c r="F1203" s="94"/>
      <c r="G1203" s="95"/>
      <c r="H1203" s="74"/>
      <c r="I1203" s="75" t="s">
        <v>4186</v>
      </c>
      <c r="J1203" s="76">
        <v>733.803623</v>
      </c>
      <c r="L1203" s="77"/>
      <c r="M1203" s="77"/>
    </row>
    <row r="1204" s="69" customFormat="1" spans="2:13">
      <c r="B1204" s="84"/>
      <c r="C1204" s="85"/>
      <c r="D1204" s="86" t="str">
        <f t="shared" si="42"/>
        <v/>
      </c>
      <c r="E1204" s="93" t="str">
        <f t="shared" si="43"/>
        <v/>
      </c>
      <c r="F1204" s="94"/>
      <c r="G1204" s="95"/>
      <c r="H1204" s="74"/>
      <c r="I1204" s="75" t="s">
        <v>4187</v>
      </c>
      <c r="J1204" s="76">
        <v>733.803623</v>
      </c>
      <c r="L1204" s="77"/>
      <c r="M1204" s="77"/>
    </row>
    <row r="1205" s="69" customFormat="1" spans="2:13">
      <c r="B1205" s="84"/>
      <c r="C1205" s="85"/>
      <c r="D1205" s="86" t="str">
        <f t="shared" si="42"/>
        <v/>
      </c>
      <c r="E1205" s="93" t="str">
        <f t="shared" si="43"/>
        <v/>
      </c>
      <c r="F1205" s="94"/>
      <c r="G1205" s="95"/>
      <c r="H1205" s="74"/>
      <c r="I1205" s="75" t="s">
        <v>4188</v>
      </c>
      <c r="J1205" s="76">
        <v>1229.981739</v>
      </c>
      <c r="L1205" s="77"/>
      <c r="M1205" s="77"/>
    </row>
    <row r="1206" s="69" customFormat="1" spans="2:13">
      <c r="B1206" s="84"/>
      <c r="C1206" s="85"/>
      <c r="D1206" s="86" t="str">
        <f t="shared" si="42"/>
        <v/>
      </c>
      <c r="E1206" s="93" t="str">
        <f t="shared" si="43"/>
        <v/>
      </c>
      <c r="F1206" s="94"/>
      <c r="G1206" s="95"/>
      <c r="H1206" s="74"/>
      <c r="I1206" s="75" t="s">
        <v>4189</v>
      </c>
      <c r="J1206" s="76">
        <v>1229.981739</v>
      </c>
      <c r="L1206" s="77"/>
      <c r="M1206" s="77"/>
    </row>
    <row r="1207" s="69" customFormat="1" spans="2:13">
      <c r="B1207" s="84"/>
      <c r="C1207" s="85"/>
      <c r="D1207" s="86" t="str">
        <f t="shared" si="42"/>
        <v/>
      </c>
      <c r="E1207" s="93" t="str">
        <f t="shared" si="43"/>
        <v/>
      </c>
      <c r="F1207" s="94"/>
      <c r="G1207" s="95"/>
      <c r="H1207" s="74"/>
      <c r="I1207" s="75" t="s">
        <v>4190</v>
      </c>
      <c r="J1207" s="76">
        <v>1127.293902</v>
      </c>
      <c r="L1207" s="77"/>
      <c r="M1207" s="77"/>
    </row>
    <row r="1208" s="69" customFormat="1" spans="2:13">
      <c r="B1208" s="84"/>
      <c r="C1208" s="85"/>
      <c r="D1208" s="86" t="str">
        <f t="shared" si="42"/>
        <v/>
      </c>
      <c r="E1208" s="93" t="str">
        <f t="shared" si="43"/>
        <v/>
      </c>
      <c r="F1208" s="94"/>
      <c r="G1208" s="95"/>
      <c r="H1208" s="74"/>
      <c r="I1208" s="75" t="s">
        <v>480</v>
      </c>
      <c r="J1208" s="76">
        <v>687.725395</v>
      </c>
      <c r="L1208" s="77"/>
      <c r="M1208" s="77"/>
    </row>
    <row r="1209" s="69" customFormat="1" spans="2:13">
      <c r="B1209" s="84"/>
      <c r="C1209" s="85"/>
      <c r="D1209" s="86" t="str">
        <f t="shared" si="42"/>
        <v/>
      </c>
      <c r="E1209" s="93" t="str">
        <f t="shared" si="43"/>
        <v/>
      </c>
      <c r="F1209" s="94"/>
      <c r="G1209" s="95"/>
      <c r="H1209" s="74"/>
      <c r="I1209" s="75" t="s">
        <v>475</v>
      </c>
      <c r="J1209" s="76">
        <v>687.725395</v>
      </c>
      <c r="L1209" s="77"/>
      <c r="M1209" s="77"/>
    </row>
    <row r="1210" s="69" customFormat="1" spans="2:13">
      <c r="B1210" s="84"/>
      <c r="C1210" s="85"/>
      <c r="D1210" s="86" t="str">
        <f t="shared" si="42"/>
        <v/>
      </c>
      <c r="E1210" s="93" t="str">
        <f t="shared" si="43"/>
        <v/>
      </c>
      <c r="F1210" s="94"/>
      <c r="G1210" s="95"/>
      <c r="H1210" s="74"/>
      <c r="I1210" s="75" t="s">
        <v>526</v>
      </c>
      <c r="J1210" s="76">
        <v>764.882496</v>
      </c>
      <c r="L1210" s="77"/>
      <c r="M1210" s="77"/>
    </row>
    <row r="1211" s="69" customFormat="1" spans="2:13">
      <c r="B1211" s="84"/>
      <c r="C1211" s="85"/>
      <c r="D1211" s="86" t="str">
        <f t="shared" si="42"/>
        <v/>
      </c>
      <c r="E1211" s="93" t="str">
        <f t="shared" si="43"/>
        <v/>
      </c>
      <c r="F1211" s="94"/>
      <c r="G1211" s="95"/>
      <c r="H1211" s="74"/>
      <c r="I1211" s="75" t="s">
        <v>4191</v>
      </c>
      <c r="J1211" s="76">
        <v>866.195526</v>
      </c>
      <c r="L1211" s="77"/>
      <c r="M1211" s="77"/>
    </row>
    <row r="1212" s="69" customFormat="1" spans="2:13">
      <c r="B1212" s="84"/>
      <c r="C1212" s="85"/>
      <c r="D1212" s="86" t="str">
        <f t="shared" si="42"/>
        <v/>
      </c>
      <c r="E1212" s="93" t="str">
        <f t="shared" si="43"/>
        <v/>
      </c>
      <c r="F1212" s="94"/>
      <c r="G1212" s="95"/>
      <c r="H1212" s="74"/>
      <c r="I1212" s="75" t="s">
        <v>4192</v>
      </c>
      <c r="J1212" s="76">
        <v>804.269949</v>
      </c>
      <c r="L1212" s="77"/>
      <c r="M1212" s="77"/>
    </row>
    <row r="1213" s="69" customFormat="1" ht="18.35" spans="2:13">
      <c r="B1213" s="108"/>
      <c r="C1213" s="109"/>
      <c r="D1213" s="110" t="str">
        <f t="shared" si="42"/>
        <v/>
      </c>
      <c r="E1213" s="111"/>
      <c r="F1213" s="111"/>
      <c r="G1213" s="112"/>
      <c r="H1213" s="74"/>
      <c r="I1213" s="75" t="s">
        <v>418</v>
      </c>
      <c r="J1213" s="76">
        <v>936.642455</v>
      </c>
      <c r="L1213" s="77"/>
      <c r="M1213" s="77"/>
    </row>
    <row r="1214" s="69" customFormat="1" spans="2:13">
      <c r="B1214" s="70"/>
      <c r="C1214" s="71"/>
      <c r="D1214" s="72"/>
      <c r="E1214" s="73"/>
      <c r="F1214" s="71"/>
      <c r="G1214" s="71"/>
      <c r="H1214" s="74"/>
      <c r="I1214" s="75" t="s">
        <v>4193</v>
      </c>
      <c r="J1214" s="76">
        <v>925.943879</v>
      </c>
      <c r="L1214" s="77"/>
      <c r="M1214" s="77"/>
    </row>
    <row r="1215" s="69" customFormat="1" spans="2:13">
      <c r="B1215" s="70"/>
      <c r="C1215" s="71"/>
      <c r="D1215" s="72"/>
      <c r="E1215" s="73"/>
      <c r="F1215" s="71"/>
      <c r="G1215" s="71"/>
      <c r="H1215" s="74"/>
      <c r="I1215" s="75" t="s">
        <v>4194</v>
      </c>
      <c r="J1215" s="76">
        <v>944.244294</v>
      </c>
      <c r="L1215" s="77"/>
      <c r="M1215" s="77"/>
    </row>
    <row r="1216" s="69" customFormat="1" spans="2:13">
      <c r="B1216" s="70"/>
      <c r="C1216" s="71"/>
      <c r="D1216" s="72"/>
      <c r="E1216" s="73"/>
      <c r="F1216" s="71"/>
      <c r="G1216" s="71"/>
      <c r="H1216" s="74"/>
      <c r="I1216" s="75" t="s">
        <v>4195</v>
      </c>
      <c r="J1216" s="76">
        <v>944.244294</v>
      </c>
      <c r="L1216" s="77"/>
      <c r="M1216" s="77"/>
    </row>
    <row r="1217" s="69" customFormat="1" spans="2:13">
      <c r="B1217" s="70"/>
      <c r="C1217" s="71"/>
      <c r="D1217" s="72"/>
      <c r="E1217" s="73"/>
      <c r="F1217" s="71"/>
      <c r="G1217" s="71"/>
      <c r="H1217" s="74"/>
      <c r="I1217" s="75" t="s">
        <v>4196</v>
      </c>
      <c r="J1217" s="76">
        <v>918.387498</v>
      </c>
      <c r="L1217" s="77"/>
      <c r="M1217" s="77"/>
    </row>
    <row r="1218" s="69" customFormat="1" spans="2:13">
      <c r="B1218" s="70"/>
      <c r="C1218" s="71"/>
      <c r="D1218" s="72"/>
      <c r="E1218" s="73"/>
      <c r="F1218" s="71"/>
      <c r="G1218" s="71"/>
      <c r="H1218" s="74"/>
      <c r="I1218" s="75" t="s">
        <v>4197</v>
      </c>
      <c r="J1218" s="76">
        <v>666.117732</v>
      </c>
      <c r="L1218" s="77"/>
      <c r="M1218" s="77"/>
    </row>
    <row r="1219" s="69" customFormat="1" spans="2:13">
      <c r="B1219" s="70"/>
      <c r="C1219" s="71"/>
      <c r="D1219" s="72"/>
      <c r="E1219" s="73"/>
      <c r="F1219" s="71"/>
      <c r="G1219" s="71"/>
      <c r="H1219" s="74"/>
      <c r="I1219" s="75" t="s">
        <v>4198</v>
      </c>
      <c r="J1219" s="76">
        <v>397.679555</v>
      </c>
      <c r="L1219" s="77"/>
      <c r="M1219" s="77"/>
    </row>
    <row r="1220" s="69" customFormat="1" spans="2:13">
      <c r="B1220" s="70"/>
      <c r="C1220" s="71"/>
      <c r="D1220" s="72"/>
      <c r="E1220" s="73"/>
      <c r="F1220" s="71"/>
      <c r="G1220" s="71"/>
      <c r="H1220" s="74"/>
      <c r="I1220" s="75" t="s">
        <v>4199</v>
      </c>
      <c r="J1220" s="76">
        <v>753.45802</v>
      </c>
      <c r="L1220" s="77"/>
      <c r="M1220" s="77"/>
    </row>
    <row r="1221" s="69" customFormat="1" spans="2:13">
      <c r="B1221" s="70"/>
      <c r="C1221" s="71"/>
      <c r="D1221" s="72"/>
      <c r="E1221" s="73"/>
      <c r="F1221" s="71"/>
      <c r="G1221" s="71"/>
      <c r="H1221" s="74"/>
      <c r="I1221" s="75" t="s">
        <v>402</v>
      </c>
      <c r="J1221" s="76">
        <v>888.013819</v>
      </c>
      <c r="L1221" s="77"/>
      <c r="M1221" s="77"/>
    </row>
    <row r="1222" s="69" customFormat="1" spans="2:13">
      <c r="B1222" s="70"/>
      <c r="C1222" s="71"/>
      <c r="D1222" s="72"/>
      <c r="E1222" s="73"/>
      <c r="F1222" s="71"/>
      <c r="G1222" s="71"/>
      <c r="H1222" s="74"/>
      <c r="I1222" s="75" t="s">
        <v>4200</v>
      </c>
      <c r="J1222" s="76">
        <v>592.952962</v>
      </c>
      <c r="L1222" s="77"/>
      <c r="M1222" s="77"/>
    </row>
    <row r="1223" s="69" customFormat="1" spans="2:13">
      <c r="B1223" s="70"/>
      <c r="C1223" s="71"/>
      <c r="D1223" s="72"/>
      <c r="E1223" s="73"/>
      <c r="F1223" s="71"/>
      <c r="G1223" s="71"/>
      <c r="H1223" s="74"/>
      <c r="I1223" s="75" t="s">
        <v>445</v>
      </c>
      <c r="J1223" s="76">
        <v>464.976911</v>
      </c>
      <c r="L1223" s="77"/>
      <c r="M1223" s="77"/>
    </row>
    <row r="1224" s="69" customFormat="1" spans="2:13">
      <c r="B1224" s="70"/>
      <c r="C1224" s="71"/>
      <c r="D1224" s="72"/>
      <c r="E1224" s="73"/>
      <c r="F1224" s="71"/>
      <c r="G1224" s="71"/>
      <c r="H1224" s="74"/>
      <c r="I1224" s="75" t="s">
        <v>4201</v>
      </c>
      <c r="J1224" s="76">
        <v>802.165315</v>
      </c>
      <c r="L1224" s="77"/>
      <c r="M1224" s="77"/>
    </row>
    <row r="1225" s="69" customFormat="1" spans="2:13">
      <c r="B1225" s="70"/>
      <c r="C1225" s="71"/>
      <c r="D1225" s="72"/>
      <c r="E1225" s="73"/>
      <c r="F1225" s="71"/>
      <c r="G1225" s="71"/>
      <c r="H1225" s="74"/>
      <c r="I1225" s="75" t="s">
        <v>4202</v>
      </c>
      <c r="J1225" s="76">
        <v>1312.185511</v>
      </c>
      <c r="L1225" s="77"/>
      <c r="M1225" s="77"/>
    </row>
    <row r="1226" s="69" customFormat="1" spans="2:13">
      <c r="B1226" s="70"/>
      <c r="C1226" s="71"/>
      <c r="D1226" s="72"/>
      <c r="E1226" s="73"/>
      <c r="F1226" s="71"/>
      <c r="G1226" s="71"/>
      <c r="H1226" s="74"/>
      <c r="I1226" s="75" t="s">
        <v>4203</v>
      </c>
      <c r="J1226" s="76">
        <v>528.132829</v>
      </c>
      <c r="L1226" s="77"/>
      <c r="M1226" s="77"/>
    </row>
    <row r="1227" s="69" customFormat="1" spans="2:13">
      <c r="B1227" s="70"/>
      <c r="C1227" s="71"/>
      <c r="D1227" s="72"/>
      <c r="E1227" s="73"/>
      <c r="F1227" s="71"/>
      <c r="G1227" s="71"/>
      <c r="H1227" s="74"/>
      <c r="I1227" s="75" t="s">
        <v>4204</v>
      </c>
      <c r="J1227" s="76">
        <v>796.983103</v>
      </c>
      <c r="L1227" s="77"/>
      <c r="M1227" s="77"/>
    </row>
    <row r="1228" s="69" customFormat="1" spans="2:13">
      <c r="B1228" s="70"/>
      <c r="C1228" s="71"/>
      <c r="D1228" s="72"/>
      <c r="E1228" s="73"/>
      <c r="F1228" s="71"/>
      <c r="G1228" s="71"/>
      <c r="H1228" s="74"/>
      <c r="I1228" s="75" t="s">
        <v>4205</v>
      </c>
      <c r="J1228" s="76">
        <v>796.983103</v>
      </c>
      <c r="L1228" s="77"/>
      <c r="M1228" s="77"/>
    </row>
    <row r="1229" s="69" customFormat="1" spans="2:13">
      <c r="B1229" s="70"/>
      <c r="C1229" s="71"/>
      <c r="D1229" s="72"/>
      <c r="E1229" s="73"/>
      <c r="F1229" s="71"/>
      <c r="G1229" s="71"/>
      <c r="H1229" s="74"/>
      <c r="I1229" s="75" t="s">
        <v>519</v>
      </c>
      <c r="J1229" s="76">
        <v>861.015099</v>
      </c>
      <c r="L1229" s="77"/>
      <c r="M1229" s="77"/>
    </row>
    <row r="1230" spans="9:10">
      <c r="I1230" s="75" t="s">
        <v>401</v>
      </c>
      <c r="J1230" s="76">
        <v>821.217096</v>
      </c>
    </row>
    <row r="1231" spans="9:10">
      <c r="I1231" s="75" t="s">
        <v>390</v>
      </c>
      <c r="J1231" s="76">
        <v>746.399654</v>
      </c>
    </row>
    <row r="1232" spans="9:10">
      <c r="I1232" s="75" t="s">
        <v>391</v>
      </c>
      <c r="J1232" s="76">
        <v>792.181334</v>
      </c>
    </row>
    <row r="1233" spans="9:10">
      <c r="I1233" s="75" t="s">
        <v>566</v>
      </c>
      <c r="J1233" s="76">
        <v>1195.273366</v>
      </c>
    </row>
    <row r="1234" spans="9:10">
      <c r="I1234" s="75" t="s">
        <v>4206</v>
      </c>
      <c r="J1234" s="76">
        <v>1162.098427</v>
      </c>
    </row>
    <row r="1235" spans="9:10">
      <c r="I1235" s="75" t="s">
        <v>4207</v>
      </c>
      <c r="J1235" s="76">
        <v>1214.437602</v>
      </c>
    </row>
    <row r="1236" spans="9:10">
      <c r="I1236" s="75" t="s">
        <v>4208</v>
      </c>
      <c r="J1236" s="76">
        <v>857.902416</v>
      </c>
    </row>
    <row r="1237" spans="9:10">
      <c r="I1237" s="75" t="s">
        <v>4209</v>
      </c>
      <c r="J1237" s="76">
        <v>937.125833</v>
      </c>
    </row>
    <row r="1238" spans="9:10">
      <c r="I1238" s="75" t="s">
        <v>4210</v>
      </c>
      <c r="J1238" s="76">
        <v>146.183051</v>
      </c>
    </row>
    <row r="1239" spans="9:10">
      <c r="I1239" s="75" t="s">
        <v>558</v>
      </c>
      <c r="J1239" s="76">
        <v>985.706988</v>
      </c>
    </row>
    <row r="1240" spans="9:10">
      <c r="I1240" s="75" t="s">
        <v>4211</v>
      </c>
      <c r="J1240" s="76">
        <v>532.963753</v>
      </c>
    </row>
    <row r="1241" spans="9:10">
      <c r="I1241" s="75" t="s">
        <v>4212</v>
      </c>
      <c r="J1241" s="76">
        <v>149.65559</v>
      </c>
    </row>
    <row r="1242" spans="9:10">
      <c r="I1242" s="75" t="s">
        <v>4213</v>
      </c>
      <c r="J1242" s="76">
        <v>142.624475</v>
      </c>
    </row>
    <row r="1243" spans="9:10">
      <c r="I1243" s="75" t="s">
        <v>4214</v>
      </c>
      <c r="J1243" s="76">
        <v>3107.528634</v>
      </c>
    </row>
    <row r="1244" spans="9:10">
      <c r="I1244" s="75" t="s">
        <v>629</v>
      </c>
      <c r="J1244" s="76">
        <v>1169.91</v>
      </c>
    </row>
    <row r="1245" spans="9:10">
      <c r="I1245" s="75" t="s">
        <v>553</v>
      </c>
      <c r="J1245" s="76">
        <v>946.6</v>
      </c>
    </row>
    <row r="1246" spans="9:10">
      <c r="I1246" s="75" t="s">
        <v>4215</v>
      </c>
      <c r="J1246" s="76">
        <v>923.07</v>
      </c>
    </row>
    <row r="1247" spans="9:10">
      <c r="I1247" s="75" t="s">
        <v>661</v>
      </c>
      <c r="J1247" s="76">
        <v>466.8132</v>
      </c>
    </row>
    <row r="1248" spans="9:10">
      <c r="I1248" s="75" t="s">
        <v>4216</v>
      </c>
      <c r="J1248" s="76">
        <v>776.3917</v>
      </c>
    </row>
    <row r="1249" spans="9:10">
      <c r="I1249" s="75" t="s">
        <v>4217</v>
      </c>
      <c r="J1249" s="76">
        <v>945.4788</v>
      </c>
    </row>
    <row r="1250" spans="9:10">
      <c r="I1250" s="75" t="s">
        <v>4218</v>
      </c>
      <c r="J1250" s="76">
        <v>923.0711</v>
      </c>
    </row>
    <row r="1251" spans="9:10">
      <c r="I1251" s="75" t="s">
        <v>4219</v>
      </c>
      <c r="J1251" s="76">
        <v>1285.8188</v>
      </c>
    </row>
    <row r="1252" spans="9:10">
      <c r="I1252" s="75" t="s">
        <v>4220</v>
      </c>
      <c r="J1252" s="76">
        <v>900.7229</v>
      </c>
    </row>
    <row r="1253" spans="9:10">
      <c r="I1253" s="75" t="s">
        <v>4221</v>
      </c>
      <c r="J1253" s="76">
        <v>1058.278067</v>
      </c>
    </row>
    <row r="1254" spans="9:10">
      <c r="I1254" s="75" t="s">
        <v>19</v>
      </c>
      <c r="J1254" s="76">
        <v>1074.9984</v>
      </c>
    </row>
    <row r="1255" spans="9:10">
      <c r="I1255" s="75" t="s">
        <v>4222</v>
      </c>
      <c r="J1255" s="76">
        <v>738.5616</v>
      </c>
    </row>
    <row r="1256" spans="9:10">
      <c r="I1256" s="75" t="s">
        <v>4223</v>
      </c>
      <c r="J1256" s="76">
        <v>178.274852</v>
      </c>
    </row>
    <row r="1257" spans="9:10">
      <c r="I1257" s="75" t="s">
        <v>4224</v>
      </c>
      <c r="J1257" s="76">
        <v>959.753326</v>
      </c>
    </row>
    <row r="1258" spans="9:10">
      <c r="I1258" s="75" t="s">
        <v>4225</v>
      </c>
      <c r="J1258" s="76">
        <v>959.753326</v>
      </c>
    </row>
    <row r="1259" spans="9:10">
      <c r="I1259" s="75" t="s">
        <v>4226</v>
      </c>
      <c r="J1259" s="76">
        <v>1074.99721</v>
      </c>
    </row>
    <row r="1260" spans="9:10">
      <c r="I1260" s="75" t="s">
        <v>604</v>
      </c>
      <c r="J1260" s="76">
        <v>874.859559</v>
      </c>
    </row>
    <row r="1261" spans="9:10">
      <c r="I1261" s="75" t="s">
        <v>4227</v>
      </c>
      <c r="J1261" s="76">
        <v>780.786132</v>
      </c>
    </row>
    <row r="1262" spans="9:10">
      <c r="I1262" s="75" t="s">
        <v>468</v>
      </c>
      <c r="J1262" s="76">
        <v>780.786132</v>
      </c>
    </row>
    <row r="1263" spans="9:10">
      <c r="I1263" s="75" t="s">
        <v>4228</v>
      </c>
      <c r="J1263" s="76">
        <v>1148.818622</v>
      </c>
    </row>
    <row r="1264" spans="9:10">
      <c r="I1264" s="75" t="s">
        <v>645</v>
      </c>
      <c r="J1264" s="76">
        <v>1302.93338</v>
      </c>
    </row>
    <row r="1265" spans="9:10">
      <c r="I1265" s="75" t="s">
        <v>4229</v>
      </c>
      <c r="J1265" s="76">
        <v>1171.795499</v>
      </c>
    </row>
    <row r="1266" spans="9:10">
      <c r="I1266" s="75" t="s">
        <v>4230</v>
      </c>
      <c r="J1266" s="76">
        <v>54.240438</v>
      </c>
    </row>
    <row r="1267" spans="9:10">
      <c r="I1267" s="75" t="s">
        <v>122</v>
      </c>
      <c r="J1267" s="76">
        <v>618.751329</v>
      </c>
    </row>
    <row r="1268" spans="9:10">
      <c r="I1268" s="75" t="s">
        <v>4231</v>
      </c>
      <c r="J1268" s="76">
        <v>1169.908397</v>
      </c>
    </row>
    <row r="1269" spans="9:10">
      <c r="I1269" s="75" t="s">
        <v>4232</v>
      </c>
      <c r="J1269" s="76">
        <v>1222.223772</v>
      </c>
    </row>
    <row r="1270" spans="9:10">
      <c r="I1270" s="75" t="s">
        <v>4233</v>
      </c>
      <c r="J1270" s="76">
        <v>1032.745665</v>
      </c>
    </row>
    <row r="1271" spans="9:10">
      <c r="I1271" s="75" t="s">
        <v>4234</v>
      </c>
      <c r="J1271" s="76">
        <v>789.289753</v>
      </c>
    </row>
    <row r="1272" spans="9:10">
      <c r="I1272" s="75" t="s">
        <v>4235</v>
      </c>
      <c r="J1272" s="76">
        <v>1008.52143</v>
      </c>
    </row>
    <row r="1273" spans="9:10">
      <c r="I1273" s="75" t="s">
        <v>419</v>
      </c>
      <c r="J1273" s="76">
        <v>864.465385</v>
      </c>
    </row>
    <row r="1274" spans="9:10">
      <c r="I1274" s="75" t="s">
        <v>4236</v>
      </c>
      <c r="J1274" s="76">
        <v>819.254191</v>
      </c>
    </row>
    <row r="1275" spans="9:10">
      <c r="I1275" s="75" t="s">
        <v>4237</v>
      </c>
      <c r="J1275" s="76">
        <v>64.873445</v>
      </c>
    </row>
    <row r="1276" spans="9:10">
      <c r="I1276" s="75" t="s">
        <v>4238</v>
      </c>
      <c r="J1276" s="76">
        <v>1169.908397</v>
      </c>
    </row>
    <row r="1277" spans="9:10">
      <c r="I1277" s="75" t="s">
        <v>4239</v>
      </c>
      <c r="J1277" s="76">
        <v>945.483322</v>
      </c>
    </row>
    <row r="1278" spans="9:10">
      <c r="I1278" s="75" t="s">
        <v>4240</v>
      </c>
      <c r="J1278" s="76">
        <v>1132.041764</v>
      </c>
    </row>
    <row r="1279" spans="9:10">
      <c r="I1279" s="75" t="s">
        <v>4241</v>
      </c>
      <c r="J1279" s="76">
        <v>878.153717</v>
      </c>
    </row>
    <row r="1280" spans="9:10">
      <c r="I1280" s="75" t="s">
        <v>4242</v>
      </c>
      <c r="J1280" s="76">
        <v>957.908945</v>
      </c>
    </row>
    <row r="1281" spans="9:10">
      <c r="I1281" s="75" t="s">
        <v>4243</v>
      </c>
      <c r="J1281" s="76">
        <v>1321.775007</v>
      </c>
    </row>
    <row r="1282" spans="9:10">
      <c r="I1282" s="75" t="s">
        <v>4244</v>
      </c>
      <c r="J1282" s="76">
        <v>738.561005</v>
      </c>
    </row>
    <row r="1283" spans="9:10">
      <c r="I1283" s="75" t="s">
        <v>4245</v>
      </c>
      <c r="J1283" s="76">
        <v>3107.528634</v>
      </c>
    </row>
    <row r="1284" spans="9:10">
      <c r="I1284" s="75" t="s">
        <v>4246</v>
      </c>
      <c r="J1284" s="76">
        <v>21.28791</v>
      </c>
    </row>
    <row r="1285" spans="9:10">
      <c r="I1285" s="75" t="s">
        <v>4247</v>
      </c>
      <c r="J1285" s="76">
        <v>13.504239</v>
      </c>
    </row>
    <row r="1286" spans="9:10">
      <c r="I1286" s="75" t="s">
        <v>4248</v>
      </c>
      <c r="J1286" s="76">
        <v>23.504523</v>
      </c>
    </row>
    <row r="1287" spans="9:10">
      <c r="I1287" s="75" t="s">
        <v>4249</v>
      </c>
      <c r="J1287" s="76">
        <v>163.829323</v>
      </c>
    </row>
    <row r="1288" spans="9:10">
      <c r="I1288" s="75" t="s">
        <v>622</v>
      </c>
      <c r="J1288" s="76">
        <v>935.247061</v>
      </c>
    </row>
    <row r="1289" spans="9:10">
      <c r="I1289" s="75" t="s">
        <v>547</v>
      </c>
      <c r="J1289" s="76">
        <v>763.44569</v>
      </c>
    </row>
    <row r="1290" spans="9:10">
      <c r="I1290" s="75" t="s">
        <v>4250</v>
      </c>
      <c r="J1290" s="76">
        <v>874.109264</v>
      </c>
    </row>
    <row r="1291" spans="9:10">
      <c r="I1291" s="75" t="s">
        <v>4251</v>
      </c>
      <c r="J1291" s="76">
        <v>942.911018</v>
      </c>
    </row>
    <row r="1292" spans="9:10">
      <c r="I1292" s="75" t="s">
        <v>4252</v>
      </c>
      <c r="J1292" s="76">
        <v>686.62524</v>
      </c>
    </row>
    <row r="1293" spans="9:10">
      <c r="I1293" s="75" t="s">
        <v>399</v>
      </c>
      <c r="J1293" s="76">
        <v>892.486315</v>
      </c>
    </row>
    <row r="1294" spans="9:10">
      <c r="I1294" s="75" t="s">
        <v>4253</v>
      </c>
      <c r="J1294" s="76">
        <v>670.566309</v>
      </c>
    </row>
    <row r="1295" spans="9:10">
      <c r="I1295" s="75" t="s">
        <v>455</v>
      </c>
      <c r="J1295" s="76">
        <v>535.439667</v>
      </c>
    </row>
    <row r="1296" spans="9:10">
      <c r="I1296" s="75" t="s">
        <v>430</v>
      </c>
      <c r="J1296" s="76">
        <v>452.913048</v>
      </c>
    </row>
    <row r="1297" spans="9:10">
      <c r="I1297" s="75" t="s">
        <v>4254</v>
      </c>
      <c r="J1297" s="76">
        <v>819.254191</v>
      </c>
    </row>
    <row r="1298" spans="9:10">
      <c r="I1298" s="75" t="s">
        <v>100</v>
      </c>
      <c r="J1298" s="76">
        <v>852.818617</v>
      </c>
    </row>
    <row r="1299" spans="9:10">
      <c r="I1299" s="75" t="s">
        <v>387</v>
      </c>
      <c r="J1299" s="76">
        <v>822.770403</v>
      </c>
    </row>
    <row r="1300" spans="9:10">
      <c r="I1300" s="75" t="s">
        <v>4255</v>
      </c>
      <c r="J1300" s="76">
        <v>930.6157</v>
      </c>
    </row>
    <row r="1301" spans="9:10">
      <c r="I1301" s="75" t="s">
        <v>4256</v>
      </c>
      <c r="J1301" s="76">
        <v>880.5405</v>
      </c>
    </row>
    <row r="1302" spans="9:10">
      <c r="I1302" s="75" t="s">
        <v>4257</v>
      </c>
      <c r="J1302" s="76">
        <v>750.0094</v>
      </c>
    </row>
    <row r="1303" spans="9:10">
      <c r="I1303" s="75" t="s">
        <v>515</v>
      </c>
      <c r="J1303" s="76">
        <v>750.0094</v>
      </c>
    </row>
    <row r="1304" spans="9:10">
      <c r="I1304" s="75" t="s">
        <v>394</v>
      </c>
      <c r="J1304" s="76">
        <v>766.4909</v>
      </c>
    </row>
    <row r="1305" spans="9:10">
      <c r="I1305" s="75" t="s">
        <v>4258</v>
      </c>
      <c r="J1305" s="76">
        <v>140.886004</v>
      </c>
    </row>
    <row r="1306" spans="9:10">
      <c r="I1306" s="75" t="s">
        <v>4259</v>
      </c>
      <c r="J1306" s="76">
        <v>133.92498</v>
      </c>
    </row>
    <row r="1307" spans="9:10">
      <c r="I1307" s="75" t="s">
        <v>334</v>
      </c>
      <c r="J1307" s="76">
        <v>920.908275</v>
      </c>
    </row>
    <row r="1308" spans="9:10">
      <c r="I1308" s="75" t="s">
        <v>33</v>
      </c>
      <c r="J1308" s="76">
        <v>999.4334</v>
      </c>
    </row>
    <row r="1309" spans="9:10">
      <c r="I1309" s="75" t="s">
        <v>4260</v>
      </c>
      <c r="J1309" s="76">
        <v>809.9616</v>
      </c>
    </row>
    <row r="1310" spans="9:10">
      <c r="I1310" s="75" t="s">
        <v>4261</v>
      </c>
      <c r="J1310" s="76">
        <v>889.8582</v>
      </c>
    </row>
    <row r="1311" spans="9:10">
      <c r="I1311" s="75" t="s">
        <v>4262</v>
      </c>
      <c r="J1311" s="76">
        <v>681.4059</v>
      </c>
    </row>
    <row r="1312" spans="9:10">
      <c r="I1312" s="75" t="s">
        <v>630</v>
      </c>
      <c r="J1312" s="76">
        <v>1169.9128</v>
      </c>
    </row>
    <row r="1313" spans="9:10">
      <c r="I1313" s="75" t="s">
        <v>4263</v>
      </c>
      <c r="J1313" s="76">
        <v>1030.375185</v>
      </c>
    </row>
    <row r="1314" spans="9:10">
      <c r="I1314" s="75" t="s">
        <v>4264</v>
      </c>
      <c r="J1314" s="76">
        <v>129.347883</v>
      </c>
    </row>
    <row r="1315" spans="9:10">
      <c r="I1315" s="75" t="s">
        <v>4265</v>
      </c>
      <c r="J1315" s="76">
        <v>299.875835</v>
      </c>
    </row>
    <row r="1316" spans="9:10">
      <c r="I1316" s="75" t="s">
        <v>4266</v>
      </c>
      <c r="J1316" s="76">
        <v>776.3917</v>
      </c>
    </row>
    <row r="1317" spans="9:10">
      <c r="I1317" s="75" t="s">
        <v>4267</v>
      </c>
      <c r="J1317" s="76">
        <v>911.2187</v>
      </c>
    </row>
    <row r="1318" spans="9:10">
      <c r="I1318" s="75" t="s">
        <v>4268</v>
      </c>
      <c r="J1318" s="76">
        <v>876.9467</v>
      </c>
    </row>
    <row r="1319" spans="9:10">
      <c r="I1319" s="75" t="s">
        <v>647</v>
      </c>
      <c r="J1319" s="76">
        <v>1092.5152</v>
      </c>
    </row>
    <row r="1320" spans="9:10">
      <c r="I1320" s="75" t="s">
        <v>4269</v>
      </c>
      <c r="J1320" s="76">
        <v>127.544319</v>
      </c>
    </row>
    <row r="1321" spans="9:10">
      <c r="I1321" s="75" t="s">
        <v>4270</v>
      </c>
      <c r="J1321" s="76">
        <v>125.602001</v>
      </c>
    </row>
    <row r="1322" spans="9:10">
      <c r="I1322" s="75" t="s">
        <v>4271</v>
      </c>
      <c r="J1322" s="76">
        <v>124.288003</v>
      </c>
    </row>
    <row r="1323" spans="9:10">
      <c r="I1323" s="75" t="s">
        <v>4272</v>
      </c>
      <c r="J1323" s="76">
        <v>166.983656</v>
      </c>
    </row>
    <row r="1324" spans="9:10">
      <c r="I1324" s="75" t="s">
        <v>4273</v>
      </c>
      <c r="J1324" s="76">
        <v>141.440544</v>
      </c>
    </row>
    <row r="1325" spans="9:10">
      <c r="I1325" s="75" t="s">
        <v>4274</v>
      </c>
      <c r="J1325" s="76">
        <v>84.767627</v>
      </c>
    </row>
    <row r="1326" spans="9:10">
      <c r="I1326" s="75" t="s">
        <v>4275</v>
      </c>
      <c r="J1326" s="76">
        <v>863.4045</v>
      </c>
    </row>
    <row r="1327" spans="9:10">
      <c r="I1327" s="75" t="s">
        <v>4276</v>
      </c>
      <c r="J1327" s="76">
        <v>847.5299</v>
      </c>
    </row>
    <row r="1328" spans="9:10">
      <c r="I1328" s="75" t="s">
        <v>471</v>
      </c>
      <c r="J1328" s="76">
        <v>789.8506</v>
      </c>
    </row>
    <row r="1329" spans="9:10">
      <c r="I1329" s="75" t="s">
        <v>4277</v>
      </c>
      <c r="J1329" s="76">
        <v>1223.1177</v>
      </c>
    </row>
    <row r="1330" spans="9:10">
      <c r="I1330" s="75" t="s">
        <v>4278</v>
      </c>
      <c r="J1330" s="76">
        <v>1745.054437</v>
      </c>
    </row>
    <row r="1331" spans="9:10">
      <c r="I1331" s="75" t="s">
        <v>638</v>
      </c>
      <c r="J1331" s="76">
        <v>1008.5131</v>
      </c>
    </row>
    <row r="1332" spans="9:10">
      <c r="I1332" s="75" t="s">
        <v>4279</v>
      </c>
      <c r="J1332" s="76">
        <v>951.9405</v>
      </c>
    </row>
    <row r="1333" spans="9:10">
      <c r="I1333" s="75" t="s">
        <v>4280</v>
      </c>
      <c r="J1333" s="76">
        <v>1222.2252</v>
      </c>
    </row>
    <row r="1334" spans="9:10">
      <c r="I1334" s="75" t="s">
        <v>595</v>
      </c>
      <c r="J1334" s="76">
        <v>932.9124</v>
      </c>
    </row>
    <row r="1335" spans="9:10">
      <c r="I1335" s="75" t="s">
        <v>150</v>
      </c>
      <c r="J1335" s="76">
        <v>754.8051</v>
      </c>
    </row>
    <row r="1336" spans="9:10">
      <c r="I1336" s="75" t="s">
        <v>4281</v>
      </c>
      <c r="J1336" s="76">
        <v>1233.1613</v>
      </c>
    </row>
    <row r="1337" spans="9:10">
      <c r="I1337" s="75" t="s">
        <v>4282</v>
      </c>
      <c r="J1337" s="76">
        <v>31.609256</v>
      </c>
    </row>
    <row r="1338" spans="9:10">
      <c r="I1338" s="75" t="s">
        <v>4283</v>
      </c>
      <c r="J1338" s="76">
        <v>293.076889</v>
      </c>
    </row>
    <row r="1339" spans="9:10">
      <c r="I1339" s="75" t="s">
        <v>4284</v>
      </c>
      <c r="J1339" s="76">
        <v>776.3917</v>
      </c>
    </row>
    <row r="1340" spans="9:10">
      <c r="I1340" s="75" t="s">
        <v>4285</v>
      </c>
      <c r="J1340" s="76">
        <v>856.0265</v>
      </c>
    </row>
    <row r="1341" spans="9:10">
      <c r="I1341" s="75" t="s">
        <v>4286</v>
      </c>
      <c r="J1341" s="76">
        <v>144.265366</v>
      </c>
    </row>
    <row r="1342" spans="9:10">
      <c r="I1342" s="75" t="s">
        <v>4287</v>
      </c>
      <c r="J1342" s="76">
        <v>1039.1318</v>
      </c>
    </row>
    <row r="1343" spans="9:10">
      <c r="I1343" s="75" t="s">
        <v>4288</v>
      </c>
      <c r="J1343" s="76">
        <v>959.7588</v>
      </c>
    </row>
    <row r="1344" spans="9:10">
      <c r="I1344" s="75" t="s">
        <v>4289</v>
      </c>
      <c r="J1344" s="76">
        <v>959.7588</v>
      </c>
    </row>
    <row r="1345" spans="9:10">
      <c r="I1345" s="75" t="s">
        <v>4290</v>
      </c>
      <c r="J1345" s="76">
        <v>1236.5647</v>
      </c>
    </row>
    <row r="1346" spans="9:10">
      <c r="I1346" s="75" t="s">
        <v>613</v>
      </c>
      <c r="J1346" s="76">
        <v>946.2404</v>
      </c>
    </row>
    <row r="1347" spans="9:10">
      <c r="I1347" s="75" t="s">
        <v>4291</v>
      </c>
      <c r="J1347" s="76">
        <v>1115.2204</v>
      </c>
    </row>
    <row r="1348" spans="9:10">
      <c r="I1348" s="75" t="s">
        <v>4292</v>
      </c>
      <c r="J1348" s="76">
        <v>836.7961</v>
      </c>
    </row>
    <row r="1349" spans="9:10">
      <c r="I1349" s="75" t="s">
        <v>557</v>
      </c>
      <c r="J1349" s="76">
        <v>923.0711</v>
      </c>
    </row>
    <row r="1350" spans="9:10">
      <c r="I1350" s="75" t="s">
        <v>479</v>
      </c>
      <c r="J1350" s="76">
        <v>819.791</v>
      </c>
    </row>
    <row r="1351" spans="9:10">
      <c r="I1351" s="75" t="s">
        <v>469</v>
      </c>
      <c r="J1351" s="76">
        <v>807.891</v>
      </c>
    </row>
    <row r="1352" spans="9:10">
      <c r="I1352" s="75" t="s">
        <v>556</v>
      </c>
      <c r="J1352" s="76">
        <v>946.5974</v>
      </c>
    </row>
    <row r="1353" spans="9:10">
      <c r="I1353" s="75" t="s">
        <v>400</v>
      </c>
      <c r="J1353" s="76">
        <v>809.9616</v>
      </c>
    </row>
    <row r="1354" spans="9:10">
      <c r="I1354" s="75" t="s">
        <v>4293</v>
      </c>
      <c r="J1354" s="76">
        <v>122.307248</v>
      </c>
    </row>
    <row r="1355" spans="9:10">
      <c r="I1355" s="75" t="s">
        <v>4294</v>
      </c>
      <c r="J1355" s="76">
        <v>924.74067</v>
      </c>
    </row>
    <row r="1356" spans="9:10">
      <c r="I1356" s="75" t="s">
        <v>4295</v>
      </c>
      <c r="J1356" s="76">
        <v>924.74067</v>
      </c>
    </row>
    <row r="1357" spans="9:10">
      <c r="I1357" s="75" t="s">
        <v>4296</v>
      </c>
      <c r="J1357" s="76">
        <v>97.701142</v>
      </c>
    </row>
    <row r="1358" spans="9:10">
      <c r="I1358" s="75" t="s">
        <v>4297</v>
      </c>
      <c r="J1358" s="76">
        <v>763.4445</v>
      </c>
    </row>
    <row r="1359" spans="9:10">
      <c r="I1359" s="75" t="s">
        <v>4298</v>
      </c>
      <c r="J1359" s="76">
        <v>763.4445</v>
      </c>
    </row>
    <row r="1360" spans="9:10">
      <c r="I1360" s="75" t="s">
        <v>4299</v>
      </c>
      <c r="J1360" s="76">
        <v>862.5239</v>
      </c>
    </row>
    <row r="1361" spans="9:10">
      <c r="I1361" s="75" t="s">
        <v>4300</v>
      </c>
      <c r="J1361" s="76">
        <v>763.4445</v>
      </c>
    </row>
    <row r="1362" spans="9:10">
      <c r="I1362" s="75" t="s">
        <v>4301</v>
      </c>
      <c r="J1362" s="76">
        <v>703.8612</v>
      </c>
    </row>
    <row r="1363" spans="9:10">
      <c r="I1363" s="75" t="s">
        <v>4302</v>
      </c>
      <c r="J1363" s="76">
        <v>512.4378</v>
      </c>
    </row>
    <row r="1364" spans="9:10">
      <c r="I1364" s="75" t="s">
        <v>4303</v>
      </c>
      <c r="J1364" s="76">
        <v>543.1755</v>
      </c>
    </row>
    <row r="1365" spans="9:10">
      <c r="I1365" s="75" t="s">
        <v>4304</v>
      </c>
      <c r="J1365" s="76">
        <v>540.5813</v>
      </c>
    </row>
    <row r="1366" spans="9:10">
      <c r="I1366" s="75" t="s">
        <v>4305</v>
      </c>
      <c r="J1366" s="76">
        <v>538.0466</v>
      </c>
    </row>
    <row r="1367" spans="9:10">
      <c r="I1367" s="75" t="s">
        <v>4306</v>
      </c>
      <c r="J1367" s="76">
        <v>436.4206</v>
      </c>
    </row>
    <row r="1368" spans="9:10">
      <c r="I1368" s="75" t="s">
        <v>4307</v>
      </c>
      <c r="J1368" s="76">
        <v>439.1933</v>
      </c>
    </row>
    <row r="1369" spans="9:10">
      <c r="I1369" s="75" t="s">
        <v>4308</v>
      </c>
      <c r="J1369" s="76">
        <v>449.1655</v>
      </c>
    </row>
    <row r="1370" spans="9:10">
      <c r="I1370" s="75" t="s">
        <v>4309</v>
      </c>
      <c r="J1370" s="76">
        <v>467.6462</v>
      </c>
    </row>
    <row r="1371" spans="9:10">
      <c r="I1371" s="75" t="s">
        <v>4310</v>
      </c>
      <c r="J1371" s="76">
        <v>447.1901</v>
      </c>
    </row>
    <row r="1372" spans="9:10">
      <c r="I1372" s="75" t="s">
        <v>4311</v>
      </c>
      <c r="J1372" s="76">
        <v>465.6827</v>
      </c>
    </row>
    <row r="1373" spans="9:10">
      <c r="I1373" s="75" t="s">
        <v>4312</v>
      </c>
      <c r="J1373" s="76">
        <v>412.93</v>
      </c>
    </row>
    <row r="1374" spans="9:10">
      <c r="I1374" s="75" t="s">
        <v>4313</v>
      </c>
      <c r="J1374" s="76">
        <v>402.2676</v>
      </c>
    </row>
    <row r="1375" spans="9:10">
      <c r="I1375" s="75" t="s">
        <v>4314</v>
      </c>
      <c r="J1375" s="76">
        <v>747.8436</v>
      </c>
    </row>
    <row r="1376" spans="9:10">
      <c r="I1376" s="75" t="s">
        <v>4315</v>
      </c>
      <c r="J1376" s="76">
        <v>1182.7648</v>
      </c>
    </row>
    <row r="1377" spans="9:10">
      <c r="I1377" s="75" t="s">
        <v>4316</v>
      </c>
      <c r="J1377" s="76">
        <v>738.5616</v>
      </c>
    </row>
    <row r="1378" spans="9:10">
      <c r="I1378" s="75" t="s">
        <v>4317</v>
      </c>
      <c r="J1378" s="76">
        <v>1171.793</v>
      </c>
    </row>
    <row r="1379" spans="9:10">
      <c r="I1379" s="75" t="s">
        <v>4318</v>
      </c>
      <c r="J1379" s="76">
        <v>1171.793</v>
      </c>
    </row>
    <row r="1380" spans="9:10">
      <c r="I1380" s="75" t="s">
        <v>4319</v>
      </c>
      <c r="J1380" s="76">
        <v>1302.931</v>
      </c>
    </row>
    <row r="1381" spans="9:10">
      <c r="I1381" s="75" t="s">
        <v>4320</v>
      </c>
      <c r="J1381" s="76">
        <v>125.602001</v>
      </c>
    </row>
    <row r="1382" spans="9:10">
      <c r="I1382" s="75" t="s">
        <v>4321</v>
      </c>
      <c r="J1382" s="76">
        <v>69.717459</v>
      </c>
    </row>
    <row r="1383" spans="9:10">
      <c r="I1383" s="75" t="s">
        <v>4322</v>
      </c>
      <c r="J1383" s="76">
        <v>1148.8141</v>
      </c>
    </row>
    <row r="1384" spans="9:10">
      <c r="I1384" s="75" t="s">
        <v>4323</v>
      </c>
      <c r="J1384" s="76">
        <v>1378.3175</v>
      </c>
    </row>
    <row r="1385" spans="9:10">
      <c r="I1385" s="75" t="s">
        <v>4324</v>
      </c>
      <c r="J1385" s="76">
        <v>935.2448</v>
      </c>
    </row>
    <row r="1386" spans="9:10">
      <c r="I1386" s="75" t="s">
        <v>4325</v>
      </c>
      <c r="J1386" s="76">
        <v>856.0265</v>
      </c>
    </row>
    <row r="1387" spans="9:10">
      <c r="I1387" s="75" t="s">
        <v>4326</v>
      </c>
      <c r="J1387" s="76">
        <v>482.0333</v>
      </c>
    </row>
    <row r="1388" spans="9:10">
      <c r="I1388" s="75" t="s">
        <v>4327</v>
      </c>
      <c r="J1388" s="76">
        <v>482.0333</v>
      </c>
    </row>
    <row r="1389" spans="9:10">
      <c r="I1389" s="75" t="s">
        <v>52</v>
      </c>
      <c r="J1389" s="76">
        <v>446.8807</v>
      </c>
    </row>
    <row r="1390" spans="9:10">
      <c r="I1390" s="75" t="s">
        <v>4328</v>
      </c>
      <c r="J1390" s="76">
        <v>768.7281</v>
      </c>
    </row>
    <row r="1391" spans="9:10">
      <c r="I1391" s="75" t="s">
        <v>4329</v>
      </c>
      <c r="J1391" s="76">
        <v>776.3917</v>
      </c>
    </row>
    <row r="1392" spans="9:10">
      <c r="I1392" s="75" t="s">
        <v>4330</v>
      </c>
      <c r="J1392" s="76">
        <v>900.1755</v>
      </c>
    </row>
    <row r="1393" spans="9:10">
      <c r="I1393" s="75" t="s">
        <v>4331</v>
      </c>
      <c r="J1393" s="76">
        <v>948.8465</v>
      </c>
    </row>
    <row r="1394" spans="9:10">
      <c r="I1394" s="75" t="s">
        <v>4332</v>
      </c>
      <c r="J1394" s="76">
        <v>801.7149</v>
      </c>
    </row>
    <row r="1395" spans="9:10">
      <c r="I1395" s="75" t="s">
        <v>4333</v>
      </c>
      <c r="J1395" s="76">
        <v>837.0222</v>
      </c>
    </row>
    <row r="1396" spans="9:10">
      <c r="I1396" s="75" t="s">
        <v>4334</v>
      </c>
      <c r="J1396" s="76">
        <v>543.1755</v>
      </c>
    </row>
    <row r="1397" spans="9:10">
      <c r="I1397" s="75" t="s">
        <v>4335</v>
      </c>
      <c r="J1397" s="76">
        <v>467.6462</v>
      </c>
    </row>
    <row r="1398" spans="9:10">
      <c r="I1398" s="75" t="s">
        <v>4336</v>
      </c>
      <c r="J1398" s="76">
        <v>478.1777</v>
      </c>
    </row>
    <row r="1399" spans="9:10">
      <c r="I1399" s="75" t="s">
        <v>4337</v>
      </c>
      <c r="J1399" s="76">
        <v>379.3006</v>
      </c>
    </row>
    <row r="1400" spans="9:10">
      <c r="I1400" s="75" t="s">
        <v>4338</v>
      </c>
      <c r="J1400" s="76">
        <v>1291.1143</v>
      </c>
    </row>
    <row r="1401" spans="9:10">
      <c r="I1401" s="75" t="s">
        <v>4339</v>
      </c>
      <c r="J1401" s="76">
        <v>738.5616</v>
      </c>
    </row>
    <row r="1402" spans="9:10">
      <c r="I1402" s="75" t="s">
        <v>4340</v>
      </c>
      <c r="J1402" s="76">
        <v>738.5616</v>
      </c>
    </row>
    <row r="1403" spans="9:10">
      <c r="I1403" s="75" t="s">
        <v>4341</v>
      </c>
      <c r="J1403" s="76">
        <v>780.7828</v>
      </c>
    </row>
    <row r="1404" spans="9:10">
      <c r="I1404" s="75" t="s">
        <v>4342</v>
      </c>
      <c r="J1404" s="76">
        <v>807.891</v>
      </c>
    </row>
    <row r="1405" spans="9:10">
      <c r="I1405" s="75" t="s">
        <v>4343</v>
      </c>
      <c r="J1405" s="76">
        <v>807.891</v>
      </c>
    </row>
    <row r="1406" spans="9:10">
      <c r="I1406" s="75" t="s">
        <v>4344</v>
      </c>
      <c r="J1406" s="76">
        <v>807.891</v>
      </c>
    </row>
    <row r="1407" spans="9:10">
      <c r="I1407" s="75" t="s">
        <v>4345</v>
      </c>
      <c r="J1407" s="76">
        <v>1171.793</v>
      </c>
    </row>
    <row r="1408" spans="9:10">
      <c r="I1408" s="75" t="s">
        <v>4346</v>
      </c>
      <c r="J1408" s="76">
        <v>1182.7172</v>
      </c>
    </row>
    <row r="1409" spans="9:10">
      <c r="I1409" s="75" t="s">
        <v>313</v>
      </c>
      <c r="J1409" s="76">
        <v>523.059026</v>
      </c>
    </row>
    <row r="1410" spans="9:10">
      <c r="I1410" s="75" t="s">
        <v>356</v>
      </c>
      <c r="J1410" s="76">
        <v>130.674138</v>
      </c>
    </row>
    <row r="1411" spans="9:10">
      <c r="I1411" s="75" t="s">
        <v>4347</v>
      </c>
      <c r="J1411" s="76">
        <v>446.8807</v>
      </c>
    </row>
    <row r="1412" spans="9:10">
      <c r="I1412" s="75" t="s">
        <v>4348</v>
      </c>
      <c r="J1412" s="76">
        <v>467.7533</v>
      </c>
    </row>
    <row r="1413" spans="9:10">
      <c r="I1413" s="75" t="s">
        <v>4349</v>
      </c>
      <c r="J1413" s="76">
        <v>815.5665</v>
      </c>
    </row>
    <row r="1414" spans="9:10">
      <c r="I1414" s="75" t="s">
        <v>4350</v>
      </c>
      <c r="J1414" s="76">
        <v>768.7281</v>
      </c>
    </row>
    <row r="1415" spans="9:10">
      <c r="I1415" s="75" t="s">
        <v>4351</v>
      </c>
      <c r="J1415" s="76">
        <v>948.8465</v>
      </c>
    </row>
    <row r="1416" spans="9:10">
      <c r="I1416" s="75" t="s">
        <v>4352</v>
      </c>
      <c r="J1416" s="76">
        <v>835.2491</v>
      </c>
    </row>
    <row r="1417" spans="9:10">
      <c r="I1417" s="75" t="s">
        <v>4353</v>
      </c>
      <c r="J1417" s="76">
        <v>780.7828</v>
      </c>
    </row>
    <row r="1418" spans="9:10">
      <c r="I1418" s="75" t="s">
        <v>4354</v>
      </c>
      <c r="J1418" s="76">
        <v>1168.5324</v>
      </c>
    </row>
    <row r="1419" spans="9:10">
      <c r="I1419" s="75" t="s">
        <v>4355</v>
      </c>
      <c r="J1419" s="76">
        <v>1182.7172</v>
      </c>
    </row>
    <row r="1420" spans="9:10">
      <c r="I1420" s="75" t="s">
        <v>4356</v>
      </c>
      <c r="J1420" s="76">
        <v>1238.7305</v>
      </c>
    </row>
    <row r="1421" spans="9:10">
      <c r="I1421" s="75" t="s">
        <v>4357</v>
      </c>
      <c r="J1421" s="76">
        <v>780.7828</v>
      </c>
    </row>
    <row r="1422" spans="9:10">
      <c r="I1422" s="75" t="s">
        <v>4358</v>
      </c>
      <c r="J1422" s="76">
        <v>1223.1177</v>
      </c>
    </row>
    <row r="1423" spans="9:10">
      <c r="I1423" s="75" t="s">
        <v>4359</v>
      </c>
      <c r="J1423" s="76">
        <v>163.418773</v>
      </c>
    </row>
    <row r="1424" spans="9:10">
      <c r="I1424" s="75" t="s">
        <v>4360</v>
      </c>
      <c r="J1424" s="76">
        <v>1169.9128</v>
      </c>
    </row>
    <row r="1425" spans="9:10">
      <c r="I1425" s="75" t="s">
        <v>4361</v>
      </c>
      <c r="J1425" s="76">
        <v>1080.1273</v>
      </c>
    </row>
    <row r="1426" spans="9:10">
      <c r="I1426" s="75" t="s">
        <v>4362</v>
      </c>
      <c r="J1426" s="76">
        <v>1209.5636</v>
      </c>
    </row>
    <row r="1427" spans="9:10">
      <c r="I1427" s="75" t="s">
        <v>4363</v>
      </c>
      <c r="J1427" s="76">
        <v>1000.3021</v>
      </c>
    </row>
    <row r="1428" spans="9:10">
      <c r="I1428" s="75" t="s">
        <v>4364</v>
      </c>
      <c r="J1428" s="76">
        <v>801.4055</v>
      </c>
    </row>
    <row r="1429" spans="9:10">
      <c r="I1429" s="75" t="s">
        <v>4365</v>
      </c>
      <c r="J1429" s="76">
        <v>945.4788</v>
      </c>
    </row>
    <row r="1430" spans="9:10">
      <c r="I1430" s="75" t="s">
        <v>4366</v>
      </c>
      <c r="J1430" s="76">
        <v>789.2913</v>
      </c>
    </row>
    <row r="1431" spans="9:10">
      <c r="I1431" s="75" t="s">
        <v>520</v>
      </c>
      <c r="J1431" s="76">
        <v>796.0386</v>
      </c>
    </row>
    <row r="1432" spans="9:10">
      <c r="I1432" s="75" t="s">
        <v>619</v>
      </c>
      <c r="J1432" s="76">
        <v>1080.1273</v>
      </c>
    </row>
    <row r="1433" spans="9:10">
      <c r="I1433" s="75" t="s">
        <v>4367</v>
      </c>
      <c r="J1433" s="76">
        <v>796.0386</v>
      </c>
    </row>
    <row r="1434" spans="9:10">
      <c r="I1434" s="75" t="s">
        <v>4368</v>
      </c>
      <c r="J1434" s="76">
        <v>1171.793</v>
      </c>
    </row>
    <row r="1435" spans="9:10">
      <c r="I1435" s="75" t="s">
        <v>4369</v>
      </c>
      <c r="J1435" s="76">
        <v>1168.5324</v>
      </c>
    </row>
    <row r="1436" spans="9:10">
      <c r="I1436" s="75" t="s">
        <v>4370</v>
      </c>
      <c r="J1436" s="76">
        <v>1233.1613</v>
      </c>
    </row>
    <row r="1437" spans="9:10">
      <c r="I1437" s="75" t="s">
        <v>4371</v>
      </c>
      <c r="J1437" s="76">
        <v>1182.7172</v>
      </c>
    </row>
    <row r="1438" spans="9:10">
      <c r="I1438" s="75" t="s">
        <v>4372</v>
      </c>
      <c r="J1438" s="76">
        <v>1142.2929</v>
      </c>
    </row>
    <row r="1439" spans="9:10">
      <c r="I1439" s="75" t="s">
        <v>4373</v>
      </c>
      <c r="J1439" s="76">
        <v>1142.2929</v>
      </c>
    </row>
    <row r="1440" spans="9:10">
      <c r="I1440" s="75" t="s">
        <v>4374</v>
      </c>
      <c r="J1440" s="76">
        <v>917.3234</v>
      </c>
    </row>
    <row r="1441" spans="9:10">
      <c r="I1441" s="75" t="s">
        <v>538</v>
      </c>
      <c r="J1441" s="76">
        <v>945.4788</v>
      </c>
    </row>
    <row r="1442" spans="9:10">
      <c r="I1442" s="75" t="s">
        <v>403</v>
      </c>
      <c r="J1442" s="76">
        <v>892.3572</v>
      </c>
    </row>
    <row r="1443" spans="9:10">
      <c r="I1443" s="75" t="s">
        <v>4375</v>
      </c>
      <c r="J1443" s="76">
        <v>945.4788</v>
      </c>
    </row>
    <row r="1444" spans="9:10">
      <c r="I1444" s="75" t="s">
        <v>4376</v>
      </c>
      <c r="J1444" s="76">
        <v>766.4909</v>
      </c>
    </row>
    <row r="1445" spans="9:10">
      <c r="I1445" s="75" t="s">
        <v>4377</v>
      </c>
      <c r="J1445" s="76">
        <v>888.8586</v>
      </c>
    </row>
    <row r="1446" spans="9:10">
      <c r="I1446" s="75" t="s">
        <v>4378</v>
      </c>
      <c r="J1446" s="76">
        <v>3107.528634</v>
      </c>
    </row>
    <row r="1447" spans="9:10">
      <c r="I1447" s="75" t="s">
        <v>4379</v>
      </c>
      <c r="J1447" s="76">
        <v>999.8499</v>
      </c>
    </row>
    <row r="1448" spans="9:10">
      <c r="I1448" s="75" t="s">
        <v>4380</v>
      </c>
      <c r="J1448" s="76">
        <v>1168.5324</v>
      </c>
    </row>
    <row r="1449" spans="9:10">
      <c r="I1449" s="75" t="s">
        <v>4381</v>
      </c>
      <c r="J1449" s="76">
        <v>1833.087186</v>
      </c>
    </row>
    <row r="1450" spans="9:10">
      <c r="I1450" s="75" t="s">
        <v>4382</v>
      </c>
      <c r="J1450" s="76">
        <v>789.8506</v>
      </c>
    </row>
    <row r="1451" spans="9:10">
      <c r="I1451" s="75" t="s">
        <v>4383</v>
      </c>
      <c r="J1451" s="76">
        <v>780.7828</v>
      </c>
    </row>
    <row r="1452" spans="9:10">
      <c r="I1452" s="75" t="s">
        <v>4384</v>
      </c>
      <c r="J1452" s="76">
        <v>1030.0045</v>
      </c>
    </row>
    <row r="1453" spans="9:10">
      <c r="I1453" s="75" t="s">
        <v>4385</v>
      </c>
      <c r="J1453" s="76">
        <v>1868.784449</v>
      </c>
    </row>
    <row r="1454" spans="9:10">
      <c r="I1454" s="75" t="s">
        <v>4386</v>
      </c>
      <c r="J1454" s="76">
        <v>1712.832807</v>
      </c>
    </row>
    <row r="1455" spans="9:10">
      <c r="I1455" s="75" t="s">
        <v>4387</v>
      </c>
      <c r="J1455" s="76">
        <v>862.2026</v>
      </c>
    </row>
    <row r="1456" spans="9:10">
      <c r="I1456" s="75" t="s">
        <v>4388</v>
      </c>
      <c r="J1456" s="76">
        <v>1030.0045</v>
      </c>
    </row>
    <row r="1457" spans="9:10">
      <c r="I1457" s="75" t="s">
        <v>4389</v>
      </c>
      <c r="J1457" s="76">
        <v>1030.0045</v>
      </c>
    </row>
    <row r="1458" spans="9:10">
      <c r="I1458" s="75" t="s">
        <v>4390</v>
      </c>
      <c r="J1458" s="76">
        <v>1030.0045</v>
      </c>
    </row>
    <row r="1459" spans="9:10">
      <c r="I1459" s="75" t="s">
        <v>4391</v>
      </c>
      <c r="J1459" s="76">
        <v>1030.0045</v>
      </c>
    </row>
    <row r="1460" spans="9:10">
      <c r="I1460" s="75" t="s">
        <v>4392</v>
      </c>
      <c r="J1460" s="76">
        <v>482.0333</v>
      </c>
    </row>
    <row r="1461" spans="9:10">
      <c r="I1461" s="75" t="s">
        <v>4393</v>
      </c>
      <c r="J1461" s="76">
        <v>482.0333</v>
      </c>
    </row>
    <row r="1462" spans="9:10">
      <c r="I1462" s="75" t="s">
        <v>4394</v>
      </c>
      <c r="J1462" s="76">
        <v>482.0333</v>
      </c>
    </row>
    <row r="1463" spans="9:10">
      <c r="I1463" s="75" t="s">
        <v>4395</v>
      </c>
      <c r="J1463" s="76">
        <v>482.0333</v>
      </c>
    </row>
    <row r="1464" spans="9:10">
      <c r="I1464" s="75" t="s">
        <v>4396</v>
      </c>
      <c r="J1464" s="76">
        <v>482.0333</v>
      </c>
    </row>
    <row r="1465" spans="9:10">
      <c r="I1465" s="75" t="s">
        <v>4397</v>
      </c>
      <c r="J1465" s="76">
        <v>482.0333</v>
      </c>
    </row>
    <row r="1466" spans="9:10">
      <c r="I1466" s="75" t="s">
        <v>4398</v>
      </c>
      <c r="J1466" s="76">
        <v>437.8724</v>
      </c>
    </row>
    <row r="1467" spans="9:10">
      <c r="I1467" s="75" t="s">
        <v>4399</v>
      </c>
      <c r="J1467" s="76">
        <v>1302.931</v>
      </c>
    </row>
    <row r="1468" spans="9:10">
      <c r="I1468" s="75" t="s">
        <v>4400</v>
      </c>
      <c r="J1468" s="76">
        <v>1285.8188</v>
      </c>
    </row>
    <row r="1469" spans="9:10">
      <c r="I1469" s="75" t="s">
        <v>4401</v>
      </c>
      <c r="J1469" s="76">
        <v>1285.8188</v>
      </c>
    </row>
    <row r="1470" spans="9:10">
      <c r="I1470" s="75" t="s">
        <v>4402</v>
      </c>
      <c r="J1470" s="76">
        <v>1285.8188</v>
      </c>
    </row>
    <row r="1471" spans="9:10">
      <c r="I1471" s="75" t="s">
        <v>4403</v>
      </c>
      <c r="J1471" s="76">
        <v>1285.8188</v>
      </c>
    </row>
    <row r="1472" spans="9:10">
      <c r="I1472" s="75" t="s">
        <v>477</v>
      </c>
      <c r="J1472" s="76">
        <v>738.5616</v>
      </c>
    </row>
    <row r="1473" spans="9:10">
      <c r="I1473" s="75" t="s">
        <v>4404</v>
      </c>
      <c r="J1473" s="76">
        <v>446.8807</v>
      </c>
    </row>
    <row r="1474" spans="9:10">
      <c r="I1474" s="75" t="s">
        <v>549</v>
      </c>
      <c r="J1474" s="76">
        <v>946.5974</v>
      </c>
    </row>
    <row r="1475" spans="9:10">
      <c r="I1475" s="75" t="s">
        <v>4405</v>
      </c>
      <c r="J1475" s="76">
        <v>1236.5647</v>
      </c>
    </row>
    <row r="1476" spans="9:10">
      <c r="I1476" s="75" t="s">
        <v>523</v>
      </c>
      <c r="J1476" s="76">
        <v>948.8465</v>
      </c>
    </row>
    <row r="1477" spans="9:10">
      <c r="I1477" s="75" t="s">
        <v>4406</v>
      </c>
      <c r="J1477" s="76">
        <v>512.4378</v>
      </c>
    </row>
    <row r="1478" spans="9:10">
      <c r="I1478" s="75" t="s">
        <v>567</v>
      </c>
      <c r="J1478" s="76">
        <v>1223.1177</v>
      </c>
    </row>
    <row r="1479" spans="9:10">
      <c r="I1479" s="75" t="s">
        <v>4407</v>
      </c>
      <c r="J1479" s="76">
        <v>467.6462</v>
      </c>
    </row>
    <row r="1480" spans="9:10">
      <c r="I1480" s="75" t="s">
        <v>4408</v>
      </c>
      <c r="J1480" s="76">
        <v>467.6462</v>
      </c>
    </row>
    <row r="1481" spans="9:10">
      <c r="I1481" s="75" t="s">
        <v>4409</v>
      </c>
      <c r="J1481" s="76">
        <v>478.1777</v>
      </c>
    </row>
    <row r="1482" spans="9:10">
      <c r="I1482" s="75" t="s">
        <v>569</v>
      </c>
      <c r="J1482" s="76">
        <v>1168.5324</v>
      </c>
    </row>
    <row r="1483" spans="9:10">
      <c r="I1483" s="75" t="s">
        <v>4410</v>
      </c>
      <c r="J1483" s="76">
        <v>134.13442</v>
      </c>
    </row>
    <row r="1484" spans="9:10">
      <c r="I1484" s="75" t="s">
        <v>4411</v>
      </c>
      <c r="J1484" s="76">
        <v>147.700063</v>
      </c>
    </row>
    <row r="1485" spans="9:10">
      <c r="I1485" s="75" t="s">
        <v>4412</v>
      </c>
      <c r="J1485" s="76">
        <v>1169.9128</v>
      </c>
    </row>
    <row r="1486" spans="9:10">
      <c r="I1486" s="75" t="s">
        <v>4413</v>
      </c>
      <c r="J1486" s="76">
        <v>1236.5647</v>
      </c>
    </row>
    <row r="1487" spans="9:10">
      <c r="I1487" s="75" t="s">
        <v>4414</v>
      </c>
      <c r="J1487" s="76">
        <v>1182.7648</v>
      </c>
    </row>
    <row r="1488" spans="9:10">
      <c r="I1488" s="75" t="s">
        <v>4415</v>
      </c>
      <c r="J1488" s="76">
        <v>924.74067</v>
      </c>
    </row>
    <row r="1489" spans="9:10">
      <c r="I1489" s="75" t="s">
        <v>530</v>
      </c>
      <c r="J1489" s="76">
        <v>929.8303</v>
      </c>
    </row>
    <row r="1490" spans="9:10">
      <c r="I1490" s="75" t="s">
        <v>4416</v>
      </c>
      <c r="J1490" s="76">
        <v>540.5813</v>
      </c>
    </row>
    <row r="1491" spans="9:10">
      <c r="I1491" s="75" t="s">
        <v>4417</v>
      </c>
      <c r="J1491" s="76">
        <v>51.903397</v>
      </c>
    </row>
    <row r="1492" spans="9:10">
      <c r="I1492" s="75" t="s">
        <v>4418</v>
      </c>
      <c r="J1492" s="76">
        <v>1236.5647</v>
      </c>
    </row>
    <row r="1493" spans="9:10">
      <c r="I1493" s="75" t="s">
        <v>633</v>
      </c>
      <c r="J1493" s="76">
        <v>1236.5647</v>
      </c>
    </row>
    <row r="1494" spans="9:10">
      <c r="I1494" s="75" t="s">
        <v>635</v>
      </c>
      <c r="J1494" s="76">
        <v>1378.3175</v>
      </c>
    </row>
    <row r="1495" spans="9:10">
      <c r="I1495" s="75" t="s">
        <v>4419</v>
      </c>
      <c r="J1495" s="76">
        <v>800.7629</v>
      </c>
    </row>
    <row r="1496" spans="9:10">
      <c r="I1496" s="75" t="s">
        <v>522</v>
      </c>
      <c r="J1496" s="76">
        <v>801.7149</v>
      </c>
    </row>
    <row r="1497" spans="9:10">
      <c r="I1497" s="75" t="s">
        <v>4420</v>
      </c>
      <c r="J1497" s="76">
        <v>1285.8188</v>
      </c>
    </row>
    <row r="1498" spans="9:10">
      <c r="I1498" s="75" t="s">
        <v>337</v>
      </c>
      <c r="J1498" s="76">
        <v>844.488141</v>
      </c>
    </row>
    <row r="1499" spans="9:10">
      <c r="I1499" s="75" t="s">
        <v>4421</v>
      </c>
      <c r="J1499" s="76">
        <v>1000.3021</v>
      </c>
    </row>
    <row r="1500" spans="9:10">
      <c r="I1500" s="75" t="s">
        <v>4422</v>
      </c>
      <c r="J1500" s="76">
        <v>412.93</v>
      </c>
    </row>
    <row r="1501" spans="9:10">
      <c r="I1501" s="75" t="s">
        <v>4423</v>
      </c>
      <c r="J1501" s="76">
        <v>412.93</v>
      </c>
    </row>
    <row r="1502" spans="9:10">
      <c r="I1502" s="75" t="s">
        <v>631</v>
      </c>
      <c r="J1502" s="76">
        <v>1222.2252</v>
      </c>
    </row>
    <row r="1503" spans="9:10">
      <c r="I1503" s="75" t="s">
        <v>4424</v>
      </c>
      <c r="J1503" s="76">
        <v>932.9124</v>
      </c>
    </row>
    <row r="1504" spans="9:10">
      <c r="I1504" s="75" t="s">
        <v>548</v>
      </c>
      <c r="J1504" s="76">
        <v>763.4445</v>
      </c>
    </row>
    <row r="1505" spans="9:10">
      <c r="I1505" s="75" t="s">
        <v>4425</v>
      </c>
      <c r="J1505" s="76">
        <v>1171.793</v>
      </c>
    </row>
    <row r="1506" spans="9:10">
      <c r="I1506" s="75" t="s">
        <v>541</v>
      </c>
      <c r="J1506" s="76">
        <v>900.1755</v>
      </c>
    </row>
    <row r="1507" spans="9:10">
      <c r="I1507" s="75" t="s">
        <v>4426</v>
      </c>
      <c r="J1507" s="76">
        <v>449.1655</v>
      </c>
    </row>
    <row r="1508" spans="9:10">
      <c r="I1508" s="75" t="s">
        <v>4427</v>
      </c>
      <c r="J1508" s="76">
        <v>1223.1177</v>
      </c>
    </row>
    <row r="1509" spans="9:10">
      <c r="I1509" s="75" t="s">
        <v>4428</v>
      </c>
      <c r="J1509" s="76">
        <v>1244.5258</v>
      </c>
    </row>
    <row r="1510" spans="9:10">
      <c r="I1510" s="75" t="s">
        <v>4429</v>
      </c>
      <c r="J1510" s="76">
        <v>946.2404</v>
      </c>
    </row>
    <row r="1511" spans="9:10">
      <c r="I1511" s="75" t="s">
        <v>533</v>
      </c>
      <c r="J1511" s="76">
        <v>1015.3437</v>
      </c>
    </row>
    <row r="1512" spans="9:10">
      <c r="I1512" s="75" t="s">
        <v>340</v>
      </c>
      <c r="J1512" s="76">
        <v>844.488141</v>
      </c>
    </row>
    <row r="1513" spans="9:10">
      <c r="I1513" s="75" t="s">
        <v>4430</v>
      </c>
      <c r="J1513" s="76">
        <v>836.7961</v>
      </c>
    </row>
    <row r="1514" spans="9:10">
      <c r="I1514" s="75" t="s">
        <v>4431</v>
      </c>
      <c r="J1514" s="76">
        <v>750.8186</v>
      </c>
    </row>
    <row r="1515" spans="9:10">
      <c r="I1515" s="75" t="s">
        <v>4432</v>
      </c>
      <c r="J1515" s="76">
        <v>894.3088</v>
      </c>
    </row>
    <row r="1516" spans="9:10">
      <c r="I1516" s="75" t="s">
        <v>4433</v>
      </c>
      <c r="J1516" s="76">
        <v>739.4422</v>
      </c>
    </row>
    <row r="1517" spans="9:10">
      <c r="I1517" s="75" t="s">
        <v>4434</v>
      </c>
      <c r="J1517" s="76">
        <v>924.74067</v>
      </c>
    </row>
    <row r="1518" spans="9:10">
      <c r="I1518" s="75" t="s">
        <v>767</v>
      </c>
      <c r="J1518" s="76">
        <v>3184.13417</v>
      </c>
    </row>
    <row r="1519" spans="9:10">
      <c r="I1519" s="75" t="s">
        <v>4435</v>
      </c>
      <c r="J1519" s="76">
        <v>888.0375</v>
      </c>
    </row>
    <row r="1520" spans="9:10">
      <c r="I1520" s="75" t="s">
        <v>528</v>
      </c>
      <c r="J1520" s="76">
        <v>800.7629</v>
      </c>
    </row>
    <row r="1521" spans="9:10">
      <c r="I1521" s="75" t="s">
        <v>4436</v>
      </c>
      <c r="J1521" s="76">
        <v>100.678641</v>
      </c>
    </row>
    <row r="1522" spans="9:10">
      <c r="I1522" s="75" t="s">
        <v>4437</v>
      </c>
      <c r="J1522" s="76">
        <v>36.828953</v>
      </c>
    </row>
    <row r="1523" spans="9:10">
      <c r="I1523" s="75" t="s">
        <v>118</v>
      </c>
      <c r="J1523" s="76">
        <v>448.4396</v>
      </c>
    </row>
    <row r="1524" spans="9:10">
      <c r="I1524" s="75" t="s">
        <v>109</v>
      </c>
      <c r="J1524" s="76">
        <v>380.1812</v>
      </c>
    </row>
    <row r="1525" spans="9:10">
      <c r="I1525" s="75" t="s">
        <v>105</v>
      </c>
      <c r="J1525" s="76">
        <v>403.2434</v>
      </c>
    </row>
    <row r="1526" spans="9:10">
      <c r="I1526" s="75" t="s">
        <v>417</v>
      </c>
      <c r="J1526" s="76">
        <v>821.7783</v>
      </c>
    </row>
    <row r="1527" spans="9:10">
      <c r="I1527" s="75" t="s">
        <v>4438</v>
      </c>
      <c r="J1527" s="76">
        <v>864.258444</v>
      </c>
    </row>
    <row r="1528" spans="9:10">
      <c r="I1528" s="75" t="s">
        <v>552</v>
      </c>
      <c r="J1528" s="76">
        <v>902.1747</v>
      </c>
    </row>
    <row r="1529" spans="9:10">
      <c r="I1529" s="75" t="s">
        <v>4439</v>
      </c>
      <c r="J1529" s="76">
        <v>984.4989</v>
      </c>
    </row>
    <row r="1530" spans="9:10">
      <c r="I1530" s="75" t="s">
        <v>4440</v>
      </c>
      <c r="J1530" s="76">
        <v>944.3483</v>
      </c>
    </row>
    <row r="1531" spans="9:10">
      <c r="I1531" s="75" t="s">
        <v>649</v>
      </c>
      <c r="J1531" s="76">
        <v>414.1676</v>
      </c>
    </row>
    <row r="1532" spans="9:10">
      <c r="I1532" s="75" t="s">
        <v>4441</v>
      </c>
      <c r="J1532" s="76">
        <v>774.4282</v>
      </c>
    </row>
    <row r="1533" spans="9:10">
      <c r="I1533" s="75" t="s">
        <v>4442</v>
      </c>
      <c r="J1533" s="76">
        <v>779.6285</v>
      </c>
    </row>
    <row r="1534" spans="9:10">
      <c r="I1534" s="75" t="s">
        <v>4443</v>
      </c>
      <c r="J1534" s="76">
        <v>450.3079</v>
      </c>
    </row>
    <row r="1535" spans="9:10">
      <c r="I1535" s="75" t="s">
        <v>4444</v>
      </c>
      <c r="J1535" s="76">
        <v>810.0449</v>
      </c>
    </row>
    <row r="1536" spans="9:10">
      <c r="I1536" s="75" t="s">
        <v>4445</v>
      </c>
      <c r="J1536" s="76">
        <v>803.25</v>
      </c>
    </row>
    <row r="1537" spans="9:10">
      <c r="I1537" s="75" t="s">
        <v>4446</v>
      </c>
      <c r="J1537" s="76">
        <v>697.7446</v>
      </c>
    </row>
    <row r="1538" spans="9:10">
      <c r="I1538" s="75" t="s">
        <v>4447</v>
      </c>
      <c r="J1538" s="76">
        <v>697.7446</v>
      </c>
    </row>
    <row r="1539" spans="9:10">
      <c r="I1539" s="75" t="s">
        <v>4448</v>
      </c>
      <c r="J1539" s="76">
        <v>1226.9495</v>
      </c>
    </row>
    <row r="1540" spans="9:10">
      <c r="I1540" s="75" t="s">
        <v>4449</v>
      </c>
      <c r="J1540" s="76">
        <v>1179.9207</v>
      </c>
    </row>
    <row r="1541" spans="9:10">
      <c r="I1541" s="75" t="s">
        <v>4450</v>
      </c>
      <c r="J1541" s="76">
        <v>293.710683</v>
      </c>
    </row>
    <row r="1542" spans="9:10">
      <c r="I1542" s="75" t="s">
        <v>4451</v>
      </c>
      <c r="J1542" s="76">
        <v>933.3884</v>
      </c>
    </row>
    <row r="1543" spans="9:10">
      <c r="I1543" s="75" t="s">
        <v>529</v>
      </c>
      <c r="J1543" s="76">
        <v>799.3706</v>
      </c>
    </row>
    <row r="1544" spans="9:10">
      <c r="I1544" s="75" t="s">
        <v>4452</v>
      </c>
      <c r="J1544" s="76">
        <v>954.5585</v>
      </c>
    </row>
    <row r="1545" spans="9:10">
      <c r="I1545" s="75" t="s">
        <v>454</v>
      </c>
      <c r="J1545" s="76">
        <v>531.4421</v>
      </c>
    </row>
    <row r="1546" spans="9:10">
      <c r="I1546" s="75" t="s">
        <v>4453</v>
      </c>
      <c r="J1546" s="76">
        <v>803.4285</v>
      </c>
    </row>
    <row r="1547" spans="9:10">
      <c r="I1547" s="75" t="s">
        <v>4454</v>
      </c>
      <c r="J1547" s="76">
        <v>813.0794</v>
      </c>
    </row>
    <row r="1548" spans="9:10">
      <c r="I1548" s="75" t="s">
        <v>4455</v>
      </c>
      <c r="J1548" s="76">
        <v>997.8031</v>
      </c>
    </row>
    <row r="1549" spans="9:10">
      <c r="I1549" s="75" t="s">
        <v>536</v>
      </c>
      <c r="J1549" s="76">
        <v>789.2913</v>
      </c>
    </row>
    <row r="1550" spans="9:10">
      <c r="I1550" s="75" t="s">
        <v>4456</v>
      </c>
      <c r="J1550" s="76">
        <v>810.6042</v>
      </c>
    </row>
    <row r="1551" spans="9:10">
      <c r="I1551" s="75" t="s">
        <v>4457</v>
      </c>
      <c r="J1551" s="76">
        <v>916.5142</v>
      </c>
    </row>
    <row r="1552" spans="9:10">
      <c r="I1552" s="75" t="s">
        <v>554</v>
      </c>
      <c r="J1552" s="76">
        <v>760.7194</v>
      </c>
    </row>
    <row r="1553" spans="9:10">
      <c r="I1553" s="75" t="s">
        <v>555</v>
      </c>
      <c r="J1553" s="76">
        <v>776.5583</v>
      </c>
    </row>
    <row r="1554" spans="9:10">
      <c r="I1554" s="75" t="s">
        <v>4458</v>
      </c>
      <c r="J1554" s="76">
        <v>529.1335</v>
      </c>
    </row>
    <row r="1555" spans="9:10">
      <c r="I1555" s="75" t="s">
        <v>4459</v>
      </c>
      <c r="J1555" s="76">
        <v>529.1335</v>
      </c>
    </row>
    <row r="1556" spans="9:10">
      <c r="I1556" s="75" t="s">
        <v>322</v>
      </c>
      <c r="J1556" s="76">
        <v>879.498179</v>
      </c>
    </row>
    <row r="1557" spans="9:10">
      <c r="I1557" s="75" t="s">
        <v>521</v>
      </c>
      <c r="J1557" s="76">
        <v>689.01</v>
      </c>
    </row>
    <row r="1558" spans="9:10">
      <c r="I1558" s="75" t="s">
        <v>4460</v>
      </c>
      <c r="J1558" s="76">
        <v>689.01</v>
      </c>
    </row>
    <row r="1559" spans="9:10">
      <c r="I1559" s="75" t="s">
        <v>4461</v>
      </c>
      <c r="J1559" s="76">
        <v>1172.3523</v>
      </c>
    </row>
    <row r="1560" spans="9:10">
      <c r="I1560" s="75" t="s">
        <v>325</v>
      </c>
      <c r="J1560" s="76">
        <v>865.393585</v>
      </c>
    </row>
    <row r="1561" spans="9:10">
      <c r="I1561" s="75" t="s">
        <v>4462</v>
      </c>
      <c r="J1561" s="76">
        <v>412.087242</v>
      </c>
    </row>
    <row r="1562" spans="9:10">
      <c r="I1562" s="75" t="s">
        <v>4463</v>
      </c>
      <c r="J1562" s="76">
        <v>364.156779</v>
      </c>
    </row>
    <row r="1563" spans="9:10">
      <c r="I1563" s="75" t="s">
        <v>4464</v>
      </c>
      <c r="J1563" s="76">
        <v>294.186564</v>
      </c>
    </row>
    <row r="1564" spans="9:10">
      <c r="I1564" s="75" t="s">
        <v>4465</v>
      </c>
      <c r="J1564" s="76">
        <v>294.186564</v>
      </c>
    </row>
    <row r="1565" spans="9:10">
      <c r="I1565" s="75" t="s">
        <v>4466</v>
      </c>
      <c r="J1565" s="76">
        <v>294.186564</v>
      </c>
    </row>
    <row r="1566" spans="9:10">
      <c r="I1566" s="75" t="s">
        <v>4467</v>
      </c>
      <c r="J1566" s="76">
        <v>951.167</v>
      </c>
    </row>
    <row r="1567" spans="9:10">
      <c r="I1567" s="75" t="s">
        <v>437</v>
      </c>
      <c r="J1567" s="76">
        <v>466.9322</v>
      </c>
    </row>
    <row r="1568" spans="9:10">
      <c r="I1568" s="75" t="s">
        <v>4468</v>
      </c>
      <c r="J1568" s="76">
        <v>1300.0988</v>
      </c>
    </row>
    <row r="1569" spans="9:10">
      <c r="I1569" s="75" t="s">
        <v>4469</v>
      </c>
      <c r="J1569" s="76">
        <v>1288.8295</v>
      </c>
    </row>
    <row r="1570" spans="9:10">
      <c r="I1570" s="75" t="s">
        <v>4470</v>
      </c>
      <c r="J1570" s="76">
        <v>741.1915</v>
      </c>
    </row>
    <row r="1571" spans="9:10">
      <c r="I1571" s="75" t="s">
        <v>4471</v>
      </c>
      <c r="J1571" s="76">
        <v>1226.9495</v>
      </c>
    </row>
    <row r="1572" spans="9:10">
      <c r="I1572" s="75" t="s">
        <v>332</v>
      </c>
      <c r="J1572" s="76">
        <v>924.74067</v>
      </c>
    </row>
    <row r="1573" spans="9:10">
      <c r="I1573" s="75" t="s">
        <v>4472</v>
      </c>
      <c r="J1573" s="76">
        <v>1175.6843</v>
      </c>
    </row>
    <row r="1574" spans="9:10">
      <c r="I1574" s="75" t="s">
        <v>568</v>
      </c>
      <c r="J1574" s="76">
        <v>1172.3523</v>
      </c>
    </row>
    <row r="1575" spans="9:10">
      <c r="I1575" s="75" t="s">
        <v>336</v>
      </c>
      <c r="J1575" s="76">
        <v>844.488141</v>
      </c>
    </row>
    <row r="1576" spans="9:10">
      <c r="I1576" s="75" t="s">
        <v>593</v>
      </c>
      <c r="J1576" s="76">
        <v>856.0265</v>
      </c>
    </row>
    <row r="1577" spans="9:10">
      <c r="I1577" s="75" t="s">
        <v>4473</v>
      </c>
      <c r="J1577" s="76">
        <v>56.54285</v>
      </c>
    </row>
    <row r="1578" spans="9:10">
      <c r="I1578" s="75" t="s">
        <v>4474</v>
      </c>
      <c r="J1578" s="76">
        <v>377.329722</v>
      </c>
    </row>
    <row r="1579" spans="9:10">
      <c r="I1579" s="75" t="s">
        <v>531</v>
      </c>
      <c r="J1579" s="76">
        <v>778.5218</v>
      </c>
    </row>
    <row r="1580" spans="9:10">
      <c r="I1580" s="75" t="s">
        <v>4475</v>
      </c>
      <c r="J1580" s="76">
        <v>512.4378</v>
      </c>
    </row>
    <row r="1581" spans="9:10">
      <c r="I1581" s="75" t="s">
        <v>4476</v>
      </c>
      <c r="J1581" s="76">
        <v>77.415</v>
      </c>
    </row>
    <row r="1582" spans="9:10">
      <c r="I1582" s="75" t="s">
        <v>4477</v>
      </c>
      <c r="J1582" s="76">
        <v>1146.6245</v>
      </c>
    </row>
    <row r="1583" spans="9:10">
      <c r="I1583" s="75" t="s">
        <v>587</v>
      </c>
      <c r="J1583" s="76">
        <v>998.2196</v>
      </c>
    </row>
    <row r="1584" spans="9:10">
      <c r="I1584" s="75" t="s">
        <v>4478</v>
      </c>
      <c r="J1584" s="76">
        <v>405.369692</v>
      </c>
    </row>
    <row r="1585" spans="9:10">
      <c r="I1585" s="75" t="s">
        <v>4479</v>
      </c>
      <c r="J1585" s="76">
        <v>933.3884</v>
      </c>
    </row>
    <row r="1586" spans="9:10">
      <c r="I1586" s="75" t="s">
        <v>319</v>
      </c>
      <c r="J1586" s="76">
        <v>847.310821</v>
      </c>
    </row>
    <row r="1587" spans="9:10">
      <c r="I1587" s="75" t="s">
        <v>4480</v>
      </c>
      <c r="J1587" s="76">
        <v>933.3884</v>
      </c>
    </row>
    <row r="1588" spans="9:10">
      <c r="I1588" s="75" t="s">
        <v>4481</v>
      </c>
      <c r="J1588" s="76">
        <v>1028.2433</v>
      </c>
    </row>
    <row r="1589" spans="9:10">
      <c r="I1589" s="75" t="s">
        <v>4482</v>
      </c>
      <c r="J1589" s="76">
        <v>779.6285</v>
      </c>
    </row>
    <row r="1590" spans="9:10">
      <c r="I1590" s="75" t="s">
        <v>393</v>
      </c>
      <c r="J1590" s="76">
        <v>767.7999</v>
      </c>
    </row>
    <row r="1591" spans="9:10">
      <c r="I1591" s="75" t="s">
        <v>4483</v>
      </c>
      <c r="J1591" s="76">
        <v>1179.9207</v>
      </c>
    </row>
    <row r="1592" spans="9:10">
      <c r="I1592" s="75" t="s">
        <v>4484</v>
      </c>
      <c r="J1592" s="76">
        <v>1028.2433</v>
      </c>
    </row>
    <row r="1593" spans="9:10">
      <c r="I1593" s="75" t="s">
        <v>4485</v>
      </c>
      <c r="J1593" s="76">
        <v>1234.387</v>
      </c>
    </row>
    <row r="1594" spans="9:10">
      <c r="I1594" s="75" t="s">
        <v>4486</v>
      </c>
      <c r="J1594" s="76">
        <v>356.493893</v>
      </c>
    </row>
    <row r="1595" spans="9:10">
      <c r="I1595" s="75" t="s">
        <v>532</v>
      </c>
      <c r="J1595" s="76">
        <v>859.9654</v>
      </c>
    </row>
    <row r="1596" spans="9:10">
      <c r="I1596" s="75" t="s">
        <v>640</v>
      </c>
      <c r="J1596" s="76">
        <v>1288.8295</v>
      </c>
    </row>
    <row r="1597" spans="9:10">
      <c r="I1597" s="75" t="s">
        <v>4487</v>
      </c>
      <c r="J1597" s="76">
        <v>1300.0988</v>
      </c>
    </row>
    <row r="1598" spans="9:10">
      <c r="I1598" s="75" t="s">
        <v>464</v>
      </c>
      <c r="J1598" s="76">
        <v>783.496</v>
      </c>
    </row>
    <row r="1599" spans="9:10">
      <c r="I1599" s="75" t="s">
        <v>4488</v>
      </c>
      <c r="J1599" s="76">
        <v>783.496</v>
      </c>
    </row>
    <row r="1600" spans="9:10">
      <c r="I1600" s="75" t="s">
        <v>4489</v>
      </c>
      <c r="J1600" s="76">
        <v>1229.3057</v>
      </c>
    </row>
    <row r="1601" spans="9:10">
      <c r="I1601" s="75" t="s">
        <v>4490</v>
      </c>
      <c r="J1601" s="76">
        <v>1177.1718</v>
      </c>
    </row>
    <row r="1602" spans="9:10">
      <c r="I1602" s="75" t="s">
        <v>321</v>
      </c>
      <c r="J1602" s="76">
        <v>884.404073</v>
      </c>
    </row>
    <row r="1603" spans="9:10">
      <c r="I1603" s="75" t="s">
        <v>4491</v>
      </c>
      <c r="J1603" s="76">
        <v>465.7303</v>
      </c>
    </row>
    <row r="1604" spans="9:10">
      <c r="I1604" s="75" t="s">
        <v>4492</v>
      </c>
      <c r="J1604" s="76">
        <v>779.6285</v>
      </c>
    </row>
    <row r="1605" spans="9:10">
      <c r="I1605" s="75" t="s">
        <v>4493</v>
      </c>
      <c r="J1605" s="76">
        <v>1263.8633</v>
      </c>
    </row>
    <row r="1606" spans="9:10">
      <c r="I1606" s="75" t="s">
        <v>344</v>
      </c>
      <c r="J1606" s="76">
        <v>371.785274</v>
      </c>
    </row>
    <row r="1607" spans="9:10">
      <c r="I1607" s="75" t="s">
        <v>4494</v>
      </c>
      <c r="J1607" s="76">
        <v>403.895401</v>
      </c>
    </row>
    <row r="1608" spans="9:10">
      <c r="I1608" s="75" t="s">
        <v>4495</v>
      </c>
      <c r="J1608" s="76">
        <v>830.949154</v>
      </c>
    </row>
    <row r="1609" spans="9:10">
      <c r="I1609" s="75" t="s">
        <v>4496</v>
      </c>
      <c r="J1609" s="76">
        <v>903.900914</v>
      </c>
    </row>
    <row r="1610" spans="9:10">
      <c r="I1610" s="75" t="s">
        <v>320</v>
      </c>
      <c r="J1610" s="76">
        <v>911.754438</v>
      </c>
    </row>
    <row r="1611" spans="9:10">
      <c r="I1611" s="75" t="s">
        <v>4497</v>
      </c>
      <c r="J1611" s="76">
        <v>1039.945879</v>
      </c>
    </row>
    <row r="1612" spans="9:10">
      <c r="I1612" s="75" t="s">
        <v>139</v>
      </c>
      <c r="J1612" s="76">
        <v>707.931</v>
      </c>
    </row>
    <row r="1613" spans="9:10">
      <c r="I1613" s="75" t="s">
        <v>496</v>
      </c>
      <c r="J1613" s="76">
        <v>839.2475</v>
      </c>
    </row>
    <row r="1614" spans="9:10">
      <c r="I1614" s="75" t="s">
        <v>4498</v>
      </c>
      <c r="J1614" s="76">
        <v>927.094847</v>
      </c>
    </row>
    <row r="1615" spans="9:10">
      <c r="I1615" s="75" t="s">
        <v>4499</v>
      </c>
      <c r="J1615" s="76">
        <v>741.1915</v>
      </c>
    </row>
    <row r="1616" spans="9:10">
      <c r="I1616" s="75" t="s">
        <v>4500</v>
      </c>
      <c r="J1616" s="76">
        <v>810.6042</v>
      </c>
    </row>
    <row r="1617" spans="9:10">
      <c r="I1617" s="75" t="s">
        <v>4501</v>
      </c>
      <c r="J1617" s="76">
        <v>810.6042</v>
      </c>
    </row>
    <row r="1618" spans="9:10">
      <c r="I1618" s="75" t="s">
        <v>4502</v>
      </c>
      <c r="J1618" s="76">
        <v>1146.1961</v>
      </c>
    </row>
    <row r="1619" spans="9:10">
      <c r="I1619" s="75" t="s">
        <v>644</v>
      </c>
      <c r="J1619" s="76">
        <v>1300.0988</v>
      </c>
    </row>
    <row r="1620" spans="9:10">
      <c r="I1620" s="75" t="s">
        <v>324</v>
      </c>
      <c r="J1620" s="76">
        <v>850.015691</v>
      </c>
    </row>
    <row r="1621" spans="9:10">
      <c r="I1621" s="75" t="s">
        <v>4503</v>
      </c>
      <c r="J1621" s="76">
        <v>854.0511</v>
      </c>
    </row>
    <row r="1622" spans="9:10">
      <c r="I1622" s="75" t="s">
        <v>478</v>
      </c>
      <c r="J1622" s="76">
        <v>741.1915</v>
      </c>
    </row>
    <row r="1623" spans="9:10">
      <c r="I1623" s="75" t="s">
        <v>4504</v>
      </c>
      <c r="J1623" s="76">
        <v>1225.8309</v>
      </c>
    </row>
    <row r="1624" spans="9:10">
      <c r="I1624" s="75" t="s">
        <v>4505</v>
      </c>
      <c r="J1624" s="76">
        <v>799.3706</v>
      </c>
    </row>
    <row r="1625" spans="9:10">
      <c r="I1625" s="75" t="s">
        <v>4506</v>
      </c>
      <c r="J1625" s="76">
        <v>440.3595</v>
      </c>
    </row>
    <row r="1626" spans="9:10">
      <c r="I1626" s="75" t="s">
        <v>4507</v>
      </c>
      <c r="J1626" s="76">
        <v>1225.8309</v>
      </c>
    </row>
    <row r="1627" spans="9:10">
      <c r="I1627" s="75" t="s">
        <v>4508</v>
      </c>
      <c r="J1627" s="76">
        <v>1146.1961</v>
      </c>
    </row>
    <row r="1628" spans="9:10">
      <c r="I1628" s="75" t="s">
        <v>327</v>
      </c>
      <c r="J1628" s="76">
        <v>1039.945879</v>
      </c>
    </row>
    <row r="1629" spans="9:10">
      <c r="I1629" s="75" t="s">
        <v>4509</v>
      </c>
      <c r="J1629" s="76">
        <v>356.493893</v>
      </c>
    </row>
    <row r="1630" spans="9:10">
      <c r="I1630" s="75" t="s">
        <v>4510</v>
      </c>
      <c r="J1630" s="76">
        <v>859.9654</v>
      </c>
    </row>
    <row r="1631" spans="9:10">
      <c r="I1631" s="75" t="s">
        <v>4511</v>
      </c>
      <c r="J1631" s="76">
        <v>923.8208</v>
      </c>
    </row>
    <row r="1632" spans="9:10">
      <c r="I1632" s="75" t="s">
        <v>652</v>
      </c>
      <c r="J1632" s="76">
        <v>445.7978</v>
      </c>
    </row>
    <row r="1633" spans="9:10">
      <c r="I1633" s="75" t="s">
        <v>4512</v>
      </c>
      <c r="J1633" s="76">
        <v>1175.6843</v>
      </c>
    </row>
    <row r="1634" spans="9:10">
      <c r="I1634" s="75" t="s">
        <v>4513</v>
      </c>
      <c r="J1634" s="76">
        <v>1225.8309</v>
      </c>
    </row>
    <row r="1635" spans="9:10">
      <c r="I1635" s="75" t="s">
        <v>348</v>
      </c>
      <c r="J1635" s="76">
        <v>405.369692</v>
      </c>
    </row>
    <row r="1636" spans="9:10">
      <c r="I1636" s="75" t="s">
        <v>597</v>
      </c>
      <c r="J1636" s="76">
        <v>923.8208</v>
      </c>
    </row>
    <row r="1637" spans="9:10">
      <c r="I1637" s="75" t="s">
        <v>4514</v>
      </c>
      <c r="J1637" s="76">
        <v>948.9179</v>
      </c>
    </row>
    <row r="1638" spans="9:10">
      <c r="I1638" s="75" t="s">
        <v>4515</v>
      </c>
      <c r="J1638" s="76">
        <v>1186.6204</v>
      </c>
    </row>
    <row r="1639" spans="9:10">
      <c r="I1639" s="75" t="s">
        <v>4516</v>
      </c>
      <c r="J1639" s="76">
        <v>854.0511</v>
      </c>
    </row>
    <row r="1640" spans="9:10">
      <c r="I1640" s="75" t="s">
        <v>4517</v>
      </c>
      <c r="J1640" s="76">
        <v>898.1882</v>
      </c>
    </row>
    <row r="1641" spans="9:10">
      <c r="I1641" s="75" t="s">
        <v>606</v>
      </c>
      <c r="J1641" s="76">
        <v>898.1882</v>
      </c>
    </row>
    <row r="1642" spans="9:10">
      <c r="I1642" s="75" t="s">
        <v>4518</v>
      </c>
      <c r="J1642" s="76">
        <v>1197.8897</v>
      </c>
    </row>
    <row r="1643" spans="9:10">
      <c r="I1643" s="75" t="s">
        <v>4519</v>
      </c>
      <c r="J1643" s="76">
        <v>776.5583</v>
      </c>
    </row>
    <row r="1644" spans="9:10">
      <c r="I1644" s="75" t="s">
        <v>4520</v>
      </c>
      <c r="J1644" s="76">
        <v>1186.6204</v>
      </c>
    </row>
    <row r="1645" spans="9:10">
      <c r="I1645" s="75" t="s">
        <v>769</v>
      </c>
      <c r="J1645" s="76">
        <v>1837.230528</v>
      </c>
    </row>
    <row r="1646" spans="9:10">
      <c r="I1646" s="75" t="s">
        <v>551</v>
      </c>
      <c r="J1646" s="76">
        <v>954.5585</v>
      </c>
    </row>
    <row r="1647" spans="9:10">
      <c r="I1647" s="75" t="s">
        <v>114</v>
      </c>
      <c r="J1647" s="76">
        <v>437.6939</v>
      </c>
    </row>
    <row r="1648" spans="9:10">
      <c r="I1648" s="75" t="s">
        <v>4521</v>
      </c>
      <c r="J1648" s="76">
        <v>1175.6843</v>
      </c>
    </row>
    <row r="1649" spans="9:10">
      <c r="I1649" s="75" t="s">
        <v>4522</v>
      </c>
      <c r="J1649" s="76">
        <v>944.3483</v>
      </c>
    </row>
    <row r="1650" spans="9:10">
      <c r="I1650" s="75" t="s">
        <v>4523</v>
      </c>
      <c r="J1650" s="76">
        <v>944.3483</v>
      </c>
    </row>
    <row r="1651" spans="9:10">
      <c r="I1651" s="75" t="s">
        <v>612</v>
      </c>
      <c r="J1651" s="76">
        <v>944.3483</v>
      </c>
    </row>
    <row r="1652" spans="9:10">
      <c r="I1652" s="75" t="s">
        <v>4524</v>
      </c>
      <c r="J1652" s="76">
        <v>461.958</v>
      </c>
    </row>
    <row r="1653" spans="9:10">
      <c r="I1653" s="75" t="s">
        <v>470</v>
      </c>
      <c r="J1653" s="76">
        <v>792.3258</v>
      </c>
    </row>
    <row r="1654" spans="9:10">
      <c r="I1654" s="75" t="s">
        <v>4525</v>
      </c>
      <c r="J1654" s="76">
        <v>293.710683</v>
      </c>
    </row>
    <row r="1655" spans="9:10">
      <c r="I1655" s="75" t="s">
        <v>4526</v>
      </c>
      <c r="J1655" s="76">
        <v>799.3706</v>
      </c>
    </row>
    <row r="1656" spans="9:10">
      <c r="I1656" s="75" t="s">
        <v>4527</v>
      </c>
      <c r="J1656" s="76">
        <v>998.2196</v>
      </c>
    </row>
    <row r="1657" spans="9:10">
      <c r="I1657" s="75" t="s">
        <v>4528</v>
      </c>
      <c r="J1657" s="76">
        <v>71.323483</v>
      </c>
    </row>
    <row r="1658" spans="9:10">
      <c r="I1658" s="75" t="s">
        <v>4529</v>
      </c>
      <c r="J1658" s="76">
        <v>927.094847</v>
      </c>
    </row>
    <row r="1659" spans="9:10">
      <c r="I1659" s="75" t="s">
        <v>4530</v>
      </c>
      <c r="J1659" s="76">
        <v>998.2196</v>
      </c>
    </row>
    <row r="1660" spans="9:10">
      <c r="I1660" s="75" t="s">
        <v>345</v>
      </c>
      <c r="J1660" s="76">
        <v>364.358841</v>
      </c>
    </row>
    <row r="1661" spans="9:10">
      <c r="I1661" s="75" t="s">
        <v>616</v>
      </c>
      <c r="J1661" s="76">
        <v>933.3884</v>
      </c>
    </row>
    <row r="1662" spans="9:10">
      <c r="I1662" s="75" t="s">
        <v>4531</v>
      </c>
      <c r="J1662" s="76">
        <v>883.0276</v>
      </c>
    </row>
    <row r="1663" spans="9:10">
      <c r="I1663" s="75" t="s">
        <v>4532</v>
      </c>
      <c r="J1663" s="76">
        <v>953.7136</v>
      </c>
    </row>
    <row r="1664" spans="9:10">
      <c r="I1664" s="75" t="s">
        <v>4533</v>
      </c>
      <c r="J1664" s="76">
        <v>450.1651</v>
      </c>
    </row>
    <row r="1665" spans="9:10">
      <c r="I1665" s="75" t="s">
        <v>4534</v>
      </c>
      <c r="J1665" s="76">
        <v>831.1317</v>
      </c>
    </row>
    <row r="1666" spans="9:10">
      <c r="I1666" s="75" t="s">
        <v>4535</v>
      </c>
      <c r="J1666" s="76">
        <v>902.1747</v>
      </c>
    </row>
    <row r="1667" spans="9:10">
      <c r="I1667" s="75" t="s">
        <v>4536</v>
      </c>
      <c r="J1667" s="76">
        <v>1018.330243</v>
      </c>
    </row>
    <row r="1668" spans="9:10">
      <c r="I1668" s="75" t="s">
        <v>4537</v>
      </c>
      <c r="J1668" s="76">
        <v>95.850454</v>
      </c>
    </row>
    <row r="1669" spans="9:10">
      <c r="I1669" s="75" t="s">
        <v>525</v>
      </c>
      <c r="J1669" s="76">
        <v>954.5109</v>
      </c>
    </row>
    <row r="1670" spans="9:10">
      <c r="I1670" s="75" t="s">
        <v>4538</v>
      </c>
      <c r="J1670" s="76">
        <v>464.35</v>
      </c>
    </row>
    <row r="1671" spans="9:10">
      <c r="I1671" s="75" t="s">
        <v>347</v>
      </c>
      <c r="J1671" s="76">
        <v>405.369692</v>
      </c>
    </row>
    <row r="1672" spans="9:10">
      <c r="I1672" s="75" t="s">
        <v>4539</v>
      </c>
      <c r="J1672" s="76">
        <v>1234.387</v>
      </c>
    </row>
    <row r="1673" spans="9:10">
      <c r="I1673" s="75" t="s">
        <v>4540</v>
      </c>
      <c r="J1673" s="76">
        <v>1234.387</v>
      </c>
    </row>
    <row r="1674" spans="9:10">
      <c r="I1674" s="75" t="s">
        <v>4541</v>
      </c>
      <c r="J1674" s="76">
        <v>464.3499</v>
      </c>
    </row>
    <row r="1675" spans="9:10">
      <c r="I1675" s="75" t="s">
        <v>611</v>
      </c>
      <c r="J1675" s="76">
        <v>1073.2848</v>
      </c>
    </row>
    <row r="1676" spans="9:10">
      <c r="I1676" s="75" t="s">
        <v>4542</v>
      </c>
      <c r="J1676" s="76">
        <v>1073.2848</v>
      </c>
    </row>
    <row r="1677" spans="9:10">
      <c r="I1677" s="75" t="s">
        <v>4543</v>
      </c>
      <c r="J1677" s="76">
        <v>954.5585</v>
      </c>
    </row>
    <row r="1678" spans="9:10">
      <c r="I1678" s="75" t="s">
        <v>330</v>
      </c>
      <c r="J1678" s="76">
        <v>927.094847</v>
      </c>
    </row>
    <row r="1679" spans="9:10">
      <c r="I1679" s="75" t="s">
        <v>546</v>
      </c>
      <c r="J1679" s="76">
        <v>760.7194</v>
      </c>
    </row>
    <row r="1680" spans="9:10">
      <c r="I1680" s="75" t="s">
        <v>4544</v>
      </c>
      <c r="J1680" s="76">
        <v>861.406371</v>
      </c>
    </row>
    <row r="1681" spans="9:10">
      <c r="I1681" s="75" t="s">
        <v>4545</v>
      </c>
      <c r="J1681" s="76">
        <v>2933.083202</v>
      </c>
    </row>
    <row r="1682" spans="9:10">
      <c r="I1682" s="75" t="s">
        <v>543</v>
      </c>
      <c r="J1682" s="76">
        <v>760.7194</v>
      </c>
    </row>
    <row r="1683" spans="9:10">
      <c r="I1683" s="75" t="s">
        <v>364</v>
      </c>
      <c r="J1683" s="76">
        <v>750.2593</v>
      </c>
    </row>
    <row r="1684" spans="9:10">
      <c r="I1684" s="75" t="s">
        <v>4546</v>
      </c>
      <c r="J1684" s="76">
        <v>1028.2433</v>
      </c>
    </row>
    <row r="1685" spans="9:10">
      <c r="I1685" s="75" t="s">
        <v>4547</v>
      </c>
      <c r="J1685" s="76">
        <v>450.1651</v>
      </c>
    </row>
    <row r="1686" spans="9:10">
      <c r="I1686" s="75" t="s">
        <v>4548</v>
      </c>
      <c r="J1686" s="76">
        <v>356.493893</v>
      </c>
    </row>
    <row r="1687" spans="9:10">
      <c r="I1687" s="75" t="s">
        <v>4549</v>
      </c>
      <c r="J1687" s="76">
        <v>738.0499</v>
      </c>
    </row>
    <row r="1688" spans="9:10">
      <c r="I1688" s="75" t="s">
        <v>4550</v>
      </c>
      <c r="J1688" s="76">
        <v>403.895401</v>
      </c>
    </row>
    <row r="1689" spans="9:10">
      <c r="I1689" s="75" t="s">
        <v>4551</v>
      </c>
      <c r="J1689" s="76">
        <v>59.343039</v>
      </c>
    </row>
    <row r="1690" spans="9:10">
      <c r="I1690" s="75" t="s">
        <v>608</v>
      </c>
      <c r="J1690" s="76">
        <v>1028.2433</v>
      </c>
    </row>
    <row r="1691" spans="9:10">
      <c r="I1691" s="75" t="s">
        <v>4552</v>
      </c>
      <c r="J1691" s="76">
        <v>923.8208</v>
      </c>
    </row>
    <row r="1692" spans="9:10">
      <c r="I1692" s="75" t="s">
        <v>4553</v>
      </c>
      <c r="J1692" s="76">
        <v>902.1747</v>
      </c>
    </row>
    <row r="1693" spans="9:10">
      <c r="I1693" s="75" t="s">
        <v>4554</v>
      </c>
      <c r="J1693" s="76">
        <v>3212.607419</v>
      </c>
    </row>
    <row r="1694" spans="9:10">
      <c r="I1694" s="75" t="s">
        <v>346</v>
      </c>
      <c r="J1694" s="76">
        <v>405.369692</v>
      </c>
    </row>
    <row r="1695" spans="9:10">
      <c r="I1695" s="75" t="s">
        <v>4555</v>
      </c>
      <c r="J1695" s="76">
        <v>998.2196</v>
      </c>
    </row>
    <row r="1696" spans="9:10">
      <c r="I1696" s="75" t="s">
        <v>4556</v>
      </c>
      <c r="J1696" s="76">
        <v>955.3796</v>
      </c>
    </row>
    <row r="1697" spans="9:10">
      <c r="I1697" s="75" t="s">
        <v>4557</v>
      </c>
      <c r="J1697" s="76">
        <v>364.358841</v>
      </c>
    </row>
    <row r="1698" spans="9:10">
      <c r="I1698" s="75" t="s">
        <v>4558</v>
      </c>
      <c r="J1698" s="76">
        <v>1042.2972</v>
      </c>
    </row>
    <row r="1699" spans="9:10">
      <c r="I1699" s="75" t="s">
        <v>4559</v>
      </c>
      <c r="J1699" s="76">
        <v>1073.2848</v>
      </c>
    </row>
    <row r="1700" spans="9:10">
      <c r="I1700" s="75" t="s">
        <v>4560</v>
      </c>
      <c r="J1700" s="76">
        <v>1028.2433</v>
      </c>
    </row>
    <row r="1701" spans="9:10">
      <c r="I1701" s="75" t="s">
        <v>4561</v>
      </c>
      <c r="J1701" s="76">
        <v>1028.2433</v>
      </c>
    </row>
    <row r="1702" spans="9:10">
      <c r="I1702" s="75" t="s">
        <v>4562</v>
      </c>
      <c r="J1702" s="76">
        <v>872.8293</v>
      </c>
    </row>
    <row r="1703" spans="9:10">
      <c r="I1703" s="75" t="s">
        <v>4563</v>
      </c>
      <c r="J1703" s="76">
        <v>953.7136</v>
      </c>
    </row>
    <row r="1704" spans="9:10">
      <c r="I1704" s="75" t="s">
        <v>4564</v>
      </c>
      <c r="J1704" s="76">
        <v>998.2196</v>
      </c>
    </row>
    <row r="1705" spans="9:10">
      <c r="I1705" s="75" t="s">
        <v>4565</v>
      </c>
      <c r="J1705" s="76">
        <v>423.3187</v>
      </c>
    </row>
    <row r="1706" spans="9:10">
      <c r="I1706" s="75" t="s">
        <v>4566</v>
      </c>
      <c r="J1706" s="76">
        <v>423.3187</v>
      </c>
    </row>
    <row r="1707" spans="9:10">
      <c r="I1707" s="75" t="s">
        <v>4567</v>
      </c>
      <c r="J1707" s="76">
        <v>442.6443</v>
      </c>
    </row>
    <row r="1708" spans="9:10">
      <c r="I1708" s="75" t="s">
        <v>4568</v>
      </c>
      <c r="J1708" s="76">
        <v>442.6443</v>
      </c>
    </row>
    <row r="1709" spans="9:10">
      <c r="I1709" s="75" t="s">
        <v>4569</v>
      </c>
      <c r="J1709" s="76">
        <v>798.7399</v>
      </c>
    </row>
    <row r="1710" spans="9:10">
      <c r="I1710" s="75" t="s">
        <v>4570</v>
      </c>
      <c r="J1710" s="76">
        <v>828.9302</v>
      </c>
    </row>
    <row r="1711" spans="9:10">
      <c r="I1711" s="75" t="s">
        <v>4571</v>
      </c>
      <c r="J1711" s="76">
        <v>782.9843</v>
      </c>
    </row>
    <row r="1712" spans="9:10">
      <c r="I1712" s="75" t="s">
        <v>4572</v>
      </c>
      <c r="J1712" s="76">
        <v>949.4058</v>
      </c>
    </row>
    <row r="1713" spans="9:10">
      <c r="I1713" s="75" t="s">
        <v>4573</v>
      </c>
      <c r="J1713" s="76">
        <v>854.0511</v>
      </c>
    </row>
    <row r="1714" spans="9:10">
      <c r="I1714" s="75" t="s">
        <v>502</v>
      </c>
      <c r="J1714" s="76">
        <v>703.2186</v>
      </c>
    </row>
    <row r="1715" spans="9:10">
      <c r="I1715" s="75" t="s">
        <v>4574</v>
      </c>
      <c r="J1715" s="76">
        <v>1028.2433</v>
      </c>
    </row>
    <row r="1716" spans="9:10">
      <c r="I1716" s="75" t="s">
        <v>363</v>
      </c>
      <c r="J1716" s="76">
        <v>707.7168</v>
      </c>
    </row>
    <row r="1717" spans="9:10">
      <c r="I1717" s="75" t="s">
        <v>501</v>
      </c>
      <c r="J1717" s="76">
        <v>689.9858</v>
      </c>
    </row>
    <row r="1718" spans="9:10">
      <c r="I1718" s="75" t="s">
        <v>618</v>
      </c>
      <c r="J1718" s="76">
        <v>933.3884</v>
      </c>
    </row>
    <row r="1719" spans="9:10">
      <c r="I1719" s="75" t="s">
        <v>610</v>
      </c>
      <c r="J1719" s="76">
        <v>1073.2848</v>
      </c>
    </row>
    <row r="1720" spans="9:10">
      <c r="I1720" s="75" t="s">
        <v>4575</v>
      </c>
      <c r="J1720" s="76">
        <v>160.757814</v>
      </c>
    </row>
    <row r="1721" spans="9:10">
      <c r="I1721" s="75" t="s">
        <v>4576</v>
      </c>
      <c r="J1721" s="76">
        <v>689.9858</v>
      </c>
    </row>
    <row r="1722" spans="9:10">
      <c r="I1722" s="75" t="s">
        <v>4577</v>
      </c>
      <c r="J1722" s="76">
        <v>707.7168</v>
      </c>
    </row>
    <row r="1723" spans="9:10">
      <c r="I1723" s="75" t="s">
        <v>4578</v>
      </c>
      <c r="J1723" s="76">
        <v>1039.945879</v>
      </c>
    </row>
    <row r="1724" spans="9:10">
      <c r="I1724" s="75" t="s">
        <v>4579</v>
      </c>
      <c r="J1724" s="76">
        <v>1028.2433</v>
      </c>
    </row>
    <row r="1725" spans="9:10">
      <c r="I1725" s="75" t="s">
        <v>4580</v>
      </c>
      <c r="J1725" s="76">
        <v>973.3486</v>
      </c>
    </row>
    <row r="1726" spans="9:10">
      <c r="I1726" s="75" t="s">
        <v>4581</v>
      </c>
      <c r="J1726" s="76">
        <v>429.2687</v>
      </c>
    </row>
    <row r="1727" spans="9:10">
      <c r="I1727" s="75" t="s">
        <v>4582</v>
      </c>
      <c r="J1727" s="76">
        <v>450.1651</v>
      </c>
    </row>
    <row r="1728" spans="9:10">
      <c r="I1728" s="75" t="s">
        <v>318</v>
      </c>
      <c r="J1728" s="76">
        <v>847.310821</v>
      </c>
    </row>
    <row r="1729" spans="9:10">
      <c r="I1729" s="75" t="s">
        <v>362</v>
      </c>
      <c r="J1729" s="76">
        <v>3212.607419</v>
      </c>
    </row>
    <row r="1730" spans="9:10">
      <c r="I1730" s="75" t="s">
        <v>323</v>
      </c>
      <c r="J1730" s="76">
        <v>850.015691</v>
      </c>
    </row>
    <row r="1731" spans="9:10">
      <c r="I1731" s="75" t="s">
        <v>614</v>
      </c>
      <c r="J1731" s="76">
        <v>997.8031</v>
      </c>
    </row>
    <row r="1732" spans="9:10">
      <c r="I1732" s="75" t="s">
        <v>4583</v>
      </c>
      <c r="J1732" s="76">
        <v>703.2186</v>
      </c>
    </row>
    <row r="1733" spans="9:10">
      <c r="I1733" s="75" t="s">
        <v>4584</v>
      </c>
      <c r="J1733" s="76">
        <v>1042.2972</v>
      </c>
    </row>
    <row r="1734" spans="9:10">
      <c r="I1734" s="75" t="s">
        <v>4585</v>
      </c>
      <c r="J1734" s="76">
        <v>872.8293</v>
      </c>
    </row>
    <row r="1735" spans="9:10">
      <c r="I1735" s="75" t="s">
        <v>588</v>
      </c>
      <c r="J1735" s="76">
        <v>953.7136</v>
      </c>
    </row>
    <row r="1736" spans="9:10">
      <c r="I1736" s="75" t="s">
        <v>4586</v>
      </c>
      <c r="J1736" s="76">
        <v>953.7136</v>
      </c>
    </row>
    <row r="1737" spans="9:10">
      <c r="I1737" s="75" t="s">
        <v>382</v>
      </c>
      <c r="J1737" s="76">
        <v>831.1317</v>
      </c>
    </row>
    <row r="1738" spans="9:10">
      <c r="I1738" s="75" t="s">
        <v>4587</v>
      </c>
      <c r="J1738" s="76">
        <v>1042.2972</v>
      </c>
    </row>
    <row r="1739" spans="9:10">
      <c r="I1739" s="75" t="s">
        <v>4588</v>
      </c>
      <c r="J1739" s="76">
        <v>1073.2848</v>
      </c>
    </row>
    <row r="1740" spans="9:10">
      <c r="I1740" s="75" t="s">
        <v>4589</v>
      </c>
      <c r="J1740" s="76">
        <v>1073.2848</v>
      </c>
    </row>
    <row r="1741" spans="9:10">
      <c r="I1741" s="75" t="s">
        <v>4590</v>
      </c>
      <c r="J1741" s="76">
        <v>447.6185</v>
      </c>
    </row>
    <row r="1742" spans="9:10">
      <c r="I1742" s="75" t="s">
        <v>4591</v>
      </c>
      <c r="J1742" s="76">
        <v>998.2434</v>
      </c>
    </row>
    <row r="1743" spans="9:10">
      <c r="I1743" s="75" t="s">
        <v>4592</v>
      </c>
      <c r="J1743" s="76">
        <v>425.068</v>
      </c>
    </row>
    <row r="1744" spans="9:10">
      <c r="I1744" s="75" t="s">
        <v>4593</v>
      </c>
      <c r="J1744" s="76">
        <v>439.6455</v>
      </c>
    </row>
    <row r="1745" spans="9:10">
      <c r="I1745" s="75" t="s">
        <v>4594</v>
      </c>
      <c r="J1745" s="76">
        <v>453.2353</v>
      </c>
    </row>
    <row r="1746" spans="9:10">
      <c r="I1746" s="75" t="s">
        <v>4595</v>
      </c>
      <c r="J1746" s="76">
        <v>403.895401</v>
      </c>
    </row>
    <row r="1747" spans="9:10">
      <c r="I1747" s="75" t="s">
        <v>353</v>
      </c>
      <c r="J1747" s="76">
        <v>369.758704</v>
      </c>
    </row>
    <row r="1748" spans="9:10">
      <c r="I1748" s="75" t="s">
        <v>4596</v>
      </c>
      <c r="J1748" s="76">
        <v>405.369692</v>
      </c>
    </row>
    <row r="1749" spans="9:10">
      <c r="I1749" s="75" t="s">
        <v>4597</v>
      </c>
      <c r="J1749" s="76">
        <v>1042.297</v>
      </c>
    </row>
    <row r="1750" spans="9:10">
      <c r="I1750" s="75" t="s">
        <v>4598</v>
      </c>
      <c r="J1750" s="76">
        <v>425.068</v>
      </c>
    </row>
    <row r="1751" spans="9:10">
      <c r="I1751" s="75" t="s">
        <v>4599</v>
      </c>
      <c r="J1751" s="76">
        <v>425.068</v>
      </c>
    </row>
    <row r="1752" spans="9:10">
      <c r="I1752" s="75" t="s">
        <v>4600</v>
      </c>
      <c r="J1752" s="76">
        <v>903.900914</v>
      </c>
    </row>
    <row r="1753" spans="9:10">
      <c r="I1753" s="75" t="s">
        <v>4601</v>
      </c>
      <c r="J1753" s="76">
        <v>1034.380606</v>
      </c>
    </row>
    <row r="1754" spans="9:10">
      <c r="I1754" s="75" t="s">
        <v>4602</v>
      </c>
      <c r="J1754" s="76">
        <v>1034.380606</v>
      </c>
    </row>
    <row r="1755" spans="9:10">
      <c r="I1755" s="75" t="s">
        <v>4603</v>
      </c>
      <c r="J1755" s="76">
        <v>1014.582338</v>
      </c>
    </row>
    <row r="1756" spans="9:10">
      <c r="I1756" s="75" t="s">
        <v>4604</v>
      </c>
      <c r="J1756" s="76">
        <v>371.785274</v>
      </c>
    </row>
    <row r="1757" spans="9:10">
      <c r="I1757" s="75" t="s">
        <v>4605</v>
      </c>
      <c r="J1757" s="76">
        <v>288.328075</v>
      </c>
    </row>
    <row r="1758" spans="9:10">
      <c r="I1758" s="75" t="s">
        <v>4606</v>
      </c>
      <c r="J1758" s="76">
        <v>453.2353</v>
      </c>
    </row>
    <row r="1759" spans="9:10">
      <c r="I1759" s="75" t="s">
        <v>4607</v>
      </c>
      <c r="J1759" s="76">
        <v>1300.0988</v>
      </c>
    </row>
    <row r="1760" spans="9:10">
      <c r="I1760" s="75" t="s">
        <v>4608</v>
      </c>
      <c r="J1760" s="76">
        <v>903.900914</v>
      </c>
    </row>
    <row r="1761" spans="9:10">
      <c r="I1761" s="75" t="s">
        <v>609</v>
      </c>
      <c r="J1761" s="76">
        <v>1073.2848</v>
      </c>
    </row>
    <row r="1762" spans="9:10">
      <c r="I1762" s="75" t="s">
        <v>4609</v>
      </c>
      <c r="J1762" s="76">
        <v>1073.2848</v>
      </c>
    </row>
    <row r="1763" spans="9:10">
      <c r="I1763" s="75" t="s">
        <v>4610</v>
      </c>
      <c r="J1763" s="76">
        <v>872.8293</v>
      </c>
    </row>
    <row r="1764" spans="9:10">
      <c r="I1764" s="75" t="s">
        <v>4611</v>
      </c>
      <c r="J1764" s="76">
        <v>953.7136</v>
      </c>
    </row>
    <row r="1765" spans="9:10">
      <c r="I1765" s="75" t="s">
        <v>4612</v>
      </c>
      <c r="J1765" s="76">
        <v>828.9302</v>
      </c>
    </row>
    <row r="1766" spans="9:10">
      <c r="I1766" s="75" t="s">
        <v>4613</v>
      </c>
      <c r="J1766" s="76">
        <v>788.6249</v>
      </c>
    </row>
    <row r="1767" spans="9:10">
      <c r="I1767" s="75" t="s">
        <v>4614</v>
      </c>
      <c r="J1767" s="76">
        <v>850.8262</v>
      </c>
    </row>
    <row r="1768" spans="9:10">
      <c r="I1768" s="75" t="s">
        <v>542</v>
      </c>
      <c r="J1768" s="76">
        <v>788.6249</v>
      </c>
    </row>
    <row r="1769" spans="9:10">
      <c r="I1769" s="75" t="s">
        <v>4615</v>
      </c>
      <c r="J1769" s="76">
        <v>831.1317</v>
      </c>
    </row>
    <row r="1770" spans="9:10">
      <c r="I1770" s="75" t="s">
        <v>4616</v>
      </c>
      <c r="J1770" s="76">
        <v>710.0611</v>
      </c>
    </row>
    <row r="1771" spans="9:10">
      <c r="I1771" s="75" t="s">
        <v>45</v>
      </c>
      <c r="J1771" s="76">
        <v>1179.9207</v>
      </c>
    </row>
    <row r="1772" spans="9:10">
      <c r="I1772" s="75" t="s">
        <v>4617</v>
      </c>
      <c r="J1772" s="76">
        <v>3197.350072</v>
      </c>
    </row>
    <row r="1773" spans="9:10">
      <c r="I1773" s="75" t="s">
        <v>4618</v>
      </c>
      <c r="J1773" s="76">
        <v>442.6443</v>
      </c>
    </row>
    <row r="1774" spans="9:10">
      <c r="I1774" s="75" t="s">
        <v>4619</v>
      </c>
      <c r="J1774" s="76">
        <v>828.9302</v>
      </c>
    </row>
    <row r="1775" spans="9:10">
      <c r="I1775" s="75" t="s">
        <v>537</v>
      </c>
      <c r="J1775" s="76">
        <v>987.105</v>
      </c>
    </row>
    <row r="1776" spans="9:10">
      <c r="I1776" s="75" t="s">
        <v>4620</v>
      </c>
      <c r="J1776" s="76">
        <v>1042.2972</v>
      </c>
    </row>
    <row r="1777" spans="9:10">
      <c r="I1777" s="75" t="s">
        <v>4621</v>
      </c>
      <c r="J1777" s="76">
        <v>953.7136</v>
      </c>
    </row>
    <row r="1778" spans="9:10">
      <c r="I1778" s="75" t="s">
        <v>4622</v>
      </c>
      <c r="J1778" s="76">
        <v>710.0611</v>
      </c>
    </row>
    <row r="1779" spans="9:10">
      <c r="I1779" s="75" t="s">
        <v>350</v>
      </c>
      <c r="J1779" s="76">
        <v>356.493893</v>
      </c>
    </row>
    <row r="1780" spans="9:10">
      <c r="I1780" s="75" t="s">
        <v>4623</v>
      </c>
      <c r="J1780" s="76">
        <v>953.7136</v>
      </c>
    </row>
    <row r="1781" spans="9:10">
      <c r="I1781" s="75" t="s">
        <v>4624</v>
      </c>
      <c r="J1781" s="76">
        <v>828.9302</v>
      </c>
    </row>
    <row r="1782" spans="9:10">
      <c r="I1782" s="75" t="s">
        <v>4625</v>
      </c>
      <c r="J1782" s="76">
        <v>788.6249</v>
      </c>
    </row>
    <row r="1783" spans="9:10">
      <c r="I1783" s="75" t="s">
        <v>4626</v>
      </c>
      <c r="J1783" s="76">
        <v>850.8262</v>
      </c>
    </row>
    <row r="1784" spans="9:10">
      <c r="I1784" s="75" t="s">
        <v>4627</v>
      </c>
      <c r="J1784" s="76">
        <v>788.6249</v>
      </c>
    </row>
    <row r="1785" spans="9:10">
      <c r="I1785" s="75" t="s">
        <v>540</v>
      </c>
      <c r="J1785" s="76">
        <v>987.105</v>
      </c>
    </row>
    <row r="1786" spans="9:10">
      <c r="I1786" s="75" t="s">
        <v>4628</v>
      </c>
      <c r="J1786" s="76">
        <v>831.1317</v>
      </c>
    </row>
    <row r="1787" spans="9:10">
      <c r="I1787" s="75" t="s">
        <v>329</v>
      </c>
      <c r="J1787" s="76">
        <v>927.094847</v>
      </c>
    </row>
    <row r="1788" spans="9:10">
      <c r="I1788" s="75" t="s">
        <v>349</v>
      </c>
      <c r="J1788" s="76">
        <v>405.369692</v>
      </c>
    </row>
    <row r="1789" spans="9:10">
      <c r="I1789" s="75" t="s">
        <v>4629</v>
      </c>
      <c r="J1789" s="76">
        <v>122.770039</v>
      </c>
    </row>
    <row r="1790" spans="9:10">
      <c r="I1790" s="75" t="s">
        <v>4630</v>
      </c>
      <c r="J1790" s="76">
        <v>998.2434</v>
      </c>
    </row>
    <row r="1791" spans="9:10">
      <c r="I1791" s="75" t="s">
        <v>4631</v>
      </c>
      <c r="J1791" s="76">
        <v>423.3187</v>
      </c>
    </row>
    <row r="1792" spans="9:10">
      <c r="I1792" s="75" t="s">
        <v>4632</v>
      </c>
      <c r="J1792" s="76">
        <v>788.6249</v>
      </c>
    </row>
    <row r="1793" spans="9:10">
      <c r="I1793" s="75" t="s">
        <v>4633</v>
      </c>
      <c r="J1793" s="76">
        <v>955.3796</v>
      </c>
    </row>
    <row r="1794" spans="9:10">
      <c r="I1794" s="75" t="s">
        <v>4634</v>
      </c>
      <c r="J1794" s="76">
        <v>798.74</v>
      </c>
    </row>
    <row r="1795" spans="9:10">
      <c r="I1795" s="75" t="s">
        <v>4635</v>
      </c>
      <c r="J1795" s="76">
        <v>423.3187</v>
      </c>
    </row>
    <row r="1796" spans="9:10">
      <c r="I1796" s="75" t="s">
        <v>4636</v>
      </c>
      <c r="J1796" s="76">
        <v>872.8293</v>
      </c>
    </row>
    <row r="1797" spans="9:10">
      <c r="I1797" s="75" t="s">
        <v>4637</v>
      </c>
      <c r="J1797" s="76">
        <v>442.6443</v>
      </c>
    </row>
    <row r="1798" spans="9:10">
      <c r="I1798" s="75" t="s">
        <v>4638</v>
      </c>
      <c r="J1798" s="76">
        <v>1300.0988</v>
      </c>
    </row>
    <row r="1799" spans="9:10">
      <c r="I1799" s="75" t="s">
        <v>4639</v>
      </c>
      <c r="J1799" s="76">
        <v>442.6443</v>
      </c>
    </row>
    <row r="1800" spans="9:10">
      <c r="I1800" s="75" t="s">
        <v>4640</v>
      </c>
      <c r="J1800" s="76">
        <v>447.6185</v>
      </c>
    </row>
    <row r="1801" spans="9:10">
      <c r="I1801" s="75" t="s">
        <v>4641</v>
      </c>
      <c r="J1801" s="76">
        <v>973.3486</v>
      </c>
    </row>
    <row r="1802" spans="9:10">
      <c r="I1802" s="75" t="s">
        <v>4642</v>
      </c>
      <c r="J1802" s="76">
        <v>902.8887</v>
      </c>
    </row>
    <row r="1803" spans="9:10">
      <c r="I1803" s="75" t="s">
        <v>4643</v>
      </c>
      <c r="J1803" s="76">
        <v>3134.729059</v>
      </c>
    </row>
    <row r="1804" spans="9:10">
      <c r="I1804" s="75" t="s">
        <v>4644</v>
      </c>
      <c r="J1804" s="76">
        <v>442.6443</v>
      </c>
    </row>
    <row r="1805" spans="9:10">
      <c r="I1805" s="75" t="s">
        <v>4645</v>
      </c>
      <c r="J1805" s="76">
        <v>949.4058</v>
      </c>
    </row>
    <row r="1806" spans="9:10">
      <c r="I1806" s="75" t="s">
        <v>766</v>
      </c>
      <c r="J1806" s="76">
        <v>3134.729059</v>
      </c>
    </row>
    <row r="1807" spans="9:10">
      <c r="I1807" s="75" t="s">
        <v>4646</v>
      </c>
      <c r="J1807" s="76">
        <v>1042.2972</v>
      </c>
    </row>
    <row r="1808" spans="9:10">
      <c r="I1808" s="75" t="s">
        <v>639</v>
      </c>
      <c r="J1808" s="76">
        <v>1373.26</v>
      </c>
    </row>
    <row r="1809" spans="9:10">
      <c r="I1809" s="75" t="s">
        <v>4647</v>
      </c>
      <c r="J1809" s="76">
        <v>439.6455</v>
      </c>
    </row>
    <row r="1810" spans="9:10">
      <c r="I1810" s="75" t="s">
        <v>4648</v>
      </c>
      <c r="J1810" s="76">
        <v>828.597</v>
      </c>
    </row>
    <row r="1811" spans="9:10">
      <c r="I1811" s="75" t="s">
        <v>4649</v>
      </c>
      <c r="J1811" s="76">
        <v>1292.7208</v>
      </c>
    </row>
    <row r="1812" spans="9:10">
      <c r="I1812" s="75" t="s">
        <v>4650</v>
      </c>
      <c r="J1812" s="76">
        <v>901.901</v>
      </c>
    </row>
    <row r="1813" spans="9:10">
      <c r="I1813" s="75" t="s">
        <v>4651</v>
      </c>
      <c r="J1813" s="76">
        <v>701.0885</v>
      </c>
    </row>
    <row r="1814" spans="9:10">
      <c r="I1814" s="75" t="s">
        <v>4652</v>
      </c>
      <c r="J1814" s="76">
        <v>288.328075</v>
      </c>
    </row>
    <row r="1815" spans="9:10">
      <c r="I1815" s="75" t="s">
        <v>4653</v>
      </c>
      <c r="J1815" s="76">
        <v>439.6455</v>
      </c>
    </row>
    <row r="1816" spans="9:10">
      <c r="I1816" s="75" t="s">
        <v>4654</v>
      </c>
      <c r="J1816" s="76">
        <v>439.6455</v>
      </c>
    </row>
    <row r="1817" spans="9:10">
      <c r="I1817" s="75" t="s">
        <v>4655</v>
      </c>
      <c r="J1817" s="76">
        <v>701.0885</v>
      </c>
    </row>
    <row r="1818" spans="9:10">
      <c r="I1818" s="75" t="s">
        <v>4656</v>
      </c>
      <c r="J1818" s="76">
        <v>402.268909</v>
      </c>
    </row>
    <row r="1819" spans="9:10">
      <c r="I1819" s="75" t="s">
        <v>331</v>
      </c>
      <c r="J1819" s="76">
        <v>922.533458</v>
      </c>
    </row>
    <row r="1820" spans="9:10">
      <c r="I1820" s="75" t="s">
        <v>4657</v>
      </c>
      <c r="J1820" s="76">
        <v>439.6455</v>
      </c>
    </row>
    <row r="1821" spans="9:10">
      <c r="I1821" s="75" t="s">
        <v>326</v>
      </c>
      <c r="J1821" s="76">
        <v>1034.380606</v>
      </c>
    </row>
    <row r="1822" spans="9:10">
      <c r="I1822" s="75" t="s">
        <v>328</v>
      </c>
      <c r="J1822" s="76">
        <v>1029.281218</v>
      </c>
    </row>
    <row r="1823" spans="9:10">
      <c r="I1823" s="75" t="s">
        <v>4658</v>
      </c>
      <c r="J1823" s="76">
        <v>439.6455</v>
      </c>
    </row>
    <row r="1824" spans="9:10">
      <c r="I1824" s="75" t="s">
        <v>351</v>
      </c>
      <c r="J1824" s="76">
        <v>356.493893</v>
      </c>
    </row>
    <row r="1825" spans="9:10">
      <c r="I1825" s="75" t="s">
        <v>4659</v>
      </c>
      <c r="J1825" s="76">
        <v>1220.0356</v>
      </c>
    </row>
    <row r="1826" spans="9:10">
      <c r="I1826" s="75" t="s">
        <v>4660</v>
      </c>
      <c r="J1826" s="76">
        <v>881.1236</v>
      </c>
    </row>
    <row r="1827" spans="9:10">
      <c r="I1827" s="75" t="s">
        <v>4661</v>
      </c>
      <c r="J1827" s="76">
        <v>902.6864</v>
      </c>
    </row>
    <row r="1828" spans="9:10">
      <c r="I1828" s="75" t="s">
        <v>4662</v>
      </c>
      <c r="J1828" s="76">
        <v>902.6864</v>
      </c>
    </row>
    <row r="1829" spans="9:10">
      <c r="I1829" s="75" t="s">
        <v>4663</v>
      </c>
      <c r="J1829" s="76">
        <v>848.2558</v>
      </c>
    </row>
    <row r="1830" spans="9:10">
      <c r="I1830" s="75" t="s">
        <v>4664</v>
      </c>
      <c r="J1830" s="76">
        <v>949.263</v>
      </c>
    </row>
    <row r="1831" spans="9:10">
      <c r="I1831" s="75" t="s">
        <v>4665</v>
      </c>
      <c r="J1831" s="76">
        <v>932.2936</v>
      </c>
    </row>
    <row r="1832" spans="9:10">
      <c r="I1832" s="75" t="s">
        <v>641</v>
      </c>
      <c r="J1832" s="76">
        <v>1293.292</v>
      </c>
    </row>
    <row r="1833" spans="9:10">
      <c r="I1833" s="75" t="s">
        <v>4666</v>
      </c>
      <c r="J1833" s="76">
        <v>870.973</v>
      </c>
    </row>
    <row r="1834" spans="9:10">
      <c r="I1834" s="75" t="s">
        <v>594</v>
      </c>
      <c r="J1834" s="76">
        <v>899.759</v>
      </c>
    </row>
    <row r="1835" spans="9:10">
      <c r="I1835" s="75" t="s">
        <v>4667</v>
      </c>
      <c r="J1835" s="76">
        <v>356.493893</v>
      </c>
    </row>
    <row r="1836" spans="9:10">
      <c r="I1836" s="75" t="s">
        <v>656</v>
      </c>
      <c r="J1836" s="76">
        <v>465.297259</v>
      </c>
    </row>
    <row r="1837" spans="9:10">
      <c r="I1837" s="75" t="s">
        <v>4668</v>
      </c>
      <c r="J1837" s="76">
        <v>828.597</v>
      </c>
    </row>
    <row r="1838" spans="9:10">
      <c r="I1838" s="75" t="s">
        <v>4669</v>
      </c>
      <c r="J1838" s="76">
        <v>828.597</v>
      </c>
    </row>
    <row r="1839" spans="9:10">
      <c r="I1839" s="75" t="s">
        <v>4670</v>
      </c>
      <c r="J1839" s="76">
        <v>1293.292</v>
      </c>
    </row>
    <row r="1840" spans="9:10">
      <c r="I1840" s="75" t="s">
        <v>4671</v>
      </c>
      <c r="J1840" s="76">
        <v>465.3019</v>
      </c>
    </row>
    <row r="1841" spans="9:10">
      <c r="I1841" s="75" t="s">
        <v>4672</v>
      </c>
      <c r="J1841" s="76">
        <v>828.597</v>
      </c>
    </row>
    <row r="1842" spans="9:10">
      <c r="I1842" s="75" t="s">
        <v>4673</v>
      </c>
      <c r="J1842" s="76">
        <v>828.597</v>
      </c>
    </row>
    <row r="1843" spans="9:10">
      <c r="I1843" s="75" t="s">
        <v>4674</v>
      </c>
      <c r="J1843" s="76">
        <v>450.1651</v>
      </c>
    </row>
    <row r="1844" spans="9:10">
      <c r="I1844" s="75" t="s">
        <v>4675</v>
      </c>
      <c r="J1844" s="76">
        <v>450.1651</v>
      </c>
    </row>
    <row r="1845" spans="9:10">
      <c r="I1845" s="75" t="s">
        <v>4676</v>
      </c>
      <c r="J1845" s="76">
        <v>828.597</v>
      </c>
    </row>
    <row r="1846" spans="9:10">
      <c r="I1846" s="75" t="s">
        <v>4677</v>
      </c>
      <c r="J1846" s="76">
        <v>828.597</v>
      </c>
    </row>
    <row r="1847" spans="9:10">
      <c r="I1847" s="75" t="s">
        <v>4678</v>
      </c>
      <c r="J1847" s="76">
        <v>935.0306</v>
      </c>
    </row>
    <row r="1848" spans="9:10">
      <c r="I1848" s="75" t="s">
        <v>4679</v>
      </c>
      <c r="J1848" s="76">
        <v>1292.7208</v>
      </c>
    </row>
    <row r="1849" spans="9:10">
      <c r="I1849" s="75" t="s">
        <v>4680</v>
      </c>
      <c r="J1849" s="76">
        <v>450.1651</v>
      </c>
    </row>
    <row r="1850" spans="9:10">
      <c r="I1850" s="75" t="s">
        <v>4681</v>
      </c>
      <c r="J1850" s="76">
        <v>899.759</v>
      </c>
    </row>
    <row r="1851" spans="9:10">
      <c r="I1851" s="75" t="s">
        <v>4682</v>
      </c>
      <c r="J1851" s="76">
        <v>899.759</v>
      </c>
    </row>
    <row r="1852" spans="9:10">
      <c r="I1852" s="75" t="s">
        <v>4683</v>
      </c>
      <c r="J1852" s="76">
        <v>429.2687</v>
      </c>
    </row>
    <row r="1853" spans="9:10">
      <c r="I1853" s="75" t="s">
        <v>659</v>
      </c>
      <c r="J1853" s="76">
        <v>429.2687</v>
      </c>
    </row>
    <row r="1854" spans="9:10">
      <c r="I1854" s="75" t="s">
        <v>4684</v>
      </c>
      <c r="J1854" s="76">
        <v>421.8312</v>
      </c>
    </row>
    <row r="1855" spans="9:10">
      <c r="I1855" s="75" t="s">
        <v>4685</v>
      </c>
      <c r="J1855" s="76">
        <v>450.1651</v>
      </c>
    </row>
    <row r="1856" spans="9:10">
      <c r="I1856" s="75" t="s">
        <v>4686</v>
      </c>
      <c r="J1856" s="76">
        <v>1029.281218</v>
      </c>
    </row>
    <row r="1857" spans="9:10">
      <c r="I1857" s="75" t="s">
        <v>4687</v>
      </c>
      <c r="J1857" s="76">
        <v>1368.849741</v>
      </c>
    </row>
    <row r="1858" spans="9:10">
      <c r="I1858" s="75" t="s">
        <v>4688</v>
      </c>
      <c r="J1858" s="76">
        <v>885.025134</v>
      </c>
    </row>
    <row r="1859" spans="9:10">
      <c r="I1859" s="75" t="s">
        <v>599</v>
      </c>
      <c r="J1859" s="76">
        <v>865.848641</v>
      </c>
    </row>
    <row r="1860" spans="9:10">
      <c r="I1860" s="75" t="s">
        <v>651</v>
      </c>
      <c r="J1860" s="76">
        <v>443.75576</v>
      </c>
    </row>
    <row r="1861" spans="9:10">
      <c r="I1861" s="75" t="s">
        <v>654</v>
      </c>
      <c r="J1861" s="76">
        <v>419.988009</v>
      </c>
    </row>
    <row r="1862" spans="9:10">
      <c r="I1862" s="75" t="s">
        <v>653</v>
      </c>
      <c r="J1862" s="76">
        <v>419.988009</v>
      </c>
    </row>
    <row r="1863" spans="9:10">
      <c r="I1863" s="75" t="s">
        <v>655</v>
      </c>
      <c r="J1863" s="76">
        <v>419.988009</v>
      </c>
    </row>
    <row r="1864" spans="9:10">
      <c r="I1864" s="75" t="s">
        <v>4689</v>
      </c>
      <c r="J1864" s="76">
        <v>437.655582</v>
      </c>
    </row>
    <row r="1865" spans="9:10">
      <c r="I1865" s="75" t="s">
        <v>4690</v>
      </c>
      <c r="J1865" s="76">
        <v>422.515688</v>
      </c>
    </row>
    <row r="1866" spans="9:10">
      <c r="I1866" s="75" t="s">
        <v>4691</v>
      </c>
      <c r="J1866" s="76">
        <v>422.515688</v>
      </c>
    </row>
    <row r="1867" spans="9:10">
      <c r="I1867" s="75" t="s">
        <v>4692</v>
      </c>
      <c r="J1867" s="76">
        <v>419.92958</v>
      </c>
    </row>
    <row r="1868" spans="9:10">
      <c r="I1868" s="75" t="s">
        <v>4693</v>
      </c>
      <c r="J1868" s="76">
        <v>419.92958</v>
      </c>
    </row>
    <row r="1869" spans="9:10">
      <c r="I1869" s="75" t="s">
        <v>365</v>
      </c>
      <c r="J1869" s="76">
        <v>708.673203</v>
      </c>
    </row>
    <row r="1870" spans="9:10">
      <c r="I1870" s="75" t="s">
        <v>4694</v>
      </c>
      <c r="J1870" s="76">
        <v>708.673203</v>
      </c>
    </row>
    <row r="1871" spans="9:10">
      <c r="I1871" s="75" t="s">
        <v>4695</v>
      </c>
      <c r="J1871" s="76">
        <v>53.727667</v>
      </c>
    </row>
    <row r="1872" spans="9:10">
      <c r="I1872" s="75" t="s">
        <v>4696</v>
      </c>
      <c r="J1872" s="76">
        <v>70.806666</v>
      </c>
    </row>
    <row r="1873" spans="9:10">
      <c r="I1873" s="75" t="s">
        <v>4697</v>
      </c>
      <c r="J1873" s="76">
        <v>70.806666</v>
      </c>
    </row>
    <row r="1874" spans="9:10">
      <c r="I1874" s="75" t="s">
        <v>4698</v>
      </c>
      <c r="J1874" s="76">
        <v>31.310447</v>
      </c>
    </row>
    <row r="1875" spans="9:10">
      <c r="I1875" s="75" t="s">
        <v>4699</v>
      </c>
      <c r="J1875" s="76">
        <v>28.779317</v>
      </c>
    </row>
    <row r="1876" spans="9:10">
      <c r="I1876" s="75" t="s">
        <v>4700</v>
      </c>
      <c r="J1876" s="76">
        <v>59.922926</v>
      </c>
    </row>
    <row r="1877" spans="9:10">
      <c r="I1877" s="75" t="s">
        <v>4701</v>
      </c>
      <c r="J1877" s="76">
        <v>422.515688</v>
      </c>
    </row>
    <row r="1878" spans="9:10">
      <c r="I1878" s="75" t="s">
        <v>4702</v>
      </c>
      <c r="J1878" s="76">
        <v>419.92958</v>
      </c>
    </row>
    <row r="1879" spans="9:10">
      <c r="I1879" s="75" t="s">
        <v>4703</v>
      </c>
      <c r="J1879" s="76">
        <v>885.025134</v>
      </c>
    </row>
    <row r="1880" spans="9:10">
      <c r="I1880" s="75" t="s">
        <v>4704</v>
      </c>
      <c r="J1880" s="76">
        <v>865.848641</v>
      </c>
    </row>
    <row r="1881" spans="9:10">
      <c r="I1881" s="75" t="s">
        <v>4705</v>
      </c>
      <c r="J1881" s="76">
        <v>875.923538</v>
      </c>
    </row>
    <row r="1882" spans="9:10">
      <c r="I1882" s="75" t="s">
        <v>4706</v>
      </c>
      <c r="J1882" s="76">
        <v>846.888609</v>
      </c>
    </row>
    <row r="1883" spans="9:10">
      <c r="I1883" s="75" t="s">
        <v>4707</v>
      </c>
      <c r="J1883" s="76">
        <v>443.75576</v>
      </c>
    </row>
    <row r="1884" spans="9:10">
      <c r="I1884" s="75" t="s">
        <v>4708</v>
      </c>
      <c r="J1884" s="76">
        <v>437.655582</v>
      </c>
    </row>
    <row r="1885" spans="9:10">
      <c r="I1885" s="75" t="s">
        <v>4709</v>
      </c>
      <c r="J1885" s="76">
        <v>1034.449745</v>
      </c>
    </row>
    <row r="1886" spans="9:10">
      <c r="I1886" s="75" t="s">
        <v>4710</v>
      </c>
      <c r="J1886" s="76">
        <v>1034.449745</v>
      </c>
    </row>
    <row r="1887" spans="9:10">
      <c r="I1887" s="75" t="s">
        <v>4711</v>
      </c>
      <c r="J1887" s="76">
        <v>357.50337</v>
      </c>
    </row>
    <row r="1888" spans="9:10">
      <c r="I1888" s="75" t="s">
        <v>4712</v>
      </c>
      <c r="J1888" s="76">
        <v>1365.6083</v>
      </c>
    </row>
    <row r="1889" spans="9:10">
      <c r="I1889" s="75" t="s">
        <v>598</v>
      </c>
      <c r="J1889" s="76">
        <v>864.6183</v>
      </c>
    </row>
    <row r="1890" spans="9:10">
      <c r="I1890" s="75" t="s">
        <v>642</v>
      </c>
      <c r="J1890" s="76">
        <v>1286.120703</v>
      </c>
    </row>
    <row r="1891" spans="9:10">
      <c r="I1891" s="75" t="s">
        <v>643</v>
      </c>
      <c r="J1891" s="76">
        <v>1286.120703</v>
      </c>
    </row>
    <row r="1892" spans="9:10">
      <c r="I1892" s="75" t="s">
        <v>4713</v>
      </c>
      <c r="J1892" s="76">
        <v>1284.3551</v>
      </c>
    </row>
    <row r="1893" spans="9:10">
      <c r="I1893" s="75" t="s">
        <v>4714</v>
      </c>
      <c r="J1893" s="76">
        <v>1284.3551</v>
      </c>
    </row>
    <row r="1894" spans="9:10">
      <c r="I1894" s="75" t="s">
        <v>4715</v>
      </c>
      <c r="J1894" s="76">
        <v>896.5579</v>
      </c>
    </row>
    <row r="1895" spans="9:10">
      <c r="I1895" s="75" t="s">
        <v>4716</v>
      </c>
      <c r="J1895" s="76">
        <v>419.4512</v>
      </c>
    </row>
    <row r="1896" spans="9:10">
      <c r="I1896" s="75" t="s">
        <v>4717</v>
      </c>
      <c r="J1896" s="76">
        <v>419.4036</v>
      </c>
    </row>
    <row r="1897" spans="9:10">
      <c r="I1897" s="75" t="s">
        <v>4718</v>
      </c>
      <c r="J1897" s="76">
        <v>1284.3551</v>
      </c>
    </row>
    <row r="1898" spans="9:10">
      <c r="I1898" s="75" t="s">
        <v>4719</v>
      </c>
      <c r="J1898" s="76">
        <v>1284.3551</v>
      </c>
    </row>
    <row r="1899" spans="9:10">
      <c r="I1899" s="75" t="s">
        <v>4720</v>
      </c>
      <c r="J1899" s="76">
        <v>26.491542</v>
      </c>
    </row>
    <row r="1900" spans="9:10">
      <c r="I1900" s="75" t="s">
        <v>4721</v>
      </c>
      <c r="J1900" s="76">
        <v>896.5579</v>
      </c>
    </row>
    <row r="1901" spans="9:10">
      <c r="I1901" s="75" t="s">
        <v>590</v>
      </c>
      <c r="J1901" s="76">
        <v>841.9964</v>
      </c>
    </row>
    <row r="1902" spans="9:10">
      <c r="I1902" s="75" t="s">
        <v>4722</v>
      </c>
      <c r="J1902" s="76">
        <v>841.9964</v>
      </c>
    </row>
    <row r="1903" spans="9:10">
      <c r="I1903" s="75" t="s">
        <v>4723</v>
      </c>
      <c r="J1903" s="76">
        <v>1284.3551</v>
      </c>
    </row>
    <row r="1904" spans="9:10">
      <c r="I1904" s="75" t="s">
        <v>4724</v>
      </c>
      <c r="J1904" s="76">
        <v>1284.3551</v>
      </c>
    </row>
    <row r="1905" spans="9:10">
      <c r="I1905" s="75" t="s">
        <v>592</v>
      </c>
      <c r="J1905" s="76">
        <v>841.9964</v>
      </c>
    </row>
    <row r="1906" spans="9:10">
      <c r="I1906" s="75" t="s">
        <v>4725</v>
      </c>
      <c r="J1906" s="76">
        <v>864.6183</v>
      </c>
    </row>
    <row r="1907" spans="9:10">
      <c r="I1907" s="75" t="s">
        <v>4726</v>
      </c>
      <c r="J1907" s="76">
        <v>841.9964</v>
      </c>
    </row>
    <row r="1908" spans="9:10">
      <c r="I1908" s="75" t="s">
        <v>4727</v>
      </c>
      <c r="J1908" s="76">
        <v>841.9964</v>
      </c>
    </row>
    <row r="1909" spans="9:10">
      <c r="I1909" s="75" t="s">
        <v>4728</v>
      </c>
      <c r="J1909" s="76">
        <v>419.4512</v>
      </c>
    </row>
    <row r="1910" spans="9:10">
      <c r="I1910" s="75" t="s">
        <v>4729</v>
      </c>
      <c r="J1910" s="76">
        <v>1283.4269</v>
      </c>
    </row>
    <row r="1911" spans="9:10">
      <c r="I1911" s="75" t="s">
        <v>4730</v>
      </c>
      <c r="J1911" s="76">
        <v>419.4512</v>
      </c>
    </row>
    <row r="1912" spans="9:10">
      <c r="I1912" s="75" t="s">
        <v>591</v>
      </c>
      <c r="J1912" s="76">
        <v>881.1236</v>
      </c>
    </row>
    <row r="1913" spans="9:10">
      <c r="I1913" s="75" t="s">
        <v>4731</v>
      </c>
      <c r="J1913" s="76">
        <v>1292.7208</v>
      </c>
    </row>
    <row r="1914" spans="9:10">
      <c r="I1914" s="75" t="s">
        <v>626</v>
      </c>
      <c r="J1914" s="76">
        <v>1220.0356</v>
      </c>
    </row>
    <row r="1915" spans="9:10">
      <c r="I1915" s="75" t="s">
        <v>4732</v>
      </c>
      <c r="J1915" s="76">
        <v>949.263</v>
      </c>
    </row>
    <row r="1916" spans="9:10">
      <c r="I1916" s="75" t="s">
        <v>4733</v>
      </c>
      <c r="J1916" s="76">
        <v>424.4373</v>
      </c>
    </row>
    <row r="1917" spans="9:10">
      <c r="I1917" s="75" t="s">
        <v>4734</v>
      </c>
      <c r="J1917" s="76">
        <v>1292.7208</v>
      </c>
    </row>
    <row r="1918" spans="9:10">
      <c r="I1918" s="75" t="s">
        <v>4735</v>
      </c>
      <c r="J1918" s="76">
        <v>1283.534</v>
      </c>
    </row>
    <row r="1919" spans="9:10">
      <c r="I1919" s="75" t="s">
        <v>352</v>
      </c>
      <c r="J1919" s="76">
        <v>369.758704</v>
      </c>
    </row>
    <row r="1920" spans="9:10">
      <c r="I1920" s="75" t="s">
        <v>4736</v>
      </c>
      <c r="J1920" s="76">
        <v>28.064</v>
      </c>
    </row>
    <row r="1921" spans="9:10">
      <c r="I1921" s="75" t="s">
        <v>601</v>
      </c>
      <c r="J1921" s="76">
        <v>870.9729</v>
      </c>
    </row>
  </sheetData>
  <autoFilter xmlns:etc="http://www.wps.cn/officeDocument/2017/etCustomData" ref="B1:J1921" etc:filterBottomFollowUsedRange="0">
    <extLst/>
  </autoFilter>
  <conditionalFormatting sqref="I102">
    <cfRule type="duplicateValues" dxfId="2" priority="4"/>
  </conditionalFormatting>
  <conditionalFormatting sqref="B233">
    <cfRule type="duplicateValues" dxfId="2" priority="2"/>
  </conditionalFormatting>
  <conditionalFormatting sqref="B459">
    <cfRule type="duplicateValues" dxfId="2" priority="1"/>
  </conditionalFormatting>
  <conditionalFormatting sqref="B2:B232 B234:B458 B460:B65536">
    <cfRule type="duplicateValues" dxfId="2" priority="3"/>
  </conditionalFormatting>
  <pageMargins left="0.75" right="0.75" top="1" bottom="1" header="0.5" footer="0.5"/>
  <pageSetup paperSize="9" orientation="portrait"/>
  <headerFooter/>
  <ignoredErrors>
    <ignoredError sqref="H161:H162 H114:H155 H1:H89 H104 H106:H110 H112 H100 H91:H93 H96:H97 H164:H1229 H102 H158:H159" evalError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C832"/>
  <sheetViews>
    <sheetView topLeftCell="A596" workbookViewId="0">
      <selection activeCell="D604" sqref="D604"/>
    </sheetView>
  </sheetViews>
  <sheetFormatPr defaultColWidth="8" defaultRowHeight="17.6"/>
  <cols>
    <col min="1" max="1" width="14.4453125" style="20" customWidth="1"/>
    <col min="2" max="2" width="11.140625" style="20" customWidth="1"/>
    <col min="3" max="3" width="19.703125" style="20" customWidth="1"/>
    <col min="4" max="4" width="7.1015625" style="21" customWidth="1"/>
    <col min="5" max="5" width="27.6015625" style="22" customWidth="1"/>
    <col min="6" max="6" width="33.703125" style="20" customWidth="1"/>
    <col min="7" max="8" width="8" style="23"/>
    <col min="9" max="9" width="8" style="24"/>
    <col min="10" max="10" width="35" style="19" customWidth="1"/>
    <col min="11" max="14" width="8" style="19"/>
    <col min="15" max="15" width="16.203125" style="19" customWidth="1"/>
    <col min="16" max="19" width="8" style="19"/>
    <col min="20" max="20" width="19" style="19" customWidth="1"/>
    <col min="21" max="16384" width="8" style="19"/>
  </cols>
  <sheetData>
    <row r="1" s="19" customFormat="1" spans="1:9">
      <c r="A1" s="25" t="s">
        <v>690</v>
      </c>
      <c r="B1" s="26"/>
      <c r="C1" s="26"/>
      <c r="D1" s="27"/>
      <c r="E1" s="36"/>
      <c r="F1" s="26"/>
      <c r="G1" s="23"/>
      <c r="H1" s="23"/>
      <c r="I1" s="24"/>
    </row>
    <row r="2" s="19" customFormat="1" ht="36" spans="1:28">
      <c r="A2" s="28" t="s">
        <v>923</v>
      </c>
      <c r="B2" s="28" t="s">
        <v>924</v>
      </c>
      <c r="C2" s="28" t="s">
        <v>4737</v>
      </c>
      <c r="D2" s="28" t="s">
        <v>4738</v>
      </c>
      <c r="E2" s="36"/>
      <c r="F2" s="37" t="s">
        <v>923</v>
      </c>
      <c r="G2" s="37" t="s">
        <v>924</v>
      </c>
      <c r="H2" s="37" t="s">
        <v>925</v>
      </c>
      <c r="I2" s="38" t="s">
        <v>4738</v>
      </c>
      <c r="K2" s="37" t="s">
        <v>923</v>
      </c>
      <c r="L2" s="37" t="s">
        <v>924</v>
      </c>
      <c r="M2" s="37" t="s">
        <v>925</v>
      </c>
      <c r="N2" s="38" t="s">
        <v>4738</v>
      </c>
      <c r="P2" s="37" t="s">
        <v>923</v>
      </c>
      <c r="Q2" s="37" t="s">
        <v>924</v>
      </c>
      <c r="R2" s="37" t="s">
        <v>925</v>
      </c>
      <c r="S2" s="38" t="s">
        <v>4738</v>
      </c>
      <c r="U2" s="37" t="s">
        <v>923</v>
      </c>
      <c r="V2" s="37" t="s">
        <v>924</v>
      </c>
      <c r="W2" s="37" t="s">
        <v>925</v>
      </c>
      <c r="Y2" s="37" t="s">
        <v>923</v>
      </c>
      <c r="Z2" s="37" t="s">
        <v>924</v>
      </c>
      <c r="AA2" s="37" t="s">
        <v>925</v>
      </c>
      <c r="AB2" s="38" t="s">
        <v>4738</v>
      </c>
    </row>
    <row r="3" s="19" customFormat="1" spans="1:29">
      <c r="A3" s="29" t="s">
        <v>807</v>
      </c>
      <c r="B3" s="29" t="s">
        <v>958</v>
      </c>
      <c r="C3" s="29" t="s">
        <v>1060</v>
      </c>
      <c r="D3" s="28" t="s">
        <v>692</v>
      </c>
      <c r="E3" s="36" t="str">
        <f t="shared" ref="E3:E66" si="0">_xlfn.TEXTJOIN("-",TRUE,A3,B3,C3)</f>
        <v>7.50R16-14PR-EZ369</v>
      </c>
      <c r="F3" s="29" t="s">
        <v>937</v>
      </c>
      <c r="G3" s="29" t="s">
        <v>965</v>
      </c>
      <c r="H3" s="29" t="s">
        <v>966</v>
      </c>
      <c r="I3" s="39" t="s">
        <v>692</v>
      </c>
      <c r="J3" s="19" t="str">
        <f t="shared" ref="J3:J66" si="1">_xlfn.TEXTJOIN("-",TRUE,F3,G3,H3)</f>
        <v>7.00-15-6PR-STRONG GUARD SS</v>
      </c>
      <c r="K3" s="29" t="s">
        <v>1272</v>
      </c>
      <c r="L3" s="29" t="s">
        <v>942</v>
      </c>
      <c r="M3" s="29" t="s">
        <v>976</v>
      </c>
      <c r="N3" s="30" t="s">
        <v>692</v>
      </c>
      <c r="O3" s="19" t="str">
        <f t="shared" ref="O3:O66" si="2">_xlfn.TEXTJOIN("-",TRUE,K3,L3,M3)</f>
        <v>4.80-8-4PR-SU201</v>
      </c>
      <c r="P3" s="29" t="s">
        <v>4739</v>
      </c>
      <c r="Q3" s="37" t="s">
        <v>942</v>
      </c>
      <c r="R3" s="29" t="s">
        <v>1023</v>
      </c>
      <c r="S3" s="30" t="s">
        <v>692</v>
      </c>
      <c r="T3" s="19" t="str">
        <f t="shared" ref="T3:T66" si="3">_xlfn.TEXTJOIN("-",TRUE,P3,Q3,R3)</f>
        <v>18x8.50-8-4PR-TF02</v>
      </c>
      <c r="U3" s="29" t="s">
        <v>1445</v>
      </c>
      <c r="V3" s="29" t="s">
        <v>942</v>
      </c>
      <c r="W3" s="29" t="s">
        <v>1487</v>
      </c>
      <c r="X3" s="19" t="str">
        <f t="shared" ref="X3:X66" si="4">_xlfn.TEXTJOIN("-",TRUE,T3,U3,V3)</f>
        <v>18x8.50-8-4PR-TF02-3.00-10-4PR</v>
      </c>
      <c r="Y3" s="29" t="s">
        <v>1294</v>
      </c>
      <c r="Z3" s="29" t="s">
        <v>965</v>
      </c>
      <c r="AA3" s="29" t="s">
        <v>1188</v>
      </c>
      <c r="AB3" s="30" t="s">
        <v>692</v>
      </c>
      <c r="AC3" s="19" t="str">
        <f t="shared" ref="AC3:AC66" si="5">_xlfn.TEXTJOIN("-",TRUE,Y3,Z3,AA3)</f>
        <v>ST205/75R14-6PR-ST226</v>
      </c>
    </row>
    <row r="4" s="19" customFormat="1" spans="1:29">
      <c r="A4" s="29" t="s">
        <v>807</v>
      </c>
      <c r="B4" s="29" t="s">
        <v>958</v>
      </c>
      <c r="C4" s="29" t="s">
        <v>1069</v>
      </c>
      <c r="D4" s="28" t="s">
        <v>692</v>
      </c>
      <c r="E4" s="36" t="str">
        <f t="shared" si="0"/>
        <v>7.50R16-14PR-TZ303</v>
      </c>
      <c r="F4" s="29" t="s">
        <v>937</v>
      </c>
      <c r="G4" s="29" t="s">
        <v>962</v>
      </c>
      <c r="H4" s="29" t="s">
        <v>966</v>
      </c>
      <c r="I4" s="39" t="s">
        <v>692</v>
      </c>
      <c r="J4" s="19" t="str">
        <f t="shared" si="1"/>
        <v>7.00-15-8PR-STRONG GUARD SS</v>
      </c>
      <c r="K4" s="29" t="s">
        <v>1272</v>
      </c>
      <c r="L4" s="29" t="s">
        <v>942</v>
      </c>
      <c r="M4" s="29" t="s">
        <v>1278</v>
      </c>
      <c r="N4" s="30" t="s">
        <v>692</v>
      </c>
      <c r="O4" s="19" t="str">
        <f t="shared" si="2"/>
        <v>4.80-8-4PR-ZT201</v>
      </c>
      <c r="P4" s="40"/>
      <c r="Q4" s="40"/>
      <c r="R4" s="40"/>
      <c r="S4" s="30"/>
      <c r="T4" s="19" t="str">
        <f t="shared" si="3"/>
        <v/>
      </c>
      <c r="U4" s="29" t="s">
        <v>1445</v>
      </c>
      <c r="V4" s="29" t="s">
        <v>942</v>
      </c>
      <c r="W4" s="29" t="s">
        <v>1446</v>
      </c>
      <c r="X4" s="19" t="str">
        <f t="shared" si="4"/>
        <v>3.00-10-4PR</v>
      </c>
      <c r="Y4" s="29" t="s">
        <v>1294</v>
      </c>
      <c r="Z4" s="29" t="s">
        <v>962</v>
      </c>
      <c r="AA4" s="29" t="s">
        <v>1188</v>
      </c>
      <c r="AB4" s="30" t="s">
        <v>692</v>
      </c>
      <c r="AC4" s="19" t="str">
        <f t="shared" si="5"/>
        <v>ST205/75R14-8PR-ST226</v>
      </c>
    </row>
    <row r="5" s="19" customFormat="1" spans="1:29">
      <c r="A5" s="29" t="s">
        <v>807</v>
      </c>
      <c r="B5" s="29" t="s">
        <v>958</v>
      </c>
      <c r="C5" s="29" t="s">
        <v>935</v>
      </c>
      <c r="D5" s="28" t="s">
        <v>692</v>
      </c>
      <c r="E5" s="36" t="str">
        <f t="shared" si="0"/>
        <v>7.50R16-14PR-AZ686</v>
      </c>
      <c r="F5" s="29"/>
      <c r="G5" s="29"/>
      <c r="H5" s="29"/>
      <c r="I5" s="30"/>
      <c r="J5" s="19" t="str">
        <f t="shared" si="1"/>
        <v/>
      </c>
      <c r="K5" s="29" t="s">
        <v>1272</v>
      </c>
      <c r="L5" s="29" t="s">
        <v>965</v>
      </c>
      <c r="M5" s="29" t="s">
        <v>976</v>
      </c>
      <c r="N5" s="30" t="s">
        <v>692</v>
      </c>
      <c r="O5" s="19" t="str">
        <f t="shared" si="2"/>
        <v>4.80-8-6PR-SU201</v>
      </c>
      <c r="P5" s="29" t="s">
        <v>4740</v>
      </c>
      <c r="Q5" s="37" t="s">
        <v>965</v>
      </c>
      <c r="R5" s="29" t="s">
        <v>1231</v>
      </c>
      <c r="S5" s="30" t="s">
        <v>692</v>
      </c>
      <c r="T5" s="19" t="str">
        <f t="shared" si="3"/>
        <v>25X8-12-6PR-WL6A</v>
      </c>
      <c r="U5" s="29" t="s">
        <v>1445</v>
      </c>
      <c r="V5" s="29" t="s">
        <v>965</v>
      </c>
      <c r="W5" s="29" t="s">
        <v>1455</v>
      </c>
      <c r="X5" s="19" t="str">
        <f t="shared" si="4"/>
        <v>25X8-12-6PR-WL6A-3.00-10-6PR</v>
      </c>
      <c r="Y5" s="29" t="s">
        <v>1294</v>
      </c>
      <c r="Z5" s="29" t="s">
        <v>965</v>
      </c>
      <c r="AA5" s="29" t="s">
        <v>4741</v>
      </c>
      <c r="AB5" s="30" t="s">
        <v>692</v>
      </c>
      <c r="AC5" s="19" t="str">
        <f t="shared" si="5"/>
        <v>ST205/75R14-6PR-ST-100</v>
      </c>
    </row>
    <row r="6" s="19" customFormat="1" spans="1:29">
      <c r="A6" s="29" t="s">
        <v>807</v>
      </c>
      <c r="B6" s="29" t="s">
        <v>958</v>
      </c>
      <c r="C6" s="29" t="s">
        <v>1082</v>
      </c>
      <c r="D6" s="28" t="s">
        <v>692</v>
      </c>
      <c r="E6" s="36" t="str">
        <f t="shared" si="0"/>
        <v>7.50R16-14PR-AZ697</v>
      </c>
      <c r="F6" s="29" t="s">
        <v>981</v>
      </c>
      <c r="G6" s="29"/>
      <c r="H6" s="29" t="s">
        <v>938</v>
      </c>
      <c r="I6" s="39" t="s">
        <v>692</v>
      </c>
      <c r="J6" s="19" t="str">
        <f t="shared" si="1"/>
        <v>7.00-16-R8037</v>
      </c>
      <c r="K6" s="31" t="s">
        <v>1272</v>
      </c>
      <c r="L6" s="31" t="s">
        <v>965</v>
      </c>
      <c r="M6" s="31" t="s">
        <v>1278</v>
      </c>
      <c r="N6" s="43" t="s">
        <v>692</v>
      </c>
      <c r="O6" s="19" t="str">
        <f t="shared" si="2"/>
        <v>4.80-8-6PR-ZT201</v>
      </c>
      <c r="P6" s="29" t="s">
        <v>4740</v>
      </c>
      <c r="Q6" s="29" t="s">
        <v>965</v>
      </c>
      <c r="R6" s="29" t="s">
        <v>1223</v>
      </c>
      <c r="S6" s="30" t="s">
        <v>692</v>
      </c>
      <c r="T6" s="19" t="str">
        <f t="shared" si="3"/>
        <v>25X8-12-6PR-AT12</v>
      </c>
      <c r="U6" s="29"/>
      <c r="V6" s="29"/>
      <c r="W6" s="29"/>
      <c r="X6" s="19" t="str">
        <f t="shared" si="4"/>
        <v>25X8-12-6PR-AT12</v>
      </c>
      <c r="Y6" s="29" t="s">
        <v>1294</v>
      </c>
      <c r="Z6" s="29" t="s">
        <v>965</v>
      </c>
      <c r="AA6" s="29" t="s">
        <v>1087</v>
      </c>
      <c r="AB6" s="30" t="s">
        <v>692</v>
      </c>
      <c r="AC6" s="19" t="str">
        <f t="shared" si="5"/>
        <v>ST205/75R14-6PR-STZC</v>
      </c>
    </row>
    <row r="7" s="19" customFormat="1" spans="1:29">
      <c r="A7" s="29" t="s">
        <v>807</v>
      </c>
      <c r="B7" s="29" t="s">
        <v>958</v>
      </c>
      <c r="C7" s="29" t="s">
        <v>1002</v>
      </c>
      <c r="D7" s="28" t="s">
        <v>692</v>
      </c>
      <c r="E7" s="36" t="str">
        <f t="shared" si="0"/>
        <v>7.50R16-14PR-AZ601</v>
      </c>
      <c r="F7" s="29" t="s">
        <v>981</v>
      </c>
      <c r="G7" s="29" t="s">
        <v>958</v>
      </c>
      <c r="H7" s="29" t="s">
        <v>959</v>
      </c>
      <c r="I7" s="39" t="s">
        <v>692</v>
      </c>
      <c r="J7" s="19" t="str">
        <f t="shared" si="1"/>
        <v>7.00-16-14PR-MR881</v>
      </c>
      <c r="K7" s="29"/>
      <c r="L7" s="29"/>
      <c r="M7" s="29"/>
      <c r="N7" s="30"/>
      <c r="O7" s="19" t="str">
        <f t="shared" si="2"/>
        <v/>
      </c>
      <c r="P7" s="31" t="s">
        <v>4740</v>
      </c>
      <c r="Q7" s="31" t="s">
        <v>965</v>
      </c>
      <c r="R7" s="31" t="s">
        <v>1154</v>
      </c>
      <c r="S7" s="43" t="s">
        <v>692</v>
      </c>
      <c r="T7" s="19" t="str">
        <f t="shared" si="3"/>
        <v>25X8-12-6PR-AR10</v>
      </c>
      <c r="U7" s="29"/>
      <c r="V7" s="29"/>
      <c r="W7" s="29"/>
      <c r="X7" s="19" t="str">
        <f t="shared" si="4"/>
        <v>25X8-12-6PR-AR10</v>
      </c>
      <c r="Y7" s="29" t="s">
        <v>1294</v>
      </c>
      <c r="Z7" s="29" t="s">
        <v>965</v>
      </c>
      <c r="AA7" s="29" t="s">
        <v>4742</v>
      </c>
      <c r="AB7" s="30" t="s">
        <v>692</v>
      </c>
      <c r="AC7" s="19" t="str">
        <f t="shared" si="5"/>
        <v>ST205/75R14-6PR-ST-100A</v>
      </c>
    </row>
    <row r="8" s="19" customFormat="1" spans="1:29">
      <c r="A8" s="29" t="s">
        <v>807</v>
      </c>
      <c r="B8" s="29" t="s">
        <v>958</v>
      </c>
      <c r="C8" s="29" t="s">
        <v>1010</v>
      </c>
      <c r="D8" s="28" t="s">
        <v>692</v>
      </c>
      <c r="E8" s="36" t="str">
        <f t="shared" si="0"/>
        <v>7.50R16-14PR-AZ119</v>
      </c>
      <c r="F8" s="29"/>
      <c r="G8" s="29"/>
      <c r="H8" s="29"/>
      <c r="I8" s="30"/>
      <c r="J8" s="19" t="str">
        <f t="shared" si="1"/>
        <v/>
      </c>
      <c r="K8" s="37" t="s">
        <v>1296</v>
      </c>
      <c r="L8" s="37" t="s">
        <v>942</v>
      </c>
      <c r="M8" s="37" t="s">
        <v>976</v>
      </c>
      <c r="N8" s="38" t="s">
        <v>692</v>
      </c>
      <c r="O8" s="19" t="str">
        <f t="shared" si="2"/>
        <v>4.80-12-4PR-SU201</v>
      </c>
      <c r="P8" s="31" t="s">
        <v>4740</v>
      </c>
      <c r="Q8" s="31" t="s">
        <v>962</v>
      </c>
      <c r="R8" s="31" t="s">
        <v>1208</v>
      </c>
      <c r="S8" s="43" t="s">
        <v>692</v>
      </c>
      <c r="T8" s="19" t="str">
        <f t="shared" si="3"/>
        <v>25X8-12-8PR-AR11</v>
      </c>
      <c r="U8" s="29" t="s">
        <v>1474</v>
      </c>
      <c r="V8" s="29" t="s">
        <v>942</v>
      </c>
      <c r="W8" s="29" t="s">
        <v>1487</v>
      </c>
      <c r="X8" s="19" t="str">
        <f t="shared" si="4"/>
        <v>25X8-12-8PR-AR11-70/90-14-4PR</v>
      </c>
      <c r="Y8" s="31" t="s">
        <v>1294</v>
      </c>
      <c r="Z8" s="31" t="s">
        <v>965</v>
      </c>
      <c r="AA8" s="31" t="s">
        <v>1110</v>
      </c>
      <c r="AB8" s="52"/>
      <c r="AC8" s="19" t="str">
        <f t="shared" si="5"/>
        <v>ST205/75R14-6PR-DURAHAULER ST</v>
      </c>
    </row>
    <row r="9" s="19" customFormat="1" spans="1:29">
      <c r="A9" s="29" t="s">
        <v>807</v>
      </c>
      <c r="B9" s="29" t="s">
        <v>958</v>
      </c>
      <c r="C9" s="29" t="s">
        <v>1035</v>
      </c>
      <c r="D9" s="28" t="s">
        <v>692</v>
      </c>
      <c r="E9" s="36" t="str">
        <f t="shared" si="0"/>
        <v>7.50R16-14PR-CR926</v>
      </c>
      <c r="F9" s="33" t="s">
        <v>996</v>
      </c>
      <c r="G9" s="33"/>
      <c r="H9" s="33" t="s">
        <v>938</v>
      </c>
      <c r="I9" s="33"/>
      <c r="J9" s="19" t="str">
        <f t="shared" si="1"/>
        <v>7.50-15-R8037</v>
      </c>
      <c r="K9" s="29" t="s">
        <v>1296</v>
      </c>
      <c r="L9" s="29" t="s">
        <v>942</v>
      </c>
      <c r="M9" s="29" t="s">
        <v>1278</v>
      </c>
      <c r="N9" s="30" t="s">
        <v>692</v>
      </c>
      <c r="O9" s="19" t="str">
        <f t="shared" si="2"/>
        <v>4.80-12-4PR-ZT201</v>
      </c>
      <c r="P9" s="40"/>
      <c r="Q9" s="40"/>
      <c r="R9" s="40"/>
      <c r="S9" s="40"/>
      <c r="T9" s="19" t="str">
        <f t="shared" si="3"/>
        <v/>
      </c>
      <c r="U9" s="29"/>
      <c r="V9" s="29"/>
      <c r="W9" s="29"/>
      <c r="X9" s="19" t="str">
        <f t="shared" si="4"/>
        <v/>
      </c>
      <c r="Y9" s="29" t="s">
        <v>1294</v>
      </c>
      <c r="Z9" s="29" t="s">
        <v>965</v>
      </c>
      <c r="AA9" s="29" t="s">
        <v>1120</v>
      </c>
      <c r="AB9" s="40"/>
      <c r="AC9" s="19" t="str">
        <f t="shared" si="5"/>
        <v>ST205/75R14-6PR-ASSURE ST</v>
      </c>
    </row>
    <row r="10" s="19" customFormat="1" spans="1:29">
      <c r="A10" s="29" t="s">
        <v>807</v>
      </c>
      <c r="B10" s="29" t="s">
        <v>958</v>
      </c>
      <c r="C10" s="29" t="s">
        <v>1038</v>
      </c>
      <c r="D10" s="28" t="s">
        <v>692</v>
      </c>
      <c r="E10" s="36" t="str">
        <f t="shared" si="0"/>
        <v>7.50R16-14PR-AZ676</v>
      </c>
      <c r="F10" s="29"/>
      <c r="G10" s="29"/>
      <c r="H10" s="29"/>
      <c r="I10" s="30"/>
      <c r="J10" s="19" t="str">
        <f t="shared" si="1"/>
        <v/>
      </c>
      <c r="K10" s="29" t="s">
        <v>1296</v>
      </c>
      <c r="L10" s="29" t="s">
        <v>965</v>
      </c>
      <c r="M10" s="29" t="s">
        <v>976</v>
      </c>
      <c r="N10" s="30" t="s">
        <v>692</v>
      </c>
      <c r="O10" s="19" t="str">
        <f t="shared" si="2"/>
        <v>4.80-12-6PR-SU201</v>
      </c>
      <c r="P10" s="31" t="s">
        <v>4743</v>
      </c>
      <c r="Q10" s="31" t="s">
        <v>965</v>
      </c>
      <c r="R10" s="31" t="s">
        <v>1231</v>
      </c>
      <c r="S10" s="38" t="s">
        <v>692</v>
      </c>
      <c r="T10" s="19" t="str">
        <f t="shared" si="3"/>
        <v>25X10-12-6PR-WL6A</v>
      </c>
      <c r="U10" s="29" t="s">
        <v>1496</v>
      </c>
      <c r="V10" s="29" t="s">
        <v>942</v>
      </c>
      <c r="W10" s="29" t="s">
        <v>1487</v>
      </c>
      <c r="X10" s="19" t="str">
        <f t="shared" si="4"/>
        <v>25X10-12-6PR-WL6A-80/80-14-4PR</v>
      </c>
      <c r="Y10" s="29" t="s">
        <v>1294</v>
      </c>
      <c r="Z10" s="29" t="s">
        <v>962</v>
      </c>
      <c r="AA10" s="29" t="s">
        <v>4741</v>
      </c>
      <c r="AB10" s="30" t="s">
        <v>692</v>
      </c>
      <c r="AC10" s="19" t="str">
        <f t="shared" si="5"/>
        <v>ST205/75R14-8PR-ST-100</v>
      </c>
    </row>
    <row r="11" s="19" customFormat="1" spans="1:29">
      <c r="A11" s="29" t="s">
        <v>807</v>
      </c>
      <c r="B11" s="29" t="s">
        <v>958</v>
      </c>
      <c r="C11" s="29" t="s">
        <v>1047</v>
      </c>
      <c r="D11" s="28" t="s">
        <v>692</v>
      </c>
      <c r="E11" s="36" t="str">
        <f t="shared" si="0"/>
        <v>7.50R16-14PR-AZ126T</v>
      </c>
      <c r="F11" s="29" t="s">
        <v>1011</v>
      </c>
      <c r="G11" s="29" t="s">
        <v>958</v>
      </c>
      <c r="H11" s="29" t="s">
        <v>1021</v>
      </c>
      <c r="I11" s="39" t="s">
        <v>692</v>
      </c>
      <c r="J11" s="19" t="str">
        <f t="shared" si="1"/>
        <v>7.50-16-14PR-M8086</v>
      </c>
      <c r="K11" s="29" t="s">
        <v>1296</v>
      </c>
      <c r="L11" s="29" t="s">
        <v>965</v>
      </c>
      <c r="M11" s="29" t="s">
        <v>1278</v>
      </c>
      <c r="N11" s="30" t="s">
        <v>692</v>
      </c>
      <c r="O11" s="19" t="str">
        <f t="shared" si="2"/>
        <v>4.80-12-6PR-ZT201</v>
      </c>
      <c r="P11" s="31" t="s">
        <v>4743</v>
      </c>
      <c r="Q11" s="31" t="s">
        <v>965</v>
      </c>
      <c r="R11" s="31" t="s">
        <v>1223</v>
      </c>
      <c r="S11" s="43" t="s">
        <v>692</v>
      </c>
      <c r="T11" s="19" t="str">
        <f t="shared" si="3"/>
        <v>25X10-12-6PR-AT12</v>
      </c>
      <c r="U11" s="29"/>
      <c r="V11" s="29"/>
      <c r="W11" s="29"/>
      <c r="X11" s="19" t="str">
        <f t="shared" si="4"/>
        <v>25X10-12-6PR-AT12</v>
      </c>
      <c r="Y11" s="29" t="s">
        <v>1294</v>
      </c>
      <c r="Z11" s="29" t="s">
        <v>962</v>
      </c>
      <c r="AA11" s="29" t="s">
        <v>1087</v>
      </c>
      <c r="AB11" s="30" t="s">
        <v>692</v>
      </c>
      <c r="AC11" s="19" t="str">
        <f t="shared" si="5"/>
        <v>ST205/75R14-8PR-STZC</v>
      </c>
    </row>
    <row r="12" s="19" customFormat="1" spans="1:29">
      <c r="A12" s="29" t="s">
        <v>807</v>
      </c>
      <c r="B12" s="29" t="s">
        <v>958</v>
      </c>
      <c r="C12" s="29" t="s">
        <v>1045</v>
      </c>
      <c r="D12" s="28" t="s">
        <v>692</v>
      </c>
      <c r="E12" s="36" t="str">
        <f t="shared" si="0"/>
        <v>7.50R16-14PR-TZ202</v>
      </c>
      <c r="F12" s="29" t="s">
        <v>1011</v>
      </c>
      <c r="G12" s="29" t="s">
        <v>958</v>
      </c>
      <c r="H12" s="29" t="s">
        <v>1030</v>
      </c>
      <c r="I12" s="39" t="s">
        <v>692</v>
      </c>
      <c r="J12" s="19" t="str">
        <f t="shared" si="1"/>
        <v>7.50-16-14PR-M8087</v>
      </c>
      <c r="K12" s="29" t="s">
        <v>1296</v>
      </c>
      <c r="L12" s="29" t="s">
        <v>965</v>
      </c>
      <c r="M12" s="29" t="s">
        <v>1316</v>
      </c>
      <c r="N12" s="30" t="s">
        <v>692</v>
      </c>
      <c r="O12" s="19" t="str">
        <f t="shared" si="2"/>
        <v>4.80-12-6PR-ST600</v>
      </c>
      <c r="P12" s="31" t="s">
        <v>4743</v>
      </c>
      <c r="Q12" s="31" t="s">
        <v>965</v>
      </c>
      <c r="R12" s="51" t="s">
        <v>1154</v>
      </c>
      <c r="S12" s="43" t="s">
        <v>692</v>
      </c>
      <c r="T12" s="19" t="str">
        <f t="shared" si="3"/>
        <v>25X10-12-6PR-AR10</v>
      </c>
      <c r="U12" s="29" t="s">
        <v>1509</v>
      </c>
      <c r="V12" s="29" t="s">
        <v>965</v>
      </c>
      <c r="W12" s="29" t="s">
        <v>1510</v>
      </c>
      <c r="X12" s="19" t="str">
        <f t="shared" si="4"/>
        <v>25X10-12-6PR-AR10-80/90-12-6PR</v>
      </c>
      <c r="Y12" s="31" t="s">
        <v>1294</v>
      </c>
      <c r="Z12" s="31" t="s">
        <v>962</v>
      </c>
      <c r="AA12" s="31" t="s">
        <v>4742</v>
      </c>
      <c r="AB12" s="43" t="s">
        <v>692</v>
      </c>
      <c r="AC12" s="19" t="str">
        <f t="shared" si="5"/>
        <v>ST205/75R14-8PR-ST-100A</v>
      </c>
    </row>
    <row r="13" s="19" customFormat="1" spans="1:29">
      <c r="A13" s="29" t="s">
        <v>807</v>
      </c>
      <c r="B13" s="29" t="s">
        <v>958</v>
      </c>
      <c r="C13" s="29" t="s">
        <v>1019</v>
      </c>
      <c r="D13" s="28" t="s">
        <v>692</v>
      </c>
      <c r="E13" s="36" t="str">
        <f t="shared" si="0"/>
        <v>7.50R16-14PR-CB981</v>
      </c>
      <c r="F13" s="29" t="s">
        <v>1011</v>
      </c>
      <c r="G13" s="29" t="s">
        <v>958</v>
      </c>
      <c r="H13" s="29" t="s">
        <v>1037</v>
      </c>
      <c r="I13" s="39" t="s">
        <v>692</v>
      </c>
      <c r="J13" s="19" t="str">
        <f t="shared" si="1"/>
        <v>7.50-16-14PR-AB313</v>
      </c>
      <c r="K13" s="29" t="s">
        <v>1296</v>
      </c>
      <c r="L13" s="29" t="s">
        <v>965</v>
      </c>
      <c r="M13" s="29" t="s">
        <v>1320</v>
      </c>
      <c r="N13" s="30" t="s">
        <v>692</v>
      </c>
      <c r="O13" s="19" t="str">
        <f t="shared" si="2"/>
        <v>4.80-12-6PR-TE898</v>
      </c>
      <c r="P13" s="31" t="s">
        <v>4743</v>
      </c>
      <c r="Q13" s="31" t="s">
        <v>965</v>
      </c>
      <c r="R13" s="31" t="s">
        <v>1208</v>
      </c>
      <c r="S13" s="43" t="s">
        <v>692</v>
      </c>
      <c r="T13" s="19" t="str">
        <f t="shared" si="3"/>
        <v>25X10-12-6PR-AR11</v>
      </c>
      <c r="U13" s="29"/>
      <c r="V13" s="29"/>
      <c r="W13" s="29"/>
      <c r="X13" s="19" t="str">
        <f t="shared" si="4"/>
        <v>25X10-12-6PR-AR11</v>
      </c>
      <c r="Y13" s="31" t="s">
        <v>1294</v>
      </c>
      <c r="Z13" s="31" t="s">
        <v>962</v>
      </c>
      <c r="AA13" s="31" t="s">
        <v>1110</v>
      </c>
      <c r="AB13" s="52"/>
      <c r="AC13" s="19" t="str">
        <f t="shared" si="5"/>
        <v>ST205/75R14-8PR-DURAHAULER ST</v>
      </c>
    </row>
    <row r="14" s="19" customFormat="1" spans="1:29">
      <c r="A14" s="29" t="s">
        <v>807</v>
      </c>
      <c r="B14" s="29" t="s">
        <v>958</v>
      </c>
      <c r="C14" s="29" t="s">
        <v>1135</v>
      </c>
      <c r="D14" s="28" t="s">
        <v>692</v>
      </c>
      <c r="E14" s="36" t="str">
        <f t="shared" si="0"/>
        <v>7.50R16-14PR-SUPER AM S</v>
      </c>
      <c r="F14" s="29" t="s">
        <v>1011</v>
      </c>
      <c r="G14" s="29" t="s">
        <v>958</v>
      </c>
      <c r="H14" s="29" t="s">
        <v>1057</v>
      </c>
      <c r="I14" s="39" t="s">
        <v>692</v>
      </c>
      <c r="J14" s="19" t="str">
        <f t="shared" si="1"/>
        <v>7.50-16-14PR-R8038</v>
      </c>
      <c r="K14" s="29" t="s">
        <v>1296</v>
      </c>
      <c r="L14" s="29" t="s">
        <v>965</v>
      </c>
      <c r="M14" s="29" t="s">
        <v>1322</v>
      </c>
      <c r="N14" s="30" t="s">
        <v>692</v>
      </c>
      <c r="O14" s="19" t="str">
        <f t="shared" si="2"/>
        <v>4.80-12-6PR-RC-101</v>
      </c>
      <c r="P14" s="29" t="s">
        <v>4743</v>
      </c>
      <c r="Q14" s="31" t="s">
        <v>965</v>
      </c>
      <c r="R14" s="29" t="s">
        <v>1279</v>
      </c>
      <c r="S14" s="30" t="s">
        <v>692</v>
      </c>
      <c r="T14" s="19" t="str">
        <f t="shared" si="3"/>
        <v>25X10-12-6PR-OTR09</v>
      </c>
      <c r="U14" s="29" t="s">
        <v>1522</v>
      </c>
      <c r="V14" s="29" t="s">
        <v>942</v>
      </c>
      <c r="W14" s="29" t="s">
        <v>1487</v>
      </c>
      <c r="X14" s="19" t="str">
        <f t="shared" si="4"/>
        <v>25X10-12-6PR-OTR09-80/90-14-4PR</v>
      </c>
      <c r="Y14" s="31" t="s">
        <v>1294</v>
      </c>
      <c r="Z14" s="31" t="s">
        <v>962</v>
      </c>
      <c r="AA14" s="31" t="s">
        <v>1120</v>
      </c>
      <c r="AB14" s="52"/>
      <c r="AC14" s="19" t="str">
        <f t="shared" si="5"/>
        <v>ST205/75R14-8PR-ASSURE ST</v>
      </c>
    </row>
    <row r="15" s="19" customFormat="1" spans="1:29">
      <c r="A15" s="29" t="s">
        <v>807</v>
      </c>
      <c r="B15" s="29" t="s">
        <v>958</v>
      </c>
      <c r="C15" s="29" t="s">
        <v>1138</v>
      </c>
      <c r="D15" s="28" t="s">
        <v>692</v>
      </c>
      <c r="E15" s="36" t="str">
        <f t="shared" si="0"/>
        <v>7.50R16-14PR-MOBY.R856X</v>
      </c>
      <c r="F15" s="29" t="s">
        <v>1011</v>
      </c>
      <c r="G15" s="29" t="s">
        <v>958</v>
      </c>
      <c r="H15" s="29" t="s">
        <v>1062</v>
      </c>
      <c r="I15" s="39" t="s">
        <v>692</v>
      </c>
      <c r="J15" s="19" t="str">
        <f t="shared" si="1"/>
        <v>7.50-16-14PR-AB111</v>
      </c>
      <c r="K15" s="29"/>
      <c r="L15" s="29"/>
      <c r="M15" s="29"/>
      <c r="N15" s="30"/>
      <c r="O15" s="19" t="str">
        <f t="shared" si="2"/>
        <v/>
      </c>
      <c r="P15" s="31" t="s">
        <v>4743</v>
      </c>
      <c r="Q15" s="31" t="s">
        <v>965</v>
      </c>
      <c r="R15" s="31" t="s">
        <v>1287</v>
      </c>
      <c r="S15" s="43" t="s">
        <v>692</v>
      </c>
      <c r="T15" s="19" t="str">
        <f t="shared" si="3"/>
        <v>25X10-12-6PR-OTR30</v>
      </c>
      <c r="U15" s="29"/>
      <c r="V15" s="29"/>
      <c r="W15" s="29"/>
      <c r="X15" s="19" t="str">
        <f t="shared" si="4"/>
        <v>25X10-12-6PR-OTR30</v>
      </c>
      <c r="Y15" s="31" t="s">
        <v>1294</v>
      </c>
      <c r="Z15" s="31" t="s">
        <v>962</v>
      </c>
      <c r="AA15" s="31" t="s">
        <v>1167</v>
      </c>
      <c r="AB15" s="43" t="s">
        <v>692</v>
      </c>
      <c r="AC15" s="19" t="str">
        <f t="shared" si="5"/>
        <v>ST205/75R14-8PR-ST200</v>
      </c>
    </row>
    <row r="16" s="19" customFormat="1" spans="1:29">
      <c r="A16" s="29" t="s">
        <v>807</v>
      </c>
      <c r="B16" s="29" t="s">
        <v>958</v>
      </c>
      <c r="C16" s="29" t="s">
        <v>1121</v>
      </c>
      <c r="D16" s="28" t="s">
        <v>692</v>
      </c>
      <c r="E16" s="36" t="str">
        <f t="shared" si="0"/>
        <v>7.50R16-14PR-ETOD</v>
      </c>
      <c r="F16" s="29" t="s">
        <v>1011</v>
      </c>
      <c r="G16" s="29" t="s">
        <v>958</v>
      </c>
      <c r="H16" s="29" t="s">
        <v>938</v>
      </c>
      <c r="I16" s="39" t="s">
        <v>692</v>
      </c>
      <c r="J16" s="19" t="str">
        <f t="shared" si="1"/>
        <v>7.50-16-14PR-R8037</v>
      </c>
      <c r="K16" s="29" t="s">
        <v>1334</v>
      </c>
      <c r="L16" s="29" t="s">
        <v>942</v>
      </c>
      <c r="M16" s="29" t="s">
        <v>976</v>
      </c>
      <c r="N16" s="30" t="s">
        <v>692</v>
      </c>
      <c r="O16" s="19" t="str">
        <f t="shared" si="2"/>
        <v>5.30-12-4PR-SU201</v>
      </c>
      <c r="P16" s="40"/>
      <c r="Q16" s="40"/>
      <c r="R16" s="40"/>
      <c r="S16" s="40"/>
      <c r="T16" s="19" t="str">
        <f t="shared" si="3"/>
        <v/>
      </c>
      <c r="U16" s="29" t="s">
        <v>1550</v>
      </c>
      <c r="V16" s="29" t="s">
        <v>942</v>
      </c>
      <c r="W16" s="29" t="s">
        <v>1487</v>
      </c>
      <c r="X16" s="19" t="str">
        <f t="shared" si="4"/>
        <v>90/80-14-4PR</v>
      </c>
      <c r="Y16" s="40"/>
      <c r="Z16" s="40"/>
      <c r="AA16" s="40"/>
      <c r="AB16" s="40"/>
      <c r="AC16" s="19" t="str">
        <f t="shared" si="5"/>
        <v/>
      </c>
    </row>
    <row r="17" s="19" customFormat="1" spans="1:29">
      <c r="A17" s="29" t="s">
        <v>807</v>
      </c>
      <c r="B17" s="29" t="s">
        <v>958</v>
      </c>
      <c r="C17" s="29" t="s">
        <v>1128</v>
      </c>
      <c r="D17" s="28" t="s">
        <v>692</v>
      </c>
      <c r="E17" s="36" t="str">
        <f t="shared" si="0"/>
        <v>7.50R16-14PR-AM4S.Q669</v>
      </c>
      <c r="F17" s="29" t="s">
        <v>1011</v>
      </c>
      <c r="G17" s="29" t="s">
        <v>958</v>
      </c>
      <c r="H17" s="33" t="s">
        <v>1012</v>
      </c>
      <c r="I17" s="33"/>
      <c r="J17" s="19" t="str">
        <f t="shared" si="1"/>
        <v>7.50-16-14PR-L8056</v>
      </c>
      <c r="K17" s="29" t="s">
        <v>1334</v>
      </c>
      <c r="L17" s="29" t="s">
        <v>942</v>
      </c>
      <c r="M17" s="29" t="s">
        <v>1278</v>
      </c>
      <c r="N17" s="30" t="s">
        <v>692</v>
      </c>
      <c r="O17" s="19" t="str">
        <f t="shared" si="2"/>
        <v>5.30-12-4PR-ZT201</v>
      </c>
      <c r="P17" s="29" t="s">
        <v>4744</v>
      </c>
      <c r="Q17" s="29" t="s">
        <v>965</v>
      </c>
      <c r="R17" s="29" t="s">
        <v>1165</v>
      </c>
      <c r="S17" s="30" t="s">
        <v>692</v>
      </c>
      <c r="T17" s="19" t="str">
        <f t="shared" si="3"/>
        <v>26X9-12-6PR-AR12</v>
      </c>
      <c r="U17" s="29"/>
      <c r="V17" s="29"/>
      <c r="W17" s="29"/>
      <c r="X17" s="19" t="str">
        <f t="shared" si="4"/>
        <v>26X9-12-6PR-AR12</v>
      </c>
      <c r="Y17" s="41" t="s">
        <v>1378</v>
      </c>
      <c r="Z17" s="41" t="s">
        <v>965</v>
      </c>
      <c r="AA17" s="41" t="s">
        <v>1188</v>
      </c>
      <c r="AB17" s="44" t="s">
        <v>692</v>
      </c>
      <c r="AC17" s="19" t="str">
        <f t="shared" si="5"/>
        <v>ST205/75R15-6PR-ST226</v>
      </c>
    </row>
    <row r="18" s="19" customFormat="1" spans="1:29">
      <c r="A18" s="29" t="s">
        <v>807</v>
      </c>
      <c r="B18" s="29" t="s">
        <v>958</v>
      </c>
      <c r="C18" s="29" t="s">
        <v>1090</v>
      </c>
      <c r="D18" s="28" t="s">
        <v>692</v>
      </c>
      <c r="E18" s="36" t="str">
        <f t="shared" si="0"/>
        <v>7.50R16-14PR-AZ850S</v>
      </c>
      <c r="F18" s="29" t="s">
        <v>1011</v>
      </c>
      <c r="G18" s="29" t="s">
        <v>958</v>
      </c>
      <c r="H18" s="29" t="s">
        <v>959</v>
      </c>
      <c r="I18" s="39" t="s">
        <v>692</v>
      </c>
      <c r="J18" s="19" t="str">
        <f t="shared" si="1"/>
        <v>7.50-16-14PR-MR881</v>
      </c>
      <c r="K18" s="29" t="s">
        <v>1334</v>
      </c>
      <c r="L18" s="29" t="s">
        <v>965</v>
      </c>
      <c r="M18" s="29" t="s">
        <v>976</v>
      </c>
      <c r="N18" s="30" t="s">
        <v>692</v>
      </c>
      <c r="O18" s="19" t="str">
        <f t="shared" si="2"/>
        <v>5.30-12-6PR-SU201</v>
      </c>
      <c r="P18" s="29" t="s">
        <v>4745</v>
      </c>
      <c r="Q18" s="29" t="s">
        <v>962</v>
      </c>
      <c r="R18" s="29" t="s">
        <v>1208</v>
      </c>
      <c r="S18" s="30" t="s">
        <v>692</v>
      </c>
      <c r="T18" s="19" t="str">
        <f t="shared" si="3"/>
        <v>26X9R12-8PR-AR11</v>
      </c>
      <c r="U18" s="29" t="s">
        <v>1563</v>
      </c>
      <c r="V18" s="29" t="s">
        <v>942</v>
      </c>
      <c r="W18" s="29" t="s">
        <v>1510</v>
      </c>
      <c r="X18" s="19" t="str">
        <f t="shared" si="4"/>
        <v>26X9R12-8PR-AR11-90/90-12-4PR</v>
      </c>
      <c r="Y18" s="29" t="s">
        <v>1378</v>
      </c>
      <c r="Z18" s="29" t="s">
        <v>962</v>
      </c>
      <c r="AA18" s="29" t="s">
        <v>1188</v>
      </c>
      <c r="AB18" s="30" t="s">
        <v>692</v>
      </c>
      <c r="AC18" s="19" t="str">
        <f t="shared" si="5"/>
        <v>ST205/75R15-8PR-ST226</v>
      </c>
    </row>
    <row r="19" s="19" customFormat="1" spans="1:29">
      <c r="A19" s="29" t="s">
        <v>807</v>
      </c>
      <c r="B19" s="29" t="s">
        <v>958</v>
      </c>
      <c r="C19" s="29" t="s">
        <v>1096</v>
      </c>
      <c r="D19" s="28" t="s">
        <v>692</v>
      </c>
      <c r="E19" s="36" t="str">
        <f t="shared" si="0"/>
        <v>7.50R16-14PR-CB972</v>
      </c>
      <c r="F19" s="33"/>
      <c r="G19" s="33"/>
      <c r="H19" s="33"/>
      <c r="I19" s="33"/>
      <c r="J19" s="19" t="str">
        <f t="shared" si="1"/>
        <v/>
      </c>
      <c r="K19" s="29" t="s">
        <v>1334</v>
      </c>
      <c r="L19" s="29" t="s">
        <v>965</v>
      </c>
      <c r="M19" s="29" t="s">
        <v>1278</v>
      </c>
      <c r="N19" s="30" t="s">
        <v>692</v>
      </c>
      <c r="O19" s="19" t="str">
        <f t="shared" si="2"/>
        <v>5.30-12-6PR-ZT201</v>
      </c>
      <c r="P19" s="40"/>
      <c r="Q19" s="40"/>
      <c r="R19" s="40"/>
      <c r="S19" s="40"/>
      <c r="T19" s="19" t="str">
        <f t="shared" si="3"/>
        <v/>
      </c>
      <c r="U19" s="29"/>
      <c r="V19" s="29"/>
      <c r="W19" s="29"/>
      <c r="X19" s="19" t="str">
        <f t="shared" si="4"/>
        <v/>
      </c>
      <c r="Y19" s="37" t="s">
        <v>1378</v>
      </c>
      <c r="Z19" s="37" t="s">
        <v>965</v>
      </c>
      <c r="AA19" s="37" t="s">
        <v>1167</v>
      </c>
      <c r="AB19" s="38" t="s">
        <v>692</v>
      </c>
      <c r="AC19" s="19" t="str">
        <f t="shared" si="5"/>
        <v>ST205/75R15-6PR-ST200</v>
      </c>
    </row>
    <row r="20" s="19" customFormat="1" spans="1:29">
      <c r="A20" s="29" t="s">
        <v>807</v>
      </c>
      <c r="B20" s="29" t="s">
        <v>958</v>
      </c>
      <c r="C20" s="29" t="s">
        <v>1106</v>
      </c>
      <c r="D20" s="28" t="s">
        <v>692</v>
      </c>
      <c r="E20" s="36" t="str">
        <f t="shared" si="0"/>
        <v>7.50R16-14PR-CM913</v>
      </c>
      <c r="F20" s="29" t="s">
        <v>1073</v>
      </c>
      <c r="G20" s="33" t="s">
        <v>1074</v>
      </c>
      <c r="H20" s="33" t="s">
        <v>1205</v>
      </c>
      <c r="I20" s="39" t="s">
        <v>692</v>
      </c>
      <c r="J20" s="19" t="str">
        <f t="shared" si="1"/>
        <v>10.00-20-16PR-R9038</v>
      </c>
      <c r="K20" s="29"/>
      <c r="L20" s="29"/>
      <c r="M20" s="29"/>
      <c r="N20" s="30"/>
      <c r="O20" s="19" t="str">
        <f t="shared" si="2"/>
        <v/>
      </c>
      <c r="P20" s="29" t="s">
        <v>4746</v>
      </c>
      <c r="Q20" s="29" t="s">
        <v>965</v>
      </c>
      <c r="R20" s="29" t="s">
        <v>1165</v>
      </c>
      <c r="S20" s="30" t="s">
        <v>692</v>
      </c>
      <c r="T20" s="19" t="str">
        <f t="shared" si="3"/>
        <v>26X10-12-6PR-AR12</v>
      </c>
      <c r="U20" s="29" t="s">
        <v>1574</v>
      </c>
      <c r="V20" s="29" t="s">
        <v>942</v>
      </c>
      <c r="W20" s="29" t="s">
        <v>1487</v>
      </c>
      <c r="X20" s="19" t="str">
        <f t="shared" si="4"/>
        <v>26X10-12-6PR-AR12-90/90-14-4PR</v>
      </c>
      <c r="Y20" s="31" t="s">
        <v>1378</v>
      </c>
      <c r="Z20" s="31" t="s">
        <v>962</v>
      </c>
      <c r="AA20" s="31" t="s">
        <v>1167</v>
      </c>
      <c r="AB20" s="43" t="s">
        <v>692</v>
      </c>
      <c r="AC20" s="19" t="str">
        <f t="shared" si="5"/>
        <v>ST205/75R15-8PR-ST200</v>
      </c>
    </row>
    <row r="21" s="19" customFormat="1" spans="1:29">
      <c r="A21" s="29" t="s">
        <v>807</v>
      </c>
      <c r="B21" s="29" t="s">
        <v>958</v>
      </c>
      <c r="C21" s="29" t="s">
        <v>1028</v>
      </c>
      <c r="D21" s="28" t="s">
        <v>692</v>
      </c>
      <c r="E21" s="36" t="str">
        <f t="shared" si="0"/>
        <v>7.50R16-14PR-CM988</v>
      </c>
      <c r="F21" s="29" t="s">
        <v>1073</v>
      </c>
      <c r="G21" s="33" t="s">
        <v>1092</v>
      </c>
      <c r="H21" s="33" t="s">
        <v>1205</v>
      </c>
      <c r="I21" s="39" t="s">
        <v>692</v>
      </c>
      <c r="J21" s="19" t="str">
        <f t="shared" si="1"/>
        <v>10.00-20-18PR-R9038</v>
      </c>
      <c r="K21" s="29" t="s">
        <v>961</v>
      </c>
      <c r="L21" s="29" t="s">
        <v>942</v>
      </c>
      <c r="M21" s="29" t="s">
        <v>976</v>
      </c>
      <c r="N21" s="30" t="s">
        <v>692</v>
      </c>
      <c r="O21" s="19" t="str">
        <f t="shared" si="2"/>
        <v>5.70-8-4PR-SU201</v>
      </c>
      <c r="P21" s="29" t="s">
        <v>4747</v>
      </c>
      <c r="Q21" s="29" t="s">
        <v>962</v>
      </c>
      <c r="R21" s="29" t="s">
        <v>1208</v>
      </c>
      <c r="S21" s="30" t="s">
        <v>692</v>
      </c>
      <c r="T21" s="19" t="str">
        <f t="shared" si="3"/>
        <v>26X10R12-8PR-AR11</v>
      </c>
      <c r="U21" s="29"/>
      <c r="V21" s="29"/>
      <c r="W21" s="29"/>
      <c r="X21" s="19" t="str">
        <f t="shared" si="4"/>
        <v>26X10R12-8PR-AR11</v>
      </c>
      <c r="Y21" s="31" t="s">
        <v>1378</v>
      </c>
      <c r="Z21" s="31" t="s">
        <v>946</v>
      </c>
      <c r="AA21" s="31" t="s">
        <v>1080</v>
      </c>
      <c r="AB21" s="43" t="s">
        <v>692</v>
      </c>
      <c r="AC21" s="19" t="str">
        <f t="shared" si="5"/>
        <v>ST205/75R15-10PR-ST100</v>
      </c>
    </row>
    <row r="22" s="19" customFormat="1" spans="1:29">
      <c r="A22" s="29" t="s">
        <v>807</v>
      </c>
      <c r="B22" s="29" t="s">
        <v>958</v>
      </c>
      <c r="C22" s="29" t="s">
        <v>4748</v>
      </c>
      <c r="D22" s="28" t="s">
        <v>692</v>
      </c>
      <c r="E22" s="36" t="str">
        <f t="shared" si="0"/>
        <v>7.50R16-14PR-TKALⅢ</v>
      </c>
      <c r="F22" s="29" t="s">
        <v>1073</v>
      </c>
      <c r="G22" s="33" t="s">
        <v>1092</v>
      </c>
      <c r="H22" s="33" t="s">
        <v>1062</v>
      </c>
      <c r="I22" s="39" t="s">
        <v>692</v>
      </c>
      <c r="J22" s="19" t="str">
        <f t="shared" si="1"/>
        <v>10.00-20-18PR-AB111</v>
      </c>
      <c r="K22" s="31" t="s">
        <v>961</v>
      </c>
      <c r="L22" s="29" t="s">
        <v>942</v>
      </c>
      <c r="M22" s="31" t="s">
        <v>1278</v>
      </c>
      <c r="N22" s="43" t="s">
        <v>692</v>
      </c>
      <c r="O22" s="19" t="str">
        <f t="shared" si="2"/>
        <v>5.70-8-4PR-ZT201</v>
      </c>
      <c r="P22" s="40"/>
      <c r="Q22" s="40"/>
      <c r="R22" s="40"/>
      <c r="S22" s="40"/>
      <c r="T22" s="19" t="str">
        <f t="shared" si="3"/>
        <v/>
      </c>
      <c r="U22" s="29" t="s">
        <v>1597</v>
      </c>
      <c r="V22" s="29" t="s">
        <v>4749</v>
      </c>
      <c r="W22" s="29" t="s">
        <v>1535</v>
      </c>
      <c r="X22" s="19" t="str">
        <f t="shared" si="4"/>
        <v>100/80-14-4PR/6PR</v>
      </c>
      <c r="Y22" s="29" t="s">
        <v>1378</v>
      </c>
      <c r="Z22" s="29" t="s">
        <v>965</v>
      </c>
      <c r="AA22" s="53" t="s">
        <v>4742</v>
      </c>
      <c r="AB22" s="38" t="s">
        <v>692</v>
      </c>
      <c r="AC22" s="19" t="str">
        <f t="shared" si="5"/>
        <v>ST205/75R15-6PR-ST-100A</v>
      </c>
    </row>
    <row r="23" s="19" customFormat="1" spans="1:29">
      <c r="A23" s="29" t="s">
        <v>808</v>
      </c>
      <c r="B23" s="29" t="s">
        <v>958</v>
      </c>
      <c r="C23" s="29" t="s">
        <v>1035</v>
      </c>
      <c r="D23" s="28" t="s">
        <v>692</v>
      </c>
      <c r="E23" s="36" t="str">
        <f t="shared" si="0"/>
        <v>8.25R16-14PR-CR926</v>
      </c>
      <c r="F23" s="29" t="s">
        <v>1073</v>
      </c>
      <c r="G23" s="33"/>
      <c r="H23" s="33" t="s">
        <v>1139</v>
      </c>
      <c r="I23" s="33"/>
      <c r="J23" s="19" t="str">
        <f t="shared" si="1"/>
        <v>10.00-20-L9057</v>
      </c>
      <c r="K23" s="29" t="s">
        <v>961</v>
      </c>
      <c r="L23" s="29" t="s">
        <v>965</v>
      </c>
      <c r="M23" s="29" t="s">
        <v>976</v>
      </c>
      <c r="N23" s="30" t="s">
        <v>692</v>
      </c>
      <c r="O23" s="19" t="str">
        <f t="shared" si="2"/>
        <v>5.70-8-6PR-SU201</v>
      </c>
      <c r="P23" s="29" t="s">
        <v>4750</v>
      </c>
      <c r="Q23" s="29" t="s">
        <v>965</v>
      </c>
      <c r="R23" s="29" t="s">
        <v>1165</v>
      </c>
      <c r="S23" s="30" t="s">
        <v>692</v>
      </c>
      <c r="T23" s="19" t="str">
        <f t="shared" si="3"/>
        <v>26×12-12-6PR-AR12</v>
      </c>
      <c r="U23" s="29"/>
      <c r="V23" s="29"/>
      <c r="W23" s="29"/>
      <c r="X23" s="19" t="str">
        <f t="shared" si="4"/>
        <v>26×12-12-6PR-AR12</v>
      </c>
      <c r="Y23" s="41" t="s">
        <v>1378</v>
      </c>
      <c r="Z23" s="41" t="s">
        <v>962</v>
      </c>
      <c r="AA23" s="29" t="s">
        <v>4742</v>
      </c>
      <c r="AB23" s="43" t="s">
        <v>692</v>
      </c>
      <c r="AC23" s="19" t="str">
        <f t="shared" si="5"/>
        <v>ST205/75R15-8PR-ST-100A</v>
      </c>
    </row>
    <row r="24" s="19" customFormat="1" spans="1:29">
      <c r="A24" s="29" t="s">
        <v>805</v>
      </c>
      <c r="B24" s="29" t="s">
        <v>1092</v>
      </c>
      <c r="C24" s="29" t="s">
        <v>935</v>
      </c>
      <c r="D24" s="28" t="s">
        <v>692</v>
      </c>
      <c r="E24" s="36" t="str">
        <f t="shared" si="0"/>
        <v>10.00R20-18PR-AZ686</v>
      </c>
      <c r="F24" s="29" t="s">
        <v>1073</v>
      </c>
      <c r="G24" s="29" t="s">
        <v>1092</v>
      </c>
      <c r="H24" s="29" t="s">
        <v>1163</v>
      </c>
      <c r="I24" s="39" t="s">
        <v>692</v>
      </c>
      <c r="J24" s="19" t="str">
        <f t="shared" si="1"/>
        <v>10.00-20-18PR-M9096</v>
      </c>
      <c r="K24" s="31" t="s">
        <v>961</v>
      </c>
      <c r="L24" s="31" t="s">
        <v>965</v>
      </c>
      <c r="M24" s="31" t="s">
        <v>1278</v>
      </c>
      <c r="N24" s="43" t="s">
        <v>692</v>
      </c>
      <c r="O24" s="19" t="str">
        <f t="shared" si="2"/>
        <v>5.70-8-6PR-ZT201</v>
      </c>
      <c r="P24" s="29" t="s">
        <v>4751</v>
      </c>
      <c r="Q24" s="29" t="s">
        <v>962</v>
      </c>
      <c r="R24" s="29" t="s">
        <v>1208</v>
      </c>
      <c r="S24" s="30" t="s">
        <v>692</v>
      </c>
      <c r="T24" s="19" t="str">
        <f t="shared" si="3"/>
        <v>26×12R12-8PR-AR11</v>
      </c>
      <c r="U24" s="29"/>
      <c r="V24" s="29"/>
      <c r="W24" s="29"/>
      <c r="X24" s="19" t="str">
        <f t="shared" si="4"/>
        <v>26×12R12-8PR-AR11</v>
      </c>
      <c r="Y24" s="31" t="s">
        <v>1378</v>
      </c>
      <c r="Z24" s="31" t="s">
        <v>946</v>
      </c>
      <c r="AA24" s="29" t="s">
        <v>4742</v>
      </c>
      <c r="AB24" s="43" t="s">
        <v>692</v>
      </c>
      <c r="AC24" s="19" t="str">
        <f t="shared" si="5"/>
        <v>ST205/75R15-10PR-ST-100A</v>
      </c>
    </row>
    <row r="25" s="19" customFormat="1" spans="1:29">
      <c r="A25" s="29" t="s">
        <v>805</v>
      </c>
      <c r="B25" s="29" t="s">
        <v>1092</v>
      </c>
      <c r="C25" s="29" t="s">
        <v>1002</v>
      </c>
      <c r="D25" s="28" t="s">
        <v>692</v>
      </c>
      <c r="E25" s="36" t="str">
        <f t="shared" si="0"/>
        <v>10.00R20-18PR-AZ601</v>
      </c>
      <c r="F25" s="29" t="s">
        <v>1073</v>
      </c>
      <c r="G25" s="29" t="s">
        <v>1092</v>
      </c>
      <c r="H25" s="29" t="s">
        <v>1170</v>
      </c>
      <c r="I25" s="39" t="s">
        <v>692</v>
      </c>
      <c r="J25" s="19" t="str">
        <f t="shared" si="1"/>
        <v>10.00-20-18PR-M9097</v>
      </c>
      <c r="K25" s="40"/>
      <c r="L25" s="40"/>
      <c r="M25" s="40"/>
      <c r="N25" s="40"/>
      <c r="O25" s="19" t="str">
        <f t="shared" si="2"/>
        <v/>
      </c>
      <c r="P25" s="29"/>
      <c r="Q25" s="29"/>
      <c r="R25" s="29"/>
      <c r="S25" s="30"/>
      <c r="T25" s="19" t="str">
        <f t="shared" si="3"/>
        <v/>
      </c>
      <c r="U25" s="29"/>
      <c r="V25" s="29"/>
      <c r="W25" s="29"/>
      <c r="X25" s="19" t="str">
        <f t="shared" si="4"/>
        <v/>
      </c>
      <c r="Y25" s="40"/>
      <c r="Z25" s="40"/>
      <c r="AA25" s="40"/>
      <c r="AB25" s="40"/>
      <c r="AC25" s="19" t="str">
        <f t="shared" si="5"/>
        <v/>
      </c>
    </row>
    <row r="26" s="19" customFormat="1" spans="1:29">
      <c r="A26" s="29" t="s">
        <v>805</v>
      </c>
      <c r="B26" s="29" t="s">
        <v>1092</v>
      </c>
      <c r="C26" s="29" t="s">
        <v>1035</v>
      </c>
      <c r="D26" s="28" t="s">
        <v>692</v>
      </c>
      <c r="E26" s="36" t="str">
        <f t="shared" si="0"/>
        <v>10.00R20-18PR-CR926</v>
      </c>
      <c r="F26" s="29" t="s">
        <v>1073</v>
      </c>
      <c r="G26" s="29" t="s">
        <v>1092</v>
      </c>
      <c r="H26" s="29" t="s">
        <v>1037</v>
      </c>
      <c r="I26" s="39" t="s">
        <v>692</v>
      </c>
      <c r="J26" s="19" t="str">
        <f t="shared" si="1"/>
        <v>10.00-20-18PR-AB313</v>
      </c>
      <c r="K26" s="37" t="s">
        <v>1382</v>
      </c>
      <c r="L26" s="37" t="s">
        <v>965</v>
      </c>
      <c r="M26" s="37" t="s">
        <v>1008</v>
      </c>
      <c r="N26" s="38" t="s">
        <v>692</v>
      </c>
      <c r="O26" s="19" t="str">
        <f t="shared" si="2"/>
        <v>16.5X6.5-8-6PR-SU202</v>
      </c>
      <c r="P26" s="29" t="s">
        <v>4752</v>
      </c>
      <c r="Q26" s="29" t="s">
        <v>965</v>
      </c>
      <c r="R26" s="29" t="s">
        <v>1231</v>
      </c>
      <c r="S26" s="30" t="s">
        <v>692</v>
      </c>
      <c r="T26" s="19" t="str">
        <f t="shared" si="3"/>
        <v>27X9-12-6PR-WL6A</v>
      </c>
      <c r="X26" s="19" t="str">
        <f t="shared" si="4"/>
        <v>27X9-12-6PR-WL6A</v>
      </c>
      <c r="Y26" s="29" t="s">
        <v>1498</v>
      </c>
      <c r="Z26" s="29" t="s">
        <v>965</v>
      </c>
      <c r="AA26" s="29" t="s">
        <v>4741</v>
      </c>
      <c r="AB26" s="30" t="s">
        <v>692</v>
      </c>
      <c r="AC26" s="19" t="str">
        <f t="shared" si="5"/>
        <v>ST215/75R14-6PR-ST-100</v>
      </c>
    </row>
    <row r="27" s="19" customFormat="1" spans="1:29">
      <c r="A27" s="29" t="s">
        <v>805</v>
      </c>
      <c r="B27" s="29" t="s">
        <v>1092</v>
      </c>
      <c r="C27" s="29" t="s">
        <v>1327</v>
      </c>
      <c r="D27" s="28" t="s">
        <v>692</v>
      </c>
      <c r="E27" s="36" t="str">
        <f t="shared" si="0"/>
        <v>10.00R20-18PR-CM958</v>
      </c>
      <c r="F27" s="29" t="s">
        <v>1073</v>
      </c>
      <c r="G27" s="29"/>
      <c r="H27" s="29" t="s">
        <v>1193</v>
      </c>
      <c r="I27" s="39" t="s">
        <v>692</v>
      </c>
      <c r="J27" s="19" t="str">
        <f t="shared" si="1"/>
        <v>10.00-20-R9037</v>
      </c>
      <c r="K27" s="41" t="s">
        <v>1382</v>
      </c>
      <c r="L27" s="41" t="s">
        <v>965</v>
      </c>
      <c r="M27" s="31" t="s">
        <v>1015</v>
      </c>
      <c r="N27" s="44" t="s">
        <v>692</v>
      </c>
      <c r="O27" s="19" t="str">
        <f t="shared" si="2"/>
        <v>16.5X6.5-8-6PR-ZT202</v>
      </c>
      <c r="P27" s="40"/>
      <c r="Q27" s="40"/>
      <c r="R27" s="40"/>
      <c r="S27" s="40"/>
      <c r="T27" s="19" t="str">
        <f t="shared" si="3"/>
        <v/>
      </c>
      <c r="X27" s="19" t="str">
        <f t="shared" si="4"/>
        <v/>
      </c>
      <c r="Y27" s="29" t="s">
        <v>1498</v>
      </c>
      <c r="Z27" s="29" t="s">
        <v>965</v>
      </c>
      <c r="AA27" s="29" t="s">
        <v>1087</v>
      </c>
      <c r="AB27" s="30" t="s">
        <v>692</v>
      </c>
      <c r="AC27" s="19" t="str">
        <f t="shared" si="5"/>
        <v>ST215/75R14-6PR-STZC</v>
      </c>
    </row>
    <row r="28" s="19" customFormat="1" spans="1:29">
      <c r="A28" s="29" t="s">
        <v>805</v>
      </c>
      <c r="B28" s="29" t="s">
        <v>1092</v>
      </c>
      <c r="C28" s="29" t="s">
        <v>1038</v>
      </c>
      <c r="D28" s="28" t="s">
        <v>692</v>
      </c>
      <c r="E28" s="36" t="str">
        <f t="shared" si="0"/>
        <v>10.00R20-18PR-AZ676</v>
      </c>
      <c r="F28" s="29" t="s">
        <v>1073</v>
      </c>
      <c r="G28" s="29"/>
      <c r="H28" s="29" t="s">
        <v>1129</v>
      </c>
      <c r="I28" s="39" t="s">
        <v>692</v>
      </c>
      <c r="J28" s="19" t="str">
        <f t="shared" si="1"/>
        <v>10.00-20-CR952</v>
      </c>
      <c r="K28" s="40"/>
      <c r="L28" s="40"/>
      <c r="M28" s="40"/>
      <c r="N28" s="40"/>
      <c r="O28" s="19" t="str">
        <f t="shared" si="2"/>
        <v/>
      </c>
      <c r="P28" s="29" t="s">
        <v>4753</v>
      </c>
      <c r="Q28" s="29" t="s">
        <v>965</v>
      </c>
      <c r="R28" s="29" t="s">
        <v>1231</v>
      </c>
      <c r="S28" s="30" t="s">
        <v>692</v>
      </c>
      <c r="T28" s="19" t="str">
        <f t="shared" si="3"/>
        <v>27X11-12-6PR-WL6A</v>
      </c>
      <c r="X28" s="19" t="str">
        <f t="shared" si="4"/>
        <v>27X11-12-6PR-WL6A</v>
      </c>
      <c r="Y28" s="29" t="s">
        <v>1498</v>
      </c>
      <c r="Z28" s="29" t="s">
        <v>965</v>
      </c>
      <c r="AA28" s="29" t="s">
        <v>4742</v>
      </c>
      <c r="AB28" s="30" t="s">
        <v>692</v>
      </c>
      <c r="AC28" s="19" t="str">
        <f t="shared" si="5"/>
        <v>ST215/75R14-6PR-ST-100A</v>
      </c>
    </row>
    <row r="29" s="19" customFormat="1" ht="18" spans="1:29">
      <c r="A29" s="29" t="s">
        <v>805</v>
      </c>
      <c r="B29" s="30" t="s">
        <v>1074</v>
      </c>
      <c r="C29" s="30" t="s">
        <v>4754</v>
      </c>
      <c r="D29" s="28" t="s">
        <v>692</v>
      </c>
      <c r="E29" s="36" t="str">
        <f t="shared" si="0"/>
        <v>10.00R20-16PR-TKAL Ⅲ</v>
      </c>
      <c r="F29" s="29" t="s">
        <v>1073</v>
      </c>
      <c r="G29" s="29" t="s">
        <v>1092</v>
      </c>
      <c r="H29" s="29" t="s">
        <v>1075</v>
      </c>
      <c r="I29" s="39" t="s">
        <v>692</v>
      </c>
      <c r="J29" s="19" t="str">
        <f t="shared" si="1"/>
        <v>10.00-20-18PR-CL956</v>
      </c>
      <c r="K29" s="29" t="s">
        <v>1398</v>
      </c>
      <c r="L29" s="29" t="s">
        <v>965</v>
      </c>
      <c r="M29" s="29" t="s">
        <v>1008</v>
      </c>
      <c r="N29" s="43" t="s">
        <v>692</v>
      </c>
      <c r="O29" s="19" t="str">
        <f t="shared" si="2"/>
        <v>18.5X8.5-8-6PR-SU202</v>
      </c>
      <c r="P29" s="37"/>
      <c r="Q29" s="37"/>
      <c r="R29" s="37"/>
      <c r="S29" s="38"/>
      <c r="T29" s="19" t="str">
        <f t="shared" si="3"/>
        <v/>
      </c>
      <c r="X29" s="19" t="str">
        <f t="shared" si="4"/>
        <v/>
      </c>
      <c r="Y29" s="29" t="s">
        <v>1498</v>
      </c>
      <c r="Z29" s="29" t="s">
        <v>965</v>
      </c>
      <c r="AA29" s="29" t="s">
        <v>1110</v>
      </c>
      <c r="AB29" s="30" t="s">
        <v>692</v>
      </c>
      <c r="AC29" s="19" t="str">
        <f t="shared" si="5"/>
        <v>ST215/75R14-6PR-DURAHAULER ST</v>
      </c>
    </row>
    <row r="30" s="19" customFormat="1" ht="18" spans="1:29">
      <c r="A30" s="29" t="s">
        <v>805</v>
      </c>
      <c r="B30" s="30" t="s">
        <v>1074</v>
      </c>
      <c r="C30" s="29" t="s">
        <v>1417</v>
      </c>
      <c r="D30" s="28" t="s">
        <v>692</v>
      </c>
      <c r="E30" s="36" t="str">
        <f t="shared" si="0"/>
        <v>10.00R20-16PR-FOLO.R109</v>
      </c>
      <c r="F30" s="29" t="s">
        <v>1073</v>
      </c>
      <c r="G30" s="29" t="s">
        <v>1092</v>
      </c>
      <c r="H30" s="29" t="s">
        <v>1083</v>
      </c>
      <c r="I30" s="39" t="s">
        <v>692</v>
      </c>
      <c r="J30" s="19" t="str">
        <f t="shared" si="1"/>
        <v>10.00-20-18PR-CL957</v>
      </c>
      <c r="K30" s="29" t="s">
        <v>1398</v>
      </c>
      <c r="L30" s="29" t="s">
        <v>965</v>
      </c>
      <c r="M30" s="25" t="s">
        <v>1015</v>
      </c>
      <c r="N30" s="43" t="s">
        <v>692</v>
      </c>
      <c r="O30" s="19" t="str">
        <f t="shared" si="2"/>
        <v>18.5X8.5-8-6PR-ZT202</v>
      </c>
      <c r="P30" s="40"/>
      <c r="Q30" s="40"/>
      <c r="R30" s="40"/>
      <c r="S30" s="40"/>
      <c r="T30" s="19" t="str">
        <f t="shared" si="3"/>
        <v/>
      </c>
      <c r="X30" s="19" t="str">
        <f t="shared" si="4"/>
        <v/>
      </c>
      <c r="Y30" s="29" t="s">
        <v>1498</v>
      </c>
      <c r="Z30" s="29" t="s">
        <v>965</v>
      </c>
      <c r="AA30" s="29" t="s">
        <v>1120</v>
      </c>
      <c r="AB30" s="30" t="s">
        <v>692</v>
      </c>
      <c r="AC30" s="19" t="str">
        <f t="shared" si="5"/>
        <v>ST215/75R14-6PR-ASSURE ST</v>
      </c>
    </row>
    <row r="31" s="19" customFormat="1" ht="18" spans="1:29">
      <c r="A31" s="29" t="s">
        <v>805</v>
      </c>
      <c r="B31" s="30" t="s">
        <v>1092</v>
      </c>
      <c r="C31" s="30" t="s">
        <v>4754</v>
      </c>
      <c r="D31" s="28" t="s">
        <v>692</v>
      </c>
      <c r="E31" s="36" t="str">
        <f t="shared" si="0"/>
        <v>10.00R20-18PR-TKAL Ⅲ</v>
      </c>
      <c r="F31" s="31" t="s">
        <v>1073</v>
      </c>
      <c r="G31" s="31" t="s">
        <v>958</v>
      </c>
      <c r="H31" s="31" t="s">
        <v>1123</v>
      </c>
      <c r="I31" s="42" t="s">
        <v>692</v>
      </c>
      <c r="J31" s="19" t="str">
        <f t="shared" si="1"/>
        <v>10.00-20-14PR-CR918</v>
      </c>
      <c r="K31" s="29" t="s">
        <v>1398</v>
      </c>
      <c r="L31" s="29" t="s">
        <v>962</v>
      </c>
      <c r="M31" s="25" t="s">
        <v>1008</v>
      </c>
      <c r="N31" s="30" t="s">
        <v>692</v>
      </c>
      <c r="O31" s="19" t="str">
        <f t="shared" si="2"/>
        <v>18.5X8.5-8-8PR-SU202</v>
      </c>
      <c r="P31" s="40"/>
      <c r="Q31" s="40"/>
      <c r="R31" s="40"/>
      <c r="S31" s="40"/>
      <c r="T31" s="19" t="str">
        <f t="shared" si="3"/>
        <v/>
      </c>
      <c r="X31" s="19" t="str">
        <f t="shared" si="4"/>
        <v/>
      </c>
      <c r="Y31" s="29" t="s">
        <v>1498</v>
      </c>
      <c r="Z31" s="29" t="s">
        <v>962</v>
      </c>
      <c r="AA31" s="29" t="s">
        <v>4741</v>
      </c>
      <c r="AB31" s="30" t="s">
        <v>692</v>
      </c>
      <c r="AC31" s="19" t="str">
        <f t="shared" si="5"/>
        <v>ST215/75R14-8PR-ST-100</v>
      </c>
    </row>
    <row r="32" s="19" customFormat="1" ht="18" spans="1:29">
      <c r="A32" s="29" t="s">
        <v>805</v>
      </c>
      <c r="B32" s="30" t="s">
        <v>1092</v>
      </c>
      <c r="C32" s="29" t="s">
        <v>1417</v>
      </c>
      <c r="D32" s="28" t="s">
        <v>692</v>
      </c>
      <c r="E32" s="36" t="str">
        <f t="shared" si="0"/>
        <v>10.00R20-18PR-FOLO.R109</v>
      </c>
      <c r="F32" s="29"/>
      <c r="G32" s="29"/>
      <c r="H32" s="29"/>
      <c r="I32" s="30"/>
      <c r="J32" s="19" t="str">
        <f t="shared" si="1"/>
        <v/>
      </c>
      <c r="K32" s="31" t="s">
        <v>1398</v>
      </c>
      <c r="L32" s="31" t="s">
        <v>962</v>
      </c>
      <c r="M32" s="45" t="s">
        <v>1015</v>
      </c>
      <c r="N32" s="30" t="s">
        <v>692</v>
      </c>
      <c r="O32" s="19" t="str">
        <f t="shared" si="2"/>
        <v>18.5X8.5-8-8PR-ZT202</v>
      </c>
      <c r="P32" s="40"/>
      <c r="Q32" s="40"/>
      <c r="R32" s="40"/>
      <c r="S32" s="40"/>
      <c r="T32" s="19" t="str">
        <f t="shared" si="3"/>
        <v/>
      </c>
      <c r="X32" s="19" t="str">
        <f t="shared" si="4"/>
        <v/>
      </c>
      <c r="Y32" s="29" t="s">
        <v>1498</v>
      </c>
      <c r="Z32" s="29" t="s">
        <v>962</v>
      </c>
      <c r="AA32" s="29" t="s">
        <v>1087</v>
      </c>
      <c r="AB32" s="30" t="s">
        <v>692</v>
      </c>
      <c r="AC32" s="19" t="str">
        <f t="shared" si="5"/>
        <v>ST215/75R14-8PR-STZC</v>
      </c>
    </row>
    <row r="33" s="19" customFormat="1" spans="1:29">
      <c r="A33" s="29" t="s">
        <v>805</v>
      </c>
      <c r="B33" s="29" t="s">
        <v>1092</v>
      </c>
      <c r="C33" s="29" t="s">
        <v>1353</v>
      </c>
      <c r="D33" s="28" t="s">
        <v>692</v>
      </c>
      <c r="E33" s="36" t="str">
        <f t="shared" si="0"/>
        <v>10.00R20-18PR-MD758</v>
      </c>
      <c r="F33" s="29" t="s">
        <v>1227</v>
      </c>
      <c r="G33" s="29" t="s">
        <v>1092</v>
      </c>
      <c r="H33" s="29" t="s">
        <v>1228</v>
      </c>
      <c r="I33" s="39" t="s">
        <v>692</v>
      </c>
      <c r="J33" s="19" t="str">
        <f t="shared" si="1"/>
        <v>11.00-20-18PR-CL969</v>
      </c>
      <c r="K33" s="40"/>
      <c r="L33" s="40"/>
      <c r="M33" s="40"/>
      <c r="N33" s="46"/>
      <c r="O33" s="19" t="str">
        <f t="shared" si="2"/>
        <v/>
      </c>
      <c r="P33" s="40"/>
      <c r="Q33" s="40"/>
      <c r="R33" s="40"/>
      <c r="S33" s="40"/>
      <c r="T33" s="19" t="str">
        <f t="shared" si="3"/>
        <v/>
      </c>
      <c r="X33" s="19" t="str">
        <f t="shared" si="4"/>
        <v/>
      </c>
      <c r="Y33" s="31" t="s">
        <v>1498</v>
      </c>
      <c r="Z33" s="31" t="s">
        <v>962</v>
      </c>
      <c r="AA33" s="31" t="s">
        <v>4742</v>
      </c>
      <c r="AB33" s="43" t="s">
        <v>692</v>
      </c>
      <c r="AC33" s="19" t="str">
        <f t="shared" si="5"/>
        <v>ST215/75R14-8PR-ST-100A</v>
      </c>
    </row>
    <row r="34" s="19" customFormat="1" spans="1:29">
      <c r="A34" s="29" t="s">
        <v>805</v>
      </c>
      <c r="B34" s="29" t="s">
        <v>1092</v>
      </c>
      <c r="C34" s="29" t="s">
        <v>1060</v>
      </c>
      <c r="D34" s="28" t="s">
        <v>692</v>
      </c>
      <c r="E34" s="36" t="str">
        <f t="shared" si="0"/>
        <v>10.00R20-18PR-EZ369</v>
      </c>
      <c r="F34" s="29" t="s">
        <v>1227</v>
      </c>
      <c r="G34" s="29" t="s">
        <v>1092</v>
      </c>
      <c r="H34" s="29" t="s">
        <v>1237</v>
      </c>
      <c r="I34" s="39" t="s">
        <v>692</v>
      </c>
      <c r="J34" s="19" t="str">
        <f t="shared" si="1"/>
        <v>11.00-20-18PR-AB535</v>
      </c>
      <c r="K34" s="29" t="s">
        <v>1421</v>
      </c>
      <c r="L34" s="29" t="s">
        <v>965</v>
      </c>
      <c r="M34" s="29" t="s">
        <v>1008</v>
      </c>
      <c r="N34" s="30" t="s">
        <v>692</v>
      </c>
      <c r="O34" s="19" t="str">
        <f t="shared" si="2"/>
        <v>20.5X8.0-10-6PR-SU202</v>
      </c>
      <c r="T34" s="19" t="str">
        <f t="shared" si="3"/>
        <v/>
      </c>
      <c r="X34" s="19" t="str">
        <f t="shared" si="4"/>
        <v/>
      </c>
      <c r="Y34" s="29" t="s">
        <v>1498</v>
      </c>
      <c r="Z34" s="29" t="s">
        <v>962</v>
      </c>
      <c r="AA34" s="29" t="s">
        <v>1110</v>
      </c>
      <c r="AB34" s="30" t="s">
        <v>692</v>
      </c>
      <c r="AC34" s="19" t="str">
        <f t="shared" si="5"/>
        <v>ST215/75R14-8PR-DURAHAULER ST</v>
      </c>
    </row>
    <row r="35" s="19" customFormat="1" spans="1:29">
      <c r="A35" s="29" t="s">
        <v>805</v>
      </c>
      <c r="B35" s="29" t="s">
        <v>1092</v>
      </c>
      <c r="C35" s="29" t="s">
        <v>1069</v>
      </c>
      <c r="D35" s="28" t="s">
        <v>692</v>
      </c>
      <c r="E35" s="36" t="str">
        <f t="shared" si="0"/>
        <v>10.00R20-18PR-TZ303</v>
      </c>
      <c r="F35" s="29" t="s">
        <v>1227</v>
      </c>
      <c r="G35" s="29"/>
      <c r="H35" s="29" t="s">
        <v>1129</v>
      </c>
      <c r="I35" s="30"/>
      <c r="J35" s="19" t="str">
        <f t="shared" si="1"/>
        <v>11.00-20-CR952</v>
      </c>
      <c r="K35" s="29" t="s">
        <v>1421</v>
      </c>
      <c r="L35" s="29" t="s">
        <v>965</v>
      </c>
      <c r="M35" s="29" t="s">
        <v>1015</v>
      </c>
      <c r="N35" s="30" t="s">
        <v>692</v>
      </c>
      <c r="O35" s="19" t="str">
        <f t="shared" si="2"/>
        <v>20.5X8.0-10-6PR-ZT202</v>
      </c>
      <c r="T35" s="19" t="str">
        <f t="shared" si="3"/>
        <v/>
      </c>
      <c r="X35" s="19" t="str">
        <f t="shared" si="4"/>
        <v/>
      </c>
      <c r="Y35" s="29" t="s">
        <v>1498</v>
      </c>
      <c r="Z35" s="29" t="s">
        <v>962</v>
      </c>
      <c r="AA35" s="29" t="s">
        <v>1120</v>
      </c>
      <c r="AB35" s="43" t="s">
        <v>692</v>
      </c>
      <c r="AC35" s="19" t="str">
        <f t="shared" si="5"/>
        <v>ST215/75R14-8PR-ASSURE ST</v>
      </c>
    </row>
    <row r="36" s="19" customFormat="1" spans="1:29">
      <c r="A36" s="29" t="s">
        <v>805</v>
      </c>
      <c r="B36" s="29" t="s">
        <v>1092</v>
      </c>
      <c r="C36" s="29" t="s">
        <v>1082</v>
      </c>
      <c r="D36" s="28" t="s">
        <v>692</v>
      </c>
      <c r="E36" s="36" t="str">
        <f t="shared" si="0"/>
        <v>10.00R20-18PR-AZ697</v>
      </c>
      <c r="F36" s="29" t="s">
        <v>1117</v>
      </c>
      <c r="G36" s="29" t="s">
        <v>934</v>
      </c>
      <c r="H36" s="29" t="s">
        <v>1118</v>
      </c>
      <c r="I36" s="39" t="s">
        <v>692</v>
      </c>
      <c r="J36" s="19" t="str">
        <f t="shared" si="1"/>
        <v>11L-15-12PR-STRONG GUARD F-3</v>
      </c>
      <c r="K36" s="29" t="s">
        <v>1421</v>
      </c>
      <c r="L36" s="29" t="s">
        <v>962</v>
      </c>
      <c r="M36" s="29" t="s">
        <v>1008</v>
      </c>
      <c r="N36" s="30" t="s">
        <v>692</v>
      </c>
      <c r="O36" s="19" t="str">
        <f t="shared" si="2"/>
        <v>20.5X8.0-10-8PR-SU202</v>
      </c>
      <c r="T36" s="19" t="str">
        <f t="shared" si="3"/>
        <v/>
      </c>
      <c r="X36" s="19" t="str">
        <f t="shared" si="4"/>
        <v/>
      </c>
      <c r="Y36" s="40"/>
      <c r="Z36" s="40"/>
      <c r="AA36" s="40"/>
      <c r="AB36" s="40"/>
      <c r="AC36" s="19" t="str">
        <f t="shared" si="5"/>
        <v/>
      </c>
    </row>
    <row r="37" s="19" customFormat="1" spans="1:29">
      <c r="A37" s="29" t="s">
        <v>805</v>
      </c>
      <c r="B37" s="29" t="s">
        <v>1092</v>
      </c>
      <c r="C37" s="29" t="s">
        <v>1096</v>
      </c>
      <c r="D37" s="28" t="s">
        <v>692</v>
      </c>
      <c r="E37" s="36" t="str">
        <f t="shared" si="0"/>
        <v>10.00R20-18PR-CB972</v>
      </c>
      <c r="F37" s="29" t="s">
        <v>1133</v>
      </c>
      <c r="G37" s="29" t="s">
        <v>934</v>
      </c>
      <c r="H37" s="29" t="s">
        <v>1118</v>
      </c>
      <c r="I37" s="39" t="s">
        <v>692</v>
      </c>
      <c r="J37" s="19" t="str">
        <f t="shared" si="1"/>
        <v>11L-16-12PR-STRONG GUARD F-3</v>
      </c>
      <c r="K37" s="29" t="s">
        <v>1421</v>
      </c>
      <c r="L37" s="29" t="s">
        <v>962</v>
      </c>
      <c r="M37" s="29" t="s">
        <v>1015</v>
      </c>
      <c r="N37" s="30" t="s">
        <v>692</v>
      </c>
      <c r="O37" s="19" t="str">
        <f t="shared" si="2"/>
        <v>20.5X8.0-10-8PR-ZT202</v>
      </c>
      <c r="T37" s="19" t="str">
        <f t="shared" si="3"/>
        <v/>
      </c>
      <c r="X37" s="19" t="str">
        <f t="shared" si="4"/>
        <v/>
      </c>
      <c r="Y37" s="29" t="s">
        <v>1542</v>
      </c>
      <c r="Z37" s="29" t="s">
        <v>962</v>
      </c>
      <c r="AA37" s="29" t="s">
        <v>1188</v>
      </c>
      <c r="AB37" s="30" t="s">
        <v>692</v>
      </c>
      <c r="AC37" s="19" t="str">
        <f t="shared" si="5"/>
        <v>ST225/75R15-8PR-ST226</v>
      </c>
    </row>
    <row r="38" s="19" customFormat="1" spans="1:29">
      <c r="A38" s="29" t="s">
        <v>805</v>
      </c>
      <c r="B38" s="29" t="s">
        <v>1092</v>
      </c>
      <c r="C38" s="29" t="s">
        <v>1370</v>
      </c>
      <c r="D38" s="28" t="s">
        <v>692</v>
      </c>
      <c r="E38" s="36" t="str">
        <f t="shared" si="0"/>
        <v>10.00R20-18PR-TZ101</v>
      </c>
      <c r="F38" s="29"/>
      <c r="G38" s="29"/>
      <c r="H38" s="29"/>
      <c r="I38" s="30"/>
      <c r="J38" s="19" t="str">
        <f t="shared" si="1"/>
        <v/>
      </c>
      <c r="K38" s="40"/>
      <c r="L38" s="40"/>
      <c r="M38" s="40"/>
      <c r="N38" s="40"/>
      <c r="O38" s="19" t="str">
        <f t="shared" si="2"/>
        <v/>
      </c>
      <c r="T38" s="19" t="str">
        <f t="shared" si="3"/>
        <v/>
      </c>
      <c r="X38" s="19" t="str">
        <f t="shared" si="4"/>
        <v/>
      </c>
      <c r="Y38" s="29" t="s">
        <v>1542</v>
      </c>
      <c r="Z38" s="29" t="s">
        <v>946</v>
      </c>
      <c r="AA38" s="29" t="s">
        <v>1188</v>
      </c>
      <c r="AB38" s="30" t="s">
        <v>692</v>
      </c>
      <c r="AC38" s="19" t="str">
        <f t="shared" si="5"/>
        <v>ST225/75R15-10PR-ST226</v>
      </c>
    </row>
    <row r="39" s="19" customFormat="1" spans="1:29">
      <c r="A39" s="29" t="s">
        <v>805</v>
      </c>
      <c r="B39" s="29" t="s">
        <v>1092</v>
      </c>
      <c r="C39" s="29" t="s">
        <v>1106</v>
      </c>
      <c r="D39" s="28" t="s">
        <v>692</v>
      </c>
      <c r="E39" s="36" t="str">
        <f t="shared" si="0"/>
        <v>10.00R20-18PR-CM913</v>
      </c>
      <c r="F39" s="29" t="s">
        <v>1187</v>
      </c>
      <c r="G39" s="29" t="s">
        <v>1101</v>
      </c>
      <c r="H39" s="29" t="s">
        <v>1102</v>
      </c>
      <c r="I39" s="39" t="s">
        <v>692</v>
      </c>
      <c r="J39" s="19" t="str">
        <f t="shared" si="1"/>
        <v>12.00-20-20PR-STRONG GUARD LIFT+</v>
      </c>
      <c r="K39" s="29" t="s">
        <v>1452</v>
      </c>
      <c r="L39" s="29" t="s">
        <v>965</v>
      </c>
      <c r="M39" s="29" t="s">
        <v>1316</v>
      </c>
      <c r="N39" s="47" t="s">
        <v>692</v>
      </c>
      <c r="O39" s="19" t="str">
        <f t="shared" si="2"/>
        <v>ST175/80D13-6PR-ST600</v>
      </c>
      <c r="T39" s="19" t="str">
        <f t="shared" si="3"/>
        <v/>
      </c>
      <c r="X39" s="19" t="str">
        <f t="shared" si="4"/>
        <v/>
      </c>
      <c r="Y39" s="29" t="s">
        <v>1542</v>
      </c>
      <c r="Z39" s="29" t="s">
        <v>962</v>
      </c>
      <c r="AA39" s="29" t="s">
        <v>1080</v>
      </c>
      <c r="AB39" s="30" t="s">
        <v>692</v>
      </c>
      <c r="AC39" s="19" t="str">
        <f t="shared" si="5"/>
        <v>ST225/75R15-8PR-ST100</v>
      </c>
    </row>
    <row r="40" s="19" customFormat="1" spans="1:29">
      <c r="A40" s="29" t="s">
        <v>805</v>
      </c>
      <c r="B40" s="29" t="s">
        <v>1092</v>
      </c>
      <c r="C40" s="29" t="s">
        <v>972</v>
      </c>
      <c r="D40" s="28" t="s">
        <v>692</v>
      </c>
      <c r="E40" s="36" t="str">
        <f t="shared" si="0"/>
        <v>10.00R20-18PR-AZ850</v>
      </c>
      <c r="F40" s="29" t="s">
        <v>1187</v>
      </c>
      <c r="G40" s="29" t="s">
        <v>1198</v>
      </c>
      <c r="H40" s="29" t="s">
        <v>1102</v>
      </c>
      <c r="I40" s="39" t="s">
        <v>692</v>
      </c>
      <c r="J40" s="19" t="str">
        <f t="shared" si="1"/>
        <v>12.00-20-28PR-STRONG GUARD LIFT+</v>
      </c>
      <c r="K40" s="29" t="s">
        <v>1452</v>
      </c>
      <c r="L40" s="29" t="s">
        <v>965</v>
      </c>
      <c r="M40" s="29" t="s">
        <v>1320</v>
      </c>
      <c r="N40" s="47" t="s">
        <v>692</v>
      </c>
      <c r="O40" s="19" t="str">
        <f t="shared" si="2"/>
        <v>ST175/80D13-6PR-TE898</v>
      </c>
      <c r="T40" s="19" t="str">
        <f t="shared" si="3"/>
        <v/>
      </c>
      <c r="X40" s="19" t="str">
        <f t="shared" si="4"/>
        <v/>
      </c>
      <c r="Y40" s="29" t="s">
        <v>1542</v>
      </c>
      <c r="Z40" s="29" t="s">
        <v>962</v>
      </c>
      <c r="AA40" s="29" t="s">
        <v>1087</v>
      </c>
      <c r="AB40" s="30" t="s">
        <v>692</v>
      </c>
      <c r="AC40" s="19" t="str">
        <f t="shared" si="5"/>
        <v>ST225/75R15-8PR-STZC</v>
      </c>
    </row>
    <row r="41" s="19" customFormat="1" spans="1:29">
      <c r="A41" s="29" t="s">
        <v>805</v>
      </c>
      <c r="B41" s="29" t="s">
        <v>1092</v>
      </c>
      <c r="C41" s="29" t="s">
        <v>1391</v>
      </c>
      <c r="D41" s="28" t="s">
        <v>692</v>
      </c>
      <c r="E41" s="36" t="str">
        <f t="shared" si="0"/>
        <v>10.00R20-18PR-CB905</v>
      </c>
      <c r="F41" s="29"/>
      <c r="G41" s="29"/>
      <c r="H41" s="29"/>
      <c r="I41" s="30"/>
      <c r="J41" s="19" t="str">
        <f t="shared" si="1"/>
        <v/>
      </c>
      <c r="K41" s="29" t="s">
        <v>1452</v>
      </c>
      <c r="L41" s="29" t="s">
        <v>965</v>
      </c>
      <c r="M41" s="29" t="s">
        <v>1322</v>
      </c>
      <c r="N41" s="47" t="s">
        <v>692</v>
      </c>
      <c r="O41" s="19" t="str">
        <f t="shared" si="2"/>
        <v>ST175/80D13-6PR-RC-101</v>
      </c>
      <c r="T41" s="19" t="str">
        <f t="shared" si="3"/>
        <v/>
      </c>
      <c r="X41" s="19" t="str">
        <f t="shared" si="4"/>
        <v/>
      </c>
      <c r="Y41" s="29" t="s">
        <v>1542</v>
      </c>
      <c r="Z41" s="29" t="s">
        <v>946</v>
      </c>
      <c r="AA41" s="29" t="s">
        <v>1080</v>
      </c>
      <c r="AB41" s="30" t="s">
        <v>692</v>
      </c>
      <c r="AC41" s="19" t="str">
        <f t="shared" si="5"/>
        <v>ST225/75R15-10PR-ST100</v>
      </c>
    </row>
    <row r="42" s="19" customFormat="1" spans="1:29">
      <c r="A42" s="29" t="s">
        <v>805</v>
      </c>
      <c r="B42" s="29" t="s">
        <v>1092</v>
      </c>
      <c r="C42" s="29" t="s">
        <v>1405</v>
      </c>
      <c r="D42" s="28" t="s">
        <v>692</v>
      </c>
      <c r="E42" s="36" t="str">
        <f t="shared" si="0"/>
        <v>10.00R20-18PR-CB332</v>
      </c>
      <c r="F42" s="29" t="s">
        <v>1210</v>
      </c>
      <c r="G42" s="29" t="s">
        <v>1074</v>
      </c>
      <c r="H42" s="29" t="s">
        <v>1085</v>
      </c>
      <c r="I42" s="39" t="s">
        <v>692</v>
      </c>
      <c r="J42" s="19" t="str">
        <f t="shared" si="1"/>
        <v>13.00-24-16PR-STRONG GUARD LG2</v>
      </c>
      <c r="K42" s="29"/>
      <c r="L42" s="29"/>
      <c r="M42" s="29"/>
      <c r="N42" s="40"/>
      <c r="O42" s="19" t="str">
        <f t="shared" si="2"/>
        <v/>
      </c>
      <c r="T42" s="19" t="str">
        <f t="shared" si="3"/>
        <v/>
      </c>
      <c r="X42" s="19" t="str">
        <f t="shared" si="4"/>
        <v/>
      </c>
      <c r="Y42" s="29" t="s">
        <v>1542</v>
      </c>
      <c r="Z42" s="29" t="s">
        <v>946</v>
      </c>
      <c r="AA42" s="29" t="s">
        <v>1087</v>
      </c>
      <c r="AB42" s="30" t="s">
        <v>692</v>
      </c>
      <c r="AC42" s="19" t="str">
        <f t="shared" si="5"/>
        <v>ST225/75R15-10PR-STZC</v>
      </c>
    </row>
    <row r="43" s="19" customFormat="1" spans="1:29">
      <c r="A43" s="29" t="s">
        <v>805</v>
      </c>
      <c r="B43" s="29" t="s">
        <v>1092</v>
      </c>
      <c r="C43" s="29" t="s">
        <v>1396</v>
      </c>
      <c r="D43" s="28" t="s">
        <v>692</v>
      </c>
      <c r="E43" s="36" t="str">
        <f t="shared" si="0"/>
        <v>10.00R20-18PR-EZ330</v>
      </c>
      <c r="F43" s="29"/>
      <c r="G43" s="29"/>
      <c r="H43" s="29"/>
      <c r="I43" s="30"/>
      <c r="J43" s="19" t="str">
        <f t="shared" si="1"/>
        <v/>
      </c>
      <c r="K43" s="29" t="s">
        <v>1472</v>
      </c>
      <c r="L43" s="29" t="s">
        <v>965</v>
      </c>
      <c r="M43" s="29" t="s">
        <v>1453</v>
      </c>
      <c r="N43" s="47" t="s">
        <v>692</v>
      </c>
      <c r="O43" s="19" t="str">
        <f t="shared" si="2"/>
        <v>ST205/75D14-6PR-H180</v>
      </c>
      <c r="T43" s="19" t="str">
        <f t="shared" si="3"/>
        <v/>
      </c>
      <c r="X43" s="19" t="str">
        <f t="shared" si="4"/>
        <v/>
      </c>
      <c r="Y43" s="40"/>
      <c r="Z43" s="40"/>
      <c r="AA43" s="40"/>
      <c r="AB43" s="40"/>
      <c r="AC43" s="19" t="str">
        <f t="shared" si="5"/>
        <v/>
      </c>
    </row>
    <row r="44" s="19" customFormat="1" spans="1:29">
      <c r="A44" s="31" t="s">
        <v>805</v>
      </c>
      <c r="B44" s="31" t="s">
        <v>1092</v>
      </c>
      <c r="C44" s="31" t="s">
        <v>1028</v>
      </c>
      <c r="D44" s="32" t="s">
        <v>692</v>
      </c>
      <c r="E44" s="36" t="str">
        <f t="shared" si="0"/>
        <v>10.00R20-18PR-CM988</v>
      </c>
      <c r="F44" s="29" t="s">
        <v>1265</v>
      </c>
      <c r="G44" s="29" t="s">
        <v>1074</v>
      </c>
      <c r="H44" s="29" t="s">
        <v>1215</v>
      </c>
      <c r="I44" s="39" t="s">
        <v>692</v>
      </c>
      <c r="J44" s="19" t="str">
        <f t="shared" si="1"/>
        <v>14.00-24-16PR-TL-100</v>
      </c>
      <c r="K44" s="29" t="s">
        <v>1472</v>
      </c>
      <c r="L44" s="29" t="s">
        <v>965</v>
      </c>
      <c r="M44" s="29" t="s">
        <v>1316</v>
      </c>
      <c r="N44" s="47" t="s">
        <v>692</v>
      </c>
      <c r="O44" s="19" t="str">
        <f t="shared" si="2"/>
        <v>ST205/75D14-6PR-ST600</v>
      </c>
      <c r="T44" s="19" t="str">
        <f t="shared" si="3"/>
        <v/>
      </c>
      <c r="X44" s="19" t="str">
        <f t="shared" si="4"/>
        <v/>
      </c>
      <c r="Y44" s="29" t="s">
        <v>1616</v>
      </c>
      <c r="Z44" s="29" t="s">
        <v>946</v>
      </c>
      <c r="AA44" s="29" t="s">
        <v>1167</v>
      </c>
      <c r="AB44" s="30" t="s">
        <v>692</v>
      </c>
      <c r="AC44" s="19" t="str">
        <f t="shared" si="5"/>
        <v>ST235/80R16-10PR-ST200</v>
      </c>
    </row>
    <row r="45" s="19" customFormat="1" spans="1:29">
      <c r="A45" s="29" t="s">
        <v>805</v>
      </c>
      <c r="B45" s="29" t="s">
        <v>1092</v>
      </c>
      <c r="C45" s="29" t="s">
        <v>4755</v>
      </c>
      <c r="D45" s="28" t="s">
        <v>692</v>
      </c>
      <c r="E45" s="36" t="str">
        <f t="shared" si="0"/>
        <v>10.00R20-18PR-CM981</v>
      </c>
      <c r="F45" s="29" t="s">
        <v>1265</v>
      </c>
      <c r="G45" s="29" t="s">
        <v>1074</v>
      </c>
      <c r="H45" s="29" t="s">
        <v>4756</v>
      </c>
      <c r="I45" s="39" t="s">
        <v>692</v>
      </c>
      <c r="J45" s="19" t="str">
        <f t="shared" si="1"/>
        <v>14.00-24-16PR-STRONG GUARD GK-243</v>
      </c>
      <c r="K45" s="29" t="s">
        <v>1472</v>
      </c>
      <c r="L45" s="29" t="s">
        <v>965</v>
      </c>
      <c r="M45" s="29" t="s">
        <v>1320</v>
      </c>
      <c r="N45" s="47" t="s">
        <v>692</v>
      </c>
      <c r="O45" s="19" t="str">
        <f t="shared" si="2"/>
        <v>ST205/75D14-6PR-TE898</v>
      </c>
      <c r="T45" s="19" t="str">
        <f t="shared" si="3"/>
        <v/>
      </c>
      <c r="X45" s="19" t="str">
        <f t="shared" si="4"/>
        <v/>
      </c>
      <c r="Y45" s="29" t="s">
        <v>1616</v>
      </c>
      <c r="Z45" s="29" t="s">
        <v>946</v>
      </c>
      <c r="AA45" s="29" t="s">
        <v>1188</v>
      </c>
      <c r="AB45" s="30" t="s">
        <v>692</v>
      </c>
      <c r="AC45" s="19" t="str">
        <f t="shared" si="5"/>
        <v>ST235/80R16-10PR-ST226</v>
      </c>
    </row>
    <row r="46" s="19" customFormat="1" spans="1:29">
      <c r="A46" s="33" t="s">
        <v>805</v>
      </c>
      <c r="B46" s="29" t="s">
        <v>1092</v>
      </c>
      <c r="C46" s="33" t="s">
        <v>1045</v>
      </c>
      <c r="D46" s="32" t="s">
        <v>692</v>
      </c>
      <c r="E46" s="36" t="str">
        <f t="shared" si="0"/>
        <v>10.00R20-18PR-TZ202</v>
      </c>
      <c r="F46" s="29" t="s">
        <v>1265</v>
      </c>
      <c r="G46" s="29" t="s">
        <v>1101</v>
      </c>
      <c r="H46" s="29" t="s">
        <v>1281</v>
      </c>
      <c r="I46" s="39" t="s">
        <v>692</v>
      </c>
      <c r="J46" s="19" t="str">
        <f t="shared" si="1"/>
        <v>14.00-24-20PR-STRONG GUARD G3/L3</v>
      </c>
      <c r="K46" s="29" t="s">
        <v>1472</v>
      </c>
      <c r="L46" s="29" t="s">
        <v>965</v>
      </c>
      <c r="M46" s="29" t="s">
        <v>1322</v>
      </c>
      <c r="N46" s="48" t="s">
        <v>692</v>
      </c>
      <c r="O46" s="19" t="str">
        <f t="shared" si="2"/>
        <v>ST205/75D14-6PR-RC-101</v>
      </c>
      <c r="T46" s="19" t="str">
        <f t="shared" si="3"/>
        <v/>
      </c>
      <c r="X46" s="19" t="str">
        <f t="shared" si="4"/>
        <v/>
      </c>
      <c r="Y46" s="29" t="s">
        <v>1616</v>
      </c>
      <c r="Z46" s="29" t="s">
        <v>946</v>
      </c>
      <c r="AA46" s="29" t="s">
        <v>4741</v>
      </c>
      <c r="AB46" s="30" t="s">
        <v>692</v>
      </c>
      <c r="AC46" s="19" t="str">
        <f t="shared" si="5"/>
        <v>ST235/80R16-10PR-ST-100</v>
      </c>
    </row>
    <row r="47" s="19" customFormat="1" spans="1:29">
      <c r="A47" s="34" t="s">
        <v>805</v>
      </c>
      <c r="B47" s="29" t="s">
        <v>1092</v>
      </c>
      <c r="C47" s="35" t="s">
        <v>1408</v>
      </c>
      <c r="D47" s="28" t="s">
        <v>692</v>
      </c>
      <c r="E47" s="36" t="str">
        <f t="shared" si="0"/>
        <v>10.00R20-18PR-EZ835</v>
      </c>
      <c r="F47" s="29"/>
      <c r="G47" s="29"/>
      <c r="H47" s="29"/>
      <c r="I47" s="30"/>
      <c r="J47" s="19" t="str">
        <f t="shared" si="1"/>
        <v/>
      </c>
      <c r="K47" s="40"/>
      <c r="L47" s="40"/>
      <c r="M47" s="40"/>
      <c r="N47" s="40"/>
      <c r="O47" s="19" t="str">
        <f t="shared" si="2"/>
        <v/>
      </c>
      <c r="T47" s="19" t="str">
        <f t="shared" si="3"/>
        <v/>
      </c>
      <c r="X47" s="19" t="str">
        <f t="shared" si="4"/>
        <v/>
      </c>
      <c r="Y47" s="29" t="s">
        <v>1616</v>
      </c>
      <c r="Z47" s="29" t="s">
        <v>946</v>
      </c>
      <c r="AA47" s="29" t="s">
        <v>1087</v>
      </c>
      <c r="AB47" s="30" t="s">
        <v>692</v>
      </c>
      <c r="AC47" s="19" t="str">
        <f t="shared" si="5"/>
        <v>ST235/80R16-10PR-STZC</v>
      </c>
    </row>
    <row r="48" s="19" customFormat="1" ht="18" spans="1:29">
      <c r="A48" s="29" t="s">
        <v>805</v>
      </c>
      <c r="B48" s="30" t="s">
        <v>1074</v>
      </c>
      <c r="C48" s="35" t="s">
        <v>1135</v>
      </c>
      <c r="D48" s="32" t="s">
        <v>692</v>
      </c>
      <c r="E48" s="36" t="str">
        <f t="shared" si="0"/>
        <v>10.00R20-16PR-SUPER AM S</v>
      </c>
      <c r="F48" s="29" t="s">
        <v>4757</v>
      </c>
      <c r="G48" s="29" t="s">
        <v>934</v>
      </c>
      <c r="H48" s="29" t="s">
        <v>1085</v>
      </c>
      <c r="I48" s="39" t="s">
        <v>692</v>
      </c>
      <c r="J48" s="19" t="str">
        <f t="shared" si="1"/>
        <v>15.5-25-12PR-STRONG GUARD LG2</v>
      </c>
      <c r="K48" s="29" t="s">
        <v>1500</v>
      </c>
      <c r="L48" s="29" t="s">
        <v>965</v>
      </c>
      <c r="M48" s="29" t="s">
        <v>1453</v>
      </c>
      <c r="N48" s="49" t="s">
        <v>692</v>
      </c>
      <c r="O48" s="19" t="str">
        <f t="shared" si="2"/>
        <v>ST205/75D15-6PR-H180</v>
      </c>
      <c r="T48" s="19" t="str">
        <f t="shared" si="3"/>
        <v/>
      </c>
      <c r="X48" s="19" t="str">
        <f t="shared" si="4"/>
        <v/>
      </c>
      <c r="Y48" s="54"/>
      <c r="Z48" s="54"/>
      <c r="AA48" s="54"/>
      <c r="AB48" s="54"/>
      <c r="AC48" s="19" t="str">
        <f t="shared" si="5"/>
        <v/>
      </c>
    </row>
    <row r="49" s="19" customFormat="1" ht="18" spans="1:29">
      <c r="A49" s="29" t="s">
        <v>805</v>
      </c>
      <c r="B49" s="30" t="s">
        <v>1074</v>
      </c>
      <c r="C49" s="35" t="s">
        <v>1138</v>
      </c>
      <c r="D49" s="28" t="s">
        <v>692</v>
      </c>
      <c r="E49" s="36" t="str">
        <f t="shared" si="0"/>
        <v>10.00R20-16PR-MOBY.R856X</v>
      </c>
      <c r="F49" s="29"/>
      <c r="G49" s="29"/>
      <c r="H49" s="29"/>
      <c r="I49" s="30"/>
      <c r="J49" s="19" t="str">
        <f t="shared" si="1"/>
        <v/>
      </c>
      <c r="K49" s="29" t="s">
        <v>1500</v>
      </c>
      <c r="L49" s="29" t="s">
        <v>965</v>
      </c>
      <c r="M49" s="29" t="s">
        <v>1316</v>
      </c>
      <c r="N49" s="47" t="s">
        <v>692</v>
      </c>
      <c r="O49" s="19" t="str">
        <f t="shared" si="2"/>
        <v>ST205/75D15-6PR-ST600</v>
      </c>
      <c r="T49" s="19" t="str">
        <f t="shared" si="3"/>
        <v/>
      </c>
      <c r="X49" s="19" t="str">
        <f t="shared" si="4"/>
        <v/>
      </c>
      <c r="Y49" s="54"/>
      <c r="Z49" s="54"/>
      <c r="AA49" s="54"/>
      <c r="AB49" s="54"/>
      <c r="AC49" s="19" t="str">
        <f t="shared" si="5"/>
        <v/>
      </c>
    </row>
    <row r="50" s="19" customFormat="1" spans="1:29">
      <c r="A50" s="29" t="s">
        <v>805</v>
      </c>
      <c r="B50" s="29" t="s">
        <v>1092</v>
      </c>
      <c r="C50" s="35" t="s">
        <v>1135</v>
      </c>
      <c r="D50" s="32" t="s">
        <v>692</v>
      </c>
      <c r="E50" s="36" t="str">
        <f t="shared" si="0"/>
        <v>10.00R20-18PR-SUPER AM S</v>
      </c>
      <c r="F50" s="29" t="s">
        <v>4758</v>
      </c>
      <c r="G50" s="29" t="s">
        <v>934</v>
      </c>
      <c r="H50" s="29" t="s">
        <v>1254</v>
      </c>
      <c r="I50" s="39" t="s">
        <v>692</v>
      </c>
      <c r="J50" s="19" t="str">
        <f t="shared" si="1"/>
        <v>16.9-24-12PR-STRONG GUARD XR4</v>
      </c>
      <c r="K50" s="29" t="s">
        <v>1500</v>
      </c>
      <c r="L50" s="29" t="s">
        <v>965</v>
      </c>
      <c r="M50" s="29" t="s">
        <v>1320</v>
      </c>
      <c r="N50" s="47" t="s">
        <v>692</v>
      </c>
      <c r="O50" s="19" t="str">
        <f t="shared" si="2"/>
        <v>ST205/75D15-6PR-TE898</v>
      </c>
      <c r="T50" s="19" t="str">
        <f t="shared" si="3"/>
        <v/>
      </c>
      <c r="X50" s="19" t="str">
        <f t="shared" si="4"/>
        <v/>
      </c>
      <c r="AC50" s="19" t="str">
        <f t="shared" si="5"/>
        <v/>
      </c>
    </row>
    <row r="51" s="19" customFormat="1" spans="1:29">
      <c r="A51" s="29" t="s">
        <v>805</v>
      </c>
      <c r="B51" s="29" t="s">
        <v>1092</v>
      </c>
      <c r="C51" s="35" t="s">
        <v>1138</v>
      </c>
      <c r="D51" s="28" t="s">
        <v>692</v>
      </c>
      <c r="E51" s="36" t="str">
        <f t="shared" si="0"/>
        <v>10.00R20-18PR-MOBY.R856X</v>
      </c>
      <c r="F51" s="29" t="s">
        <v>1331</v>
      </c>
      <c r="G51" s="29" t="s">
        <v>934</v>
      </c>
      <c r="H51" s="29" t="s">
        <v>1254</v>
      </c>
      <c r="I51" s="39" t="s">
        <v>692</v>
      </c>
      <c r="J51" s="19" t="str">
        <f t="shared" si="1"/>
        <v>16.9-28-12PR-STRONG GUARD XR4</v>
      </c>
      <c r="K51" s="29" t="s">
        <v>1500</v>
      </c>
      <c r="L51" s="29" t="s">
        <v>965</v>
      </c>
      <c r="M51" s="29" t="s">
        <v>1322</v>
      </c>
      <c r="N51" s="48" t="s">
        <v>692</v>
      </c>
      <c r="O51" s="19" t="str">
        <f t="shared" si="2"/>
        <v>ST205/75D15-6PR-RC-101</v>
      </c>
      <c r="T51" s="19" t="str">
        <f t="shared" si="3"/>
        <v/>
      </c>
      <c r="X51" s="19" t="str">
        <f t="shared" si="4"/>
        <v/>
      </c>
      <c r="AC51" s="19" t="str">
        <f t="shared" si="5"/>
        <v/>
      </c>
    </row>
    <row r="52" s="19" customFormat="1" spans="1:29">
      <c r="A52" s="29" t="s">
        <v>803</v>
      </c>
      <c r="B52" s="29" t="s">
        <v>1092</v>
      </c>
      <c r="C52" s="29" t="s">
        <v>1408</v>
      </c>
      <c r="D52" s="28" t="s">
        <v>692</v>
      </c>
      <c r="E52" s="36" t="str">
        <f t="shared" si="0"/>
        <v>11.00R20-18PR-EZ835</v>
      </c>
      <c r="F52" s="29"/>
      <c r="G52" s="29"/>
      <c r="H52" s="29"/>
      <c r="I52" s="30"/>
      <c r="J52" s="19" t="str">
        <f t="shared" si="1"/>
        <v/>
      </c>
      <c r="K52" s="40"/>
      <c r="L52" s="40"/>
      <c r="M52" s="40"/>
      <c r="N52" s="50"/>
      <c r="O52" s="19" t="str">
        <f t="shared" si="2"/>
        <v/>
      </c>
      <c r="T52" s="19" t="str">
        <f t="shared" si="3"/>
        <v/>
      </c>
      <c r="X52" s="19" t="str">
        <f t="shared" si="4"/>
        <v/>
      </c>
      <c r="AC52" s="19" t="str">
        <f t="shared" si="5"/>
        <v/>
      </c>
    </row>
    <row r="53" s="19" customFormat="1" spans="1:29">
      <c r="A53" s="29" t="s">
        <v>803</v>
      </c>
      <c r="B53" s="29" t="s">
        <v>1092</v>
      </c>
      <c r="C53" s="29" t="s">
        <v>1554</v>
      </c>
      <c r="D53" s="28" t="s">
        <v>692</v>
      </c>
      <c r="E53" s="36" t="str">
        <f t="shared" si="0"/>
        <v>11.00R20-18PR-AS578</v>
      </c>
      <c r="F53" s="29" t="s">
        <v>1350</v>
      </c>
      <c r="G53" s="29" t="s">
        <v>946</v>
      </c>
      <c r="H53" s="29" t="s">
        <v>1254</v>
      </c>
      <c r="I53" s="39" t="s">
        <v>692</v>
      </c>
      <c r="J53" s="19" t="str">
        <f t="shared" si="1"/>
        <v>17.5L-24-10PR-STRONG GUARD XR4</v>
      </c>
      <c r="K53" s="29" t="s">
        <v>1519</v>
      </c>
      <c r="L53" s="29" t="s">
        <v>965</v>
      </c>
      <c r="M53" s="29" t="s">
        <v>1453</v>
      </c>
      <c r="N53" s="47" t="s">
        <v>692</v>
      </c>
      <c r="O53" s="19" t="str">
        <f t="shared" si="2"/>
        <v>ST215/75D14-6PR-H180</v>
      </c>
      <c r="T53" s="19" t="str">
        <f t="shared" si="3"/>
        <v/>
      </c>
      <c r="X53" s="19" t="str">
        <f t="shared" si="4"/>
        <v/>
      </c>
      <c r="AC53" s="19" t="str">
        <f t="shared" si="5"/>
        <v/>
      </c>
    </row>
    <row r="54" s="19" customFormat="1" spans="1:29">
      <c r="A54" s="29" t="s">
        <v>803</v>
      </c>
      <c r="B54" s="29" t="s">
        <v>1092</v>
      </c>
      <c r="C54" s="29" t="s">
        <v>1559</v>
      </c>
      <c r="D54" s="28" t="s">
        <v>692</v>
      </c>
      <c r="E54" s="36" t="str">
        <f t="shared" si="0"/>
        <v>11.00R20-18PR-AS678</v>
      </c>
      <c r="F54" s="29"/>
      <c r="G54" s="29"/>
      <c r="H54" s="29"/>
      <c r="I54" s="30"/>
      <c r="J54" s="19" t="str">
        <f t="shared" si="1"/>
        <v/>
      </c>
      <c r="K54" s="37"/>
      <c r="L54" s="37"/>
      <c r="M54" s="37"/>
      <c r="N54" s="49"/>
      <c r="O54" s="19" t="str">
        <f t="shared" si="2"/>
        <v/>
      </c>
      <c r="T54" s="19" t="str">
        <f t="shared" si="3"/>
        <v/>
      </c>
      <c r="X54" s="19" t="str">
        <f t="shared" si="4"/>
        <v/>
      </c>
      <c r="AC54" s="19" t="str">
        <f t="shared" si="5"/>
        <v/>
      </c>
    </row>
    <row r="55" s="19" customFormat="1" spans="1:29">
      <c r="A55" s="29" t="s">
        <v>803</v>
      </c>
      <c r="B55" s="29" t="s">
        <v>1092</v>
      </c>
      <c r="C55" s="29" t="s">
        <v>4754</v>
      </c>
      <c r="D55" s="28" t="s">
        <v>692</v>
      </c>
      <c r="E55" s="36" t="str">
        <f t="shared" si="0"/>
        <v>11.00R20-18PR-TKAL Ⅲ</v>
      </c>
      <c r="F55" s="29" t="s">
        <v>1340</v>
      </c>
      <c r="G55" s="29"/>
      <c r="H55" s="29" t="s">
        <v>1591</v>
      </c>
      <c r="I55" s="30"/>
      <c r="J55" s="19" t="str">
        <f t="shared" si="1"/>
        <v>17.5-25-EL36</v>
      </c>
      <c r="K55" s="29" t="s">
        <v>1526</v>
      </c>
      <c r="L55" s="29" t="s">
        <v>962</v>
      </c>
      <c r="M55" s="29" t="s">
        <v>1316</v>
      </c>
      <c r="N55" s="47" t="s">
        <v>692</v>
      </c>
      <c r="O55" s="19" t="str">
        <f t="shared" si="2"/>
        <v>ST225/75D15-8PR-ST600</v>
      </c>
      <c r="T55" s="19" t="str">
        <f t="shared" si="3"/>
        <v/>
      </c>
      <c r="X55" s="19" t="str">
        <f t="shared" si="4"/>
        <v/>
      </c>
      <c r="AC55" s="19" t="str">
        <f t="shared" si="5"/>
        <v/>
      </c>
    </row>
    <row r="56" s="19" customFormat="1" spans="1:29">
      <c r="A56" s="29" t="s">
        <v>803</v>
      </c>
      <c r="B56" s="29" t="s">
        <v>1092</v>
      </c>
      <c r="C56" s="29" t="s">
        <v>1450</v>
      </c>
      <c r="D56" s="28" t="s">
        <v>692</v>
      </c>
      <c r="E56" s="36" t="str">
        <f t="shared" si="0"/>
        <v>11.00R20-18PR-AT196</v>
      </c>
      <c r="F56" s="29" t="s">
        <v>1340</v>
      </c>
      <c r="G56" s="29" t="s">
        <v>934</v>
      </c>
      <c r="H56" s="29" t="s">
        <v>4759</v>
      </c>
      <c r="I56" s="39" t="s">
        <v>692</v>
      </c>
      <c r="J56" s="19" t="str">
        <f t="shared" si="1"/>
        <v>17.5-25-12PR-CL729</v>
      </c>
      <c r="K56" s="29" t="s">
        <v>1526</v>
      </c>
      <c r="L56" s="29" t="s">
        <v>962</v>
      </c>
      <c r="M56" s="29" t="s">
        <v>1320</v>
      </c>
      <c r="N56" s="47" t="s">
        <v>692</v>
      </c>
      <c r="O56" s="19" t="str">
        <f t="shared" si="2"/>
        <v>ST225/75D15-8PR-TE898</v>
      </c>
      <c r="T56" s="19" t="str">
        <f t="shared" si="3"/>
        <v/>
      </c>
      <c r="X56" s="19" t="str">
        <f t="shared" si="4"/>
        <v/>
      </c>
      <c r="AC56" s="19" t="str">
        <f t="shared" si="5"/>
        <v/>
      </c>
    </row>
    <row r="57" s="19" customFormat="1" spans="1:29">
      <c r="A57" s="29" t="s">
        <v>803</v>
      </c>
      <c r="B57" s="29" t="s">
        <v>1092</v>
      </c>
      <c r="C57" s="29" t="s">
        <v>1028</v>
      </c>
      <c r="D57" s="28" t="s">
        <v>692</v>
      </c>
      <c r="E57" s="36" t="str">
        <f t="shared" si="0"/>
        <v>11.00R20-18PR-CM988</v>
      </c>
      <c r="F57" s="29" t="s">
        <v>1340</v>
      </c>
      <c r="G57" s="29" t="s">
        <v>934</v>
      </c>
      <c r="H57" s="29" t="s">
        <v>1085</v>
      </c>
      <c r="I57" s="39" t="s">
        <v>692</v>
      </c>
      <c r="J57" s="19" t="str">
        <f t="shared" si="1"/>
        <v>17.5-25-12PR-STRONG GUARD LG2</v>
      </c>
      <c r="K57" s="31" t="s">
        <v>1526</v>
      </c>
      <c r="L57" s="31" t="s">
        <v>962</v>
      </c>
      <c r="M57" s="31" t="s">
        <v>1322</v>
      </c>
      <c r="N57" s="48" t="s">
        <v>692</v>
      </c>
      <c r="O57" s="19" t="str">
        <f t="shared" si="2"/>
        <v>ST225/75D15-8PR-RC-101</v>
      </c>
      <c r="T57" s="19" t="str">
        <f t="shared" si="3"/>
        <v/>
      </c>
      <c r="X57" s="19" t="str">
        <f t="shared" si="4"/>
        <v/>
      </c>
      <c r="AC57" s="19" t="str">
        <f t="shared" si="5"/>
        <v/>
      </c>
    </row>
    <row r="58" s="19" customFormat="1" spans="1:29">
      <c r="A58" s="29" t="s">
        <v>803</v>
      </c>
      <c r="B58" s="29" t="s">
        <v>1092</v>
      </c>
      <c r="C58" s="29" t="s">
        <v>1096</v>
      </c>
      <c r="D58" s="28" t="s">
        <v>692</v>
      </c>
      <c r="E58" s="36" t="str">
        <f t="shared" si="0"/>
        <v>11.00R20-18PR-CB972</v>
      </c>
      <c r="F58" s="29" t="s">
        <v>1350</v>
      </c>
      <c r="G58" s="29" t="s">
        <v>946</v>
      </c>
      <c r="H58" s="29" t="s">
        <v>1254</v>
      </c>
      <c r="I58" s="39" t="s">
        <v>692</v>
      </c>
      <c r="J58" s="19" t="str">
        <f t="shared" si="1"/>
        <v>17.5L-24-10PR-STRONG GUARD XR4</v>
      </c>
      <c r="K58" s="29"/>
      <c r="L58" s="29"/>
      <c r="M58" s="29"/>
      <c r="N58" s="30"/>
      <c r="O58" s="19" t="str">
        <f t="shared" si="2"/>
        <v/>
      </c>
      <c r="T58" s="19" t="str">
        <f t="shared" si="3"/>
        <v/>
      </c>
      <c r="X58" s="19" t="str">
        <f t="shared" si="4"/>
        <v/>
      </c>
      <c r="AC58" s="19" t="str">
        <f t="shared" si="5"/>
        <v/>
      </c>
    </row>
    <row r="59" s="19" customFormat="1" spans="1:29">
      <c r="A59" s="29" t="s">
        <v>803</v>
      </c>
      <c r="B59" s="29" t="s">
        <v>1092</v>
      </c>
      <c r="C59" s="29" t="s">
        <v>972</v>
      </c>
      <c r="D59" s="28" t="s">
        <v>692</v>
      </c>
      <c r="E59" s="36" t="str">
        <f t="shared" si="0"/>
        <v>11.00R20-18PR-AZ850</v>
      </c>
      <c r="F59" s="29"/>
      <c r="G59" s="29"/>
      <c r="H59" s="29"/>
      <c r="I59" s="30"/>
      <c r="J59" s="19" t="str">
        <f t="shared" si="1"/>
        <v/>
      </c>
      <c r="K59" s="29"/>
      <c r="L59" s="29"/>
      <c r="M59" s="29"/>
      <c r="N59" s="30"/>
      <c r="O59" s="19" t="str">
        <f t="shared" si="2"/>
        <v/>
      </c>
      <c r="T59" s="19" t="str">
        <f t="shared" si="3"/>
        <v/>
      </c>
      <c r="X59" s="19" t="str">
        <f t="shared" si="4"/>
        <v/>
      </c>
      <c r="AC59" s="19" t="str">
        <f t="shared" si="5"/>
        <v/>
      </c>
    </row>
    <row r="60" s="19" customFormat="1" spans="1:29">
      <c r="A60" s="29" t="s">
        <v>803</v>
      </c>
      <c r="B60" s="29" t="s">
        <v>1101</v>
      </c>
      <c r="C60" s="29" t="s">
        <v>972</v>
      </c>
      <c r="D60" s="28" t="s">
        <v>692</v>
      </c>
      <c r="E60" s="36" t="str">
        <f t="shared" si="0"/>
        <v>11.00R20-20PR-AZ850</v>
      </c>
      <c r="F60" s="29" t="s">
        <v>1570</v>
      </c>
      <c r="G60" s="29" t="s">
        <v>1074</v>
      </c>
      <c r="H60" s="29" t="s">
        <v>1591</v>
      </c>
      <c r="I60" s="39" t="s">
        <v>692</v>
      </c>
      <c r="J60" s="19" t="str">
        <f t="shared" si="1"/>
        <v>23.5-25-16PR-EL36</v>
      </c>
      <c r="K60" s="29"/>
      <c r="L60" s="29"/>
      <c r="M60" s="29"/>
      <c r="N60" s="30"/>
      <c r="O60" s="19" t="str">
        <f t="shared" si="2"/>
        <v/>
      </c>
      <c r="T60" s="19" t="str">
        <f t="shared" si="3"/>
        <v/>
      </c>
      <c r="X60" s="19" t="str">
        <f t="shared" si="4"/>
        <v/>
      </c>
      <c r="AC60" s="19" t="str">
        <f t="shared" si="5"/>
        <v/>
      </c>
    </row>
    <row r="61" s="19" customFormat="1" spans="1:29">
      <c r="A61" s="29" t="s">
        <v>803</v>
      </c>
      <c r="B61" s="29" t="s">
        <v>1092</v>
      </c>
      <c r="C61" s="29" t="s">
        <v>1212</v>
      </c>
      <c r="D61" s="28" t="s">
        <v>692</v>
      </c>
      <c r="E61" s="36" t="str">
        <f t="shared" si="0"/>
        <v>11.00R20-18PR-CR926+</v>
      </c>
      <c r="F61" s="29" t="s">
        <v>1570</v>
      </c>
      <c r="G61" s="29"/>
      <c r="H61" s="29" t="s">
        <v>4759</v>
      </c>
      <c r="I61" s="30"/>
      <c r="J61" s="19" t="str">
        <f t="shared" si="1"/>
        <v>23.5-25-CL729</v>
      </c>
      <c r="O61" s="19" t="str">
        <f t="shared" si="2"/>
        <v/>
      </c>
      <c r="T61" s="19" t="str">
        <f t="shared" si="3"/>
        <v/>
      </c>
      <c r="X61" s="19" t="str">
        <f t="shared" si="4"/>
        <v/>
      </c>
      <c r="AC61" s="19" t="str">
        <f t="shared" si="5"/>
        <v/>
      </c>
    </row>
    <row r="62" s="19" customFormat="1" spans="1:29">
      <c r="A62" s="29" t="s">
        <v>803</v>
      </c>
      <c r="B62" s="29" t="s">
        <v>1092</v>
      </c>
      <c r="C62" s="29" t="s">
        <v>1525</v>
      </c>
      <c r="D62" s="28" t="s">
        <v>692</v>
      </c>
      <c r="E62" s="36" t="str">
        <f t="shared" si="0"/>
        <v>11.00R20-18PR-EZ330A</v>
      </c>
      <c r="F62" s="29" t="s">
        <v>1570</v>
      </c>
      <c r="G62" s="29" t="s">
        <v>1584</v>
      </c>
      <c r="H62" s="29" t="s">
        <v>1603</v>
      </c>
      <c r="I62" s="39" t="s">
        <v>692</v>
      </c>
      <c r="J62" s="19" t="str">
        <f t="shared" si="1"/>
        <v>23.5-25-24PR-EL36A</v>
      </c>
      <c r="O62" s="19" t="str">
        <f t="shared" si="2"/>
        <v/>
      </c>
      <c r="T62" s="19" t="str">
        <f t="shared" si="3"/>
        <v/>
      </c>
      <c r="X62" s="19" t="str">
        <f t="shared" si="4"/>
        <v/>
      </c>
      <c r="AC62" s="19" t="str">
        <f t="shared" si="5"/>
        <v/>
      </c>
    </row>
    <row r="63" s="19" customFormat="1" spans="1:29">
      <c r="A63" s="29" t="s">
        <v>803</v>
      </c>
      <c r="B63" s="29" t="s">
        <v>1092</v>
      </c>
      <c r="C63" s="29" t="s">
        <v>1517</v>
      </c>
      <c r="D63" s="28" t="s">
        <v>692</v>
      </c>
      <c r="E63" s="36" t="str">
        <f t="shared" si="0"/>
        <v>11.00R20-18PR-CB332A</v>
      </c>
      <c r="F63" s="29" t="s">
        <v>1570</v>
      </c>
      <c r="G63" s="29" t="s">
        <v>1584</v>
      </c>
      <c r="H63" s="29" t="s">
        <v>1612</v>
      </c>
      <c r="I63" s="39" t="s">
        <v>692</v>
      </c>
      <c r="J63" s="19" t="str">
        <f t="shared" si="1"/>
        <v>23.5-25-24PR-DF60</v>
      </c>
      <c r="O63" s="19" t="str">
        <f t="shared" si="2"/>
        <v/>
      </c>
      <c r="T63" s="19" t="str">
        <f t="shared" si="3"/>
        <v/>
      </c>
      <c r="X63" s="19" t="str">
        <f t="shared" si="4"/>
        <v/>
      </c>
      <c r="AC63" s="19" t="str">
        <f t="shared" si="5"/>
        <v/>
      </c>
    </row>
    <row r="64" s="19" customFormat="1" spans="1:29">
      <c r="A64" s="29" t="s">
        <v>803</v>
      </c>
      <c r="B64" s="29" t="s">
        <v>1092</v>
      </c>
      <c r="C64" s="29" t="s">
        <v>1521</v>
      </c>
      <c r="D64" s="28" t="s">
        <v>692</v>
      </c>
      <c r="E64" s="36" t="str">
        <f t="shared" si="0"/>
        <v>11.00R20-18PR-CB905A</v>
      </c>
      <c r="F64" s="29" t="s">
        <v>1570</v>
      </c>
      <c r="G64" s="29" t="s">
        <v>1074</v>
      </c>
      <c r="H64" s="29" t="s">
        <v>1615</v>
      </c>
      <c r="I64" s="39" t="s">
        <v>692</v>
      </c>
      <c r="J64" s="19" t="str">
        <f t="shared" si="1"/>
        <v>23.5-25-16PR-EL37</v>
      </c>
      <c r="O64" s="19" t="str">
        <f t="shared" si="2"/>
        <v/>
      </c>
      <c r="T64" s="19" t="str">
        <f t="shared" si="3"/>
        <v/>
      </c>
      <c r="X64" s="19" t="str">
        <f t="shared" si="4"/>
        <v/>
      </c>
      <c r="AC64" s="19" t="str">
        <f t="shared" si="5"/>
        <v/>
      </c>
    </row>
    <row r="65" s="19" customFormat="1" spans="1:29">
      <c r="A65" s="29" t="s">
        <v>803</v>
      </c>
      <c r="B65" s="29" t="s">
        <v>1101</v>
      </c>
      <c r="C65" s="29" t="s">
        <v>1525</v>
      </c>
      <c r="D65" s="28" t="s">
        <v>692</v>
      </c>
      <c r="E65" s="36" t="str">
        <f t="shared" si="0"/>
        <v>11.00R20-20PR-EZ330A</v>
      </c>
      <c r="F65" s="29" t="s">
        <v>1570</v>
      </c>
      <c r="G65" s="29" t="s">
        <v>1074</v>
      </c>
      <c r="H65" s="29" t="s">
        <v>1621</v>
      </c>
      <c r="I65" s="39" t="s">
        <v>692</v>
      </c>
      <c r="J65" s="19" t="str">
        <f t="shared" si="1"/>
        <v>23.5-25-16PR-T317</v>
      </c>
      <c r="O65" s="19" t="str">
        <f t="shared" si="2"/>
        <v/>
      </c>
      <c r="T65" s="19" t="str">
        <f t="shared" si="3"/>
        <v/>
      </c>
      <c r="X65" s="19" t="str">
        <f t="shared" si="4"/>
        <v/>
      </c>
      <c r="AC65" s="19" t="str">
        <f t="shared" si="5"/>
        <v/>
      </c>
    </row>
    <row r="66" s="19" customFormat="1" spans="1:29">
      <c r="A66" s="29" t="s">
        <v>803</v>
      </c>
      <c r="B66" s="29" t="s">
        <v>1101</v>
      </c>
      <c r="C66" s="29" t="s">
        <v>1517</v>
      </c>
      <c r="D66" s="28" t="s">
        <v>692</v>
      </c>
      <c r="E66" s="36" t="str">
        <f t="shared" si="0"/>
        <v>11.00R20-20PR-CB332A</v>
      </c>
      <c r="F66" s="29" t="s">
        <v>1570</v>
      </c>
      <c r="G66" s="29" t="s">
        <v>1101</v>
      </c>
      <c r="H66" s="29" t="s">
        <v>1615</v>
      </c>
      <c r="I66" s="39" t="s">
        <v>692</v>
      </c>
      <c r="J66" s="19" t="str">
        <f t="shared" si="1"/>
        <v>23.5-25-20PR-EL37</v>
      </c>
      <c r="O66" s="19" t="str">
        <f t="shared" si="2"/>
        <v/>
      </c>
      <c r="T66" s="19" t="str">
        <f t="shared" si="3"/>
        <v/>
      </c>
      <c r="X66" s="19" t="str">
        <f t="shared" si="4"/>
        <v/>
      </c>
      <c r="AC66" s="19" t="str">
        <f t="shared" si="5"/>
        <v/>
      </c>
    </row>
    <row r="67" s="19" customFormat="1" spans="1:29">
      <c r="A67" s="29" t="s">
        <v>803</v>
      </c>
      <c r="B67" s="29" t="s">
        <v>1101</v>
      </c>
      <c r="C67" s="29" t="s">
        <v>1521</v>
      </c>
      <c r="D67" s="28" t="s">
        <v>692</v>
      </c>
      <c r="E67" s="36" t="str">
        <f t="shared" ref="E67:E130" si="6">_xlfn.TEXTJOIN("-",TRUE,A67,B67,C67)</f>
        <v>11.00R20-20PR-CB905A</v>
      </c>
      <c r="F67" s="29" t="s">
        <v>1570</v>
      </c>
      <c r="G67" s="29" t="s">
        <v>1101</v>
      </c>
      <c r="H67" s="29" t="s">
        <v>1621</v>
      </c>
      <c r="I67" s="39" t="s">
        <v>692</v>
      </c>
      <c r="J67" s="19" t="str">
        <f t="shared" ref="J67:J130" si="7">_xlfn.TEXTJOIN("-",TRUE,F67,G67,H67)</f>
        <v>23.5-25-20PR-T317</v>
      </c>
      <c r="O67" s="19" t="str">
        <f t="shared" ref="O67:O130" si="8">_xlfn.TEXTJOIN("-",TRUE,K67,L67,M67)</f>
        <v/>
      </c>
      <c r="T67" s="19" t="str">
        <f t="shared" ref="T67:T130" si="9">_xlfn.TEXTJOIN("-",TRUE,P67,Q67,R67)</f>
        <v/>
      </c>
      <c r="X67" s="19" t="str">
        <f t="shared" ref="X67:X74" si="10">_xlfn.TEXTJOIN("-",TRUE,T67,U67,V67)</f>
        <v/>
      </c>
      <c r="AC67" s="19" t="str">
        <f t="shared" ref="AC67:AC130" si="11">_xlfn.TEXTJOIN("-",TRUE,Y67,Z67,AA67)</f>
        <v/>
      </c>
    </row>
    <row r="68" s="19" customFormat="1" spans="1:29">
      <c r="A68" s="29" t="s">
        <v>803</v>
      </c>
      <c r="B68" s="29" t="s">
        <v>1092</v>
      </c>
      <c r="C68" s="29" t="s">
        <v>1038</v>
      </c>
      <c r="D68" s="28" t="s">
        <v>692</v>
      </c>
      <c r="E68" s="36" t="str">
        <f t="shared" si="6"/>
        <v>11.00R20-18PR-AZ676</v>
      </c>
      <c r="F68" s="29" t="s">
        <v>1570</v>
      </c>
      <c r="G68" s="29" t="s">
        <v>1584</v>
      </c>
      <c r="H68" s="29" t="s">
        <v>1615</v>
      </c>
      <c r="I68" s="39" t="s">
        <v>692</v>
      </c>
      <c r="J68" s="19" t="str">
        <f t="shared" si="7"/>
        <v>23.5-25-24PR-EL37</v>
      </c>
      <c r="O68" s="19" t="str">
        <f t="shared" si="8"/>
        <v/>
      </c>
      <c r="T68" s="19" t="str">
        <f t="shared" si="9"/>
        <v/>
      </c>
      <c r="X68" s="19" t="str">
        <f t="shared" si="10"/>
        <v/>
      </c>
      <c r="AC68" s="19" t="str">
        <f t="shared" si="11"/>
        <v/>
      </c>
    </row>
    <row r="69" s="19" customFormat="1" spans="1:29">
      <c r="A69" s="29" t="s">
        <v>803</v>
      </c>
      <c r="B69" s="29" t="s">
        <v>1092</v>
      </c>
      <c r="C69" s="29" t="s">
        <v>1060</v>
      </c>
      <c r="D69" s="28" t="s">
        <v>692</v>
      </c>
      <c r="E69" s="36" t="str">
        <f t="shared" si="6"/>
        <v>11.00R20-18PR-EZ369</v>
      </c>
      <c r="F69" s="29" t="s">
        <v>1570</v>
      </c>
      <c r="G69" s="29" t="s">
        <v>1584</v>
      </c>
      <c r="H69" s="29" t="s">
        <v>1621</v>
      </c>
      <c r="I69" s="39" t="s">
        <v>692</v>
      </c>
      <c r="J69" s="19" t="str">
        <f t="shared" si="7"/>
        <v>23.5-25-24PR-T317</v>
      </c>
      <c r="O69" s="19" t="str">
        <f t="shared" si="8"/>
        <v/>
      </c>
      <c r="T69" s="19" t="str">
        <f t="shared" si="9"/>
        <v/>
      </c>
      <c r="X69" s="19" t="str">
        <f t="shared" si="10"/>
        <v/>
      </c>
      <c r="AC69" s="19" t="str">
        <f t="shared" si="11"/>
        <v/>
      </c>
    </row>
    <row r="70" s="19" customFormat="1" spans="1:29">
      <c r="A70" s="29" t="s">
        <v>803</v>
      </c>
      <c r="B70" s="29" t="s">
        <v>1092</v>
      </c>
      <c r="C70" s="29" t="s">
        <v>1568</v>
      </c>
      <c r="D70" s="28" t="s">
        <v>692</v>
      </c>
      <c r="E70" s="36" t="str">
        <f t="shared" si="6"/>
        <v>11.00R20-18PR-EZ336</v>
      </c>
      <c r="F70" s="29" t="s">
        <v>1570</v>
      </c>
      <c r="G70" s="29" t="s">
        <v>1584</v>
      </c>
      <c r="H70" s="29" t="s">
        <v>1591</v>
      </c>
      <c r="I70" s="39" t="s">
        <v>692</v>
      </c>
      <c r="J70" s="19" t="str">
        <f t="shared" si="7"/>
        <v>23.5-25-24PR-EL36</v>
      </c>
      <c r="O70" s="19" t="str">
        <f t="shared" si="8"/>
        <v/>
      </c>
      <c r="T70" s="19" t="str">
        <f t="shared" si="9"/>
        <v/>
      </c>
      <c r="X70" s="19" t="str">
        <f t="shared" si="10"/>
        <v/>
      </c>
      <c r="AC70" s="19" t="str">
        <f t="shared" si="11"/>
        <v/>
      </c>
    </row>
    <row r="71" s="19" customFormat="1" spans="1:29">
      <c r="A71" s="29" t="s">
        <v>803</v>
      </c>
      <c r="B71" s="29" t="s">
        <v>1092</v>
      </c>
      <c r="C71" s="29" t="s">
        <v>1595</v>
      </c>
      <c r="D71" s="28" t="s">
        <v>692</v>
      </c>
      <c r="E71" s="36" t="str">
        <f t="shared" si="6"/>
        <v>11.00R20-18PR-ETRF</v>
      </c>
      <c r="F71" s="29" t="s">
        <v>1570</v>
      </c>
      <c r="G71" s="29" t="s">
        <v>1074</v>
      </c>
      <c r="H71" s="29" t="s">
        <v>1571</v>
      </c>
      <c r="I71" s="39" t="s">
        <v>692</v>
      </c>
      <c r="J71" s="19" t="str">
        <f t="shared" si="7"/>
        <v>23.5-25-16PR-CL728</v>
      </c>
      <c r="O71" s="19" t="str">
        <f t="shared" si="8"/>
        <v/>
      </c>
      <c r="T71" s="19" t="str">
        <f t="shared" si="9"/>
        <v/>
      </c>
      <c r="X71" s="19" t="str">
        <f t="shared" si="10"/>
        <v/>
      </c>
      <c r="AC71" s="19" t="str">
        <f t="shared" si="11"/>
        <v/>
      </c>
    </row>
    <row r="72" s="19" customFormat="1" spans="1:29">
      <c r="A72" s="29" t="s">
        <v>803</v>
      </c>
      <c r="B72" s="29" t="s">
        <v>1092</v>
      </c>
      <c r="C72" s="29" t="s">
        <v>1045</v>
      </c>
      <c r="D72" s="28" t="s">
        <v>692</v>
      </c>
      <c r="E72" s="36" t="str">
        <f t="shared" si="6"/>
        <v>11.00R20-18PR-TZ202</v>
      </c>
      <c r="F72" s="29" t="s">
        <v>1570</v>
      </c>
      <c r="G72" s="31" t="s">
        <v>1074</v>
      </c>
      <c r="H72" s="29" t="s">
        <v>1573</v>
      </c>
      <c r="I72" s="39" t="s">
        <v>692</v>
      </c>
      <c r="J72" s="19" t="str">
        <f t="shared" si="7"/>
        <v>23.5-25-16PR-T318</v>
      </c>
      <c r="O72" s="19" t="str">
        <f t="shared" si="8"/>
        <v/>
      </c>
      <c r="T72" s="19" t="str">
        <f t="shared" si="9"/>
        <v/>
      </c>
      <c r="X72" s="19" t="str">
        <f t="shared" si="10"/>
        <v/>
      </c>
      <c r="AC72" s="19" t="str">
        <f t="shared" si="11"/>
        <v/>
      </c>
    </row>
    <row r="73" s="19" customFormat="1" spans="1:29">
      <c r="A73" s="29" t="s">
        <v>803</v>
      </c>
      <c r="B73" s="29" t="s">
        <v>1092</v>
      </c>
      <c r="C73" s="29" t="s">
        <v>1370</v>
      </c>
      <c r="D73" s="28" t="s">
        <v>692</v>
      </c>
      <c r="E73" s="36" t="str">
        <f t="shared" si="6"/>
        <v>11.00R20-18PR-TZ101</v>
      </c>
      <c r="F73" s="25" t="s">
        <v>1570</v>
      </c>
      <c r="G73" s="29" t="s">
        <v>1101</v>
      </c>
      <c r="H73" s="53" t="s">
        <v>1571</v>
      </c>
      <c r="I73" s="39" t="s">
        <v>692</v>
      </c>
      <c r="J73" s="19" t="str">
        <f t="shared" si="7"/>
        <v>23.5-25-20PR-CL728</v>
      </c>
      <c r="O73" s="19" t="str">
        <f t="shared" si="8"/>
        <v/>
      </c>
      <c r="T73" s="19" t="str">
        <f t="shared" si="9"/>
        <v/>
      </c>
      <c r="X73" s="19" t="str">
        <f t="shared" si="10"/>
        <v/>
      </c>
      <c r="AC73" s="19" t="str">
        <f t="shared" si="11"/>
        <v/>
      </c>
    </row>
    <row r="74" s="19" customFormat="1" spans="1:29">
      <c r="A74" s="29" t="s">
        <v>803</v>
      </c>
      <c r="B74" s="29" t="s">
        <v>1092</v>
      </c>
      <c r="C74" s="29" t="s">
        <v>1430</v>
      </c>
      <c r="D74" s="28" t="s">
        <v>692</v>
      </c>
      <c r="E74" s="36" t="str">
        <f t="shared" si="6"/>
        <v>11.00R20-18PR-CM998</v>
      </c>
      <c r="F74" s="25" t="s">
        <v>1570</v>
      </c>
      <c r="G74" s="29" t="s">
        <v>1101</v>
      </c>
      <c r="H74" s="53" t="s">
        <v>1573</v>
      </c>
      <c r="I74" s="39" t="s">
        <v>692</v>
      </c>
      <c r="J74" s="19" t="str">
        <f t="shared" si="7"/>
        <v>23.5-25-20PR-T318</v>
      </c>
      <c r="O74" s="19" t="str">
        <f t="shared" si="8"/>
        <v/>
      </c>
      <c r="T74" s="19" t="str">
        <f t="shared" si="9"/>
        <v/>
      </c>
      <c r="X74" s="19" t="str">
        <f t="shared" si="10"/>
        <v/>
      </c>
      <c r="AC74" s="19" t="str">
        <f t="shared" si="11"/>
        <v/>
      </c>
    </row>
    <row r="75" s="19" customFormat="1" spans="1:29">
      <c r="A75" s="29" t="s">
        <v>1633</v>
      </c>
      <c r="B75" s="29" t="s">
        <v>958</v>
      </c>
      <c r="C75" s="29" t="s">
        <v>1646</v>
      </c>
      <c r="D75" s="28" t="s">
        <v>692</v>
      </c>
      <c r="E75" s="36" t="str">
        <f t="shared" si="6"/>
        <v>11R22.5-14PR-CR915</v>
      </c>
      <c r="F75" s="25" t="s">
        <v>1570</v>
      </c>
      <c r="G75" s="29" t="s">
        <v>1584</v>
      </c>
      <c r="H75" s="53" t="s">
        <v>1571</v>
      </c>
      <c r="I75" s="39" t="s">
        <v>692</v>
      </c>
      <c r="J75" s="19" t="str">
        <f t="shared" si="7"/>
        <v>23.5-25-24PR-CL728</v>
      </c>
      <c r="O75" s="19" t="str">
        <f t="shared" si="8"/>
        <v/>
      </c>
      <c r="T75" s="19" t="str">
        <f t="shared" si="9"/>
        <v/>
      </c>
      <c r="AC75" s="19" t="str">
        <f t="shared" si="11"/>
        <v/>
      </c>
    </row>
    <row r="76" s="19" customFormat="1" spans="1:29">
      <c r="A76" s="29" t="s">
        <v>1633</v>
      </c>
      <c r="B76" s="29" t="s">
        <v>958</v>
      </c>
      <c r="C76" s="29" t="s">
        <v>1650</v>
      </c>
      <c r="D76" s="28" t="s">
        <v>692</v>
      </c>
      <c r="E76" s="36" t="str">
        <f t="shared" si="6"/>
        <v>11R22.5-14PR-AT598</v>
      </c>
      <c r="F76" s="45" t="s">
        <v>1570</v>
      </c>
      <c r="G76" s="31" t="s">
        <v>1584</v>
      </c>
      <c r="H76" s="51" t="s">
        <v>1573</v>
      </c>
      <c r="I76" s="42" t="s">
        <v>692</v>
      </c>
      <c r="J76" s="19" t="str">
        <f t="shared" si="7"/>
        <v>23.5-25-24PR-T318</v>
      </c>
      <c r="O76" s="19" t="str">
        <f t="shared" si="8"/>
        <v/>
      </c>
      <c r="T76" s="19" t="str">
        <f t="shared" si="9"/>
        <v/>
      </c>
      <c r="AC76" s="19" t="str">
        <f t="shared" si="11"/>
        <v/>
      </c>
    </row>
    <row r="77" s="19" customFormat="1" spans="1:29">
      <c r="A77" s="29" t="s">
        <v>1633</v>
      </c>
      <c r="B77" s="29" t="s">
        <v>958</v>
      </c>
      <c r="C77" s="29" t="s">
        <v>1654</v>
      </c>
      <c r="D77" s="28" t="s">
        <v>692</v>
      </c>
      <c r="E77" s="36" t="str">
        <f t="shared" si="6"/>
        <v>11R22.5-14PR-HT1 Plus</v>
      </c>
      <c r="F77" s="29" t="s">
        <v>1400</v>
      </c>
      <c r="G77" s="29" t="s">
        <v>965</v>
      </c>
      <c r="H77" s="29" t="s">
        <v>966</v>
      </c>
      <c r="I77" s="39" t="s">
        <v>692</v>
      </c>
      <c r="J77" s="19" t="str">
        <f t="shared" si="7"/>
        <v>23X8.50-12-6PR-STRONG GUARD SS</v>
      </c>
      <c r="O77" s="19" t="str">
        <f t="shared" si="8"/>
        <v/>
      </c>
      <c r="T77" s="19" t="str">
        <f t="shared" si="9"/>
        <v/>
      </c>
      <c r="AC77" s="19" t="str">
        <f t="shared" si="11"/>
        <v/>
      </c>
    </row>
    <row r="78" s="19" customFormat="1" spans="1:29">
      <c r="A78" s="29" t="s">
        <v>1633</v>
      </c>
      <c r="B78" s="29" t="s">
        <v>958</v>
      </c>
      <c r="C78" s="29" t="s">
        <v>1660</v>
      </c>
      <c r="D78" s="28" t="s">
        <v>692</v>
      </c>
      <c r="E78" s="36" t="str">
        <f t="shared" si="6"/>
        <v>11R22.5-14PR-RLINE-T1</v>
      </c>
      <c r="F78" s="29" t="s">
        <v>1411</v>
      </c>
      <c r="G78" s="29" t="s">
        <v>962</v>
      </c>
      <c r="H78" s="29" t="s">
        <v>1412</v>
      </c>
      <c r="I78" s="39" t="s">
        <v>692</v>
      </c>
      <c r="J78" s="19" t="str">
        <f t="shared" si="7"/>
        <v>26X12-12-8PR-STRONG GUARD R1</v>
      </c>
      <c r="O78" s="19" t="str">
        <f t="shared" si="8"/>
        <v/>
      </c>
      <c r="T78" s="19" t="str">
        <f t="shared" si="9"/>
        <v/>
      </c>
      <c r="AC78" s="19" t="str">
        <f t="shared" si="11"/>
        <v/>
      </c>
    </row>
    <row r="79" s="19" customFormat="1" spans="1:29">
      <c r="A79" s="29" t="s">
        <v>1633</v>
      </c>
      <c r="B79" s="29" t="s">
        <v>1074</v>
      </c>
      <c r="C79" s="29" t="s">
        <v>972</v>
      </c>
      <c r="D79" s="28" t="s">
        <v>692</v>
      </c>
      <c r="E79" s="36" t="str">
        <f t="shared" si="6"/>
        <v>11R22.5-16PR-AZ850</v>
      </c>
      <c r="F79" s="29" t="s">
        <v>1418</v>
      </c>
      <c r="G79" s="29" t="s">
        <v>962</v>
      </c>
      <c r="H79" s="29" t="s">
        <v>966</v>
      </c>
      <c r="I79" s="39" t="s">
        <v>692</v>
      </c>
      <c r="J79" s="19" t="str">
        <f t="shared" si="7"/>
        <v>27X8.50-15-8PR-STRONG GUARD SS</v>
      </c>
      <c r="O79" s="19" t="str">
        <f t="shared" si="8"/>
        <v/>
      </c>
      <c r="T79" s="19" t="str">
        <f t="shared" si="9"/>
        <v/>
      </c>
      <c r="AC79" s="19" t="str">
        <f t="shared" si="11"/>
        <v/>
      </c>
    </row>
    <row r="80" s="19" customFormat="1" spans="1:29">
      <c r="A80" s="29" t="s">
        <v>1633</v>
      </c>
      <c r="B80" s="29" t="s">
        <v>1074</v>
      </c>
      <c r="C80" s="29" t="s">
        <v>1742</v>
      </c>
      <c r="D80" s="28" t="s">
        <v>692</v>
      </c>
      <c r="E80" s="36" t="str">
        <f t="shared" si="6"/>
        <v>11R22.5-16PR-I-19A</v>
      </c>
      <c r="F80" s="29" t="s">
        <v>4760</v>
      </c>
      <c r="G80" s="29" t="s">
        <v>962</v>
      </c>
      <c r="H80" s="29" t="s">
        <v>1412</v>
      </c>
      <c r="I80" s="39" t="s">
        <v>692</v>
      </c>
      <c r="J80" s="19" t="str">
        <f t="shared" si="7"/>
        <v>29X12.5-15-8PR-STRONG GUARD R1</v>
      </c>
      <c r="O80" s="19" t="str">
        <f t="shared" si="8"/>
        <v/>
      </c>
      <c r="T80" s="19" t="str">
        <f t="shared" si="9"/>
        <v/>
      </c>
      <c r="AC80" s="19" t="str">
        <f t="shared" si="11"/>
        <v/>
      </c>
    </row>
    <row r="81" s="19" customFormat="1" spans="1:29">
      <c r="A81" s="29" t="s">
        <v>1633</v>
      </c>
      <c r="B81" s="29" t="s">
        <v>958</v>
      </c>
      <c r="C81" s="29" t="s">
        <v>1691</v>
      </c>
      <c r="D81" s="28" t="s">
        <v>692</v>
      </c>
      <c r="E81" s="36" t="str">
        <f t="shared" si="6"/>
        <v>11R22.5-14PR-CR915 eco</v>
      </c>
      <c r="F81" s="20" t="s">
        <v>1011</v>
      </c>
      <c r="G81" s="23" t="s">
        <v>958</v>
      </c>
      <c r="H81" s="23" t="s">
        <v>1005</v>
      </c>
      <c r="I81" s="59" t="s">
        <v>692</v>
      </c>
      <c r="J81" s="19" t="str">
        <f t="shared" si="7"/>
        <v>7.50-16-14PR-CL891</v>
      </c>
      <c r="O81" s="19" t="str">
        <f t="shared" si="8"/>
        <v/>
      </c>
      <c r="T81" s="19" t="str">
        <f t="shared" si="9"/>
        <v/>
      </c>
      <c r="AC81" s="19" t="str">
        <f t="shared" si="11"/>
        <v/>
      </c>
    </row>
    <row r="82" s="19" customFormat="1" spans="1:29">
      <c r="A82" s="29" t="s">
        <v>1633</v>
      </c>
      <c r="B82" s="29" t="s">
        <v>958</v>
      </c>
      <c r="C82" s="29" t="s">
        <v>1732</v>
      </c>
      <c r="D82" s="28" t="s">
        <v>692</v>
      </c>
      <c r="E82" s="36" t="str">
        <f t="shared" si="6"/>
        <v>11R22.5-14PR-TL31</v>
      </c>
      <c r="F82" s="20"/>
      <c r="G82" s="23"/>
      <c r="H82" s="23"/>
      <c r="I82" s="59" t="s">
        <v>692</v>
      </c>
      <c r="J82" s="19" t="str">
        <f t="shared" si="7"/>
        <v/>
      </c>
      <c r="O82" s="19" t="str">
        <f t="shared" si="8"/>
        <v/>
      </c>
      <c r="T82" s="19" t="str">
        <f t="shared" si="9"/>
        <v/>
      </c>
      <c r="AC82" s="19" t="str">
        <f t="shared" si="11"/>
        <v/>
      </c>
    </row>
    <row r="83" s="19" customFormat="1" spans="1:29">
      <c r="A83" s="29" t="s">
        <v>1633</v>
      </c>
      <c r="B83" s="29" t="s">
        <v>958</v>
      </c>
      <c r="C83" s="29" t="s">
        <v>1734</v>
      </c>
      <c r="D83" s="28" t="s">
        <v>692</v>
      </c>
      <c r="E83" s="36" t="str">
        <f t="shared" si="6"/>
        <v>11R22.5-14PR-VT993</v>
      </c>
      <c r="F83" s="20"/>
      <c r="G83" s="23"/>
      <c r="H83" s="23"/>
      <c r="I83" s="59" t="s">
        <v>692</v>
      </c>
      <c r="J83" s="19" t="str">
        <f t="shared" si="7"/>
        <v/>
      </c>
      <c r="O83" s="19" t="str">
        <f t="shared" si="8"/>
        <v/>
      </c>
      <c r="T83" s="19" t="str">
        <f t="shared" si="9"/>
        <v/>
      </c>
      <c r="AC83" s="19" t="str">
        <f t="shared" si="11"/>
        <v/>
      </c>
    </row>
    <row r="84" s="19" customFormat="1" spans="1:29">
      <c r="A84" s="29" t="s">
        <v>1633</v>
      </c>
      <c r="B84" s="29" t="s">
        <v>1074</v>
      </c>
      <c r="C84" s="29" t="s">
        <v>1734</v>
      </c>
      <c r="D84" s="28" t="s">
        <v>692</v>
      </c>
      <c r="E84" s="36" t="str">
        <f t="shared" si="6"/>
        <v>11R22.5-16PR-VT993</v>
      </c>
      <c r="F84" s="20"/>
      <c r="G84" s="23"/>
      <c r="H84" s="23"/>
      <c r="I84" s="59" t="s">
        <v>692</v>
      </c>
      <c r="J84" s="19" t="str">
        <f t="shared" si="7"/>
        <v/>
      </c>
      <c r="O84" s="19" t="str">
        <f t="shared" si="8"/>
        <v/>
      </c>
      <c r="T84" s="19" t="str">
        <f t="shared" si="9"/>
        <v/>
      </c>
      <c r="AC84" s="19" t="str">
        <f t="shared" si="11"/>
        <v/>
      </c>
    </row>
    <row r="85" s="19" customFormat="1" spans="1:29">
      <c r="A85" s="29" t="s">
        <v>1633</v>
      </c>
      <c r="B85" s="29" t="s">
        <v>958</v>
      </c>
      <c r="C85" s="29" t="s">
        <v>1687</v>
      </c>
      <c r="D85" s="28" t="s">
        <v>692</v>
      </c>
      <c r="E85" s="36" t="str">
        <f t="shared" si="6"/>
        <v>11R22.5-14PR-AT563</v>
      </c>
      <c r="F85" s="20"/>
      <c r="G85" s="23"/>
      <c r="H85" s="23"/>
      <c r="I85" s="59" t="s">
        <v>692</v>
      </c>
      <c r="J85" s="19" t="str">
        <f t="shared" si="7"/>
        <v/>
      </c>
      <c r="O85" s="19" t="str">
        <f t="shared" si="8"/>
        <v/>
      </c>
      <c r="T85" s="19" t="str">
        <f t="shared" si="9"/>
        <v/>
      </c>
      <c r="AC85" s="19" t="str">
        <f t="shared" si="11"/>
        <v/>
      </c>
    </row>
    <row r="86" s="19" customFormat="1" spans="1:29">
      <c r="A86" s="29" t="s">
        <v>1633</v>
      </c>
      <c r="B86" s="29" t="s">
        <v>958</v>
      </c>
      <c r="C86" s="29" t="s">
        <v>1682</v>
      </c>
      <c r="D86" s="28" t="s">
        <v>692</v>
      </c>
      <c r="E86" s="36" t="str">
        <f t="shared" si="6"/>
        <v>11R22.5-14PR-AT552</v>
      </c>
      <c r="F86" s="20"/>
      <c r="G86" s="23"/>
      <c r="H86" s="23"/>
      <c r="I86" s="59" t="s">
        <v>692</v>
      </c>
      <c r="J86" s="19" t="str">
        <f t="shared" si="7"/>
        <v/>
      </c>
      <c r="O86" s="19" t="str">
        <f t="shared" si="8"/>
        <v/>
      </c>
      <c r="T86" s="19" t="str">
        <f t="shared" si="9"/>
        <v/>
      </c>
      <c r="AC86" s="19" t="str">
        <f t="shared" si="11"/>
        <v/>
      </c>
    </row>
    <row r="87" s="19" customFormat="1" spans="1:29">
      <c r="A87" s="29" t="s">
        <v>1633</v>
      </c>
      <c r="B87" s="29" t="s">
        <v>1074</v>
      </c>
      <c r="C87" s="29" t="s">
        <v>1634</v>
      </c>
      <c r="D87" s="28" t="s">
        <v>692</v>
      </c>
      <c r="E87" s="36" t="str">
        <f t="shared" si="6"/>
        <v>11R22.5-16PR-AS858</v>
      </c>
      <c r="F87" s="20"/>
      <c r="G87" s="23"/>
      <c r="H87" s="23"/>
      <c r="I87" s="59" t="s">
        <v>692</v>
      </c>
      <c r="J87" s="19" t="str">
        <f t="shared" si="7"/>
        <v/>
      </c>
      <c r="O87" s="19" t="str">
        <f t="shared" si="8"/>
        <v/>
      </c>
      <c r="T87" s="19" t="str">
        <f t="shared" si="9"/>
        <v/>
      </c>
      <c r="AC87" s="19" t="str">
        <f t="shared" si="11"/>
        <v/>
      </c>
    </row>
    <row r="88" s="19" customFormat="1" spans="1:29">
      <c r="A88" s="29" t="s">
        <v>1633</v>
      </c>
      <c r="B88" s="29" t="s">
        <v>1074</v>
      </c>
      <c r="C88" s="29" t="s">
        <v>1638</v>
      </c>
      <c r="D88" s="28" t="s">
        <v>692</v>
      </c>
      <c r="E88" s="36" t="str">
        <f t="shared" si="6"/>
        <v>11R22.5-16PR-AS868</v>
      </c>
      <c r="F88" s="20"/>
      <c r="G88" s="23"/>
      <c r="H88" s="23"/>
      <c r="I88" s="59" t="s">
        <v>692</v>
      </c>
      <c r="J88" s="19" t="str">
        <f t="shared" si="7"/>
        <v/>
      </c>
      <c r="O88" s="19" t="str">
        <f t="shared" si="8"/>
        <v/>
      </c>
      <c r="T88" s="19" t="str">
        <f t="shared" si="9"/>
        <v/>
      </c>
      <c r="AC88" s="19" t="str">
        <f t="shared" si="11"/>
        <v/>
      </c>
    </row>
    <row r="89" s="19" customFormat="1" spans="1:29">
      <c r="A89" s="29" t="s">
        <v>1633</v>
      </c>
      <c r="B89" s="29" t="s">
        <v>1074</v>
      </c>
      <c r="C89" s="29" t="s">
        <v>4761</v>
      </c>
      <c r="D89" s="28" t="s">
        <v>692</v>
      </c>
      <c r="E89" s="36" t="str">
        <f t="shared" si="6"/>
        <v>11R22.5-16PR-CR906Ⅱ</v>
      </c>
      <c r="F89" s="20"/>
      <c r="G89" s="23"/>
      <c r="H89" s="23"/>
      <c r="I89" s="59" t="s">
        <v>692</v>
      </c>
      <c r="J89" s="19" t="str">
        <f t="shared" si="7"/>
        <v/>
      </c>
      <c r="O89" s="19" t="str">
        <f t="shared" si="8"/>
        <v/>
      </c>
      <c r="T89" s="19" t="str">
        <f t="shared" si="9"/>
        <v/>
      </c>
      <c r="AC89" s="19" t="str">
        <f t="shared" si="11"/>
        <v/>
      </c>
    </row>
    <row r="90" s="19" customFormat="1" spans="1:29">
      <c r="A90" s="29" t="s">
        <v>1633</v>
      </c>
      <c r="B90" s="29" t="s">
        <v>1074</v>
      </c>
      <c r="C90" s="29" t="s">
        <v>1724</v>
      </c>
      <c r="D90" s="28" t="s">
        <v>692</v>
      </c>
      <c r="E90" s="36" t="str">
        <f t="shared" si="6"/>
        <v>11R22.5-16PR-VA996</v>
      </c>
      <c r="F90" s="20"/>
      <c r="G90" s="23"/>
      <c r="H90" s="23"/>
      <c r="I90" s="59" t="s">
        <v>692</v>
      </c>
      <c r="J90" s="19" t="str">
        <f t="shared" si="7"/>
        <v/>
      </c>
      <c r="O90" s="19" t="str">
        <f t="shared" si="8"/>
        <v/>
      </c>
      <c r="T90" s="19" t="str">
        <f t="shared" si="9"/>
        <v/>
      </c>
      <c r="AC90" s="19" t="str">
        <f t="shared" si="11"/>
        <v/>
      </c>
    </row>
    <row r="91" s="19" customFormat="1" spans="1:29">
      <c r="A91" s="29" t="s">
        <v>1633</v>
      </c>
      <c r="B91" s="29" t="s">
        <v>1074</v>
      </c>
      <c r="C91" s="29" t="s">
        <v>4762</v>
      </c>
      <c r="D91" s="28" t="s">
        <v>692</v>
      </c>
      <c r="E91" s="36" t="str">
        <f t="shared" si="6"/>
        <v>11R22.5-16PR-SL11</v>
      </c>
      <c r="F91" s="20"/>
      <c r="G91" s="23"/>
      <c r="H91" s="23"/>
      <c r="I91" s="59" t="s">
        <v>692</v>
      </c>
      <c r="J91" s="19" t="str">
        <f t="shared" si="7"/>
        <v/>
      </c>
      <c r="O91" s="19" t="str">
        <f t="shared" si="8"/>
        <v/>
      </c>
      <c r="T91" s="19" t="str">
        <f t="shared" si="9"/>
        <v/>
      </c>
      <c r="AC91" s="19" t="str">
        <f t="shared" si="11"/>
        <v/>
      </c>
    </row>
    <row r="92" s="19" customFormat="1" spans="1:29">
      <c r="A92" s="29" t="s">
        <v>1633</v>
      </c>
      <c r="B92" s="29" t="s">
        <v>1074</v>
      </c>
      <c r="C92" s="29" t="s">
        <v>1729</v>
      </c>
      <c r="D92" s="28" t="s">
        <v>692</v>
      </c>
      <c r="E92" s="36" t="str">
        <f t="shared" si="6"/>
        <v>11R22.5-16PR-PS221</v>
      </c>
      <c r="F92" s="20"/>
      <c r="G92" s="23"/>
      <c r="H92" s="23"/>
      <c r="I92" s="24"/>
      <c r="J92" s="19" t="str">
        <f t="shared" si="7"/>
        <v/>
      </c>
      <c r="O92" s="19" t="str">
        <f t="shared" si="8"/>
        <v/>
      </c>
      <c r="T92" s="19" t="str">
        <f t="shared" si="9"/>
        <v/>
      </c>
      <c r="AC92" s="19" t="str">
        <f t="shared" si="11"/>
        <v/>
      </c>
    </row>
    <row r="93" s="19" customFormat="1" spans="1:29">
      <c r="A93" s="29" t="s">
        <v>1633</v>
      </c>
      <c r="B93" s="29" t="s">
        <v>1074</v>
      </c>
      <c r="C93" s="29" t="s">
        <v>1697</v>
      </c>
      <c r="D93" s="28" t="s">
        <v>692</v>
      </c>
      <c r="E93" s="36" t="str">
        <f t="shared" si="6"/>
        <v>11R22.5-16PR-VXD932</v>
      </c>
      <c r="F93" s="20"/>
      <c r="G93" s="23"/>
      <c r="H93" s="23"/>
      <c r="I93" s="24"/>
      <c r="J93" s="19" t="str">
        <f t="shared" si="7"/>
        <v/>
      </c>
      <c r="O93" s="19" t="str">
        <f t="shared" si="8"/>
        <v/>
      </c>
      <c r="T93" s="19" t="str">
        <f t="shared" si="9"/>
        <v/>
      </c>
      <c r="AC93" s="19" t="str">
        <f t="shared" si="11"/>
        <v/>
      </c>
    </row>
    <row r="94" s="19" customFormat="1" spans="1:29">
      <c r="A94" s="29" t="s">
        <v>1633</v>
      </c>
      <c r="B94" s="29" t="s">
        <v>1074</v>
      </c>
      <c r="C94" s="29" t="s">
        <v>1695</v>
      </c>
      <c r="D94" s="28" t="s">
        <v>692</v>
      </c>
      <c r="E94" s="36" t="str">
        <f t="shared" si="6"/>
        <v>11R22.5-16PR-DA25</v>
      </c>
      <c r="F94" s="20"/>
      <c r="G94" s="23"/>
      <c r="H94" s="23"/>
      <c r="I94" s="24"/>
      <c r="J94" s="19" t="str">
        <f t="shared" si="7"/>
        <v/>
      </c>
      <c r="O94" s="19" t="str">
        <f t="shared" si="8"/>
        <v/>
      </c>
      <c r="T94" s="19" t="str">
        <f t="shared" si="9"/>
        <v/>
      </c>
      <c r="AC94" s="19" t="str">
        <f t="shared" si="11"/>
        <v/>
      </c>
    </row>
    <row r="95" s="19" customFormat="1" spans="1:29">
      <c r="A95" s="29" t="s">
        <v>1633</v>
      </c>
      <c r="B95" s="29" t="s">
        <v>1074</v>
      </c>
      <c r="C95" s="29" t="s">
        <v>1665</v>
      </c>
      <c r="D95" s="28" t="s">
        <v>692</v>
      </c>
      <c r="E95" s="36" t="str">
        <f t="shared" si="6"/>
        <v>11R22.5-16PR-AD716</v>
      </c>
      <c r="F95" s="20"/>
      <c r="G95" s="23"/>
      <c r="H95" s="23"/>
      <c r="I95" s="24"/>
      <c r="J95" s="19" t="str">
        <f t="shared" si="7"/>
        <v/>
      </c>
      <c r="O95" s="19" t="str">
        <f t="shared" si="8"/>
        <v/>
      </c>
      <c r="T95" s="19" t="str">
        <f t="shared" si="9"/>
        <v/>
      </c>
      <c r="AC95" s="19" t="str">
        <f t="shared" si="11"/>
        <v/>
      </c>
    </row>
    <row r="96" s="19" customFormat="1" spans="1:29">
      <c r="A96" s="29" t="s">
        <v>1633</v>
      </c>
      <c r="B96" s="29" t="s">
        <v>1074</v>
      </c>
      <c r="C96" s="29" t="s">
        <v>1669</v>
      </c>
      <c r="D96" s="28" t="s">
        <v>692</v>
      </c>
      <c r="E96" s="36" t="str">
        <f t="shared" si="6"/>
        <v>11R22.5-16PR-M-TRAC CSD</v>
      </c>
      <c r="F96" s="20"/>
      <c r="G96" s="23"/>
      <c r="H96" s="23"/>
      <c r="I96" s="24"/>
      <c r="J96" s="19" t="str">
        <f t="shared" si="7"/>
        <v/>
      </c>
      <c r="O96" s="19" t="str">
        <f t="shared" si="8"/>
        <v/>
      </c>
      <c r="T96" s="19" t="str">
        <f t="shared" si="9"/>
        <v/>
      </c>
      <c r="AC96" s="19" t="str">
        <f t="shared" si="11"/>
        <v/>
      </c>
    </row>
    <row r="97" s="19" customFormat="1" spans="1:29">
      <c r="A97" s="29" t="s">
        <v>1633</v>
      </c>
      <c r="B97" s="29" t="s">
        <v>1074</v>
      </c>
      <c r="C97" s="29" t="s">
        <v>1671</v>
      </c>
      <c r="D97" s="28" t="s">
        <v>692</v>
      </c>
      <c r="E97" s="36" t="str">
        <f t="shared" si="6"/>
        <v>11R22.5-16PR-HD1 Plus</v>
      </c>
      <c r="F97" s="20"/>
      <c r="G97" s="23"/>
      <c r="H97" s="23"/>
      <c r="I97" s="24"/>
      <c r="J97" s="19" t="str">
        <f t="shared" si="7"/>
        <v/>
      </c>
      <c r="O97" s="19" t="str">
        <f t="shared" si="8"/>
        <v/>
      </c>
      <c r="T97" s="19" t="str">
        <f t="shared" si="9"/>
        <v/>
      </c>
      <c r="AC97" s="19" t="str">
        <f t="shared" si="11"/>
        <v/>
      </c>
    </row>
    <row r="98" s="19" customFormat="1" spans="1:29">
      <c r="A98" s="29" t="s">
        <v>1633</v>
      </c>
      <c r="B98" s="29" t="s">
        <v>1074</v>
      </c>
      <c r="C98" s="29" t="s">
        <v>1681</v>
      </c>
      <c r="D98" s="28" t="s">
        <v>692</v>
      </c>
      <c r="E98" s="36" t="str">
        <f t="shared" si="6"/>
        <v>11R22.5-16PR-RLINE-D2</v>
      </c>
      <c r="F98" s="20"/>
      <c r="G98" s="23"/>
      <c r="H98" s="23"/>
      <c r="I98" s="24"/>
      <c r="J98" s="19" t="str">
        <f t="shared" si="7"/>
        <v/>
      </c>
      <c r="O98" s="19" t="str">
        <f t="shared" si="8"/>
        <v/>
      </c>
      <c r="T98" s="19" t="str">
        <f t="shared" si="9"/>
        <v/>
      </c>
      <c r="AC98" s="19" t="str">
        <f t="shared" si="11"/>
        <v/>
      </c>
    </row>
    <row r="99" s="19" customFormat="1" spans="1:29">
      <c r="A99" s="29" t="s">
        <v>1633</v>
      </c>
      <c r="B99" s="29" t="s">
        <v>1074</v>
      </c>
      <c r="C99" s="29" t="s">
        <v>1739</v>
      </c>
      <c r="D99" s="28" t="s">
        <v>692</v>
      </c>
      <c r="E99" s="36" t="str">
        <f t="shared" si="6"/>
        <v>11R22.5-16PR-ZM41</v>
      </c>
      <c r="F99" s="20"/>
      <c r="G99" s="23"/>
      <c r="H99" s="23"/>
      <c r="I99" s="24"/>
      <c r="J99" s="19" t="str">
        <f t="shared" si="7"/>
        <v/>
      </c>
      <c r="O99" s="19" t="str">
        <f t="shared" si="8"/>
        <v/>
      </c>
      <c r="T99" s="19" t="str">
        <f t="shared" si="9"/>
        <v/>
      </c>
      <c r="AC99" s="19" t="str">
        <f t="shared" si="11"/>
        <v/>
      </c>
    </row>
    <row r="100" s="19" customFormat="1" spans="1:29">
      <c r="A100" s="29" t="s">
        <v>1633</v>
      </c>
      <c r="B100" s="29" t="s">
        <v>1074</v>
      </c>
      <c r="C100" s="29" t="s">
        <v>1879</v>
      </c>
      <c r="D100" s="28" t="s">
        <v>692</v>
      </c>
      <c r="E100" s="36" t="str">
        <f t="shared" si="6"/>
        <v>11R22.5-16PR-DA23</v>
      </c>
      <c r="F100" s="20" t="str">
        <f t="shared" ref="F100:F144" si="12">_xlfn.TEXTJOIN("-",TRUE,A587,B587,C587)</f>
        <v>235/75R17.5-18PR-ECO-MILE AP</v>
      </c>
      <c r="G100" s="23"/>
      <c r="H100" s="23"/>
      <c r="I100" s="24"/>
      <c r="J100" s="19" t="str">
        <f t="shared" si="7"/>
        <v>235/75R17.5-18PR-ECO-MILE AP</v>
      </c>
      <c r="O100" s="19" t="str">
        <f t="shared" si="8"/>
        <v/>
      </c>
      <c r="T100" s="19" t="str">
        <f t="shared" si="9"/>
        <v/>
      </c>
      <c r="AC100" s="19" t="str">
        <f t="shared" si="11"/>
        <v/>
      </c>
    </row>
    <row r="101" s="19" customFormat="1" spans="1:29">
      <c r="A101" s="29" t="s">
        <v>1633</v>
      </c>
      <c r="B101" s="29" t="s">
        <v>1074</v>
      </c>
      <c r="C101" s="29" t="s">
        <v>1726</v>
      </c>
      <c r="D101" s="28" t="s">
        <v>692</v>
      </c>
      <c r="E101" s="36" t="str">
        <f t="shared" si="6"/>
        <v>11R22.5-16PR-AS200</v>
      </c>
      <c r="F101" s="20" t="str">
        <f t="shared" si="12"/>
        <v>245/70R19.5-16PR-M-TRAC AP</v>
      </c>
      <c r="G101" s="23"/>
      <c r="H101" s="23"/>
      <c r="I101" s="24"/>
      <c r="J101" s="19" t="str">
        <f t="shared" si="7"/>
        <v>245/70R19.5-16PR-M-TRAC AP</v>
      </c>
      <c r="O101" s="19" t="str">
        <f t="shared" si="8"/>
        <v/>
      </c>
      <c r="T101" s="19" t="str">
        <f t="shared" si="9"/>
        <v/>
      </c>
      <c r="AC101" s="19" t="str">
        <f t="shared" si="11"/>
        <v/>
      </c>
    </row>
    <row r="102" s="19" customFormat="1" spans="1:29">
      <c r="A102" s="29" t="s">
        <v>1633</v>
      </c>
      <c r="B102" s="29" t="s">
        <v>1074</v>
      </c>
      <c r="C102" s="29" t="s">
        <v>1714</v>
      </c>
      <c r="D102" s="28" t="s">
        <v>692</v>
      </c>
      <c r="E102" s="36" t="str">
        <f t="shared" si="6"/>
        <v>11R22.5-16PR-AD600</v>
      </c>
      <c r="F102" s="20" t="str">
        <f t="shared" si="12"/>
        <v>245/70R19.5-16PR-ECO-MILE AP</v>
      </c>
      <c r="G102" s="23"/>
      <c r="H102" s="23"/>
      <c r="I102" s="24"/>
      <c r="J102" s="19" t="str">
        <f t="shared" si="7"/>
        <v>245/70R19.5-16PR-ECO-MILE AP</v>
      </c>
      <c r="O102" s="19" t="str">
        <f t="shared" si="8"/>
        <v/>
      </c>
      <c r="T102" s="19" t="str">
        <f t="shared" si="9"/>
        <v/>
      </c>
      <c r="AC102" s="19" t="str">
        <f t="shared" si="11"/>
        <v/>
      </c>
    </row>
    <row r="103" s="19" customFormat="1" spans="1:29">
      <c r="A103" s="29" t="s">
        <v>1633</v>
      </c>
      <c r="B103" s="29" t="s">
        <v>1074</v>
      </c>
      <c r="C103" s="29" t="s">
        <v>1807</v>
      </c>
      <c r="D103" s="28" t="s">
        <v>692</v>
      </c>
      <c r="E103" s="36" t="str">
        <f t="shared" si="6"/>
        <v>11R22.5-16PR-AT115</v>
      </c>
      <c r="F103" s="20" t="str">
        <f t="shared" si="12"/>
        <v>245/70R19.5-16PR-M-TRAC HTD</v>
      </c>
      <c r="G103" s="23"/>
      <c r="H103" s="23"/>
      <c r="I103" s="24"/>
      <c r="J103" s="19" t="str">
        <f t="shared" si="7"/>
        <v>245/70R19.5-16PR-M-TRAC HTD</v>
      </c>
      <c r="O103" s="19" t="str">
        <f t="shared" si="8"/>
        <v/>
      </c>
      <c r="T103" s="19" t="str">
        <f t="shared" si="9"/>
        <v/>
      </c>
      <c r="AC103" s="19" t="str">
        <f t="shared" si="11"/>
        <v/>
      </c>
    </row>
    <row r="104" s="19" customFormat="1" ht="18" spans="1:29">
      <c r="A104" s="29" t="s">
        <v>1633</v>
      </c>
      <c r="B104" s="29" t="s">
        <v>1074</v>
      </c>
      <c r="C104" s="30" t="s">
        <v>1809</v>
      </c>
      <c r="D104" s="28" t="s">
        <v>692</v>
      </c>
      <c r="E104" s="36" t="str">
        <f t="shared" si="6"/>
        <v>11R22.5-16PR-HT1 PlusX</v>
      </c>
      <c r="F104" s="20" t="str">
        <f t="shared" si="12"/>
        <v>245/70R19.5-16PR-ECO-MILE HTD</v>
      </c>
      <c r="G104" s="23"/>
      <c r="H104" s="23"/>
      <c r="I104" s="24"/>
      <c r="J104" s="19" t="str">
        <f t="shared" si="7"/>
        <v>245/70R19.5-16PR-ECO-MILE HTD</v>
      </c>
      <c r="O104" s="19" t="str">
        <f t="shared" si="8"/>
        <v/>
      </c>
      <c r="T104" s="19" t="str">
        <f t="shared" si="9"/>
        <v/>
      </c>
      <c r="AC104" s="19" t="str">
        <f t="shared" si="11"/>
        <v/>
      </c>
    </row>
    <row r="105" s="19" customFormat="1" ht="18" spans="1:29">
      <c r="A105" s="29" t="s">
        <v>1633</v>
      </c>
      <c r="B105" s="29" t="s">
        <v>1074</v>
      </c>
      <c r="C105" s="30" t="s">
        <v>1810</v>
      </c>
      <c r="D105" s="28" t="s">
        <v>692</v>
      </c>
      <c r="E105" s="36" t="str">
        <f t="shared" si="6"/>
        <v>11R22.5-16PR-TLT-115</v>
      </c>
      <c r="F105" s="20" t="str">
        <f t="shared" si="12"/>
        <v>255/70R22.5-16PR-ECO-MILE AP</v>
      </c>
      <c r="G105" s="23"/>
      <c r="H105" s="23"/>
      <c r="I105" s="24"/>
      <c r="J105" s="19" t="str">
        <f t="shared" si="7"/>
        <v>255/70R22.5-16PR-ECO-MILE AP</v>
      </c>
      <c r="O105" s="19" t="str">
        <f t="shared" si="8"/>
        <v/>
      </c>
      <c r="T105" s="19" t="str">
        <f t="shared" si="9"/>
        <v/>
      </c>
      <c r="AC105" s="19" t="str">
        <f t="shared" si="11"/>
        <v/>
      </c>
    </row>
    <row r="106" s="19" customFormat="1" ht="18" spans="1:29">
      <c r="A106" s="29" t="s">
        <v>1633</v>
      </c>
      <c r="B106" s="29" t="s">
        <v>1074</v>
      </c>
      <c r="C106" s="30" t="s">
        <v>1811</v>
      </c>
      <c r="D106" s="28" t="s">
        <v>692</v>
      </c>
      <c r="E106" s="36" t="str">
        <f t="shared" si="6"/>
        <v>11R22.5-16PR-MX901 TR</v>
      </c>
      <c r="F106" s="20" t="str">
        <f t="shared" si="12"/>
        <v>275/80R22.5-16PR-BMD06 PRO</v>
      </c>
      <c r="G106" s="23"/>
      <c r="H106" s="23"/>
      <c r="I106" s="24"/>
      <c r="J106" s="19" t="str">
        <f t="shared" si="7"/>
        <v>275/80R22.5-16PR-BMD06 PRO</v>
      </c>
      <c r="O106" s="19" t="str">
        <f t="shared" si="8"/>
        <v/>
      </c>
      <c r="T106" s="19" t="str">
        <f t="shared" si="9"/>
        <v/>
      </c>
      <c r="AC106" s="19" t="str">
        <f t="shared" si="11"/>
        <v/>
      </c>
    </row>
    <row r="107" s="19" customFormat="1" spans="1:29">
      <c r="A107" s="29" t="s">
        <v>1633</v>
      </c>
      <c r="B107" s="29" t="s">
        <v>1074</v>
      </c>
      <c r="C107" s="29" t="s">
        <v>1877</v>
      </c>
      <c r="D107" s="28" t="s">
        <v>692</v>
      </c>
      <c r="E107" s="36" t="str">
        <f t="shared" si="6"/>
        <v>11R22.5-16PR-DL22</v>
      </c>
      <c r="F107" s="20" t="str">
        <f t="shared" si="12"/>
        <v>285/75R24.5-16PR-ECO-MILE CSD</v>
      </c>
      <c r="G107" s="23"/>
      <c r="H107" s="23"/>
      <c r="I107" s="24"/>
      <c r="J107" s="19" t="str">
        <f t="shared" si="7"/>
        <v>285/75R24.5-16PR-ECO-MILE CSD</v>
      </c>
      <c r="O107" s="19" t="str">
        <f t="shared" si="8"/>
        <v/>
      </c>
      <c r="T107" s="19" t="str">
        <f t="shared" si="9"/>
        <v/>
      </c>
      <c r="AC107" s="19" t="str">
        <f t="shared" si="11"/>
        <v/>
      </c>
    </row>
    <row r="108" s="19" customFormat="1" spans="1:29">
      <c r="A108" s="29" t="s">
        <v>1633</v>
      </c>
      <c r="B108" s="29" t="s">
        <v>1074</v>
      </c>
      <c r="C108" s="29" t="s">
        <v>1718</v>
      </c>
      <c r="D108" s="28" t="s">
        <v>692</v>
      </c>
      <c r="E108" s="36" t="str">
        <f t="shared" si="6"/>
        <v>11R22.5-16PR-PD211</v>
      </c>
      <c r="F108" s="20" t="str">
        <f t="shared" si="12"/>
        <v>285/75R24.5-16PR-M-TRAC CSD</v>
      </c>
      <c r="G108" s="23"/>
      <c r="H108" s="23"/>
      <c r="I108" s="24"/>
      <c r="J108" s="19" t="str">
        <f t="shared" si="7"/>
        <v>285/75R24.5-16PR-M-TRAC CSD</v>
      </c>
      <c r="O108" s="19" t="str">
        <f t="shared" si="8"/>
        <v/>
      </c>
      <c r="T108" s="19" t="str">
        <f t="shared" si="9"/>
        <v/>
      </c>
      <c r="AC108" s="19" t="str">
        <f t="shared" si="11"/>
        <v/>
      </c>
    </row>
    <row r="109" s="19" customFormat="1" ht="18" spans="1:29">
      <c r="A109" s="29" t="s">
        <v>1633</v>
      </c>
      <c r="B109" s="31" t="s">
        <v>1074</v>
      </c>
      <c r="C109" s="30" t="s">
        <v>1745</v>
      </c>
      <c r="D109" s="28" t="s">
        <v>692</v>
      </c>
      <c r="E109" s="36" t="str">
        <f t="shared" si="6"/>
        <v>11R22.5-16PR-I-61S</v>
      </c>
      <c r="F109" s="20" t="str">
        <f t="shared" si="12"/>
        <v>285/75R24.5-16PR-ADL12</v>
      </c>
      <c r="G109" s="23"/>
      <c r="H109" s="23"/>
      <c r="I109" s="24"/>
      <c r="J109" s="19" t="str">
        <f t="shared" si="7"/>
        <v>285/75R24.5-16PR-ADL12</v>
      </c>
      <c r="O109" s="19" t="str">
        <f t="shared" si="8"/>
        <v/>
      </c>
      <c r="T109" s="19" t="str">
        <f t="shared" si="9"/>
        <v/>
      </c>
      <c r="AC109" s="19" t="str">
        <f t="shared" si="11"/>
        <v/>
      </c>
    </row>
    <row r="110" s="19" customFormat="1" spans="1:29">
      <c r="A110" s="25" t="s">
        <v>1633</v>
      </c>
      <c r="B110" s="29" t="s">
        <v>1074</v>
      </c>
      <c r="C110" s="53" t="s">
        <v>1844</v>
      </c>
      <c r="D110" s="28" t="s">
        <v>692</v>
      </c>
      <c r="E110" s="36" t="str">
        <f t="shared" si="6"/>
        <v>11R22.5-16PR-I-31M</v>
      </c>
      <c r="F110" s="20" t="str">
        <f t="shared" si="12"/>
        <v>285/75R24.5-16PR-ECO-MILE AP</v>
      </c>
      <c r="G110" s="23"/>
      <c r="H110" s="23"/>
      <c r="I110" s="24"/>
      <c r="J110" s="19" t="str">
        <f t="shared" si="7"/>
        <v>285/75R24.5-16PR-ECO-MILE AP</v>
      </c>
      <c r="O110" s="19" t="str">
        <f t="shared" si="8"/>
        <v/>
      </c>
      <c r="T110" s="19" t="str">
        <f t="shared" si="9"/>
        <v/>
      </c>
      <c r="AC110" s="19" t="str">
        <f t="shared" si="11"/>
        <v/>
      </c>
    </row>
    <row r="111" s="19" customFormat="1" spans="1:29">
      <c r="A111" s="25" t="s">
        <v>1633</v>
      </c>
      <c r="B111" s="29" t="s">
        <v>1074</v>
      </c>
      <c r="C111" s="53" t="s">
        <v>1846</v>
      </c>
      <c r="D111" s="28" t="s">
        <v>692</v>
      </c>
      <c r="E111" s="36" t="str">
        <f t="shared" si="6"/>
        <v>11R22.5-16PR-I-28D</v>
      </c>
      <c r="F111" s="20" t="str">
        <f t="shared" si="12"/>
        <v>285/75R24.5-16PR-M-TRAC AP</v>
      </c>
      <c r="G111" s="23"/>
      <c r="H111" s="23"/>
      <c r="I111" s="24"/>
      <c r="J111" s="19" t="str">
        <f t="shared" si="7"/>
        <v>285/75R24.5-16PR-M-TRAC AP</v>
      </c>
      <c r="O111" s="19" t="str">
        <f t="shared" si="8"/>
        <v/>
      </c>
      <c r="T111" s="19" t="str">
        <f t="shared" si="9"/>
        <v/>
      </c>
      <c r="AC111" s="19" t="str">
        <f t="shared" si="11"/>
        <v/>
      </c>
    </row>
    <row r="112" s="19" customFormat="1" spans="1:29">
      <c r="A112" s="25" t="s">
        <v>1633</v>
      </c>
      <c r="B112" s="29" t="s">
        <v>958</v>
      </c>
      <c r="C112" s="53" t="s">
        <v>1656</v>
      </c>
      <c r="D112" s="28" t="s">
        <v>692</v>
      </c>
      <c r="E112" s="36" t="str">
        <f t="shared" si="6"/>
        <v>11R22.5-14PR-I-48T</v>
      </c>
      <c r="F112" s="20" t="str">
        <f t="shared" si="12"/>
        <v>285/75R24.5-16PR-AZA02</v>
      </c>
      <c r="G112" s="23"/>
      <c r="H112" s="23"/>
      <c r="I112" s="24"/>
      <c r="J112" s="19" t="str">
        <f t="shared" si="7"/>
        <v>285/75R24.5-16PR-AZA02</v>
      </c>
      <c r="O112" s="19" t="str">
        <f t="shared" si="8"/>
        <v/>
      </c>
      <c r="T112" s="19" t="str">
        <f t="shared" si="9"/>
        <v/>
      </c>
      <c r="AC112" s="19" t="str">
        <f t="shared" si="11"/>
        <v/>
      </c>
    </row>
    <row r="113" s="19" customFormat="1" spans="1:29">
      <c r="A113" s="29" t="s">
        <v>1633</v>
      </c>
      <c r="B113" s="29" t="s">
        <v>1074</v>
      </c>
      <c r="C113" s="29" t="s">
        <v>1327</v>
      </c>
      <c r="D113" s="28" t="s">
        <v>692</v>
      </c>
      <c r="E113" s="36" t="str">
        <f t="shared" si="6"/>
        <v>11R22.5-16PR-CM958</v>
      </c>
      <c r="F113" s="20" t="str">
        <f t="shared" si="12"/>
        <v>285/75R24.5-14PR-ECO-MILE AP</v>
      </c>
      <c r="G113" s="23"/>
      <c r="H113" s="23"/>
      <c r="I113" s="24"/>
      <c r="J113" s="19" t="str">
        <f t="shared" si="7"/>
        <v>285/75R24.5-14PR-ECO-MILE AP</v>
      </c>
      <c r="O113" s="19" t="str">
        <f t="shared" si="8"/>
        <v/>
      </c>
      <c r="T113" s="19" t="str">
        <f t="shared" si="9"/>
        <v/>
      </c>
      <c r="AC113" s="19" t="str">
        <f t="shared" si="11"/>
        <v/>
      </c>
    </row>
    <row r="114" s="19" customFormat="1" spans="1:29">
      <c r="A114" s="29" t="s">
        <v>1633</v>
      </c>
      <c r="B114" s="29" t="s">
        <v>1074</v>
      </c>
      <c r="C114" s="29" t="s">
        <v>1842</v>
      </c>
      <c r="D114" s="28" t="s">
        <v>692</v>
      </c>
      <c r="E114" s="36" t="str">
        <f t="shared" si="6"/>
        <v>11R22.5-16PR-I-52A</v>
      </c>
      <c r="F114" s="20" t="str">
        <f t="shared" si="12"/>
        <v>285/75R24.5-14PR-M-TRAC AP</v>
      </c>
      <c r="G114" s="23"/>
      <c r="H114" s="23"/>
      <c r="I114" s="24"/>
      <c r="J114" s="19" t="str">
        <f t="shared" si="7"/>
        <v>285/75R24.5-14PR-M-TRAC AP</v>
      </c>
      <c r="O114" s="19" t="str">
        <f t="shared" si="8"/>
        <v/>
      </c>
      <c r="T114" s="19" t="str">
        <f t="shared" si="9"/>
        <v/>
      </c>
      <c r="AC114" s="19" t="str">
        <f t="shared" si="11"/>
        <v/>
      </c>
    </row>
    <row r="115" s="19" customFormat="1" spans="1:29">
      <c r="A115" s="29" t="s">
        <v>1633</v>
      </c>
      <c r="B115" s="29" t="s">
        <v>1074</v>
      </c>
      <c r="C115" s="29" t="s">
        <v>1761</v>
      </c>
      <c r="D115" s="28" t="s">
        <v>692</v>
      </c>
      <c r="E115" s="36" t="str">
        <f t="shared" si="6"/>
        <v>11R22.5-16PR-VA991</v>
      </c>
      <c r="F115" s="20" t="str">
        <f t="shared" si="12"/>
        <v>285/75R24.5-14PR-AZA02</v>
      </c>
      <c r="G115" s="23"/>
      <c r="H115" s="23"/>
      <c r="I115" s="24"/>
      <c r="J115" s="19" t="str">
        <f t="shared" si="7"/>
        <v>285/75R24.5-14PR-AZA02</v>
      </c>
      <c r="O115" s="19" t="str">
        <f t="shared" si="8"/>
        <v/>
      </c>
      <c r="T115" s="19" t="str">
        <f t="shared" si="9"/>
        <v/>
      </c>
      <c r="AC115" s="19" t="str">
        <f t="shared" si="11"/>
        <v/>
      </c>
    </row>
    <row r="116" s="19" customFormat="1" spans="1:29">
      <c r="A116" s="29" t="s">
        <v>1633</v>
      </c>
      <c r="B116" s="29" t="s">
        <v>1074</v>
      </c>
      <c r="C116" s="29" t="s">
        <v>1849</v>
      </c>
      <c r="D116" s="28" t="s">
        <v>692</v>
      </c>
      <c r="E116" s="36" t="str">
        <f t="shared" si="6"/>
        <v>11R22.5-16PR-I-37D</v>
      </c>
      <c r="F116" s="20" t="str">
        <f t="shared" si="12"/>
        <v>295/75R22.5-14PR-ECO-MILE AP</v>
      </c>
      <c r="G116" s="23"/>
      <c r="H116" s="23"/>
      <c r="I116" s="24"/>
      <c r="J116" s="19" t="str">
        <f t="shared" si="7"/>
        <v>295/75R22.5-14PR-ECO-MILE AP</v>
      </c>
      <c r="O116" s="19" t="str">
        <f t="shared" si="8"/>
        <v/>
      </c>
      <c r="T116" s="19" t="str">
        <f t="shared" si="9"/>
        <v/>
      </c>
      <c r="AC116" s="19" t="str">
        <f t="shared" si="11"/>
        <v/>
      </c>
    </row>
    <row r="117" s="19" customFormat="1" ht="18" spans="1:29">
      <c r="A117" s="55" t="s">
        <v>1633</v>
      </c>
      <c r="B117" s="29" t="s">
        <v>1074</v>
      </c>
      <c r="C117" s="56" t="s">
        <v>1760</v>
      </c>
      <c r="D117" s="28" t="s">
        <v>692</v>
      </c>
      <c r="E117" s="36" t="str">
        <f t="shared" si="6"/>
        <v>11R22.5-16PR-VD908</v>
      </c>
      <c r="F117" s="20" t="str">
        <f t="shared" si="12"/>
        <v>295/75R22.5-14PR-M-TRAC CSD</v>
      </c>
      <c r="G117" s="23"/>
      <c r="H117" s="23"/>
      <c r="I117" s="24"/>
      <c r="J117" s="19" t="str">
        <f t="shared" si="7"/>
        <v>295/75R22.5-14PR-M-TRAC CSD</v>
      </c>
      <c r="O117" s="19" t="str">
        <f t="shared" si="8"/>
        <v/>
      </c>
      <c r="T117" s="19" t="str">
        <f t="shared" si="9"/>
        <v/>
      </c>
      <c r="AC117" s="19" t="str">
        <f t="shared" si="11"/>
        <v/>
      </c>
    </row>
    <row r="118" s="19" customFormat="1" ht="18" spans="1:29">
      <c r="A118" s="57" t="s">
        <v>1633</v>
      </c>
      <c r="B118" s="29" t="s">
        <v>1074</v>
      </c>
      <c r="C118" s="58" t="s">
        <v>1756</v>
      </c>
      <c r="D118" s="28" t="s">
        <v>692</v>
      </c>
      <c r="E118" s="36" t="str">
        <f t="shared" si="6"/>
        <v>11R22.5-16PR-VD998</v>
      </c>
      <c r="F118" s="20" t="str">
        <f t="shared" si="12"/>
        <v>295/75R22.5-14PR-M-TRAC TR</v>
      </c>
      <c r="G118" s="23"/>
      <c r="H118" s="23"/>
      <c r="I118" s="24"/>
      <c r="J118" s="19" t="str">
        <f t="shared" si="7"/>
        <v>295/75R22.5-14PR-M-TRAC TR</v>
      </c>
      <c r="O118" s="19" t="str">
        <f t="shared" si="8"/>
        <v/>
      </c>
      <c r="T118" s="19" t="str">
        <f t="shared" si="9"/>
        <v/>
      </c>
      <c r="AC118" s="19" t="str">
        <f t="shared" si="11"/>
        <v/>
      </c>
    </row>
    <row r="119" s="19" customFormat="1" ht="18" spans="1:29">
      <c r="A119" s="57" t="s">
        <v>1633</v>
      </c>
      <c r="B119" s="29" t="s">
        <v>1074</v>
      </c>
      <c r="C119" s="29" t="s">
        <v>1771</v>
      </c>
      <c r="D119" s="28" t="s">
        <v>692</v>
      </c>
      <c r="E119" s="36" t="str">
        <f t="shared" si="6"/>
        <v>11R22.5-16PR-HD2 Plus</v>
      </c>
      <c r="F119" s="20" t="str">
        <f t="shared" si="12"/>
        <v>295/75R22.5-16PR-M-TRAC TR</v>
      </c>
      <c r="G119" s="23"/>
      <c r="H119" s="23"/>
      <c r="I119" s="24"/>
      <c r="J119" s="19" t="str">
        <f t="shared" si="7"/>
        <v>295/75R22.5-16PR-M-TRAC TR</v>
      </c>
      <c r="O119" s="19" t="str">
        <f t="shared" si="8"/>
        <v/>
      </c>
      <c r="T119" s="19" t="str">
        <f t="shared" si="9"/>
        <v/>
      </c>
      <c r="AC119" s="19" t="str">
        <f t="shared" si="11"/>
        <v/>
      </c>
    </row>
    <row r="120" s="19" customFormat="1" ht="18" spans="1:29">
      <c r="A120" s="57" t="s">
        <v>1633</v>
      </c>
      <c r="B120" s="29" t="s">
        <v>1074</v>
      </c>
      <c r="C120" s="29" t="s">
        <v>1767</v>
      </c>
      <c r="D120" s="28" t="s">
        <v>692</v>
      </c>
      <c r="E120" s="36" t="str">
        <f t="shared" si="6"/>
        <v>11R22.5-16PR-AD721</v>
      </c>
      <c r="F120" s="20" t="str">
        <f t="shared" si="12"/>
        <v>295/75R22.5-16PR-M-TRAC CSD</v>
      </c>
      <c r="G120" s="23"/>
      <c r="H120" s="23"/>
      <c r="I120" s="24"/>
      <c r="J120" s="19" t="str">
        <f t="shared" si="7"/>
        <v>295/75R22.5-16PR-M-TRAC CSD</v>
      </c>
      <c r="O120" s="19" t="str">
        <f t="shared" si="8"/>
        <v/>
      </c>
      <c r="T120" s="19" t="str">
        <f t="shared" si="9"/>
        <v/>
      </c>
      <c r="AC120" s="19" t="str">
        <f t="shared" si="11"/>
        <v/>
      </c>
    </row>
    <row r="121" s="19" customFormat="1" ht="18" spans="1:29">
      <c r="A121" s="57" t="s">
        <v>1633</v>
      </c>
      <c r="B121" s="29" t="s">
        <v>1074</v>
      </c>
      <c r="C121" s="29" t="s">
        <v>1778</v>
      </c>
      <c r="D121" s="28" t="s">
        <v>692</v>
      </c>
      <c r="E121" s="36" t="str">
        <f t="shared" si="6"/>
        <v>11R22.5-16PR-M-TRAC AP</v>
      </c>
      <c r="F121" s="20" t="str">
        <f t="shared" si="12"/>
        <v>295/75R22.5-16PR-ECO-MILE CSD</v>
      </c>
      <c r="G121" s="23"/>
      <c r="H121" s="23"/>
      <c r="I121" s="24"/>
      <c r="J121" s="19" t="str">
        <f t="shared" si="7"/>
        <v>295/75R22.5-16PR-ECO-MILE CSD</v>
      </c>
      <c r="O121" s="19" t="str">
        <f t="shared" si="8"/>
        <v/>
      </c>
      <c r="T121" s="19" t="str">
        <f t="shared" si="9"/>
        <v/>
      </c>
      <c r="AC121" s="19" t="str">
        <f t="shared" si="11"/>
        <v/>
      </c>
    </row>
    <row r="122" s="19" customFormat="1" ht="18" spans="1:29">
      <c r="A122" s="57" t="s">
        <v>1633</v>
      </c>
      <c r="B122" s="29" t="s">
        <v>1074</v>
      </c>
      <c r="C122" s="58" t="s">
        <v>1825</v>
      </c>
      <c r="D122" s="28" t="s">
        <v>692</v>
      </c>
      <c r="E122" s="36" t="str">
        <f t="shared" si="6"/>
        <v>11R22.5-16PR-AD737</v>
      </c>
      <c r="F122" s="20" t="e">
        <f>_xlfn.TEXTJOIN("-",TRUE,#REF!,#REF!,#REF!)</f>
        <v>#REF!</v>
      </c>
      <c r="G122" s="23"/>
      <c r="H122" s="23"/>
      <c r="I122" s="24"/>
      <c r="J122" s="19" t="e">
        <f t="shared" si="7"/>
        <v>#REF!</v>
      </c>
      <c r="O122" s="19" t="str">
        <f t="shared" si="8"/>
        <v/>
      </c>
      <c r="T122" s="19" t="str">
        <f t="shared" si="9"/>
        <v/>
      </c>
      <c r="AC122" s="19" t="str">
        <f t="shared" si="11"/>
        <v/>
      </c>
    </row>
    <row r="123" s="19" customFormat="1" ht="18" spans="1:29">
      <c r="A123" s="57" t="s">
        <v>1633</v>
      </c>
      <c r="B123" s="29" t="s">
        <v>1074</v>
      </c>
      <c r="C123" s="58" t="s">
        <v>1816</v>
      </c>
      <c r="D123" s="28" t="s">
        <v>692</v>
      </c>
      <c r="E123" s="36" t="str">
        <f t="shared" si="6"/>
        <v>11R22.5-16PR-KOBE DPM</v>
      </c>
      <c r="F123" s="20" t="e">
        <f>_xlfn.TEXTJOIN("-",TRUE,#REF!,#REF!,#REF!)</f>
        <v>#REF!</v>
      </c>
      <c r="G123" s="23"/>
      <c r="H123" s="23"/>
      <c r="I123" s="24"/>
      <c r="J123" s="19" t="e">
        <f t="shared" si="7"/>
        <v>#REF!</v>
      </c>
      <c r="O123" s="19" t="str">
        <f t="shared" si="8"/>
        <v/>
      </c>
      <c r="T123" s="19" t="str">
        <f t="shared" si="9"/>
        <v/>
      </c>
      <c r="AC123" s="19" t="str">
        <f t="shared" si="11"/>
        <v/>
      </c>
    </row>
    <row r="124" s="19" customFormat="1" ht="18" spans="1:29">
      <c r="A124" s="57" t="s">
        <v>1633</v>
      </c>
      <c r="B124" s="29" t="s">
        <v>1074</v>
      </c>
      <c r="C124" s="58" t="s">
        <v>1815</v>
      </c>
      <c r="D124" s="28" t="s">
        <v>692</v>
      </c>
      <c r="E124" s="36" t="str">
        <f t="shared" si="6"/>
        <v>11R22.5-16PR-AD196</v>
      </c>
      <c r="F124" s="20" t="str">
        <f t="shared" ref="F124:F144" si="13">_xlfn.TEXTJOIN("-",TRUE,A609,B609,C609)</f>
        <v>7.50R16-14PR-MT200</v>
      </c>
      <c r="G124" s="23"/>
      <c r="H124" s="23"/>
      <c r="I124" s="24"/>
      <c r="J124" s="19" t="str">
        <f t="shared" si="7"/>
        <v>7.50R16-14PR-MT200</v>
      </c>
      <c r="O124" s="19" t="str">
        <f t="shared" si="8"/>
        <v/>
      </c>
      <c r="T124" s="19" t="str">
        <f t="shared" si="9"/>
        <v/>
      </c>
      <c r="AC124" s="19" t="str">
        <f t="shared" si="11"/>
        <v/>
      </c>
    </row>
    <row r="125" s="19" customFormat="1" ht="18" spans="1:29">
      <c r="A125" s="57" t="s">
        <v>1633</v>
      </c>
      <c r="B125" s="29" t="s">
        <v>1074</v>
      </c>
      <c r="C125" s="58" t="s">
        <v>1765</v>
      </c>
      <c r="D125" s="28" t="s">
        <v>692</v>
      </c>
      <c r="E125" s="36" t="str">
        <f t="shared" si="6"/>
        <v>11R22.5-16PR-VDM924</v>
      </c>
      <c r="F125" s="20" t="str">
        <f t="shared" si="13"/>
        <v>7.50R16-14PR-FOLO.R109</v>
      </c>
      <c r="G125" s="23"/>
      <c r="H125" s="23"/>
      <c r="I125" s="24"/>
      <c r="J125" s="19" t="str">
        <f t="shared" si="7"/>
        <v>7.50R16-14PR-FOLO.R109</v>
      </c>
      <c r="O125" s="19" t="str">
        <f t="shared" si="8"/>
        <v/>
      </c>
      <c r="T125" s="19" t="str">
        <f t="shared" si="9"/>
        <v/>
      </c>
      <c r="AC125" s="19" t="str">
        <f t="shared" si="11"/>
        <v/>
      </c>
    </row>
    <row r="126" s="19" customFormat="1" ht="18" spans="1:29">
      <c r="A126" s="57" t="s">
        <v>1633</v>
      </c>
      <c r="B126" s="29" t="s">
        <v>1074</v>
      </c>
      <c r="C126" s="58" t="s">
        <v>1797</v>
      </c>
      <c r="D126" s="28" t="s">
        <v>692</v>
      </c>
      <c r="E126" s="36" t="str">
        <f t="shared" si="6"/>
        <v>11R22.5-16PR-KOBE APM</v>
      </c>
      <c r="F126" s="20" t="str">
        <f t="shared" si="13"/>
        <v>11R22.5-14PR-M-TRAC TR</v>
      </c>
      <c r="G126" s="23"/>
      <c r="H126" s="23"/>
      <c r="I126" s="24"/>
      <c r="J126" s="19" t="str">
        <f t="shared" si="7"/>
        <v>11R22.5-14PR-M-TRAC TR</v>
      </c>
      <c r="O126" s="19" t="str">
        <f t="shared" si="8"/>
        <v/>
      </c>
      <c r="T126" s="19" t="str">
        <f t="shared" si="9"/>
        <v/>
      </c>
      <c r="AC126" s="19" t="str">
        <f t="shared" si="11"/>
        <v/>
      </c>
    </row>
    <row r="127" s="19" customFormat="1" ht="18" spans="1:29">
      <c r="A127" s="57" t="s">
        <v>1633</v>
      </c>
      <c r="B127" s="29" t="s">
        <v>1074</v>
      </c>
      <c r="C127" s="58" t="s">
        <v>1791</v>
      </c>
      <c r="D127" s="28" t="s">
        <v>692</v>
      </c>
      <c r="E127" s="36" t="str">
        <f t="shared" si="6"/>
        <v>11R22.5-16PR-AT194</v>
      </c>
      <c r="F127" s="20" t="str">
        <f t="shared" si="13"/>
        <v>11R22.5-16PR-ECO-MILE CSD</v>
      </c>
      <c r="G127" s="23"/>
      <c r="H127" s="23"/>
      <c r="I127" s="24"/>
      <c r="J127" s="19" t="str">
        <f t="shared" si="7"/>
        <v>11R22.5-16PR-ECO-MILE CSD</v>
      </c>
      <c r="O127" s="19" t="str">
        <f t="shared" si="8"/>
        <v/>
      </c>
      <c r="T127" s="19" t="str">
        <f t="shared" si="9"/>
        <v/>
      </c>
      <c r="AC127" s="19" t="str">
        <f t="shared" si="11"/>
        <v/>
      </c>
    </row>
    <row r="128" s="19" customFormat="1" ht="18" spans="1:29">
      <c r="A128" s="57" t="s">
        <v>1633</v>
      </c>
      <c r="B128" s="29" t="s">
        <v>1074</v>
      </c>
      <c r="C128" s="58" t="s">
        <v>1793</v>
      </c>
      <c r="D128" s="28" t="s">
        <v>692</v>
      </c>
      <c r="E128" s="36" t="str">
        <f t="shared" si="6"/>
        <v>11R22.5-16PR-AT167</v>
      </c>
      <c r="F128" s="20" t="str">
        <f t="shared" si="13"/>
        <v>11R22.5-16PR-ECO-MILE AP</v>
      </c>
      <c r="G128" s="23"/>
      <c r="H128" s="23"/>
      <c r="I128" s="24"/>
      <c r="J128" s="19" t="str">
        <f t="shared" si="7"/>
        <v>11R22.5-16PR-ECO-MILE AP</v>
      </c>
      <c r="O128" s="19" t="str">
        <f t="shared" si="8"/>
        <v/>
      </c>
      <c r="T128" s="19" t="str">
        <f t="shared" si="9"/>
        <v/>
      </c>
      <c r="AC128" s="19" t="str">
        <f t="shared" si="11"/>
        <v/>
      </c>
    </row>
    <row r="129" s="19" customFormat="1" ht="18" spans="1:29">
      <c r="A129" s="57" t="s">
        <v>1633</v>
      </c>
      <c r="B129" s="29" t="s">
        <v>1074</v>
      </c>
      <c r="C129" s="58" t="s">
        <v>1781</v>
      </c>
      <c r="D129" s="28" t="s">
        <v>692</v>
      </c>
      <c r="E129" s="36" t="str">
        <f t="shared" si="6"/>
        <v>11R22.5-16PR-HF1 Plus</v>
      </c>
      <c r="F129" s="20" t="str">
        <f t="shared" si="13"/>
        <v>11R22.5-16PR-M-TRAC MS</v>
      </c>
      <c r="G129" s="23"/>
      <c r="H129" s="23"/>
      <c r="I129" s="24"/>
      <c r="J129" s="19" t="str">
        <f t="shared" si="7"/>
        <v>11R22.5-16PR-M-TRAC MS</v>
      </c>
      <c r="O129" s="19" t="str">
        <f t="shared" si="8"/>
        <v/>
      </c>
      <c r="T129" s="19" t="str">
        <f t="shared" si="9"/>
        <v/>
      </c>
      <c r="AC129" s="19" t="str">
        <f t="shared" si="11"/>
        <v/>
      </c>
    </row>
    <row r="130" s="19" customFormat="1" ht="18" spans="1:29">
      <c r="A130" s="57" t="s">
        <v>1633</v>
      </c>
      <c r="B130" s="29" t="s">
        <v>1074</v>
      </c>
      <c r="C130" s="58" t="s">
        <v>1800</v>
      </c>
      <c r="D130" s="28" t="s">
        <v>692</v>
      </c>
      <c r="E130" s="36" t="str">
        <f t="shared" si="6"/>
        <v>11R22.5-16PR-MX901 AP</v>
      </c>
      <c r="F130" s="20" t="str">
        <f t="shared" si="13"/>
        <v>11R22.5-16PR-ECO-MILE MS</v>
      </c>
      <c r="G130" s="23"/>
      <c r="H130" s="23"/>
      <c r="I130" s="24"/>
      <c r="J130" s="19" t="str">
        <f t="shared" si="7"/>
        <v>11R22.5-16PR-ECO-MILE MS</v>
      </c>
      <c r="O130" s="19" t="str">
        <f t="shared" si="8"/>
        <v/>
      </c>
      <c r="T130" s="19" t="str">
        <f t="shared" si="9"/>
        <v/>
      </c>
      <c r="AC130" s="19" t="str">
        <f t="shared" si="11"/>
        <v/>
      </c>
    </row>
    <row r="131" s="19" customFormat="1" ht="18" spans="1:29">
      <c r="A131" s="57" t="s">
        <v>1633</v>
      </c>
      <c r="B131" s="29" t="s">
        <v>1074</v>
      </c>
      <c r="C131" s="58" t="s">
        <v>1801</v>
      </c>
      <c r="D131" s="28" t="s">
        <v>692</v>
      </c>
      <c r="E131" s="36" t="str">
        <f t="shared" ref="E131:E194" si="14">_xlfn.TEXTJOIN("-",TRUE,A131,B131,C131)</f>
        <v>11R22.5-16PR-TRA-167</v>
      </c>
      <c r="F131" s="20" t="str">
        <f t="shared" si="13"/>
        <v>11R24.5-16PR-M-TRAC OSD</v>
      </c>
      <c r="G131" s="23"/>
      <c r="H131" s="23"/>
      <c r="I131" s="24"/>
      <c r="J131" s="19" t="str">
        <f t="shared" ref="J131:J194" si="15">_xlfn.TEXTJOIN("-",TRUE,F131,G131,H131)</f>
        <v>11R24.5-16PR-M-TRAC OSD</v>
      </c>
      <c r="O131" s="19" t="str">
        <f t="shared" ref="O131:O164" si="16">_xlfn.TEXTJOIN("-",TRUE,K131,L131,M131)</f>
        <v/>
      </c>
      <c r="T131" s="19" t="str">
        <f>_xlfn.TEXTJOIN("-",TRUE,P131,Q131,R131)</f>
        <v/>
      </c>
      <c r="AC131" s="19" t="str">
        <f t="shared" ref="AC131:AC194" si="17">_xlfn.TEXTJOIN("-",TRUE,Y131,Z131,AA131)</f>
        <v/>
      </c>
    </row>
    <row r="132" s="19" customFormat="1" ht="18" spans="1:29">
      <c r="A132" s="57" t="s">
        <v>1633</v>
      </c>
      <c r="B132" s="29" t="s">
        <v>1074</v>
      </c>
      <c r="C132" s="58" t="s">
        <v>1796</v>
      </c>
      <c r="D132" s="28" t="s">
        <v>692</v>
      </c>
      <c r="E132" s="36" t="str">
        <f t="shared" si="14"/>
        <v>11R22.5-16PR-HF1 PlusX</v>
      </c>
      <c r="F132" s="20" t="str">
        <f t="shared" si="13"/>
        <v>11R24.5-16PR-M-TRAC CSD</v>
      </c>
      <c r="G132" s="23"/>
      <c r="H132" s="23"/>
      <c r="I132" s="24"/>
      <c r="J132" s="19" t="str">
        <f t="shared" si="15"/>
        <v>11R24.5-16PR-M-TRAC CSD</v>
      </c>
      <c r="O132" s="19" t="str">
        <f t="shared" si="16"/>
        <v/>
      </c>
      <c r="T132" s="19" t="str">
        <f>_xlfn.TEXTJOIN("-",TRUE,P132,Q132,R132)</f>
        <v/>
      </c>
      <c r="AC132" s="19" t="str">
        <f t="shared" si="17"/>
        <v/>
      </c>
    </row>
    <row r="133" s="19" customFormat="1" ht="18" spans="1:29">
      <c r="A133" s="57" t="s">
        <v>1633</v>
      </c>
      <c r="B133" s="29" t="s">
        <v>1074</v>
      </c>
      <c r="C133" s="58" t="s">
        <v>1737</v>
      </c>
      <c r="D133" s="28" t="s">
        <v>692</v>
      </c>
      <c r="E133" s="36" t="str">
        <f t="shared" si="14"/>
        <v>11R22.5-16PR-ZA12</v>
      </c>
      <c r="F133" s="20" t="str">
        <f t="shared" si="13"/>
        <v>11R24.5-16PR-ECO-MILE CSD</v>
      </c>
      <c r="G133" s="23"/>
      <c r="H133" s="23"/>
      <c r="I133" s="24"/>
      <c r="J133" s="19" t="str">
        <f t="shared" si="15"/>
        <v>11R24.5-16PR-ECO-MILE CSD</v>
      </c>
      <c r="O133" s="19" t="str">
        <f t="shared" si="16"/>
        <v/>
      </c>
      <c r="AC133" s="19" t="str">
        <f t="shared" si="17"/>
        <v/>
      </c>
    </row>
    <row r="134" s="19" customFormat="1" ht="18" spans="1:29">
      <c r="A134" s="57" t="s">
        <v>1633</v>
      </c>
      <c r="B134" s="29" t="s">
        <v>1074</v>
      </c>
      <c r="C134" s="29" t="s">
        <v>1802</v>
      </c>
      <c r="D134" s="28" t="s">
        <v>692</v>
      </c>
      <c r="E134" s="36" t="str">
        <f t="shared" si="14"/>
        <v>11R22.5-16PR-AZ579</v>
      </c>
      <c r="F134" s="20" t="str">
        <f t="shared" si="13"/>
        <v>11R24.5-16PR-M-TRAC AP</v>
      </c>
      <c r="G134" s="23"/>
      <c r="H134" s="23"/>
      <c r="I134" s="24"/>
      <c r="J134" s="19" t="str">
        <f t="shared" si="15"/>
        <v>11R24.5-16PR-M-TRAC AP</v>
      </c>
      <c r="O134" s="19" t="str">
        <f t="shared" si="16"/>
        <v/>
      </c>
      <c r="AC134" s="19" t="str">
        <f t="shared" si="17"/>
        <v/>
      </c>
    </row>
    <row r="135" s="19" customFormat="1" ht="18" spans="1:29">
      <c r="A135" s="57" t="s">
        <v>1633</v>
      </c>
      <c r="B135" s="29" t="s">
        <v>1074</v>
      </c>
      <c r="C135" s="29" t="s">
        <v>1805</v>
      </c>
      <c r="D135" s="28" t="s">
        <v>692</v>
      </c>
      <c r="E135" s="36" t="str">
        <f t="shared" si="14"/>
        <v>11R22.5-16PR-HCC1 Plus</v>
      </c>
      <c r="F135" s="20" t="str">
        <f t="shared" si="13"/>
        <v>11R24.5-16PR-ECO-MILE AP</v>
      </c>
      <c r="G135" s="23"/>
      <c r="H135" s="23"/>
      <c r="I135" s="24"/>
      <c r="J135" s="19" t="str">
        <f t="shared" si="15"/>
        <v>11R24.5-16PR-ECO-MILE AP</v>
      </c>
      <c r="O135" s="19" t="str">
        <f t="shared" si="16"/>
        <v/>
      </c>
      <c r="AC135" s="19" t="str">
        <f t="shared" si="17"/>
        <v/>
      </c>
    </row>
    <row r="136" s="19" customFormat="1" ht="18" spans="1:29">
      <c r="A136" s="57" t="s">
        <v>1633</v>
      </c>
      <c r="B136" s="29" t="s">
        <v>1092</v>
      </c>
      <c r="C136" s="29" t="s">
        <v>980</v>
      </c>
      <c r="D136" s="28" t="s">
        <v>692</v>
      </c>
      <c r="E136" s="36" t="str">
        <f t="shared" si="14"/>
        <v>11R22.5-18PR-VAZ80</v>
      </c>
      <c r="F136" s="20" t="str">
        <f t="shared" si="13"/>
        <v>10.00R20-16PR-I-181</v>
      </c>
      <c r="G136" s="23"/>
      <c r="H136" s="23"/>
      <c r="I136" s="24"/>
      <c r="J136" s="19" t="str">
        <f t="shared" si="15"/>
        <v>10.00R20-16PR-I-181</v>
      </c>
      <c r="O136" s="19" t="str">
        <f t="shared" si="16"/>
        <v/>
      </c>
      <c r="AC136" s="19" t="str">
        <f t="shared" si="17"/>
        <v/>
      </c>
    </row>
    <row r="137" s="19" customFormat="1" ht="18" spans="1:29">
      <c r="A137" s="57" t="s">
        <v>1633</v>
      </c>
      <c r="B137" s="29" t="s">
        <v>1092</v>
      </c>
      <c r="C137" s="29" t="s">
        <v>972</v>
      </c>
      <c r="D137" s="28" t="s">
        <v>692</v>
      </c>
      <c r="E137" s="36" t="str">
        <f t="shared" si="14"/>
        <v>11R22.5-18PR-AZ850</v>
      </c>
      <c r="F137" s="20" t="str">
        <f t="shared" si="13"/>
        <v>12R22.5-18PR-I-181</v>
      </c>
      <c r="G137" s="23"/>
      <c r="H137" s="23"/>
      <c r="I137" s="24"/>
      <c r="J137" s="19" t="str">
        <f t="shared" si="15"/>
        <v>12R22.5-18PR-I-181</v>
      </c>
      <c r="O137" s="19" t="str">
        <f t="shared" si="16"/>
        <v/>
      </c>
      <c r="AC137" s="19" t="str">
        <f t="shared" si="17"/>
        <v/>
      </c>
    </row>
    <row r="138" s="19" customFormat="1" ht="18" spans="1:29">
      <c r="A138" s="57" t="s">
        <v>1633</v>
      </c>
      <c r="B138" s="29" t="s">
        <v>1092</v>
      </c>
      <c r="C138" s="29" t="s">
        <v>1634</v>
      </c>
      <c r="D138" s="28" t="s">
        <v>692</v>
      </c>
      <c r="E138" s="36" t="str">
        <f t="shared" si="14"/>
        <v>11R22.5-18PR-AS858</v>
      </c>
      <c r="F138" s="20" t="str">
        <f t="shared" si="13"/>
        <v>295/75R22.5-16PR-AD184</v>
      </c>
      <c r="G138" s="23"/>
      <c r="H138" s="23"/>
      <c r="I138" s="24"/>
      <c r="J138" s="19" t="str">
        <f t="shared" si="15"/>
        <v>295/75R22.5-16PR-AD184</v>
      </c>
      <c r="O138" s="19" t="str">
        <f t="shared" si="16"/>
        <v/>
      </c>
      <c r="AC138" s="19" t="str">
        <f t="shared" si="17"/>
        <v/>
      </c>
    </row>
    <row r="139" s="19" customFormat="1" ht="18" spans="1:29">
      <c r="A139" s="57" t="s">
        <v>1633</v>
      </c>
      <c r="B139" s="29" t="s">
        <v>1074</v>
      </c>
      <c r="C139" s="29" t="s">
        <v>1782</v>
      </c>
      <c r="D139" s="28" t="s">
        <v>692</v>
      </c>
      <c r="E139" s="36" t="str">
        <f t="shared" si="14"/>
        <v>11R22.5-16PR-AS600</v>
      </c>
      <c r="F139" s="20" t="str">
        <f t="shared" si="13"/>
        <v>295/75R22.5-16PR-HD2 PlusX</v>
      </c>
      <c r="G139" s="23"/>
      <c r="H139" s="23"/>
      <c r="I139" s="24"/>
      <c r="J139" s="19" t="str">
        <f t="shared" si="15"/>
        <v>295/75R22.5-16PR-HD2 PlusX</v>
      </c>
      <c r="O139" s="19" t="str">
        <f t="shared" si="16"/>
        <v/>
      </c>
      <c r="AC139" s="19" t="str">
        <f t="shared" si="17"/>
        <v/>
      </c>
    </row>
    <row r="140" s="19" customFormat="1" ht="18" spans="1:29">
      <c r="A140" s="57" t="s">
        <v>1633</v>
      </c>
      <c r="B140" s="29" t="s">
        <v>958</v>
      </c>
      <c r="C140" s="29" t="s">
        <v>1859</v>
      </c>
      <c r="D140" s="28" t="s">
        <v>692</v>
      </c>
      <c r="E140" s="36" t="str">
        <f t="shared" si="14"/>
        <v>11R22.5-14PR-H-TL</v>
      </c>
      <c r="F140" s="20" t="str">
        <f t="shared" si="13"/>
        <v>225/70R19.5-14PR-CM983</v>
      </c>
      <c r="G140" s="23"/>
      <c r="H140" s="23"/>
      <c r="I140" s="24"/>
      <c r="J140" s="19" t="str">
        <f t="shared" si="15"/>
        <v>225/70R19.5-14PR-CM983</v>
      </c>
      <c r="O140" s="19" t="str">
        <f t="shared" si="16"/>
        <v/>
      </c>
      <c r="AC140" s="19" t="str">
        <f t="shared" si="17"/>
        <v/>
      </c>
    </row>
    <row r="141" s="19" customFormat="1" ht="18" spans="1:29">
      <c r="A141" s="57" t="s">
        <v>1633</v>
      </c>
      <c r="B141" s="29" t="s">
        <v>1074</v>
      </c>
      <c r="C141" s="29" t="s">
        <v>1857</v>
      </c>
      <c r="D141" s="28" t="s">
        <v>692</v>
      </c>
      <c r="E141" s="36" t="str">
        <f t="shared" si="14"/>
        <v>11R22.5-16PR-H-RA</v>
      </c>
      <c r="F141" s="20" t="str">
        <f t="shared" si="13"/>
        <v>295/75R22.5-16PR-AT167</v>
      </c>
      <c r="G141" s="23"/>
      <c r="H141" s="23"/>
      <c r="I141" s="24"/>
      <c r="J141" s="19" t="str">
        <f t="shared" si="15"/>
        <v>295/75R22.5-16PR-AT167</v>
      </c>
      <c r="O141" s="19" t="str">
        <f t="shared" si="16"/>
        <v/>
      </c>
      <c r="AC141" s="19" t="str">
        <f t="shared" si="17"/>
        <v/>
      </c>
    </row>
    <row r="142" s="19" customFormat="1" ht="18" spans="1:29">
      <c r="A142" s="57" t="s">
        <v>1633</v>
      </c>
      <c r="B142" s="29" t="s">
        <v>1074</v>
      </c>
      <c r="C142" s="29" t="s">
        <v>1559</v>
      </c>
      <c r="D142" s="28" t="s">
        <v>692</v>
      </c>
      <c r="E142" s="36" t="str">
        <f t="shared" si="14"/>
        <v>11R22.5-16PR-AS678</v>
      </c>
      <c r="F142" s="20" t="str">
        <f t="shared" si="13"/>
        <v>295/75R22.5-16PR-HF1 PlusX</v>
      </c>
      <c r="G142" s="23"/>
      <c r="H142" s="23"/>
      <c r="I142" s="24"/>
      <c r="J142" s="19" t="str">
        <f t="shared" si="15"/>
        <v>295/75R22.5-16PR-HF1 PlusX</v>
      </c>
      <c r="O142" s="19" t="str">
        <f t="shared" si="16"/>
        <v/>
      </c>
      <c r="AC142" s="19" t="str">
        <f t="shared" si="17"/>
        <v/>
      </c>
    </row>
    <row r="143" s="19" customFormat="1" ht="18" spans="1:29">
      <c r="A143" s="57" t="s">
        <v>1633</v>
      </c>
      <c r="B143" s="29" t="s">
        <v>1074</v>
      </c>
      <c r="C143" s="29" t="s">
        <v>1863</v>
      </c>
      <c r="D143" s="28" t="s">
        <v>692</v>
      </c>
      <c r="E143" s="36" t="str">
        <f t="shared" si="14"/>
        <v>11R22.5-16PR-H-RD</v>
      </c>
      <c r="F143" s="20" t="str">
        <f t="shared" si="13"/>
        <v>295/75R22.5-16PR-RLINE-T1</v>
      </c>
      <c r="G143" s="23"/>
      <c r="H143" s="23"/>
      <c r="I143" s="24"/>
      <c r="J143" s="19" t="str">
        <f t="shared" si="15"/>
        <v>295/75R22.5-16PR-RLINE-T1</v>
      </c>
      <c r="O143" s="19" t="str">
        <f t="shared" si="16"/>
        <v/>
      </c>
      <c r="AC143" s="19" t="str">
        <f t="shared" si="17"/>
        <v/>
      </c>
    </row>
    <row r="144" s="19" customFormat="1" ht="18" spans="1:29">
      <c r="A144" s="57" t="s">
        <v>1633</v>
      </c>
      <c r="B144" s="29" t="s">
        <v>1074</v>
      </c>
      <c r="C144" s="29" t="s">
        <v>1776</v>
      </c>
      <c r="D144" s="28" t="s">
        <v>692</v>
      </c>
      <c r="E144" s="36" t="str">
        <f t="shared" si="14"/>
        <v>11R22.5-16PR-AZ599</v>
      </c>
      <c r="F144" s="20" t="str">
        <f t="shared" si="13"/>
        <v>295/75R22.5-16PR-VXD932</v>
      </c>
      <c r="G144" s="23"/>
      <c r="H144" s="23"/>
      <c r="I144" s="24"/>
      <c r="J144" s="19" t="str">
        <f t="shared" si="15"/>
        <v>295/75R22.5-16PR-VXD932</v>
      </c>
      <c r="O144" s="19" t="str">
        <f t="shared" si="16"/>
        <v/>
      </c>
      <c r="AC144" s="19" t="str">
        <f t="shared" si="17"/>
        <v/>
      </c>
    </row>
    <row r="145" s="19" customFormat="1" spans="1:29">
      <c r="A145" s="29" t="s">
        <v>1872</v>
      </c>
      <c r="B145" s="29" t="s">
        <v>1074</v>
      </c>
      <c r="C145" s="29" t="s">
        <v>1687</v>
      </c>
      <c r="D145" s="28" t="s">
        <v>692</v>
      </c>
      <c r="E145" s="36" t="str">
        <f t="shared" si="14"/>
        <v>11R24.5-16PR-AT563</v>
      </c>
      <c r="F145" s="20" t="str">
        <f t="shared" ref="F145:F184" si="18">_xlfn.TEXTJOIN("-",TRUE,A629,B629,C629)</f>
        <v>295/75R22.5-16PR-VXD932</v>
      </c>
      <c r="G145" s="23"/>
      <c r="H145" s="23"/>
      <c r="I145" s="24"/>
      <c r="J145" s="19" t="str">
        <f t="shared" si="15"/>
        <v>295/75R22.5-16PR-VXD932</v>
      </c>
      <c r="O145" s="19" t="str">
        <f t="shared" si="16"/>
        <v/>
      </c>
      <c r="AC145" s="19" t="str">
        <f t="shared" si="17"/>
        <v/>
      </c>
    </row>
    <row r="146" s="19" customFormat="1" spans="1:29">
      <c r="A146" s="29" t="s">
        <v>1872</v>
      </c>
      <c r="B146" s="29" t="s">
        <v>1074</v>
      </c>
      <c r="C146" s="29" t="s">
        <v>1742</v>
      </c>
      <c r="D146" s="28" t="s">
        <v>692</v>
      </c>
      <c r="E146" s="36" t="str">
        <f t="shared" si="14"/>
        <v>11R24.5-16PR-I-19A</v>
      </c>
      <c r="F146" s="20" t="str">
        <f t="shared" si="18"/>
        <v>11R22.5-16PR-M-TRAC OSD</v>
      </c>
      <c r="G146" s="23"/>
      <c r="H146" s="23"/>
      <c r="I146" s="24"/>
      <c r="J146" s="19" t="str">
        <f t="shared" si="15"/>
        <v>11R22.5-16PR-M-TRAC OSD</v>
      </c>
      <c r="O146" s="19" t="str">
        <f t="shared" si="16"/>
        <v/>
      </c>
      <c r="AC146" s="19" t="str">
        <f t="shared" si="17"/>
        <v/>
      </c>
    </row>
    <row r="147" s="19" customFormat="1" spans="1:29">
      <c r="A147" s="29" t="s">
        <v>1872</v>
      </c>
      <c r="B147" s="29" t="s">
        <v>1074</v>
      </c>
      <c r="C147" s="29" t="s">
        <v>1751</v>
      </c>
      <c r="D147" s="28" t="s">
        <v>692</v>
      </c>
      <c r="E147" s="36" t="str">
        <f t="shared" si="14"/>
        <v>11R24.5-16PR-CR960A</v>
      </c>
      <c r="F147" s="20" t="str">
        <f t="shared" si="18"/>
        <v>11R24.5-16PR-I-48T</v>
      </c>
      <c r="G147" s="23"/>
      <c r="H147" s="23"/>
      <c r="I147" s="24"/>
      <c r="J147" s="19" t="str">
        <f t="shared" si="15"/>
        <v>11R24.5-16PR-I-48T</v>
      </c>
      <c r="O147" s="19" t="str">
        <f t="shared" si="16"/>
        <v/>
      </c>
      <c r="AC147" s="19" t="str">
        <f t="shared" si="17"/>
        <v/>
      </c>
    </row>
    <row r="148" s="19" customFormat="1" spans="1:29">
      <c r="A148" s="29" t="s">
        <v>1872</v>
      </c>
      <c r="B148" s="29" t="s">
        <v>1074</v>
      </c>
      <c r="C148" s="29" t="s">
        <v>1755</v>
      </c>
      <c r="D148" s="28" t="s">
        <v>692</v>
      </c>
      <c r="E148" s="36" t="str">
        <f t="shared" si="14"/>
        <v>11R24.5-16PR-RLINE-A1</v>
      </c>
      <c r="F148" s="20" t="str">
        <f t="shared" si="18"/>
        <v>11R24.5-16PR-HF1 PlusX</v>
      </c>
      <c r="G148" s="23"/>
      <c r="H148" s="23"/>
      <c r="I148" s="24"/>
      <c r="J148" s="19" t="str">
        <f t="shared" si="15"/>
        <v>11R24.5-16PR-HF1 PlusX</v>
      </c>
      <c r="O148" s="19" t="str">
        <f t="shared" si="16"/>
        <v/>
      </c>
      <c r="AC148" s="19" t="str">
        <f t="shared" si="17"/>
        <v/>
      </c>
    </row>
    <row r="149" s="19" customFormat="1" spans="1:29">
      <c r="A149" s="29" t="s">
        <v>1872</v>
      </c>
      <c r="B149" s="29" t="s">
        <v>1074</v>
      </c>
      <c r="C149" s="29" t="s">
        <v>1724</v>
      </c>
      <c r="D149" s="28" t="s">
        <v>692</v>
      </c>
      <c r="E149" s="36" t="str">
        <f t="shared" si="14"/>
        <v>11R24.5-16PR-VA996</v>
      </c>
      <c r="F149" s="20" t="str">
        <f t="shared" si="18"/>
        <v>11R24.5-14PR-H-RD</v>
      </c>
      <c r="G149" s="23"/>
      <c r="H149" s="23"/>
      <c r="I149" s="24"/>
      <c r="J149" s="19" t="str">
        <f t="shared" si="15"/>
        <v>11R24.5-14PR-H-RD</v>
      </c>
      <c r="O149" s="19" t="str">
        <f t="shared" si="16"/>
        <v/>
      </c>
      <c r="AC149" s="19" t="str">
        <f t="shared" si="17"/>
        <v/>
      </c>
    </row>
    <row r="150" s="19" customFormat="1" spans="1:29">
      <c r="A150" s="29" t="s">
        <v>1872</v>
      </c>
      <c r="B150" s="29" t="s">
        <v>1074</v>
      </c>
      <c r="C150" s="29" t="s">
        <v>1729</v>
      </c>
      <c r="D150" s="28" t="s">
        <v>692</v>
      </c>
      <c r="E150" s="36" t="str">
        <f t="shared" si="14"/>
        <v>11R24.5-16PR-PS221</v>
      </c>
      <c r="F150" s="20" t="str">
        <f t="shared" si="18"/>
        <v>11R24.5-16PR-H-TL</v>
      </c>
      <c r="G150" s="23"/>
      <c r="H150" s="23"/>
      <c r="I150" s="24"/>
      <c r="J150" s="19" t="str">
        <f t="shared" si="15"/>
        <v>11R24.5-16PR-H-TL</v>
      </c>
      <c r="O150" s="19" t="str">
        <f t="shared" si="16"/>
        <v/>
      </c>
      <c r="AC150" s="19" t="str">
        <f t="shared" si="17"/>
        <v/>
      </c>
    </row>
    <row r="151" s="19" customFormat="1" spans="1:29">
      <c r="A151" s="29" t="s">
        <v>1872</v>
      </c>
      <c r="B151" s="29" t="s">
        <v>1074</v>
      </c>
      <c r="C151" s="29" t="s">
        <v>1726</v>
      </c>
      <c r="D151" s="28" t="s">
        <v>692</v>
      </c>
      <c r="E151" s="36" t="str">
        <f t="shared" si="14"/>
        <v>11R24.5-16PR-AS200</v>
      </c>
      <c r="F151" s="20" t="str">
        <f t="shared" si="18"/>
        <v>12R22.5-18PR-AZ850M</v>
      </c>
      <c r="G151" s="23"/>
      <c r="H151" s="23"/>
      <c r="I151" s="24"/>
      <c r="J151" s="19" t="str">
        <f t="shared" si="15"/>
        <v>12R22.5-18PR-AZ850M</v>
      </c>
      <c r="O151" s="19" t="str">
        <f t="shared" si="16"/>
        <v/>
      </c>
      <c r="AC151" s="19" t="str">
        <f t="shared" si="17"/>
        <v/>
      </c>
    </row>
    <row r="152" s="19" customFormat="1" spans="1:29">
      <c r="A152" s="29" t="s">
        <v>1872</v>
      </c>
      <c r="B152" s="29" t="s">
        <v>1074</v>
      </c>
      <c r="C152" s="29" t="s">
        <v>1739</v>
      </c>
      <c r="D152" s="28" t="s">
        <v>692</v>
      </c>
      <c r="E152" s="36" t="str">
        <f t="shared" si="14"/>
        <v>11R24.5-16PR-ZM41</v>
      </c>
      <c r="F152" s="20" t="str">
        <f t="shared" si="18"/>
        <v>12.00R24-20PR-XC809</v>
      </c>
      <c r="G152" s="23"/>
      <c r="H152" s="23"/>
      <c r="I152" s="24"/>
      <c r="J152" s="19" t="str">
        <f t="shared" si="15"/>
        <v>12.00R24-20PR-XC809</v>
      </c>
      <c r="O152" s="19" t="str">
        <f t="shared" si="16"/>
        <v/>
      </c>
      <c r="AC152" s="19" t="str">
        <f t="shared" si="17"/>
        <v/>
      </c>
    </row>
    <row r="153" s="19" customFormat="1" spans="1:29">
      <c r="A153" s="29" t="s">
        <v>1872</v>
      </c>
      <c r="B153" s="29" t="s">
        <v>1074</v>
      </c>
      <c r="C153" s="29" t="s">
        <v>4762</v>
      </c>
      <c r="D153" s="28" t="s">
        <v>692</v>
      </c>
      <c r="E153" s="36" t="str">
        <f t="shared" si="14"/>
        <v>11R24.5-16PR-SL11</v>
      </c>
      <c r="F153" s="20" t="str">
        <f t="shared" si="18"/>
        <v>215/75R17.5-16PR-M-TRAC AP</v>
      </c>
      <c r="G153" s="23"/>
      <c r="H153" s="23"/>
      <c r="I153" s="24"/>
      <c r="J153" s="19" t="str">
        <f t="shared" si="15"/>
        <v>215/75R17.5-16PR-M-TRAC AP</v>
      </c>
      <c r="O153" s="19" t="str">
        <f t="shared" si="16"/>
        <v/>
      </c>
      <c r="AC153" s="19" t="str">
        <f t="shared" si="17"/>
        <v/>
      </c>
    </row>
    <row r="154" s="19" customFormat="1" spans="1:29">
      <c r="A154" s="29" t="s">
        <v>1872</v>
      </c>
      <c r="B154" s="29" t="s">
        <v>1074</v>
      </c>
      <c r="C154" s="29" t="s">
        <v>1745</v>
      </c>
      <c r="D154" s="28" t="s">
        <v>692</v>
      </c>
      <c r="E154" s="36" t="str">
        <f t="shared" si="14"/>
        <v>11R24.5-16PR-I-61S</v>
      </c>
      <c r="F154" s="20" t="str">
        <f t="shared" si="18"/>
        <v>245/70R17.5-18PR-I-19A</v>
      </c>
      <c r="G154" s="23"/>
      <c r="H154" s="23"/>
      <c r="I154" s="24"/>
      <c r="J154" s="19" t="str">
        <f t="shared" si="15"/>
        <v>245/70R17.5-18PR-I-19A</v>
      </c>
      <c r="O154" s="19" t="str">
        <f t="shared" si="16"/>
        <v/>
      </c>
      <c r="AC154" s="19" t="str">
        <f t="shared" si="17"/>
        <v/>
      </c>
    </row>
    <row r="155" s="19" customFormat="1" spans="1:29">
      <c r="A155" s="29" t="s">
        <v>1872</v>
      </c>
      <c r="B155" s="29" t="s">
        <v>1074</v>
      </c>
      <c r="C155" s="29" t="s">
        <v>1697</v>
      </c>
      <c r="D155" s="28" t="s">
        <v>692</v>
      </c>
      <c r="E155" s="36" t="str">
        <f t="shared" si="14"/>
        <v>11R24.5-16PR-VXD932</v>
      </c>
      <c r="F155" s="20" t="str">
        <f t="shared" si="18"/>
        <v>245/70R17.5-18PR-AZ599</v>
      </c>
      <c r="G155" s="23"/>
      <c r="H155" s="23"/>
      <c r="I155" s="24"/>
      <c r="J155" s="19" t="str">
        <f t="shared" si="15"/>
        <v>245/70R17.5-18PR-AZ599</v>
      </c>
      <c r="O155" s="19" t="str">
        <f t="shared" si="16"/>
        <v/>
      </c>
      <c r="AC155" s="19" t="str">
        <f t="shared" si="17"/>
        <v/>
      </c>
    </row>
    <row r="156" s="19" customFormat="1" spans="1:29">
      <c r="A156" s="29" t="s">
        <v>1872</v>
      </c>
      <c r="B156" s="29" t="s">
        <v>1074</v>
      </c>
      <c r="C156" s="29" t="s">
        <v>1844</v>
      </c>
      <c r="D156" s="28" t="s">
        <v>692</v>
      </c>
      <c r="E156" s="36" t="str">
        <f t="shared" si="14"/>
        <v>11R24.5-16PR-I-31M</v>
      </c>
      <c r="F156" s="20" t="str">
        <f t="shared" si="18"/>
        <v>245/70R17.5-18PR-AP-7318</v>
      </c>
      <c r="G156" s="23"/>
      <c r="H156" s="23"/>
      <c r="I156" s="24"/>
      <c r="J156" s="19" t="str">
        <f t="shared" si="15"/>
        <v>245/70R17.5-18PR-AP-7318</v>
      </c>
      <c r="O156" s="19" t="str">
        <f t="shared" si="16"/>
        <v/>
      </c>
      <c r="AC156" s="19" t="str">
        <f t="shared" si="17"/>
        <v/>
      </c>
    </row>
    <row r="157" s="19" customFormat="1" spans="1:29">
      <c r="A157" s="29" t="s">
        <v>1872</v>
      </c>
      <c r="B157" s="29" t="s">
        <v>1074</v>
      </c>
      <c r="C157" s="29" t="s">
        <v>1846</v>
      </c>
      <c r="D157" s="28" t="s">
        <v>692</v>
      </c>
      <c r="E157" s="36" t="str">
        <f t="shared" si="14"/>
        <v>11R24.5-16PR-I-28D</v>
      </c>
      <c r="F157" s="20" t="str">
        <f t="shared" si="18"/>
        <v>245/70R19.5-16PR-AD717</v>
      </c>
      <c r="G157" s="23"/>
      <c r="H157" s="23"/>
      <c r="I157" s="24"/>
      <c r="J157" s="19" t="str">
        <f t="shared" si="15"/>
        <v>245/70R19.5-16PR-AD717</v>
      </c>
      <c r="O157" s="19" t="str">
        <f t="shared" si="16"/>
        <v/>
      </c>
      <c r="AC157" s="19" t="str">
        <f t="shared" si="17"/>
        <v/>
      </c>
    </row>
    <row r="158" s="19" customFormat="1" spans="1:29">
      <c r="A158" s="29" t="s">
        <v>1872</v>
      </c>
      <c r="B158" s="29" t="s">
        <v>958</v>
      </c>
      <c r="C158" s="29" t="s">
        <v>1656</v>
      </c>
      <c r="D158" s="28" t="s">
        <v>692</v>
      </c>
      <c r="E158" s="36" t="str">
        <f t="shared" si="14"/>
        <v>11R24.5-14PR-I-48T</v>
      </c>
      <c r="F158" s="20" t="str">
        <f t="shared" si="18"/>
        <v>245/70R19.5-16PR-AW717</v>
      </c>
      <c r="G158" s="23"/>
      <c r="H158" s="23"/>
      <c r="I158" s="24"/>
      <c r="J158" s="19" t="str">
        <f t="shared" si="15"/>
        <v>245/70R19.5-16PR-AW717</v>
      </c>
      <c r="O158" s="19" t="str">
        <f t="shared" si="16"/>
        <v/>
      </c>
      <c r="AC158" s="19" t="str">
        <f t="shared" si="17"/>
        <v/>
      </c>
    </row>
    <row r="159" s="19" customFormat="1" spans="1:29">
      <c r="A159" s="29" t="s">
        <v>1872</v>
      </c>
      <c r="B159" s="29" t="s">
        <v>1074</v>
      </c>
      <c r="C159" s="29" t="s">
        <v>1842</v>
      </c>
      <c r="D159" s="28" t="s">
        <v>692</v>
      </c>
      <c r="E159" s="36" t="str">
        <f t="shared" si="14"/>
        <v>11R24.5-16PR-I-52A</v>
      </c>
      <c r="F159" s="20" t="str">
        <f t="shared" si="18"/>
        <v>255/70R22.5-16PR-DA23</v>
      </c>
      <c r="G159" s="23"/>
      <c r="H159" s="23"/>
      <c r="I159" s="24"/>
      <c r="J159" s="19" t="str">
        <f t="shared" si="15"/>
        <v>255/70R22.5-16PR-DA23</v>
      </c>
      <c r="O159" s="19" t="str">
        <f t="shared" si="16"/>
        <v/>
      </c>
      <c r="AC159" s="19" t="str">
        <f t="shared" si="17"/>
        <v/>
      </c>
    </row>
    <row r="160" s="19" customFormat="1" spans="1:29">
      <c r="A160" s="60" t="s">
        <v>1872</v>
      </c>
      <c r="B160" s="29" t="s">
        <v>1074</v>
      </c>
      <c r="C160" s="58" t="s">
        <v>1756</v>
      </c>
      <c r="D160" s="28" t="s">
        <v>692</v>
      </c>
      <c r="E160" s="36" t="str">
        <f t="shared" si="14"/>
        <v>11R24.5-16PR-VD998</v>
      </c>
      <c r="F160" s="20" t="str">
        <f t="shared" si="18"/>
        <v>275/70R22.5-18PR-H-RA</v>
      </c>
      <c r="G160" s="23"/>
      <c r="H160" s="23"/>
      <c r="I160" s="24"/>
      <c r="J160" s="19" t="str">
        <f t="shared" si="15"/>
        <v>275/70R22.5-18PR-H-RA</v>
      </c>
      <c r="O160" s="19" t="str">
        <f t="shared" si="16"/>
        <v/>
      </c>
      <c r="AC160" s="19" t="str">
        <f t="shared" si="17"/>
        <v/>
      </c>
    </row>
    <row r="161" s="19" customFormat="1" spans="1:29">
      <c r="A161" s="60" t="s">
        <v>1872</v>
      </c>
      <c r="B161" s="29" t="s">
        <v>1074</v>
      </c>
      <c r="C161" s="58" t="s">
        <v>1760</v>
      </c>
      <c r="D161" s="28" t="s">
        <v>692</v>
      </c>
      <c r="E161" s="36" t="str">
        <f t="shared" si="14"/>
        <v>11R24.5-16PR-VD908</v>
      </c>
      <c r="F161" s="20" t="str">
        <f t="shared" si="18"/>
        <v>425/65R22.5-20PR-TM-134</v>
      </c>
      <c r="G161" s="23"/>
      <c r="H161" s="23"/>
      <c r="I161" s="24"/>
      <c r="J161" s="19" t="str">
        <f t="shared" si="15"/>
        <v>425/65R22.5-20PR-TM-134</v>
      </c>
      <c r="O161" s="19" t="str">
        <f t="shared" si="16"/>
        <v/>
      </c>
      <c r="AC161" s="19" t="str">
        <f t="shared" si="17"/>
        <v/>
      </c>
    </row>
    <row r="162" s="19" customFormat="1" spans="1:29">
      <c r="A162" s="60" t="s">
        <v>1872</v>
      </c>
      <c r="B162" s="29" t="s">
        <v>1074</v>
      </c>
      <c r="C162" s="58" t="s">
        <v>1761</v>
      </c>
      <c r="D162" s="28" t="s">
        <v>692</v>
      </c>
      <c r="E162" s="36" t="str">
        <f t="shared" si="14"/>
        <v>11R24.5-16PR-VA991</v>
      </c>
      <c r="F162" s="20" t="str">
        <f t="shared" si="18"/>
        <v>12.00R20-18PR-XC809</v>
      </c>
      <c r="G162" s="23"/>
      <c r="H162" s="23"/>
      <c r="I162" s="24"/>
      <c r="J162" s="19" t="str">
        <f t="shared" si="15"/>
        <v>12.00R20-18PR-XC809</v>
      </c>
      <c r="O162" s="19" t="str">
        <f t="shared" si="16"/>
        <v/>
      </c>
      <c r="AC162" s="19" t="str">
        <f t="shared" si="17"/>
        <v/>
      </c>
    </row>
    <row r="163" s="19" customFormat="1" spans="1:29">
      <c r="A163" s="29" t="s">
        <v>1872</v>
      </c>
      <c r="B163" s="29" t="s">
        <v>1074</v>
      </c>
      <c r="C163" s="58" t="s">
        <v>1771</v>
      </c>
      <c r="D163" s="28" t="s">
        <v>692</v>
      </c>
      <c r="E163" s="36" t="str">
        <f t="shared" si="14"/>
        <v>11R24.5-16PR-HD2 Plus</v>
      </c>
      <c r="F163" s="20" t="str">
        <f t="shared" si="18"/>
        <v>12.00R20-18PR-EZ309</v>
      </c>
      <c r="G163" s="23"/>
      <c r="H163" s="23"/>
      <c r="I163" s="24"/>
      <c r="J163" s="19" t="str">
        <f t="shared" si="15"/>
        <v>12.00R20-18PR-EZ309</v>
      </c>
      <c r="O163" s="19" t="str">
        <f t="shared" si="16"/>
        <v/>
      </c>
      <c r="AC163" s="19" t="str">
        <f t="shared" si="17"/>
        <v/>
      </c>
    </row>
    <row r="164" s="19" customFormat="1" spans="1:29">
      <c r="A164" s="29" t="s">
        <v>1872</v>
      </c>
      <c r="B164" s="29" t="s">
        <v>1074</v>
      </c>
      <c r="C164" s="58" t="s">
        <v>1767</v>
      </c>
      <c r="D164" s="28" t="s">
        <v>692</v>
      </c>
      <c r="E164" s="36" t="str">
        <f t="shared" si="14"/>
        <v>11R24.5-16PR-AD721</v>
      </c>
      <c r="F164" s="20" t="str">
        <f t="shared" si="18"/>
        <v>12.00R20-22PR-XC809</v>
      </c>
      <c r="G164" s="23"/>
      <c r="H164" s="23"/>
      <c r="I164" s="24"/>
      <c r="J164" s="19" t="str">
        <f t="shared" si="15"/>
        <v>12.00R20-22PR-XC809</v>
      </c>
      <c r="O164" s="19" t="str">
        <f t="shared" si="16"/>
        <v/>
      </c>
      <c r="AC164" s="19" t="str">
        <f t="shared" si="17"/>
        <v/>
      </c>
    </row>
    <row r="165" s="19" customFormat="1" spans="1:29">
      <c r="A165" s="60" t="s">
        <v>1872</v>
      </c>
      <c r="B165" s="29" t="s">
        <v>1074</v>
      </c>
      <c r="C165" s="58" t="s">
        <v>1714</v>
      </c>
      <c r="D165" s="28" t="s">
        <v>692</v>
      </c>
      <c r="E165" s="36" t="str">
        <f t="shared" si="14"/>
        <v>11R24.5-16PR-AD600</v>
      </c>
      <c r="F165" s="20" t="str">
        <f t="shared" si="18"/>
        <v>12.00R24-☆☆PR-XC819</v>
      </c>
      <c r="G165" s="23"/>
      <c r="H165" s="23"/>
      <c r="I165" s="24"/>
      <c r="J165" s="19" t="str">
        <f t="shared" si="15"/>
        <v>12.00R24-☆☆PR-XC819</v>
      </c>
      <c r="AC165" s="19" t="str">
        <f t="shared" si="17"/>
        <v/>
      </c>
    </row>
    <row r="166" s="19" customFormat="1" spans="1:29">
      <c r="A166" s="60" t="s">
        <v>1872</v>
      </c>
      <c r="B166" s="29" t="s">
        <v>1074</v>
      </c>
      <c r="C166" s="58" t="s">
        <v>1825</v>
      </c>
      <c r="D166" s="28" t="s">
        <v>692</v>
      </c>
      <c r="E166" s="36" t="str">
        <f t="shared" si="14"/>
        <v>11R24.5-16PR-AD737</v>
      </c>
      <c r="F166" s="20" t="str">
        <f t="shared" si="18"/>
        <v>275/80R22.5-18PR-AZ179</v>
      </c>
      <c r="G166" s="23"/>
      <c r="H166" s="23"/>
      <c r="I166" s="24"/>
      <c r="J166" s="19" t="str">
        <f t="shared" si="15"/>
        <v>275/80R22.5-18PR-AZ179</v>
      </c>
      <c r="AC166" s="19" t="str">
        <f t="shared" si="17"/>
        <v/>
      </c>
    </row>
    <row r="167" s="19" customFormat="1" spans="1:29">
      <c r="A167" s="60" t="s">
        <v>1872</v>
      </c>
      <c r="B167" s="29" t="s">
        <v>1074</v>
      </c>
      <c r="C167" s="58" t="s">
        <v>1815</v>
      </c>
      <c r="D167" s="28" t="s">
        <v>692</v>
      </c>
      <c r="E167" s="36" t="str">
        <f t="shared" si="14"/>
        <v>11R24.5-16PR-AD196</v>
      </c>
      <c r="F167" s="20" t="str">
        <f t="shared" si="18"/>
        <v>11R22.5-16PR-STEALTH S01</v>
      </c>
      <c r="G167" s="23"/>
      <c r="H167" s="23"/>
      <c r="I167" s="24"/>
      <c r="J167" s="19" t="str">
        <f t="shared" si="15"/>
        <v>11R22.5-16PR-STEALTH S01</v>
      </c>
      <c r="AC167" s="19" t="str">
        <f t="shared" si="17"/>
        <v/>
      </c>
    </row>
    <row r="168" s="19" customFormat="1" spans="1:29">
      <c r="A168" s="29" t="s">
        <v>1872</v>
      </c>
      <c r="B168" s="29" t="s">
        <v>1074</v>
      </c>
      <c r="C168" s="58" t="s">
        <v>1814</v>
      </c>
      <c r="D168" s="28" t="s">
        <v>692</v>
      </c>
      <c r="E168" s="36" t="str">
        <f t="shared" si="14"/>
        <v>11R24.5-16PR-HD1 PlusX</v>
      </c>
      <c r="F168" s="20" t="str">
        <f t="shared" si="18"/>
        <v>215/75R17.5-18PR-AZ599</v>
      </c>
      <c r="G168" s="23"/>
      <c r="H168" s="23"/>
      <c r="I168" s="24"/>
      <c r="J168" s="19" t="str">
        <f t="shared" si="15"/>
        <v>215/75R17.5-18PR-AZ599</v>
      </c>
      <c r="AC168" s="19" t="str">
        <f t="shared" si="17"/>
        <v/>
      </c>
    </row>
    <row r="169" s="19" customFormat="1" spans="1:29">
      <c r="A169" s="60" t="s">
        <v>1872</v>
      </c>
      <c r="B169" s="29" t="s">
        <v>1074</v>
      </c>
      <c r="C169" s="58" t="s">
        <v>1816</v>
      </c>
      <c r="D169" s="28" t="s">
        <v>692</v>
      </c>
      <c r="E169" s="36" t="str">
        <f t="shared" si="14"/>
        <v>11R24.5-16PR-KOBE DPM</v>
      </c>
      <c r="F169" s="20" t="str">
        <f t="shared" si="18"/>
        <v>10.00R20-18PR-MT200</v>
      </c>
      <c r="G169" s="23"/>
      <c r="H169" s="23"/>
      <c r="I169" s="24"/>
      <c r="J169" s="19" t="str">
        <f t="shared" si="15"/>
        <v>10.00R20-18PR-MT200</v>
      </c>
      <c r="AC169" s="19" t="str">
        <f t="shared" si="17"/>
        <v/>
      </c>
    </row>
    <row r="170" s="19" customFormat="1" spans="1:29">
      <c r="A170" s="60" t="s">
        <v>1872</v>
      </c>
      <c r="B170" s="29" t="s">
        <v>1074</v>
      </c>
      <c r="C170" s="58" t="s">
        <v>1665</v>
      </c>
      <c r="D170" s="28" t="s">
        <v>692</v>
      </c>
      <c r="E170" s="36" t="str">
        <f t="shared" si="14"/>
        <v>11R24.5-16PR-AD716</v>
      </c>
      <c r="F170" s="20" t="str">
        <f t="shared" si="18"/>
        <v>11.00R20-18PR-MT200</v>
      </c>
      <c r="G170" s="23"/>
      <c r="H170" s="23"/>
      <c r="I170" s="24"/>
      <c r="J170" s="19" t="str">
        <f t="shared" si="15"/>
        <v>11.00R20-18PR-MT200</v>
      </c>
      <c r="AC170" s="19" t="str">
        <f t="shared" si="17"/>
        <v/>
      </c>
    </row>
    <row r="171" s="19" customFormat="1" spans="1:29">
      <c r="A171" s="29" t="s">
        <v>1872</v>
      </c>
      <c r="B171" s="29" t="s">
        <v>1074</v>
      </c>
      <c r="C171" s="58" t="s">
        <v>1671</v>
      </c>
      <c r="D171" s="28" t="s">
        <v>692</v>
      </c>
      <c r="E171" s="36" t="str">
        <f t="shared" si="14"/>
        <v>11R24.5-16PR-HD1 Plus</v>
      </c>
      <c r="F171" s="20" t="str">
        <f t="shared" si="18"/>
        <v>11R22.5-16PR-AD184</v>
      </c>
      <c r="G171" s="23"/>
      <c r="H171" s="23"/>
      <c r="I171" s="24"/>
      <c r="J171" s="19" t="str">
        <f t="shared" si="15"/>
        <v>11R22.5-16PR-AD184</v>
      </c>
      <c r="AC171" s="19" t="str">
        <f t="shared" si="17"/>
        <v/>
      </c>
    </row>
    <row r="172" s="19" customFormat="1" spans="1:29">
      <c r="A172" s="60" t="s">
        <v>1872</v>
      </c>
      <c r="B172" s="29" t="s">
        <v>1074</v>
      </c>
      <c r="C172" s="58" t="s">
        <v>1776</v>
      </c>
      <c r="D172" s="28" t="s">
        <v>692</v>
      </c>
      <c r="E172" s="36" t="str">
        <f t="shared" si="14"/>
        <v>11R24.5-16PR-AZ599</v>
      </c>
      <c r="F172" s="20" t="str">
        <f t="shared" si="18"/>
        <v>11R22.5-16PR-HD2 PlusX</v>
      </c>
      <c r="G172" s="23"/>
      <c r="H172" s="23"/>
      <c r="I172" s="24"/>
      <c r="J172" s="19" t="str">
        <f t="shared" si="15"/>
        <v>11R22.5-16PR-HD2 PlusX</v>
      </c>
      <c r="AC172" s="19" t="str">
        <f t="shared" si="17"/>
        <v/>
      </c>
    </row>
    <row r="173" s="19" customFormat="1" spans="1:29">
      <c r="A173" s="29" t="s">
        <v>1872</v>
      </c>
      <c r="B173" s="29" t="s">
        <v>1074</v>
      </c>
      <c r="C173" s="58" t="s">
        <v>1781</v>
      </c>
      <c r="D173" s="28" t="s">
        <v>692</v>
      </c>
      <c r="E173" s="36" t="str">
        <f t="shared" si="14"/>
        <v>11R24.5-16PR-HF1 Plus</v>
      </c>
      <c r="F173" s="20" t="str">
        <f t="shared" si="18"/>
        <v>11R24.5-16PR-AD184</v>
      </c>
      <c r="G173" s="23"/>
      <c r="H173" s="23"/>
      <c r="I173" s="24"/>
      <c r="J173" s="19" t="str">
        <f t="shared" si="15"/>
        <v>11R24.5-16PR-AD184</v>
      </c>
      <c r="AC173" s="19" t="str">
        <f t="shared" si="17"/>
        <v/>
      </c>
    </row>
    <row r="174" s="19" customFormat="1" spans="1:29">
      <c r="A174" s="60" t="s">
        <v>1872</v>
      </c>
      <c r="B174" s="29" t="s">
        <v>1074</v>
      </c>
      <c r="C174" s="58" t="s">
        <v>1765</v>
      </c>
      <c r="D174" s="28" t="s">
        <v>692</v>
      </c>
      <c r="E174" s="36" t="str">
        <f t="shared" si="14"/>
        <v>11R24.5-16PR-VDM924</v>
      </c>
      <c r="F174" s="20" t="str">
        <f t="shared" si="18"/>
        <v>11R24.5-16PR-HD2 PlusX</v>
      </c>
      <c r="G174" s="23"/>
      <c r="H174" s="23"/>
      <c r="I174" s="24"/>
      <c r="J174" s="19" t="str">
        <f t="shared" si="15"/>
        <v>11R24.5-16PR-HD2 PlusX</v>
      </c>
      <c r="AC174" s="19" t="str">
        <f t="shared" si="17"/>
        <v/>
      </c>
    </row>
    <row r="175" s="19" customFormat="1" spans="1:29">
      <c r="A175" s="60" t="s">
        <v>1872</v>
      </c>
      <c r="B175" s="29" t="s">
        <v>1074</v>
      </c>
      <c r="C175" s="58" t="s">
        <v>1849</v>
      </c>
      <c r="D175" s="28" t="s">
        <v>692</v>
      </c>
      <c r="E175" s="36" t="str">
        <f t="shared" si="14"/>
        <v>11R24.5-16PR-I-37D</v>
      </c>
      <c r="F175" s="20" t="str">
        <f t="shared" si="18"/>
        <v>295/75R22.5-16PR-STEALTH S01</v>
      </c>
      <c r="G175" s="23"/>
      <c r="H175" s="23"/>
      <c r="I175" s="24"/>
      <c r="J175" s="19" t="str">
        <f t="shared" si="15"/>
        <v>295/75R22.5-16PR-STEALTH S01</v>
      </c>
      <c r="AC175" s="19" t="str">
        <f t="shared" si="17"/>
        <v/>
      </c>
    </row>
    <row r="176" s="19" customFormat="1" spans="1:29">
      <c r="A176" s="60" t="s">
        <v>1872</v>
      </c>
      <c r="B176" s="29" t="s">
        <v>1074</v>
      </c>
      <c r="C176" s="58" t="s">
        <v>1737</v>
      </c>
      <c r="D176" s="28" t="s">
        <v>692</v>
      </c>
      <c r="E176" s="36" t="str">
        <f t="shared" si="14"/>
        <v>11R24.5-16PR-ZA12</v>
      </c>
      <c r="F176" s="20" t="str">
        <f t="shared" si="18"/>
        <v>7.50R16-14PR-AZ601+</v>
      </c>
      <c r="G176" s="23"/>
      <c r="H176" s="23"/>
      <c r="I176" s="24"/>
      <c r="J176" s="19" t="str">
        <f t="shared" si="15"/>
        <v>7.50R16-14PR-AZ601+</v>
      </c>
      <c r="AC176" s="19" t="str">
        <f t="shared" si="17"/>
        <v/>
      </c>
    </row>
    <row r="177" s="19" customFormat="1" spans="1:29">
      <c r="A177" s="60" t="s">
        <v>1872</v>
      </c>
      <c r="B177" s="29" t="s">
        <v>1074</v>
      </c>
      <c r="C177" s="58" t="s">
        <v>1793</v>
      </c>
      <c r="D177" s="28" t="s">
        <v>692</v>
      </c>
      <c r="E177" s="36" t="str">
        <f t="shared" si="14"/>
        <v>11R24.5-16PR-AT167</v>
      </c>
      <c r="F177" s="20" t="str">
        <f t="shared" si="18"/>
        <v>10.00R20-18PR-BMA08</v>
      </c>
      <c r="G177" s="23"/>
      <c r="H177" s="23"/>
      <c r="I177" s="24"/>
      <c r="J177" s="19" t="str">
        <f t="shared" si="15"/>
        <v>10.00R20-18PR-BMA08</v>
      </c>
      <c r="AC177" s="19" t="str">
        <f t="shared" si="17"/>
        <v/>
      </c>
    </row>
    <row r="178" s="19" customFormat="1" ht="18" spans="1:29">
      <c r="A178" s="57" t="s">
        <v>1872</v>
      </c>
      <c r="B178" s="29" t="s">
        <v>1074</v>
      </c>
      <c r="C178" s="58" t="s">
        <v>1791</v>
      </c>
      <c r="D178" s="28" t="s">
        <v>692</v>
      </c>
      <c r="E178" s="36" t="str">
        <f t="shared" si="14"/>
        <v>11R24.5-16PR-AT194</v>
      </c>
      <c r="F178" s="20" t="str">
        <f t="shared" si="18"/>
        <v>12.00R24-20PR-TZ304</v>
      </c>
      <c r="G178" s="23"/>
      <c r="H178" s="23"/>
      <c r="I178" s="24"/>
      <c r="J178" s="19" t="str">
        <f t="shared" si="15"/>
        <v>12.00R24-20PR-TZ304</v>
      </c>
      <c r="AC178" s="19" t="str">
        <f t="shared" si="17"/>
        <v/>
      </c>
    </row>
    <row r="179" s="19" customFormat="1" ht="18" spans="1:29">
      <c r="A179" s="57" t="s">
        <v>1872</v>
      </c>
      <c r="B179" s="29" t="s">
        <v>1074</v>
      </c>
      <c r="C179" s="58" t="s">
        <v>1797</v>
      </c>
      <c r="D179" s="28" t="s">
        <v>692</v>
      </c>
      <c r="E179" s="36" t="str">
        <f t="shared" si="14"/>
        <v>11R24.5-16PR-KOBE APM</v>
      </c>
      <c r="F179" s="20" t="str">
        <f t="shared" si="18"/>
        <v>12.00R24-24PR-TZ304</v>
      </c>
      <c r="G179" s="23"/>
      <c r="H179" s="23"/>
      <c r="I179" s="24"/>
      <c r="J179" s="19" t="str">
        <f t="shared" si="15"/>
        <v>12.00R24-24PR-TZ304</v>
      </c>
      <c r="AC179" s="19" t="str">
        <f t="shared" si="17"/>
        <v/>
      </c>
    </row>
    <row r="180" s="19" customFormat="1" spans="1:29">
      <c r="A180" s="60" t="s">
        <v>1872</v>
      </c>
      <c r="B180" s="29" t="s">
        <v>1074</v>
      </c>
      <c r="C180" s="58" t="s">
        <v>1802</v>
      </c>
      <c r="D180" s="28" t="s">
        <v>692</v>
      </c>
      <c r="E180" s="36" t="str">
        <f t="shared" si="14"/>
        <v>11R24.5-16PR-AZ579</v>
      </c>
      <c r="F180" s="20" t="str">
        <f t="shared" si="18"/>
        <v>285/75R24.5-16PR-SL11</v>
      </c>
      <c r="G180" s="23"/>
      <c r="H180" s="23"/>
      <c r="I180" s="24"/>
      <c r="J180" s="19" t="str">
        <f t="shared" si="15"/>
        <v>285/75R24.5-16PR-SL11</v>
      </c>
      <c r="AC180" s="19" t="str">
        <f t="shared" si="17"/>
        <v/>
      </c>
    </row>
    <row r="181" s="19" customFormat="1" spans="1:29">
      <c r="A181" s="60" t="s">
        <v>1872</v>
      </c>
      <c r="B181" s="29" t="s">
        <v>1074</v>
      </c>
      <c r="C181" s="58" t="s">
        <v>1805</v>
      </c>
      <c r="D181" s="28" t="s">
        <v>692</v>
      </c>
      <c r="E181" s="36" t="str">
        <f t="shared" si="14"/>
        <v>11R24.5-16PR-HCC1 Plus</v>
      </c>
      <c r="F181" s="20" t="str">
        <f t="shared" si="18"/>
        <v>295/75R22.5-16PR-AT563</v>
      </c>
      <c r="G181" s="23"/>
      <c r="H181" s="23"/>
      <c r="I181" s="24"/>
      <c r="J181" s="19" t="str">
        <f t="shared" si="15"/>
        <v>295/75R22.5-16PR-AT563</v>
      </c>
      <c r="AC181" s="19" t="str">
        <f t="shared" si="17"/>
        <v/>
      </c>
    </row>
    <row r="182" s="19" customFormat="1" spans="1:29">
      <c r="A182" s="60" t="s">
        <v>1872</v>
      </c>
      <c r="B182" s="29" t="s">
        <v>1074</v>
      </c>
      <c r="C182" s="29" t="s">
        <v>1782</v>
      </c>
      <c r="D182" s="28" t="s">
        <v>692</v>
      </c>
      <c r="E182" s="36" t="str">
        <f t="shared" si="14"/>
        <v>11R24.5-16PR-AS600</v>
      </c>
      <c r="F182" s="20" t="str">
        <f t="shared" si="18"/>
        <v>295/75R22.5-16PR-CR915</v>
      </c>
      <c r="G182" s="23"/>
      <c r="H182" s="23"/>
      <c r="I182" s="24"/>
      <c r="J182" s="19" t="str">
        <f t="shared" si="15"/>
        <v>295/75R22.5-16PR-CR915</v>
      </c>
      <c r="AC182" s="19" t="str">
        <f t="shared" si="17"/>
        <v/>
      </c>
    </row>
    <row r="183" s="19" customFormat="1" spans="1:29">
      <c r="A183" s="60" t="s">
        <v>1872</v>
      </c>
      <c r="B183" s="29" t="s">
        <v>1074</v>
      </c>
      <c r="C183" s="29" t="s">
        <v>1703</v>
      </c>
      <c r="D183" s="28" t="s">
        <v>692</v>
      </c>
      <c r="E183" s="36" t="str">
        <f t="shared" si="14"/>
        <v>11R24.5-16PR-DL21</v>
      </c>
      <c r="F183" s="20" t="str">
        <f t="shared" si="18"/>
        <v>295/75R22.5-16PR-I-460</v>
      </c>
      <c r="G183" s="23"/>
      <c r="H183" s="23"/>
      <c r="I183" s="24"/>
      <c r="J183" s="19" t="str">
        <f t="shared" si="15"/>
        <v>295/75R22.5-16PR-I-460</v>
      </c>
      <c r="AC183" s="19" t="str">
        <f t="shared" si="17"/>
        <v/>
      </c>
    </row>
    <row r="184" s="19" customFormat="1" spans="1:29">
      <c r="A184" s="60" t="s">
        <v>1872</v>
      </c>
      <c r="B184" s="29" t="s">
        <v>1074</v>
      </c>
      <c r="C184" s="29" t="s">
        <v>1559</v>
      </c>
      <c r="D184" s="28" t="s">
        <v>692</v>
      </c>
      <c r="E184" s="36" t="str">
        <f t="shared" si="14"/>
        <v>11R24.5-16PR-AS678</v>
      </c>
      <c r="F184" s="20" t="str">
        <f t="shared" si="18"/>
        <v>295/75R22.5-16PR-R-T1</v>
      </c>
      <c r="G184" s="23"/>
      <c r="H184" s="23"/>
      <c r="I184" s="24"/>
      <c r="J184" s="19" t="str">
        <f t="shared" si="15"/>
        <v>295/75R22.5-16PR-R-T1</v>
      </c>
      <c r="AC184" s="19" t="str">
        <f t="shared" si="17"/>
        <v/>
      </c>
    </row>
    <row r="185" s="19" customFormat="1" spans="1:29">
      <c r="A185" s="29" t="s">
        <v>801</v>
      </c>
      <c r="B185" s="29" t="s">
        <v>1092</v>
      </c>
      <c r="C185" s="29" t="s">
        <v>1568</v>
      </c>
      <c r="D185" s="28" t="s">
        <v>692</v>
      </c>
      <c r="E185" s="36" t="str">
        <f t="shared" si="14"/>
        <v>12.00R20-18PR-EZ336</v>
      </c>
      <c r="F185" s="20"/>
      <c r="G185" s="23"/>
      <c r="H185" s="23"/>
      <c r="I185" s="24"/>
      <c r="J185" s="19" t="str">
        <f t="shared" si="15"/>
        <v/>
      </c>
      <c r="AC185" s="19" t="str">
        <f t="shared" si="17"/>
        <v/>
      </c>
    </row>
    <row r="186" s="19" customFormat="1" spans="1:29">
      <c r="A186" s="29" t="s">
        <v>801</v>
      </c>
      <c r="B186" s="29" t="s">
        <v>1092</v>
      </c>
      <c r="C186" s="29" t="s">
        <v>1405</v>
      </c>
      <c r="D186" s="61" t="s">
        <v>692</v>
      </c>
      <c r="E186" s="36" t="str">
        <f t="shared" si="14"/>
        <v>12.00R20-18PR-CB332</v>
      </c>
      <c r="F186" s="20" t="str">
        <f t="shared" ref="F186:F212" si="19">_xlfn.TEXTJOIN("-",TRUE,A670,B670,C670)</f>
        <v>295/75R22.5-16PR-DT916</v>
      </c>
      <c r="G186" s="23"/>
      <c r="H186" s="23"/>
      <c r="I186" s="24"/>
      <c r="J186" s="19" t="str">
        <f t="shared" si="15"/>
        <v>295/75R22.5-16PR-DT916</v>
      </c>
      <c r="AC186" s="19" t="str">
        <f t="shared" si="17"/>
        <v/>
      </c>
    </row>
    <row r="187" s="19" customFormat="1" spans="1:29">
      <c r="A187" s="29" t="s">
        <v>801</v>
      </c>
      <c r="B187" s="29" t="s">
        <v>1101</v>
      </c>
      <c r="C187" s="29" t="s">
        <v>1568</v>
      </c>
      <c r="D187" s="28" t="s">
        <v>692</v>
      </c>
      <c r="E187" s="36" t="str">
        <f t="shared" si="14"/>
        <v>12.00R20-20PR-EZ336</v>
      </c>
      <c r="F187" s="20" t="str">
        <f t="shared" si="19"/>
        <v>295/75R22.5-16PR-RLINE-TⅡ</v>
      </c>
      <c r="G187" s="23"/>
      <c r="H187" s="23"/>
      <c r="I187" s="24"/>
      <c r="J187" s="19" t="str">
        <f t="shared" si="15"/>
        <v>295/75R22.5-16PR-RLINE-TⅡ</v>
      </c>
      <c r="AC187" s="19" t="str">
        <f t="shared" si="17"/>
        <v/>
      </c>
    </row>
    <row r="188" s="19" customFormat="1" spans="1:29">
      <c r="A188" s="29" t="s">
        <v>801</v>
      </c>
      <c r="B188" s="29" t="s">
        <v>1101</v>
      </c>
      <c r="C188" s="29" t="s">
        <v>1405</v>
      </c>
      <c r="D188" s="61" t="s">
        <v>692</v>
      </c>
      <c r="E188" s="36" t="str">
        <f t="shared" si="14"/>
        <v>12.00R20-20PR-CB332</v>
      </c>
      <c r="F188" s="20" t="str">
        <f t="shared" si="19"/>
        <v>295/75R22.5-14PR-H-RD</v>
      </c>
      <c r="G188" s="23"/>
      <c r="H188" s="23"/>
      <c r="I188" s="24"/>
      <c r="J188" s="19" t="str">
        <f t="shared" si="15"/>
        <v>295/75R22.5-14PR-H-RD</v>
      </c>
      <c r="AC188" s="19" t="str">
        <f t="shared" si="17"/>
        <v/>
      </c>
    </row>
    <row r="189" s="19" customFormat="1" spans="1:29">
      <c r="A189" s="29" t="s">
        <v>801</v>
      </c>
      <c r="B189" s="29" t="s">
        <v>1925</v>
      </c>
      <c r="C189" s="29" t="s">
        <v>1405</v>
      </c>
      <c r="D189" s="61" t="s">
        <v>692</v>
      </c>
      <c r="E189" s="36" t="str">
        <f t="shared" si="14"/>
        <v>12.00R20-22PR-CB332</v>
      </c>
      <c r="F189" s="20" t="str">
        <f t="shared" si="19"/>
        <v>12.00R20-☆☆-XC809</v>
      </c>
      <c r="G189" s="23"/>
      <c r="H189" s="23"/>
      <c r="I189" s="24"/>
      <c r="J189" s="19" t="str">
        <f t="shared" si="15"/>
        <v>12.00R20-☆☆-XC809</v>
      </c>
      <c r="AC189" s="19" t="str">
        <f t="shared" si="17"/>
        <v/>
      </c>
    </row>
    <row r="190" s="19" customFormat="1" spans="1:29">
      <c r="A190" s="29" t="s">
        <v>801</v>
      </c>
      <c r="B190" s="29" t="s">
        <v>1092</v>
      </c>
      <c r="C190" s="29" t="s">
        <v>1375</v>
      </c>
      <c r="D190" s="61" t="s">
        <v>692</v>
      </c>
      <c r="E190" s="36" t="str">
        <f t="shared" si="14"/>
        <v>12.00R20-18PR-CB919</v>
      </c>
      <c r="F190" s="20" t="str">
        <f t="shared" si="19"/>
        <v>12.00R24-☆☆-XC809</v>
      </c>
      <c r="G190" s="23"/>
      <c r="H190" s="23"/>
      <c r="I190" s="24"/>
      <c r="J190" s="19" t="str">
        <f t="shared" si="15"/>
        <v>12.00R24-☆☆-XC809</v>
      </c>
      <c r="AC190" s="19" t="str">
        <f t="shared" si="17"/>
        <v/>
      </c>
    </row>
    <row r="191" s="19" customFormat="1" spans="1:29">
      <c r="A191" s="29" t="s">
        <v>801</v>
      </c>
      <c r="B191" s="29" t="s">
        <v>1101</v>
      </c>
      <c r="C191" s="29" t="s">
        <v>1375</v>
      </c>
      <c r="D191" s="61" t="s">
        <v>692</v>
      </c>
      <c r="E191" s="36" t="str">
        <f t="shared" si="14"/>
        <v>12.00R20-20PR-CB919</v>
      </c>
      <c r="F191" s="20" t="str">
        <f t="shared" si="19"/>
        <v>12.00R24-☆☆-XC819</v>
      </c>
      <c r="G191" s="23"/>
      <c r="H191" s="23"/>
      <c r="I191" s="24"/>
      <c r="J191" s="19" t="str">
        <f t="shared" si="15"/>
        <v>12.00R24-☆☆-XC819</v>
      </c>
      <c r="AC191" s="19" t="str">
        <f t="shared" si="17"/>
        <v/>
      </c>
    </row>
    <row r="192" s="19" customFormat="1" spans="1:29">
      <c r="A192" s="29" t="s">
        <v>801</v>
      </c>
      <c r="B192" s="29" t="s">
        <v>1925</v>
      </c>
      <c r="C192" s="29" t="s">
        <v>1375</v>
      </c>
      <c r="D192" s="61" t="s">
        <v>692</v>
      </c>
      <c r="E192" s="36" t="str">
        <f t="shared" si="14"/>
        <v>12.00R20-22PR-CB919</v>
      </c>
      <c r="F192" s="20" t="str">
        <f t="shared" si="19"/>
        <v/>
      </c>
      <c r="G192" s="23"/>
      <c r="H192" s="23"/>
      <c r="I192" s="24"/>
      <c r="J192" s="19" t="str">
        <f t="shared" si="15"/>
        <v/>
      </c>
      <c r="AC192" s="19" t="str">
        <f t="shared" si="17"/>
        <v/>
      </c>
    </row>
    <row r="193" s="19" customFormat="1" spans="1:29">
      <c r="A193" s="29" t="s">
        <v>801</v>
      </c>
      <c r="B193" s="29" t="s">
        <v>1092</v>
      </c>
      <c r="C193" s="29" t="s">
        <v>1920</v>
      </c>
      <c r="D193" s="28" t="s">
        <v>692</v>
      </c>
      <c r="E193" s="36" t="str">
        <f t="shared" si="14"/>
        <v>12.00R20-18PR-EZ345</v>
      </c>
      <c r="F193" s="20" t="str">
        <f t="shared" si="19"/>
        <v>295/75R22.5-16PR-I-48T</v>
      </c>
      <c r="G193" s="23"/>
      <c r="H193" s="23"/>
      <c r="I193" s="24"/>
      <c r="J193" s="19" t="str">
        <f t="shared" si="15"/>
        <v>295/75R22.5-16PR-I-48T</v>
      </c>
      <c r="AC193" s="19" t="str">
        <f t="shared" si="17"/>
        <v/>
      </c>
    </row>
    <row r="194" s="19" customFormat="1" spans="1:29">
      <c r="A194" s="29" t="s">
        <v>801</v>
      </c>
      <c r="B194" s="29" t="s">
        <v>1092</v>
      </c>
      <c r="C194" s="29" t="s">
        <v>1462</v>
      </c>
      <c r="D194" s="28" t="s">
        <v>692</v>
      </c>
      <c r="E194" s="36" t="str">
        <f t="shared" si="14"/>
        <v>12.00R20-18PR-EZ175</v>
      </c>
      <c r="F194" s="20" t="str">
        <f t="shared" si="19"/>
        <v>11R22.5-16PR-CM980</v>
      </c>
      <c r="G194" s="23"/>
      <c r="H194" s="23"/>
      <c r="I194" s="24"/>
      <c r="J194" s="19" t="str">
        <f t="shared" si="15"/>
        <v>11R22.5-16PR-CM980</v>
      </c>
      <c r="AC194" s="19" t="str">
        <f t="shared" si="17"/>
        <v/>
      </c>
    </row>
    <row r="195" s="19" customFormat="1" spans="1:29">
      <c r="A195" s="29" t="s">
        <v>801</v>
      </c>
      <c r="B195" s="29" t="s">
        <v>1101</v>
      </c>
      <c r="C195" s="29" t="s">
        <v>1920</v>
      </c>
      <c r="D195" s="28" t="s">
        <v>692</v>
      </c>
      <c r="E195" s="36" t="str">
        <f t="shared" ref="E195:E258" si="20">_xlfn.TEXTJOIN("-",TRUE,A195,B195,C195)</f>
        <v>12.00R20-20PR-EZ345</v>
      </c>
      <c r="F195" s="20" t="str">
        <f t="shared" si="19"/>
        <v>11R22.5-16PR-RLINE-D3</v>
      </c>
      <c r="G195" s="23"/>
      <c r="H195" s="23"/>
      <c r="I195" s="24"/>
      <c r="J195" s="19" t="str">
        <f t="shared" ref="J195:J258" si="21">_xlfn.TEXTJOIN("-",TRUE,F195,G195,H195)</f>
        <v>11R22.5-16PR-RLINE-D3</v>
      </c>
      <c r="AC195" s="19" t="str">
        <f t="shared" ref="AC195:AC214" si="22">_xlfn.TEXTJOIN("-",TRUE,Y195,Z195,AA195)</f>
        <v/>
      </c>
    </row>
    <row r="196" s="19" customFormat="1" spans="1:29">
      <c r="A196" s="29" t="s">
        <v>801</v>
      </c>
      <c r="B196" s="29" t="s">
        <v>1101</v>
      </c>
      <c r="C196" s="29" t="s">
        <v>1462</v>
      </c>
      <c r="D196" s="28" t="s">
        <v>692</v>
      </c>
      <c r="E196" s="36" t="str">
        <f t="shared" si="20"/>
        <v>12.00R20-20PR-EZ175</v>
      </c>
      <c r="F196" s="20" t="str">
        <f t="shared" si="19"/>
        <v>11R22.5-16PR-CR960A</v>
      </c>
      <c r="G196" s="23"/>
      <c r="H196" s="23"/>
      <c r="I196" s="24"/>
      <c r="J196" s="19" t="str">
        <f t="shared" si="21"/>
        <v>11R22.5-16PR-CR960A</v>
      </c>
      <c r="AC196" s="19" t="str">
        <f t="shared" si="22"/>
        <v/>
      </c>
    </row>
    <row r="197" s="19" customFormat="1" spans="1:29">
      <c r="A197" s="29" t="s">
        <v>801</v>
      </c>
      <c r="B197" s="29" t="s">
        <v>1092</v>
      </c>
      <c r="C197" s="29" t="s">
        <v>1096</v>
      </c>
      <c r="D197" s="28" t="s">
        <v>692</v>
      </c>
      <c r="E197" s="36" t="str">
        <f t="shared" si="20"/>
        <v>12.00R20-18PR-CB972</v>
      </c>
      <c r="F197" s="20" t="str">
        <f t="shared" si="19"/>
        <v>11R22.5-16PR-RLINE-A1</v>
      </c>
      <c r="G197" s="23"/>
      <c r="H197" s="23"/>
      <c r="I197" s="24"/>
      <c r="J197" s="19" t="str">
        <f t="shared" si="21"/>
        <v>11R22.5-16PR-RLINE-A1</v>
      </c>
      <c r="AC197" s="19" t="str">
        <f t="shared" si="22"/>
        <v/>
      </c>
    </row>
    <row r="198" s="19" customFormat="1" spans="1:29">
      <c r="A198" s="29" t="s">
        <v>801</v>
      </c>
      <c r="B198" s="29" t="s">
        <v>1101</v>
      </c>
      <c r="C198" s="29" t="s">
        <v>1096</v>
      </c>
      <c r="D198" s="28" t="s">
        <v>692</v>
      </c>
      <c r="E198" s="36" t="str">
        <f t="shared" si="20"/>
        <v>12.00R20-20PR-CB972</v>
      </c>
      <c r="F198" s="20" t="str">
        <f t="shared" si="19"/>
        <v>11R22.5-16PR-CM983</v>
      </c>
      <c r="G198" s="23"/>
      <c r="H198" s="23"/>
      <c r="I198" s="24"/>
      <c r="J198" s="19" t="str">
        <f t="shared" si="21"/>
        <v>11R22.5-16PR-CM983</v>
      </c>
      <c r="AC198" s="19" t="str">
        <f t="shared" si="22"/>
        <v/>
      </c>
    </row>
    <row r="199" s="19" customFormat="1" spans="1:29">
      <c r="A199" s="29" t="s">
        <v>801</v>
      </c>
      <c r="B199" s="29" t="s">
        <v>1092</v>
      </c>
      <c r="C199" s="29" t="s">
        <v>1922</v>
      </c>
      <c r="D199" s="28" t="s">
        <v>692</v>
      </c>
      <c r="E199" s="36" t="str">
        <f t="shared" si="20"/>
        <v>12.00R20-18PR-EZ310</v>
      </c>
      <c r="F199" s="20" t="str">
        <f t="shared" si="19"/>
        <v>12.00R20-22PR-AZ850</v>
      </c>
      <c r="G199" s="23"/>
      <c r="H199" s="23"/>
      <c r="I199" s="24"/>
      <c r="J199" s="19" t="str">
        <f t="shared" si="21"/>
        <v>12.00R20-22PR-AZ850</v>
      </c>
      <c r="AC199" s="19" t="str">
        <f t="shared" si="22"/>
        <v/>
      </c>
    </row>
    <row r="200" s="19" customFormat="1" spans="1:29">
      <c r="A200" s="29" t="s">
        <v>801</v>
      </c>
      <c r="B200" s="29" t="s">
        <v>1092</v>
      </c>
      <c r="C200" s="29" t="s">
        <v>1924</v>
      </c>
      <c r="D200" s="28" t="s">
        <v>692</v>
      </c>
      <c r="E200" s="36" t="str">
        <f t="shared" si="20"/>
        <v>12.00R20-18PR-EZ310 pro</v>
      </c>
      <c r="F200" s="20" t="str">
        <f t="shared" si="19"/>
        <v>12.00R20-20PR-EZ865</v>
      </c>
      <c r="G200" s="23"/>
      <c r="H200" s="23"/>
      <c r="I200" s="24"/>
      <c r="J200" s="19" t="str">
        <f t="shared" si="21"/>
        <v>12.00R20-20PR-EZ865</v>
      </c>
      <c r="AC200" s="19" t="str">
        <f t="shared" si="22"/>
        <v/>
      </c>
    </row>
    <row r="201" s="19" customFormat="1" spans="1:29">
      <c r="A201" s="29" t="s">
        <v>801</v>
      </c>
      <c r="B201" s="29" t="s">
        <v>1925</v>
      </c>
      <c r="C201" s="29" t="s">
        <v>1922</v>
      </c>
      <c r="D201" s="28" t="s">
        <v>692</v>
      </c>
      <c r="E201" s="36" t="str">
        <f t="shared" si="20"/>
        <v>12.00R20-22PR-EZ310</v>
      </c>
      <c r="F201" s="20" t="str">
        <f t="shared" si="19"/>
        <v>12.00R20-22PR-EZ867</v>
      </c>
      <c r="G201" s="23"/>
      <c r="H201" s="23"/>
      <c r="I201" s="24"/>
      <c r="J201" s="19" t="str">
        <f t="shared" si="21"/>
        <v>12.00R20-22PR-EZ867</v>
      </c>
      <c r="AC201" s="19" t="str">
        <f t="shared" si="22"/>
        <v/>
      </c>
    </row>
    <row r="202" s="19" customFormat="1" spans="1:29">
      <c r="A202" s="29" t="s">
        <v>801</v>
      </c>
      <c r="B202" s="29" t="s">
        <v>1925</v>
      </c>
      <c r="C202" s="29" t="s">
        <v>1924</v>
      </c>
      <c r="D202" s="28" t="s">
        <v>692</v>
      </c>
      <c r="E202" s="36" t="str">
        <f t="shared" si="20"/>
        <v>12.00R20-22PR-EZ310 pro</v>
      </c>
      <c r="F202" s="20" t="str">
        <f t="shared" si="19"/>
        <v>215/75R17.5-18PR-AP-7318</v>
      </c>
      <c r="G202" s="23"/>
      <c r="H202" s="23"/>
      <c r="I202" s="24"/>
      <c r="J202" s="19" t="str">
        <f t="shared" si="21"/>
        <v>215/75R17.5-18PR-AP-7318</v>
      </c>
      <c r="AC202" s="19" t="str">
        <f t="shared" si="22"/>
        <v/>
      </c>
    </row>
    <row r="203" s="19" customFormat="1" spans="1:29">
      <c r="A203" s="29" t="s">
        <v>801</v>
      </c>
      <c r="B203" s="29" t="s">
        <v>1101</v>
      </c>
      <c r="C203" s="29" t="s">
        <v>1938</v>
      </c>
      <c r="D203" s="28" t="s">
        <v>692</v>
      </c>
      <c r="E203" s="36" t="str">
        <f t="shared" si="20"/>
        <v>12.00R20-20PR-XC809</v>
      </c>
      <c r="F203" s="20" t="str">
        <f t="shared" si="19"/>
        <v>215/75R17.5-18PR-HF1 Plus</v>
      </c>
      <c r="G203" s="23"/>
      <c r="H203" s="23"/>
      <c r="I203" s="24"/>
      <c r="J203" s="19" t="str">
        <f t="shared" si="21"/>
        <v>215/75R17.5-18PR-HF1 Plus</v>
      </c>
      <c r="AC203" s="19" t="str">
        <f t="shared" si="22"/>
        <v/>
      </c>
    </row>
    <row r="204" s="19" customFormat="1" spans="1:29">
      <c r="A204" s="29" t="s">
        <v>801</v>
      </c>
      <c r="B204" s="29" t="s">
        <v>1101</v>
      </c>
      <c r="C204" s="29" t="s">
        <v>1936</v>
      </c>
      <c r="D204" s="28" t="s">
        <v>692</v>
      </c>
      <c r="E204" s="36" t="str">
        <f t="shared" si="20"/>
        <v>12.00R20-20PR-EZ309</v>
      </c>
      <c r="F204" s="20" t="str">
        <f t="shared" si="19"/>
        <v>295/75R22.5-16PR-CR960A</v>
      </c>
      <c r="G204" s="23"/>
      <c r="H204" s="23"/>
      <c r="I204" s="24"/>
      <c r="J204" s="19" t="str">
        <f t="shared" si="21"/>
        <v>295/75R22.5-16PR-CR960A</v>
      </c>
      <c r="AC204" s="19" t="str">
        <f t="shared" si="22"/>
        <v/>
      </c>
    </row>
    <row r="205" s="19" customFormat="1" spans="1:29">
      <c r="A205" s="29" t="s">
        <v>801</v>
      </c>
      <c r="B205" s="29" t="s">
        <v>4763</v>
      </c>
      <c r="C205" s="29" t="s">
        <v>1938</v>
      </c>
      <c r="D205" s="28" t="s">
        <v>692</v>
      </c>
      <c r="E205" s="36" t="str">
        <f t="shared" si="20"/>
        <v>12.00R20-☆☆PR-XC809</v>
      </c>
      <c r="F205" s="20" t="str">
        <f t="shared" si="19"/>
        <v>295/75R22.5-16PR-RLINE-A1</v>
      </c>
      <c r="G205" s="23"/>
      <c r="H205" s="23"/>
      <c r="I205" s="24"/>
      <c r="J205" s="19" t="str">
        <f t="shared" si="21"/>
        <v>295/75R22.5-16PR-RLINE-A1</v>
      </c>
      <c r="AC205" s="19" t="str">
        <f t="shared" si="22"/>
        <v/>
      </c>
    </row>
    <row r="206" s="19" customFormat="1" spans="1:29">
      <c r="A206" s="29" t="s">
        <v>801</v>
      </c>
      <c r="B206" s="29" t="s">
        <v>1925</v>
      </c>
      <c r="C206" s="29" t="s">
        <v>1936</v>
      </c>
      <c r="D206" s="28" t="s">
        <v>692</v>
      </c>
      <c r="E206" s="36" t="str">
        <f t="shared" si="20"/>
        <v>12.00R20-22PR-EZ309</v>
      </c>
      <c r="F206" s="20" t="str">
        <f t="shared" si="19"/>
        <v>295/75R22.5-16PR-AS600+</v>
      </c>
      <c r="G206" s="23"/>
      <c r="H206" s="23"/>
      <c r="I206" s="24"/>
      <c r="J206" s="19" t="str">
        <f t="shared" si="21"/>
        <v>295/75R22.5-16PR-AS600+</v>
      </c>
      <c r="AC206" s="19" t="str">
        <f t="shared" si="22"/>
        <v/>
      </c>
    </row>
    <row r="207" s="19" customFormat="1" spans="1:29">
      <c r="A207" s="29" t="s">
        <v>801</v>
      </c>
      <c r="B207" s="29" t="s">
        <v>1101</v>
      </c>
      <c r="C207" s="29" t="s">
        <v>1121</v>
      </c>
      <c r="D207" s="28" t="s">
        <v>692</v>
      </c>
      <c r="E207" s="36" t="str">
        <f t="shared" si="20"/>
        <v>12.00R20-20PR-ETOD</v>
      </c>
      <c r="F207" s="20" t="str">
        <f t="shared" si="19"/>
        <v>295/75R22.5-16PR-DA25</v>
      </c>
      <c r="G207" s="23"/>
      <c r="H207" s="23"/>
      <c r="I207" s="24"/>
      <c r="J207" s="19" t="str">
        <f t="shared" si="21"/>
        <v>295/75R22.5-16PR-DA25</v>
      </c>
      <c r="AC207" s="19" t="str">
        <f t="shared" si="22"/>
        <v/>
      </c>
    </row>
    <row r="208" s="19" customFormat="1" spans="1:29">
      <c r="A208" s="34" t="s">
        <v>801</v>
      </c>
      <c r="B208" s="29" t="s">
        <v>1092</v>
      </c>
      <c r="C208" s="33" t="s">
        <v>1919</v>
      </c>
      <c r="D208" s="28" t="s">
        <v>692</v>
      </c>
      <c r="E208" s="36" t="str">
        <f t="shared" si="20"/>
        <v>12.00R20-18PR-TZ304</v>
      </c>
      <c r="F208" s="20" t="str">
        <f t="shared" si="19"/>
        <v>295/75R22.5-14PR-AS673</v>
      </c>
      <c r="G208" s="23"/>
      <c r="H208" s="23"/>
      <c r="I208" s="24"/>
      <c r="J208" s="19" t="str">
        <f t="shared" si="21"/>
        <v>295/75R22.5-14PR-AS673</v>
      </c>
      <c r="AC208" s="19" t="str">
        <f t="shared" si="22"/>
        <v/>
      </c>
    </row>
    <row r="209" s="19" customFormat="1" spans="1:29">
      <c r="A209" s="29" t="s">
        <v>801</v>
      </c>
      <c r="B209" s="29" t="s">
        <v>1092</v>
      </c>
      <c r="C209" s="29" t="s">
        <v>1370</v>
      </c>
      <c r="D209" s="28" t="s">
        <v>692</v>
      </c>
      <c r="E209" s="36" t="str">
        <f t="shared" si="20"/>
        <v>12.00R20-18PR-TZ101</v>
      </c>
      <c r="F209" s="20" t="str">
        <f t="shared" si="19"/>
        <v>12.00R24-20PR-TRD-79</v>
      </c>
      <c r="G209" s="23"/>
      <c r="H209" s="23"/>
      <c r="I209" s="24"/>
      <c r="J209" s="19" t="str">
        <f t="shared" si="21"/>
        <v>12.00R24-20PR-TRD-79</v>
      </c>
      <c r="AC209" s="19" t="str">
        <f t="shared" si="22"/>
        <v/>
      </c>
    </row>
    <row r="210" s="19" customFormat="1" spans="1:29">
      <c r="A210" s="29" t="s">
        <v>801</v>
      </c>
      <c r="B210" s="29" t="s">
        <v>1101</v>
      </c>
      <c r="C210" s="29" t="s">
        <v>1244</v>
      </c>
      <c r="D210" s="28" t="s">
        <v>692</v>
      </c>
      <c r="E210" s="36" t="str">
        <f t="shared" si="20"/>
        <v>12.00R20-20PR-EZ867</v>
      </c>
      <c r="F210" s="20" t="str">
        <f t="shared" si="19"/>
        <v>12.00R20-22PR-TRD-79</v>
      </c>
      <c r="G210" s="23"/>
      <c r="H210" s="23"/>
      <c r="I210" s="24"/>
      <c r="J210" s="19" t="str">
        <f t="shared" si="21"/>
        <v>12.00R20-22PR-TRD-79</v>
      </c>
      <c r="AC210" s="19" t="str">
        <f t="shared" si="22"/>
        <v/>
      </c>
    </row>
    <row r="211" s="19" customFormat="1" spans="1:29">
      <c r="A211" s="29" t="s">
        <v>801</v>
      </c>
      <c r="B211" s="29" t="s">
        <v>1101</v>
      </c>
      <c r="C211" s="29" t="s">
        <v>972</v>
      </c>
      <c r="D211" s="28" t="s">
        <v>692</v>
      </c>
      <c r="E211" s="36" t="str">
        <f t="shared" si="20"/>
        <v>12.00R20-20PR-AZ850</v>
      </c>
      <c r="F211" s="20" t="str">
        <f t="shared" si="19"/>
        <v>295/75R22.5-14PR-M-TRAC OSD</v>
      </c>
      <c r="G211" s="23"/>
      <c r="H211" s="23"/>
      <c r="I211" s="24"/>
      <c r="J211" s="19" t="str">
        <f t="shared" si="21"/>
        <v>295/75R22.5-14PR-M-TRAC OSD</v>
      </c>
      <c r="AC211" s="19" t="str">
        <f t="shared" si="22"/>
        <v/>
      </c>
    </row>
    <row r="212" s="19" customFormat="1" spans="1:29">
      <c r="A212" s="29" t="s">
        <v>1947</v>
      </c>
      <c r="B212" s="29" t="s">
        <v>1092</v>
      </c>
      <c r="C212" s="29" t="s">
        <v>980</v>
      </c>
      <c r="D212" s="28" t="s">
        <v>692</v>
      </c>
      <c r="E212" s="36" t="str">
        <f t="shared" si="20"/>
        <v>12R22.5-18PR-VAZ80</v>
      </c>
      <c r="F212" s="20" t="str">
        <f t="shared" si="19"/>
        <v/>
      </c>
      <c r="G212" s="23"/>
      <c r="H212" s="23"/>
      <c r="I212" s="24"/>
      <c r="J212" s="19" t="str">
        <f t="shared" si="21"/>
        <v/>
      </c>
      <c r="AC212" s="19" t="str">
        <f t="shared" si="22"/>
        <v/>
      </c>
    </row>
    <row r="213" s="19" customFormat="1" spans="1:29">
      <c r="A213" s="29" t="s">
        <v>1947</v>
      </c>
      <c r="B213" s="62" t="s">
        <v>1101</v>
      </c>
      <c r="C213" s="29" t="s">
        <v>1954</v>
      </c>
      <c r="D213" s="28" t="s">
        <v>692</v>
      </c>
      <c r="E213" s="36" t="str">
        <f t="shared" si="20"/>
        <v>12R22.5-20PR-AZ850M</v>
      </c>
      <c r="F213" s="20"/>
      <c r="G213" s="23"/>
      <c r="H213" s="23"/>
      <c r="I213" s="24"/>
      <c r="J213" s="19" t="str">
        <f t="shared" si="21"/>
        <v/>
      </c>
      <c r="AC213" s="19" t="str">
        <f t="shared" si="22"/>
        <v/>
      </c>
    </row>
    <row r="214" s="19" customFormat="1" spans="1:29">
      <c r="A214" s="29" t="s">
        <v>1947</v>
      </c>
      <c r="B214" s="29" t="s">
        <v>1092</v>
      </c>
      <c r="C214" s="29" t="s">
        <v>972</v>
      </c>
      <c r="D214" s="28" t="s">
        <v>692</v>
      </c>
      <c r="E214" s="36" t="str">
        <f t="shared" si="20"/>
        <v>12R22.5-18PR-AZ850</v>
      </c>
      <c r="F214" s="20" t="str">
        <f t="shared" ref="F214:F224" si="23">_xlfn.TEXTJOIN("-",TRUE,A698,B698,C698)</f>
        <v/>
      </c>
      <c r="G214" s="23"/>
      <c r="H214" s="23"/>
      <c r="I214" s="24"/>
      <c r="J214" s="19" t="str">
        <f t="shared" si="21"/>
        <v/>
      </c>
      <c r="AC214" s="19" t="str">
        <f t="shared" si="22"/>
        <v/>
      </c>
    </row>
    <row r="215" s="19" customFormat="1" spans="1:10">
      <c r="A215" s="29" t="s">
        <v>1947</v>
      </c>
      <c r="B215" s="62" t="s">
        <v>1101</v>
      </c>
      <c r="C215" s="29" t="s">
        <v>1955</v>
      </c>
      <c r="D215" s="28" t="s">
        <v>692</v>
      </c>
      <c r="E215" s="36" t="str">
        <f t="shared" si="20"/>
        <v>12R22.5-20PR-AS898H</v>
      </c>
      <c r="F215" s="20" t="str">
        <f t="shared" si="23"/>
        <v/>
      </c>
      <c r="G215" s="23"/>
      <c r="H215" s="23"/>
      <c r="I215" s="24"/>
      <c r="J215" s="19" t="str">
        <f t="shared" si="21"/>
        <v/>
      </c>
    </row>
    <row r="216" s="19" customFormat="1" spans="1:10">
      <c r="A216" s="29" t="s">
        <v>1947</v>
      </c>
      <c r="B216" s="29" t="s">
        <v>1092</v>
      </c>
      <c r="C216" s="29" t="s">
        <v>1957</v>
      </c>
      <c r="D216" s="28" t="s">
        <v>692</v>
      </c>
      <c r="E216" s="36" t="str">
        <f t="shared" si="20"/>
        <v>12R22.5-18PR-VAS88</v>
      </c>
      <c r="F216" s="20" t="str">
        <f t="shared" si="23"/>
        <v/>
      </c>
      <c r="G216" s="23"/>
      <c r="H216" s="23"/>
      <c r="I216" s="24"/>
      <c r="J216" s="19" t="str">
        <f t="shared" si="21"/>
        <v/>
      </c>
    </row>
    <row r="217" s="19" customFormat="1" spans="1:10">
      <c r="A217" s="29" t="s">
        <v>1947</v>
      </c>
      <c r="B217" s="29" t="s">
        <v>1092</v>
      </c>
      <c r="C217" s="29" t="s">
        <v>1855</v>
      </c>
      <c r="D217" s="28" t="s">
        <v>692</v>
      </c>
      <c r="E217" s="36" t="str">
        <f t="shared" si="20"/>
        <v>12R22.5-18PR-H-MD</v>
      </c>
      <c r="F217" s="20" t="str">
        <f t="shared" si="23"/>
        <v/>
      </c>
      <c r="G217" s="23"/>
      <c r="H217" s="23"/>
      <c r="I217" s="24"/>
      <c r="J217" s="19" t="str">
        <f t="shared" si="21"/>
        <v/>
      </c>
    </row>
    <row r="218" s="19" customFormat="1" spans="1:10">
      <c r="A218" s="29" t="s">
        <v>798</v>
      </c>
      <c r="B218" s="29" t="s">
        <v>1101</v>
      </c>
      <c r="C218" s="29" t="s">
        <v>1966</v>
      </c>
      <c r="D218" s="28" t="s">
        <v>692</v>
      </c>
      <c r="E218" s="36" t="str">
        <f t="shared" si="20"/>
        <v>12.00R24-20PR-ETOT</v>
      </c>
      <c r="F218" s="20" t="str">
        <f t="shared" si="23"/>
        <v/>
      </c>
      <c r="G218" s="23"/>
      <c r="H218" s="23"/>
      <c r="I218" s="24"/>
      <c r="J218" s="19" t="str">
        <f t="shared" si="21"/>
        <v/>
      </c>
    </row>
    <row r="219" s="19" customFormat="1" spans="1:10">
      <c r="A219" s="29" t="s">
        <v>798</v>
      </c>
      <c r="B219" s="29" t="s">
        <v>1101</v>
      </c>
      <c r="C219" s="29" t="s">
        <v>1960</v>
      </c>
      <c r="D219" s="28" t="s">
        <v>692</v>
      </c>
      <c r="E219" s="36" t="str">
        <f t="shared" si="20"/>
        <v>12.00R24-20PR-MT100 MAX</v>
      </c>
      <c r="F219" s="20" t="str">
        <f t="shared" si="23"/>
        <v/>
      </c>
      <c r="G219" s="23"/>
      <c r="H219" s="23"/>
      <c r="I219" s="24"/>
      <c r="J219" s="19" t="str">
        <f t="shared" si="21"/>
        <v/>
      </c>
    </row>
    <row r="220" s="19" customFormat="1" spans="1:10">
      <c r="A220" s="29" t="s">
        <v>798</v>
      </c>
      <c r="B220" s="29" t="s">
        <v>1101</v>
      </c>
      <c r="C220" s="29" t="s">
        <v>1961</v>
      </c>
      <c r="D220" s="28" t="s">
        <v>692</v>
      </c>
      <c r="E220" s="36" t="str">
        <f t="shared" si="20"/>
        <v>12.00R24-20PR-TZ101 PRO</v>
      </c>
      <c r="F220" s="20" t="str">
        <f t="shared" si="23"/>
        <v/>
      </c>
      <c r="G220" s="23"/>
      <c r="H220" s="23"/>
      <c r="I220" s="24"/>
      <c r="J220" s="19" t="str">
        <f t="shared" si="21"/>
        <v/>
      </c>
    </row>
    <row r="221" s="19" customFormat="1" spans="1:10">
      <c r="A221" s="29" t="s">
        <v>798</v>
      </c>
      <c r="B221" s="29" t="s">
        <v>1101</v>
      </c>
      <c r="C221" s="29" t="s">
        <v>1568</v>
      </c>
      <c r="D221" s="28" t="s">
        <v>692</v>
      </c>
      <c r="E221" s="36" t="str">
        <f t="shared" si="20"/>
        <v>12.00R24-20PR-EZ336</v>
      </c>
      <c r="F221" s="20" t="str">
        <f t="shared" si="23"/>
        <v/>
      </c>
      <c r="G221" s="23"/>
      <c r="H221" s="23"/>
      <c r="I221" s="24"/>
      <c r="J221" s="19" t="str">
        <f t="shared" si="21"/>
        <v/>
      </c>
    </row>
    <row r="222" s="19" customFormat="1" spans="1:10">
      <c r="A222" s="29" t="s">
        <v>798</v>
      </c>
      <c r="B222" s="29" t="s">
        <v>1101</v>
      </c>
      <c r="C222" s="29" t="s">
        <v>1096</v>
      </c>
      <c r="D222" s="28" t="s">
        <v>692</v>
      </c>
      <c r="E222" s="36" t="str">
        <f t="shared" si="20"/>
        <v>12.00R24-20PR-CB972</v>
      </c>
      <c r="F222" s="20" t="str">
        <f t="shared" si="23"/>
        <v/>
      </c>
      <c r="G222" s="23"/>
      <c r="H222" s="23"/>
      <c r="I222" s="24"/>
      <c r="J222" s="19" t="str">
        <f t="shared" si="21"/>
        <v/>
      </c>
    </row>
    <row r="223" s="19" customFormat="1" spans="1:10">
      <c r="A223" s="29" t="s">
        <v>798</v>
      </c>
      <c r="B223" s="29" t="s">
        <v>1101</v>
      </c>
      <c r="C223" s="29" t="s">
        <v>1958</v>
      </c>
      <c r="D223" s="28" t="s">
        <v>692</v>
      </c>
      <c r="E223" s="36" t="str">
        <f t="shared" si="20"/>
        <v>12.00R24-20PR-CB972E</v>
      </c>
      <c r="F223" s="20" t="str">
        <f t="shared" si="23"/>
        <v/>
      </c>
      <c r="G223" s="23"/>
      <c r="H223" s="23"/>
      <c r="I223" s="24"/>
      <c r="J223" s="19" t="str">
        <f t="shared" si="21"/>
        <v/>
      </c>
    </row>
    <row r="224" s="19" customFormat="1" spans="1:10">
      <c r="A224" s="29" t="s">
        <v>798</v>
      </c>
      <c r="B224" s="29" t="s">
        <v>1101</v>
      </c>
      <c r="C224" s="29" t="s">
        <v>1375</v>
      </c>
      <c r="D224" s="28" t="s">
        <v>692</v>
      </c>
      <c r="E224" s="36" t="str">
        <f t="shared" si="20"/>
        <v>12.00R24-20PR-CB919</v>
      </c>
      <c r="F224" s="20" t="str">
        <f t="shared" si="23"/>
        <v/>
      </c>
      <c r="G224" s="23"/>
      <c r="H224" s="23"/>
      <c r="I224" s="24"/>
      <c r="J224" s="19" t="str">
        <f t="shared" si="21"/>
        <v/>
      </c>
    </row>
    <row r="225" s="19" customFormat="1" spans="1:10">
      <c r="A225" s="29" t="s">
        <v>798</v>
      </c>
      <c r="B225" s="29" t="s">
        <v>1101</v>
      </c>
      <c r="C225" s="29" t="s">
        <v>1405</v>
      </c>
      <c r="D225" s="32" t="s">
        <v>692</v>
      </c>
      <c r="E225" s="36" t="str">
        <f t="shared" si="20"/>
        <v>12.00R24-20PR-CB332</v>
      </c>
      <c r="F225" s="20"/>
      <c r="G225" s="23"/>
      <c r="H225" s="23"/>
      <c r="I225" s="24"/>
      <c r="J225" s="19" t="str">
        <f t="shared" si="21"/>
        <v/>
      </c>
    </row>
    <row r="226" s="19" customFormat="1" spans="1:10">
      <c r="A226" s="34" t="s">
        <v>798</v>
      </c>
      <c r="B226" s="29" t="s">
        <v>1101</v>
      </c>
      <c r="C226" s="35" t="s">
        <v>1370</v>
      </c>
      <c r="D226" s="28" t="s">
        <v>692</v>
      </c>
      <c r="E226" s="36" t="str">
        <f t="shared" si="20"/>
        <v>12.00R24-20PR-TZ101</v>
      </c>
      <c r="F226" s="20" t="str">
        <f t="shared" ref="F226:F240" si="24">_xlfn.TEXTJOIN("-",TRUE,A710,B710,C710)</f>
        <v/>
      </c>
      <c r="G226" s="23"/>
      <c r="H226" s="23"/>
      <c r="I226" s="24"/>
      <c r="J226" s="19" t="str">
        <f t="shared" si="21"/>
        <v/>
      </c>
    </row>
    <row r="227" s="19" customFormat="1" spans="1:10">
      <c r="A227" s="60" t="s">
        <v>798</v>
      </c>
      <c r="B227" s="29" t="s">
        <v>4763</v>
      </c>
      <c r="C227" s="58" t="s">
        <v>1938</v>
      </c>
      <c r="D227" s="32" t="s">
        <v>692</v>
      </c>
      <c r="E227" s="36" t="str">
        <f t="shared" si="20"/>
        <v>12.00R24-☆☆PR-XC809</v>
      </c>
      <c r="F227" s="20" t="str">
        <f t="shared" si="24"/>
        <v/>
      </c>
      <c r="G227" s="23"/>
      <c r="H227" s="23"/>
      <c r="I227" s="24"/>
      <c r="J227" s="19" t="str">
        <f t="shared" si="21"/>
        <v/>
      </c>
    </row>
    <row r="228" s="19" customFormat="1" spans="1:10">
      <c r="A228" s="60" t="s">
        <v>798</v>
      </c>
      <c r="B228" s="29" t="s">
        <v>1101</v>
      </c>
      <c r="C228" s="29" t="s">
        <v>1936</v>
      </c>
      <c r="D228" s="28" t="s">
        <v>692</v>
      </c>
      <c r="E228" s="36" t="str">
        <f t="shared" si="20"/>
        <v>12.00R24-20PR-EZ309</v>
      </c>
      <c r="F228" s="20" t="str">
        <f t="shared" si="24"/>
        <v/>
      </c>
      <c r="G228" s="23"/>
      <c r="H228" s="23"/>
      <c r="I228" s="24"/>
      <c r="J228" s="19" t="str">
        <f t="shared" si="21"/>
        <v/>
      </c>
    </row>
    <row r="229" s="19" customFormat="1" spans="1:10">
      <c r="A229" s="29" t="s">
        <v>798</v>
      </c>
      <c r="B229" s="29" t="s">
        <v>1101</v>
      </c>
      <c r="C229" s="29" t="s">
        <v>1972</v>
      </c>
      <c r="D229" s="28" t="s">
        <v>692</v>
      </c>
      <c r="E229" s="36" t="str">
        <f t="shared" si="20"/>
        <v>12.00R24-20PR-I-301</v>
      </c>
      <c r="F229" s="20" t="str">
        <f t="shared" si="24"/>
        <v/>
      </c>
      <c r="G229" s="23"/>
      <c r="H229" s="23"/>
      <c r="I229" s="24"/>
      <c r="J229" s="19" t="str">
        <f t="shared" si="21"/>
        <v/>
      </c>
    </row>
    <row r="230" s="19" customFormat="1" spans="1:10">
      <c r="A230" s="29" t="s">
        <v>1974</v>
      </c>
      <c r="B230" s="29" t="s">
        <v>1074</v>
      </c>
      <c r="C230" s="29" t="s">
        <v>1742</v>
      </c>
      <c r="D230" s="28" t="s">
        <v>692</v>
      </c>
      <c r="E230" s="36" t="str">
        <f t="shared" si="20"/>
        <v>215/75R17.5-16PR-I-19A</v>
      </c>
      <c r="F230" s="20" t="str">
        <f t="shared" si="24"/>
        <v/>
      </c>
      <c r="G230" s="23"/>
      <c r="H230" s="23"/>
      <c r="I230" s="24"/>
      <c r="J230" s="19" t="str">
        <f t="shared" si="21"/>
        <v/>
      </c>
    </row>
    <row r="231" s="19" customFormat="1" spans="1:10">
      <c r="A231" s="29" t="s">
        <v>1974</v>
      </c>
      <c r="B231" s="29" t="s">
        <v>1074</v>
      </c>
      <c r="C231" s="29" t="s">
        <v>1857</v>
      </c>
      <c r="D231" s="28" t="s">
        <v>692</v>
      </c>
      <c r="E231" s="36" t="str">
        <f t="shared" si="20"/>
        <v>215/75R17.5-16PR-H-RA</v>
      </c>
      <c r="F231" s="20" t="str">
        <f t="shared" si="24"/>
        <v/>
      </c>
      <c r="G231" s="23"/>
      <c r="H231" s="23"/>
      <c r="I231" s="24"/>
      <c r="J231" s="19" t="str">
        <f t="shared" si="21"/>
        <v/>
      </c>
    </row>
    <row r="232" s="19" customFormat="1" spans="1:10">
      <c r="A232" s="31" t="s">
        <v>1974</v>
      </c>
      <c r="B232" s="31" t="s">
        <v>1092</v>
      </c>
      <c r="C232" s="31" t="s">
        <v>1751</v>
      </c>
      <c r="D232" s="32" t="s">
        <v>692</v>
      </c>
      <c r="E232" s="36" t="str">
        <f t="shared" si="20"/>
        <v>215/75R17.5-18PR-CR960A</v>
      </c>
      <c r="F232" s="20" t="str">
        <f t="shared" si="24"/>
        <v/>
      </c>
      <c r="G232" s="23"/>
      <c r="H232" s="23"/>
      <c r="I232" s="24"/>
      <c r="J232" s="19" t="str">
        <f t="shared" si="21"/>
        <v/>
      </c>
    </row>
    <row r="233" s="19" customFormat="1" spans="1:10">
      <c r="A233" s="31" t="s">
        <v>1974</v>
      </c>
      <c r="B233" s="31" t="s">
        <v>1092</v>
      </c>
      <c r="C233" s="31" t="s">
        <v>1755</v>
      </c>
      <c r="D233" s="32" t="s">
        <v>692</v>
      </c>
      <c r="E233" s="36" t="str">
        <f t="shared" si="20"/>
        <v>215/75R17.5-18PR-RLINE-A1</v>
      </c>
      <c r="F233" s="20" t="str">
        <f t="shared" si="24"/>
        <v/>
      </c>
      <c r="G233" s="23"/>
      <c r="H233" s="23"/>
      <c r="I233" s="24"/>
      <c r="J233" s="19" t="str">
        <f t="shared" si="21"/>
        <v/>
      </c>
    </row>
    <row r="234" s="19" customFormat="1" spans="1:10">
      <c r="A234" s="31" t="s">
        <v>1974</v>
      </c>
      <c r="B234" s="31" t="s">
        <v>1074</v>
      </c>
      <c r="C234" s="31" t="s">
        <v>1751</v>
      </c>
      <c r="D234" s="32" t="s">
        <v>692</v>
      </c>
      <c r="E234" s="36" t="str">
        <f t="shared" si="20"/>
        <v>215/75R17.5-16PR-CR960A</v>
      </c>
      <c r="F234" s="20" t="str">
        <f t="shared" si="24"/>
        <v/>
      </c>
      <c r="G234" s="23"/>
      <c r="H234" s="23"/>
      <c r="I234" s="24"/>
      <c r="J234" s="19" t="str">
        <f t="shared" si="21"/>
        <v/>
      </c>
    </row>
    <row r="235" s="19" customFormat="1" spans="1:10">
      <c r="A235" s="29" t="s">
        <v>1974</v>
      </c>
      <c r="B235" s="31" t="s">
        <v>1074</v>
      </c>
      <c r="C235" s="29" t="s">
        <v>1977</v>
      </c>
      <c r="D235" s="28" t="s">
        <v>692</v>
      </c>
      <c r="E235" s="36" t="str">
        <f t="shared" si="20"/>
        <v>215/75R17.5-16PR-VA933</v>
      </c>
      <c r="F235" s="20" t="str">
        <f t="shared" si="24"/>
        <v/>
      </c>
      <c r="G235" s="23"/>
      <c r="H235" s="23"/>
      <c r="I235" s="24"/>
      <c r="J235" s="19" t="str">
        <f t="shared" si="21"/>
        <v/>
      </c>
    </row>
    <row r="236" s="19" customFormat="1" spans="1:10">
      <c r="A236" s="29" t="s">
        <v>1974</v>
      </c>
      <c r="B236" s="31" t="s">
        <v>1074</v>
      </c>
      <c r="C236" s="29" t="s">
        <v>1979</v>
      </c>
      <c r="D236" s="28" t="s">
        <v>692</v>
      </c>
      <c r="E236" s="36" t="str">
        <f t="shared" si="20"/>
        <v>215/75R17.5-16PR-ZA15</v>
      </c>
      <c r="F236" s="20" t="str">
        <f t="shared" si="24"/>
        <v/>
      </c>
      <c r="G236" s="23"/>
      <c r="H236" s="23"/>
      <c r="I236" s="24"/>
      <c r="J236" s="19" t="str">
        <f t="shared" si="21"/>
        <v/>
      </c>
    </row>
    <row r="237" s="19" customFormat="1" spans="1:10">
      <c r="A237" s="29" t="s">
        <v>1974</v>
      </c>
      <c r="B237" s="31" t="s">
        <v>1092</v>
      </c>
      <c r="C237" s="29" t="s">
        <v>1977</v>
      </c>
      <c r="D237" s="28" t="s">
        <v>692</v>
      </c>
      <c r="E237" s="36" t="str">
        <f t="shared" si="20"/>
        <v>215/75R17.5-18PR-VA933</v>
      </c>
      <c r="F237" s="20" t="str">
        <f t="shared" si="24"/>
        <v/>
      </c>
      <c r="G237" s="23"/>
      <c r="H237" s="23"/>
      <c r="I237" s="24"/>
      <c r="J237" s="19" t="str">
        <f t="shared" si="21"/>
        <v/>
      </c>
    </row>
    <row r="238" s="19" customFormat="1" spans="1:10">
      <c r="A238" s="29" t="s">
        <v>1974</v>
      </c>
      <c r="B238" s="31" t="s">
        <v>1092</v>
      </c>
      <c r="C238" s="29" t="s">
        <v>1979</v>
      </c>
      <c r="D238" s="28" t="s">
        <v>692</v>
      </c>
      <c r="E238" s="36" t="str">
        <f t="shared" si="20"/>
        <v>215/75R17.5-18PR-ZA15</v>
      </c>
      <c r="F238" s="20" t="str">
        <f t="shared" si="24"/>
        <v/>
      </c>
      <c r="G238" s="23"/>
      <c r="H238" s="23"/>
      <c r="I238" s="24"/>
      <c r="J238" s="19" t="str">
        <f t="shared" si="21"/>
        <v/>
      </c>
    </row>
    <row r="239" s="19" customFormat="1" spans="1:10">
      <c r="A239" s="29" t="s">
        <v>1974</v>
      </c>
      <c r="B239" s="29" t="s">
        <v>1074</v>
      </c>
      <c r="C239" s="29" t="s">
        <v>1776</v>
      </c>
      <c r="D239" s="28" t="s">
        <v>692</v>
      </c>
      <c r="E239" s="36" t="str">
        <f t="shared" si="20"/>
        <v>215/75R17.5-16PR-AZ599</v>
      </c>
      <c r="F239" s="20" t="str">
        <f t="shared" si="24"/>
        <v/>
      </c>
      <c r="G239" s="23"/>
      <c r="H239" s="23"/>
      <c r="I239" s="24"/>
      <c r="J239" s="19" t="str">
        <f t="shared" si="21"/>
        <v/>
      </c>
    </row>
    <row r="240" s="19" customFormat="1" spans="1:10">
      <c r="A240" s="29" t="s">
        <v>1974</v>
      </c>
      <c r="B240" s="29" t="s">
        <v>1074</v>
      </c>
      <c r="C240" s="29" t="s">
        <v>1982</v>
      </c>
      <c r="D240" s="28" t="s">
        <v>692</v>
      </c>
      <c r="E240" s="36" t="str">
        <f t="shared" si="20"/>
        <v>215/75R17.5-16PR-AP-7318</v>
      </c>
      <c r="F240" s="20" t="str">
        <f t="shared" si="24"/>
        <v/>
      </c>
      <c r="G240" s="23"/>
      <c r="H240" s="23"/>
      <c r="I240" s="24"/>
      <c r="J240" s="19" t="str">
        <f t="shared" si="21"/>
        <v/>
      </c>
    </row>
    <row r="241" s="19" customFormat="1" spans="1:10">
      <c r="A241" s="29" t="s">
        <v>1974</v>
      </c>
      <c r="B241" s="29" t="s">
        <v>1074</v>
      </c>
      <c r="C241" s="29" t="s">
        <v>1781</v>
      </c>
      <c r="D241" s="28" t="s">
        <v>692</v>
      </c>
      <c r="E241" s="36" t="str">
        <f t="shared" si="20"/>
        <v>215/75R17.5-16PR-HF1 Plus</v>
      </c>
      <c r="F241" s="20"/>
      <c r="G241" s="23"/>
      <c r="H241" s="23"/>
      <c r="I241" s="24"/>
      <c r="J241" s="19" t="str">
        <f t="shared" si="21"/>
        <v/>
      </c>
    </row>
    <row r="242" s="19" customFormat="1" spans="1:10">
      <c r="A242" s="29" t="s">
        <v>1974</v>
      </c>
      <c r="B242" s="62" t="s">
        <v>1092</v>
      </c>
      <c r="C242" s="29" t="s">
        <v>1778</v>
      </c>
      <c r="D242" s="28" t="s">
        <v>692</v>
      </c>
      <c r="E242" s="36" t="str">
        <f t="shared" si="20"/>
        <v>215/75R17.5-18PR-M-TRAC AP</v>
      </c>
      <c r="F242" s="20"/>
      <c r="G242" s="23"/>
      <c r="H242" s="23"/>
      <c r="I242" s="24"/>
      <c r="J242" s="19" t="str">
        <f t="shared" si="21"/>
        <v/>
      </c>
    </row>
    <row r="243" s="19" customFormat="1" spans="1:10">
      <c r="A243" s="29" t="s">
        <v>1974</v>
      </c>
      <c r="B243" s="29" t="s">
        <v>1074</v>
      </c>
      <c r="C243" s="29" t="s">
        <v>1823</v>
      </c>
      <c r="D243" s="28" t="s">
        <v>692</v>
      </c>
      <c r="E243" s="36" t="str">
        <f t="shared" si="20"/>
        <v>215/75R17.5-16PR-AS673</v>
      </c>
      <c r="F243" s="20"/>
      <c r="G243" s="23"/>
      <c r="H243" s="23"/>
      <c r="I243" s="24"/>
      <c r="J243" s="19" t="str">
        <f t="shared" si="21"/>
        <v/>
      </c>
    </row>
    <row r="244" s="19" customFormat="1" spans="1:10">
      <c r="A244" s="29" t="s">
        <v>1974</v>
      </c>
      <c r="B244" s="29" t="s">
        <v>1074</v>
      </c>
      <c r="C244" s="29" t="s">
        <v>1983</v>
      </c>
      <c r="D244" s="28" t="s">
        <v>692</v>
      </c>
      <c r="E244" s="36" t="str">
        <f t="shared" si="20"/>
        <v>215/75R17.5-16PR-CM986</v>
      </c>
      <c r="F244" s="20" t="str">
        <f t="shared" ref="F244:F261" si="25">_xlfn.TEXTJOIN("-",TRUE,A728,B728,C728)</f>
        <v/>
      </c>
      <c r="G244" s="23"/>
      <c r="H244" s="23"/>
      <c r="I244" s="24"/>
      <c r="J244" s="19" t="str">
        <f t="shared" si="21"/>
        <v/>
      </c>
    </row>
    <row r="245" s="19" customFormat="1" spans="1:10">
      <c r="A245" s="29" t="s">
        <v>1986</v>
      </c>
      <c r="B245" s="29" t="s">
        <v>958</v>
      </c>
      <c r="C245" s="29" t="s">
        <v>1751</v>
      </c>
      <c r="D245" s="28" t="s">
        <v>692</v>
      </c>
      <c r="E245" s="36" t="str">
        <f t="shared" si="20"/>
        <v>225/70R19.5-14PR-CR960A</v>
      </c>
      <c r="F245" s="20" t="str">
        <f t="shared" si="25"/>
        <v/>
      </c>
      <c r="G245" s="23"/>
      <c r="H245" s="23"/>
      <c r="I245" s="24"/>
      <c r="J245" s="19" t="str">
        <f t="shared" si="21"/>
        <v/>
      </c>
    </row>
    <row r="246" s="19" customFormat="1" spans="1:10">
      <c r="A246" s="29" t="s">
        <v>1986</v>
      </c>
      <c r="B246" s="29" t="s">
        <v>958</v>
      </c>
      <c r="C246" s="29" t="s">
        <v>1755</v>
      </c>
      <c r="D246" s="28" t="s">
        <v>692</v>
      </c>
      <c r="E246" s="36" t="str">
        <f t="shared" si="20"/>
        <v>225/70R19.5-14PR-RLINE-A1</v>
      </c>
      <c r="F246" s="20" t="str">
        <f t="shared" si="25"/>
        <v/>
      </c>
      <c r="G246" s="23"/>
      <c r="H246" s="23"/>
      <c r="I246" s="24"/>
      <c r="J246" s="19" t="str">
        <f t="shared" si="21"/>
        <v/>
      </c>
    </row>
    <row r="247" s="19" customFormat="1" spans="1:10">
      <c r="A247" s="29" t="s">
        <v>1986</v>
      </c>
      <c r="B247" s="29" t="s">
        <v>958</v>
      </c>
      <c r="C247" s="29" t="s">
        <v>1857</v>
      </c>
      <c r="D247" s="28" t="s">
        <v>692</v>
      </c>
      <c r="E247" s="36" t="str">
        <f t="shared" si="20"/>
        <v>225/70R19.5-14PR-H-RA</v>
      </c>
      <c r="F247" s="20" t="str">
        <f t="shared" si="25"/>
        <v/>
      </c>
      <c r="G247" s="23"/>
      <c r="H247" s="23"/>
      <c r="I247" s="24"/>
      <c r="J247" s="19" t="str">
        <f t="shared" si="21"/>
        <v/>
      </c>
    </row>
    <row r="248" s="19" customFormat="1" spans="1:10">
      <c r="A248" s="29" t="s">
        <v>1986</v>
      </c>
      <c r="B248" s="29" t="s">
        <v>958</v>
      </c>
      <c r="C248" s="29" t="s">
        <v>1983</v>
      </c>
      <c r="D248" s="28" t="s">
        <v>692</v>
      </c>
      <c r="E248" s="36" t="str">
        <f t="shared" si="20"/>
        <v>225/70R19.5-14PR-CM986</v>
      </c>
      <c r="F248" s="20" t="str">
        <f t="shared" si="25"/>
        <v/>
      </c>
      <c r="G248" s="23"/>
      <c r="H248" s="23"/>
      <c r="I248" s="24"/>
      <c r="J248" s="19" t="str">
        <f t="shared" si="21"/>
        <v/>
      </c>
    </row>
    <row r="249" s="19" customFormat="1" spans="1:10">
      <c r="A249" s="29" t="s">
        <v>1986</v>
      </c>
      <c r="B249" s="29" t="s">
        <v>958</v>
      </c>
      <c r="C249" s="29" t="s">
        <v>1990</v>
      </c>
      <c r="D249" s="28" t="s">
        <v>692</v>
      </c>
      <c r="E249" s="36" t="str">
        <f t="shared" si="20"/>
        <v>225/70R19.5-14PR-DA24</v>
      </c>
      <c r="F249" s="20" t="str">
        <f t="shared" si="25"/>
        <v/>
      </c>
      <c r="G249" s="23"/>
      <c r="H249" s="23"/>
      <c r="I249" s="24"/>
      <c r="J249" s="19" t="str">
        <f t="shared" si="21"/>
        <v/>
      </c>
    </row>
    <row r="250" s="19" customFormat="1" spans="1:10">
      <c r="A250" s="29" t="s">
        <v>1986</v>
      </c>
      <c r="B250" s="29" t="s">
        <v>958</v>
      </c>
      <c r="C250" s="29" t="s">
        <v>1742</v>
      </c>
      <c r="D250" s="28" t="s">
        <v>692</v>
      </c>
      <c r="E250" s="36" t="str">
        <f t="shared" si="20"/>
        <v>225/70R19.5-14PR-I-19A</v>
      </c>
      <c r="F250" s="20" t="str">
        <f t="shared" si="25"/>
        <v/>
      </c>
      <c r="G250" s="23"/>
      <c r="H250" s="23"/>
      <c r="I250" s="24"/>
      <c r="J250" s="19" t="str">
        <f t="shared" si="21"/>
        <v/>
      </c>
    </row>
    <row r="251" s="19" customFormat="1" spans="1:10">
      <c r="A251" s="29" t="s">
        <v>1986</v>
      </c>
      <c r="B251" s="29" t="s">
        <v>958</v>
      </c>
      <c r="C251" s="29" t="s">
        <v>1977</v>
      </c>
      <c r="D251" s="28" t="s">
        <v>692</v>
      </c>
      <c r="E251" s="36" t="str">
        <f t="shared" si="20"/>
        <v>225/70R19.5-14PR-VA933</v>
      </c>
      <c r="F251" s="20" t="str">
        <f t="shared" si="25"/>
        <v/>
      </c>
      <c r="G251" s="23"/>
      <c r="H251" s="23"/>
      <c r="I251" s="24"/>
      <c r="J251" s="19" t="str">
        <f t="shared" si="21"/>
        <v/>
      </c>
    </row>
    <row r="252" s="19" customFormat="1" spans="1:10">
      <c r="A252" s="29" t="s">
        <v>1986</v>
      </c>
      <c r="B252" s="29" t="s">
        <v>958</v>
      </c>
      <c r="C252" s="29" t="s">
        <v>1979</v>
      </c>
      <c r="D252" s="28" t="s">
        <v>692</v>
      </c>
      <c r="E252" s="36" t="str">
        <f t="shared" si="20"/>
        <v>225/70R19.5-14PR-ZA15</v>
      </c>
      <c r="F252" s="20" t="str">
        <f t="shared" si="25"/>
        <v/>
      </c>
      <c r="G252" s="23"/>
      <c r="H252" s="23"/>
      <c r="I252" s="24"/>
      <c r="J252" s="19" t="str">
        <f t="shared" si="21"/>
        <v/>
      </c>
    </row>
    <row r="253" s="19" customFormat="1" spans="1:10">
      <c r="A253" s="29" t="s">
        <v>1986</v>
      </c>
      <c r="B253" s="29" t="s">
        <v>958</v>
      </c>
      <c r="C253" s="29" t="s">
        <v>1849</v>
      </c>
      <c r="D253" s="28" t="s">
        <v>692</v>
      </c>
      <c r="E253" s="36" t="str">
        <f t="shared" si="20"/>
        <v>225/70R19.5-14PR-I-37D</v>
      </c>
      <c r="F253" s="20" t="str">
        <f t="shared" si="25"/>
        <v/>
      </c>
      <c r="G253" s="23"/>
      <c r="H253" s="23"/>
      <c r="I253" s="24"/>
      <c r="J253" s="19" t="str">
        <f t="shared" si="21"/>
        <v/>
      </c>
    </row>
    <row r="254" s="19" customFormat="1" spans="1:10">
      <c r="A254" s="29" t="s">
        <v>1986</v>
      </c>
      <c r="B254" s="29" t="s">
        <v>958</v>
      </c>
      <c r="C254" s="29" t="s">
        <v>1776</v>
      </c>
      <c r="D254" s="28" t="s">
        <v>692</v>
      </c>
      <c r="E254" s="36" t="str">
        <f t="shared" si="20"/>
        <v>225/70R19.5-14PR-AZ599</v>
      </c>
      <c r="F254" s="20" t="str">
        <f t="shared" si="25"/>
        <v/>
      </c>
      <c r="G254" s="23"/>
      <c r="H254" s="23"/>
      <c r="I254" s="24"/>
      <c r="J254" s="19" t="str">
        <f t="shared" si="21"/>
        <v/>
      </c>
    </row>
    <row r="255" s="19" customFormat="1" spans="1:10">
      <c r="A255" s="29" t="s">
        <v>1986</v>
      </c>
      <c r="B255" s="29" t="s">
        <v>958</v>
      </c>
      <c r="C255" s="29" t="s">
        <v>1781</v>
      </c>
      <c r="D255" s="28" t="s">
        <v>692</v>
      </c>
      <c r="E255" s="36" t="str">
        <f t="shared" si="20"/>
        <v>225/70R19.5-14PR-HF1 Plus</v>
      </c>
      <c r="F255" s="20" t="str">
        <f t="shared" si="25"/>
        <v/>
      </c>
      <c r="G255" s="23"/>
      <c r="H255" s="23"/>
      <c r="I255" s="24"/>
      <c r="J255" s="19" t="str">
        <f t="shared" si="21"/>
        <v/>
      </c>
    </row>
    <row r="256" s="19" customFormat="1" spans="1:10">
      <c r="A256" s="29" t="s">
        <v>1986</v>
      </c>
      <c r="B256" s="29" t="s">
        <v>958</v>
      </c>
      <c r="C256" s="29" t="s">
        <v>1778</v>
      </c>
      <c r="D256" s="28" t="s">
        <v>692</v>
      </c>
      <c r="E256" s="36" t="str">
        <f t="shared" si="20"/>
        <v>225/70R19.5-14PR-M-TRAC AP</v>
      </c>
      <c r="F256" s="20" t="str">
        <f t="shared" si="25"/>
        <v/>
      </c>
      <c r="G256" s="23"/>
      <c r="H256" s="23"/>
      <c r="I256" s="24"/>
      <c r="J256" s="19" t="str">
        <f t="shared" si="21"/>
        <v/>
      </c>
    </row>
    <row r="257" s="19" customFormat="1" spans="1:10">
      <c r="A257" s="29" t="s">
        <v>1986</v>
      </c>
      <c r="B257" s="29" t="s">
        <v>958</v>
      </c>
      <c r="C257" s="29" t="s">
        <v>1982</v>
      </c>
      <c r="D257" s="28" t="s">
        <v>692</v>
      </c>
      <c r="E257" s="36" t="str">
        <f t="shared" si="20"/>
        <v>225/70R19.5-14PR-AP-7318</v>
      </c>
      <c r="F257" s="20" t="str">
        <f t="shared" si="25"/>
        <v/>
      </c>
      <c r="G257" s="23"/>
      <c r="H257" s="23"/>
      <c r="I257" s="24"/>
      <c r="J257" s="19" t="str">
        <f t="shared" si="21"/>
        <v/>
      </c>
    </row>
    <row r="258" s="19" customFormat="1" spans="1:10">
      <c r="A258" s="29" t="s">
        <v>1986</v>
      </c>
      <c r="B258" s="29" t="s">
        <v>958</v>
      </c>
      <c r="C258" s="29" t="s">
        <v>2003</v>
      </c>
      <c r="D258" s="28" t="s">
        <v>692</v>
      </c>
      <c r="E258" s="36" t="str">
        <f t="shared" si="20"/>
        <v>225/70R19.5-14PR-I-208</v>
      </c>
      <c r="F258" s="20" t="str">
        <f t="shared" si="25"/>
        <v/>
      </c>
      <c r="G258" s="23"/>
      <c r="H258" s="23"/>
      <c r="I258" s="24"/>
      <c r="J258" s="19" t="str">
        <f t="shared" si="21"/>
        <v/>
      </c>
    </row>
    <row r="259" s="19" customFormat="1" spans="1:10">
      <c r="A259" s="29" t="s">
        <v>1986</v>
      </c>
      <c r="B259" s="29" t="s">
        <v>958</v>
      </c>
      <c r="C259" s="29" t="s">
        <v>1995</v>
      </c>
      <c r="D259" s="28" t="s">
        <v>692</v>
      </c>
      <c r="E259" s="36" t="str">
        <f t="shared" ref="E259:E322" si="26">_xlfn.TEXTJOIN("-",TRUE,A259,B259,C259)</f>
        <v>225/70R19.5-14PR-AD717</v>
      </c>
      <c r="F259" s="20" t="str">
        <f t="shared" si="25"/>
        <v/>
      </c>
      <c r="G259" s="23"/>
      <c r="H259" s="23"/>
      <c r="I259" s="24"/>
      <c r="J259" s="19" t="str">
        <f t="shared" ref="J259:J322" si="27">_xlfn.TEXTJOIN("-",TRUE,F259,G259,H259)</f>
        <v/>
      </c>
    </row>
    <row r="260" s="19" customFormat="1" spans="1:10">
      <c r="A260" s="29" t="s">
        <v>1986</v>
      </c>
      <c r="B260" s="29" t="s">
        <v>958</v>
      </c>
      <c r="C260" s="29" t="s">
        <v>1997</v>
      </c>
      <c r="D260" s="28" t="s">
        <v>692</v>
      </c>
      <c r="E260" s="36" t="str">
        <f t="shared" si="26"/>
        <v>225/70R19.5-14PR-AW717</v>
      </c>
      <c r="F260" s="20" t="str">
        <f t="shared" si="25"/>
        <v/>
      </c>
      <c r="G260" s="23"/>
      <c r="H260" s="23"/>
      <c r="I260" s="24"/>
      <c r="J260" s="19" t="str">
        <f t="shared" si="27"/>
        <v/>
      </c>
    </row>
    <row r="261" s="19" customFormat="1" spans="1:10">
      <c r="A261" s="29" t="s">
        <v>1986</v>
      </c>
      <c r="B261" s="29" t="s">
        <v>958</v>
      </c>
      <c r="C261" s="29" t="s">
        <v>1998</v>
      </c>
      <c r="D261" s="28" t="s">
        <v>692</v>
      </c>
      <c r="E261" s="36" t="str">
        <f t="shared" si="26"/>
        <v>225/70R19.5-14PR-M-TRAC HTD</v>
      </c>
      <c r="F261" s="20" t="str">
        <f t="shared" si="25"/>
        <v/>
      </c>
      <c r="G261" s="23"/>
      <c r="H261" s="23"/>
      <c r="I261" s="24"/>
      <c r="J261" s="19" t="str">
        <f t="shared" si="27"/>
        <v/>
      </c>
    </row>
    <row r="262" s="19" customFormat="1" spans="1:10">
      <c r="A262" s="29" t="s">
        <v>1986</v>
      </c>
      <c r="B262" s="29" t="s">
        <v>958</v>
      </c>
      <c r="C262" s="29" t="s">
        <v>4764</v>
      </c>
      <c r="D262" s="28" t="s">
        <v>692</v>
      </c>
      <c r="E262" s="36" t="str">
        <f t="shared" si="26"/>
        <v>225/70R19.5-14PR-HD3 PLUS</v>
      </c>
      <c r="F262" s="20"/>
      <c r="G262" s="23"/>
      <c r="H262" s="23"/>
      <c r="I262" s="24"/>
      <c r="J262" s="19" t="str">
        <f t="shared" si="27"/>
        <v/>
      </c>
    </row>
    <row r="263" s="19" customFormat="1" spans="1:10">
      <c r="A263" s="29" t="s">
        <v>1986</v>
      </c>
      <c r="B263" s="29" t="s">
        <v>958</v>
      </c>
      <c r="C263" s="29" t="s">
        <v>2000</v>
      </c>
      <c r="D263" s="28" t="s">
        <v>692</v>
      </c>
      <c r="E263" s="36" t="str">
        <f t="shared" si="26"/>
        <v>225/70R19.5-14PR-DR-7318</v>
      </c>
      <c r="F263" s="20"/>
      <c r="G263" s="23"/>
      <c r="H263" s="23"/>
      <c r="I263" s="24"/>
      <c r="J263" s="19" t="str">
        <f t="shared" si="27"/>
        <v/>
      </c>
    </row>
    <row r="264" s="19" customFormat="1" spans="1:10">
      <c r="A264" s="29" t="s">
        <v>1986</v>
      </c>
      <c r="B264" s="29" t="s">
        <v>958</v>
      </c>
      <c r="C264" s="29" t="s">
        <v>2005</v>
      </c>
      <c r="D264" s="28" t="s">
        <v>692</v>
      </c>
      <c r="E264" s="36" t="str">
        <f t="shared" si="26"/>
        <v>225/70R19.5-14PR-VD935</v>
      </c>
      <c r="F264" s="20"/>
      <c r="G264" s="23"/>
      <c r="H264" s="23"/>
      <c r="I264" s="24"/>
      <c r="J264" s="19" t="str">
        <f t="shared" si="27"/>
        <v/>
      </c>
    </row>
    <row r="265" s="19" customFormat="1" spans="1:10">
      <c r="A265" s="29" t="s">
        <v>1986</v>
      </c>
      <c r="B265" s="29" t="s">
        <v>958</v>
      </c>
      <c r="C265" s="29" t="s">
        <v>1827</v>
      </c>
      <c r="D265" s="28" t="s">
        <v>692</v>
      </c>
      <c r="E265" s="36" t="str">
        <f t="shared" si="26"/>
        <v>225/70R19.5-14PR-AD778</v>
      </c>
      <c r="F265" s="20"/>
      <c r="G265" s="23"/>
      <c r="H265" s="23"/>
      <c r="I265" s="24"/>
      <c r="J265" s="19" t="str">
        <f t="shared" si="27"/>
        <v/>
      </c>
    </row>
    <row r="266" s="19" customFormat="1" spans="1:10">
      <c r="A266" s="29" t="s">
        <v>2012</v>
      </c>
      <c r="B266" s="29" t="s">
        <v>1074</v>
      </c>
      <c r="C266" s="33" t="s">
        <v>1751</v>
      </c>
      <c r="D266" s="28" t="s">
        <v>692</v>
      </c>
      <c r="E266" s="36" t="str">
        <f t="shared" si="26"/>
        <v>235/75R17.5-16PR-CR960A</v>
      </c>
      <c r="F266" s="20"/>
      <c r="G266" s="23"/>
      <c r="H266" s="23"/>
      <c r="I266" s="24"/>
      <c r="J266" s="19" t="str">
        <f t="shared" si="27"/>
        <v/>
      </c>
    </row>
    <row r="267" s="19" customFormat="1" spans="1:10">
      <c r="A267" s="29" t="s">
        <v>2012</v>
      </c>
      <c r="B267" s="29" t="s">
        <v>1074</v>
      </c>
      <c r="C267" s="33" t="s">
        <v>1823</v>
      </c>
      <c r="D267" s="28" t="s">
        <v>692</v>
      </c>
      <c r="E267" s="36" t="str">
        <f t="shared" si="26"/>
        <v>235/75R17.5-16PR-AS673</v>
      </c>
      <c r="F267" s="20"/>
      <c r="G267" s="23"/>
      <c r="H267" s="23"/>
      <c r="I267" s="24"/>
      <c r="J267" s="19" t="str">
        <f t="shared" si="27"/>
        <v/>
      </c>
    </row>
    <row r="268" s="19" customFormat="1" spans="1:10">
      <c r="A268" s="29" t="s">
        <v>2012</v>
      </c>
      <c r="B268" s="29" t="s">
        <v>1074</v>
      </c>
      <c r="C268" s="33" t="s">
        <v>2014</v>
      </c>
      <c r="D268" s="28" t="s">
        <v>692</v>
      </c>
      <c r="E268" s="64" t="str">
        <f t="shared" si="26"/>
        <v>235/75R17.5-16PR-I-109</v>
      </c>
      <c r="F268" s="20"/>
      <c r="G268" s="23"/>
      <c r="H268" s="23"/>
      <c r="I268" s="24"/>
      <c r="J268" s="19" t="str">
        <f t="shared" si="27"/>
        <v/>
      </c>
    </row>
    <row r="269" s="19" customFormat="1" spans="1:10">
      <c r="A269" s="29" t="s">
        <v>2012</v>
      </c>
      <c r="B269" s="29" t="s">
        <v>1074</v>
      </c>
      <c r="C269" s="33" t="s">
        <v>2015</v>
      </c>
      <c r="D269" s="28" t="s">
        <v>692</v>
      </c>
      <c r="E269" s="36" t="str">
        <f t="shared" si="26"/>
        <v>235/75R17.5-16PR-MGM17</v>
      </c>
      <c r="F269" s="20"/>
      <c r="G269" s="23"/>
      <c r="H269" s="23"/>
      <c r="I269" s="24"/>
      <c r="J269" s="19" t="str">
        <f t="shared" si="27"/>
        <v/>
      </c>
    </row>
    <row r="270" s="19" customFormat="1" spans="1:10">
      <c r="A270" s="29" t="s">
        <v>2012</v>
      </c>
      <c r="B270" s="29" t="s">
        <v>1074</v>
      </c>
      <c r="C270" s="33" t="s">
        <v>1776</v>
      </c>
      <c r="D270" s="28" t="s">
        <v>692</v>
      </c>
      <c r="E270" s="36" t="str">
        <f t="shared" si="26"/>
        <v>235/75R17.5-16PR-AZ599</v>
      </c>
      <c r="F270" s="20"/>
      <c r="G270" s="23"/>
      <c r="H270" s="23"/>
      <c r="I270" s="24"/>
      <c r="J270" s="19" t="str">
        <f t="shared" si="27"/>
        <v/>
      </c>
    </row>
    <row r="271" s="19" customFormat="1" spans="1:10">
      <c r="A271" s="29" t="s">
        <v>2012</v>
      </c>
      <c r="B271" s="29" t="s">
        <v>1074</v>
      </c>
      <c r="C271" s="33" t="s">
        <v>4765</v>
      </c>
      <c r="D271" s="28" t="s">
        <v>692</v>
      </c>
      <c r="E271" s="36" t="str">
        <f t="shared" si="26"/>
        <v>235/75R17.5-16PR-HF1 PLUS</v>
      </c>
      <c r="F271" s="20"/>
      <c r="G271" s="23"/>
      <c r="H271" s="23"/>
      <c r="I271" s="24"/>
      <c r="J271" s="19" t="str">
        <f t="shared" si="27"/>
        <v/>
      </c>
    </row>
    <row r="272" s="19" customFormat="1" spans="1:10">
      <c r="A272" s="29" t="s">
        <v>2012</v>
      </c>
      <c r="B272" s="29" t="s">
        <v>1074</v>
      </c>
      <c r="C272" s="33" t="s">
        <v>1755</v>
      </c>
      <c r="D272" s="28" t="s">
        <v>692</v>
      </c>
      <c r="E272" s="36" t="str">
        <f t="shared" si="26"/>
        <v>235/75R17.5-16PR-RLINE-A1</v>
      </c>
      <c r="F272" s="20"/>
      <c r="G272" s="23"/>
      <c r="H272" s="23"/>
      <c r="I272" s="24"/>
      <c r="J272" s="19" t="str">
        <f t="shared" si="27"/>
        <v/>
      </c>
    </row>
    <row r="273" s="19" customFormat="1" spans="1:10">
      <c r="A273" s="29" t="s">
        <v>2012</v>
      </c>
      <c r="B273" s="29" t="s">
        <v>1092</v>
      </c>
      <c r="C273" s="33" t="s">
        <v>1857</v>
      </c>
      <c r="D273" s="28" t="s">
        <v>692</v>
      </c>
      <c r="E273" s="36" t="str">
        <f t="shared" si="26"/>
        <v>235/75R17.5-18PR-H-RA</v>
      </c>
      <c r="F273" s="20"/>
      <c r="G273" s="23"/>
      <c r="H273" s="23"/>
      <c r="I273" s="24"/>
      <c r="J273" s="19" t="str">
        <f t="shared" si="27"/>
        <v/>
      </c>
    </row>
    <row r="274" s="19" customFormat="1" spans="1:10">
      <c r="A274" s="29" t="s">
        <v>2012</v>
      </c>
      <c r="B274" s="29" t="s">
        <v>1092</v>
      </c>
      <c r="C274" s="33" t="s">
        <v>1982</v>
      </c>
      <c r="D274" s="28" t="s">
        <v>692</v>
      </c>
      <c r="E274" s="36" t="str">
        <f t="shared" si="26"/>
        <v>235/75R17.5-18PR-AP-7318</v>
      </c>
      <c r="F274" s="20" t="str">
        <f t="shared" ref="F274:F299" si="28">_xlfn.TEXTJOIN("-",TRUE,A758,B758,C758)</f>
        <v/>
      </c>
      <c r="G274" s="23"/>
      <c r="H274" s="23"/>
      <c r="I274" s="24"/>
      <c r="J274" s="19" t="str">
        <f t="shared" si="27"/>
        <v/>
      </c>
    </row>
    <row r="275" s="19" customFormat="1" spans="1:10">
      <c r="A275" s="29" t="s">
        <v>2012</v>
      </c>
      <c r="B275" s="29" t="s">
        <v>1092</v>
      </c>
      <c r="C275" s="33" t="s">
        <v>1751</v>
      </c>
      <c r="D275" s="28" t="s">
        <v>692</v>
      </c>
      <c r="E275" s="36" t="str">
        <f t="shared" si="26"/>
        <v>235/75R17.5-18PR-CR960A</v>
      </c>
      <c r="F275" s="20" t="str">
        <f t="shared" si="28"/>
        <v/>
      </c>
      <c r="G275" s="23"/>
      <c r="H275" s="23"/>
      <c r="I275" s="24"/>
      <c r="J275" s="19" t="str">
        <f t="shared" si="27"/>
        <v/>
      </c>
    </row>
    <row r="276" s="19" customFormat="1" spans="1:10">
      <c r="A276" s="29" t="s">
        <v>2012</v>
      </c>
      <c r="B276" s="29" t="s">
        <v>1092</v>
      </c>
      <c r="C276" s="33" t="s">
        <v>1823</v>
      </c>
      <c r="D276" s="28" t="s">
        <v>692</v>
      </c>
      <c r="E276" s="36" t="str">
        <f t="shared" si="26"/>
        <v>235/75R17.5-18PR-AS673</v>
      </c>
      <c r="F276" s="20" t="str">
        <f t="shared" si="28"/>
        <v/>
      </c>
      <c r="G276" s="23"/>
      <c r="H276" s="23"/>
      <c r="I276" s="24"/>
      <c r="J276" s="19" t="str">
        <f t="shared" si="27"/>
        <v/>
      </c>
    </row>
    <row r="277" s="19" customFormat="1" spans="1:10">
      <c r="A277" s="29" t="s">
        <v>2012</v>
      </c>
      <c r="B277" s="29" t="s">
        <v>1092</v>
      </c>
      <c r="C277" s="33" t="s">
        <v>2014</v>
      </c>
      <c r="D277" s="28" t="s">
        <v>692</v>
      </c>
      <c r="E277" s="36" t="str">
        <f t="shared" si="26"/>
        <v>235/75R17.5-18PR-I-109</v>
      </c>
      <c r="F277" s="20" t="str">
        <f t="shared" si="28"/>
        <v/>
      </c>
      <c r="G277" s="23"/>
      <c r="H277" s="23"/>
      <c r="I277" s="24"/>
      <c r="J277" s="19" t="str">
        <f t="shared" si="27"/>
        <v/>
      </c>
    </row>
    <row r="278" s="19" customFormat="1" spans="1:10">
      <c r="A278" s="29" t="s">
        <v>2012</v>
      </c>
      <c r="B278" s="29" t="s">
        <v>1092</v>
      </c>
      <c r="C278" s="33" t="s">
        <v>2015</v>
      </c>
      <c r="D278" s="28" t="s">
        <v>692</v>
      </c>
      <c r="E278" s="36" t="str">
        <f t="shared" si="26"/>
        <v>235/75R17.5-18PR-MGM17</v>
      </c>
      <c r="F278" s="20" t="str">
        <f t="shared" si="28"/>
        <v/>
      </c>
      <c r="G278" s="23"/>
      <c r="H278" s="23"/>
      <c r="I278" s="24"/>
      <c r="J278" s="19" t="str">
        <f t="shared" si="27"/>
        <v/>
      </c>
    </row>
    <row r="279" s="19" customFormat="1" spans="1:10">
      <c r="A279" s="29" t="s">
        <v>2012</v>
      </c>
      <c r="B279" s="29" t="s">
        <v>1092</v>
      </c>
      <c r="C279" s="33" t="s">
        <v>1776</v>
      </c>
      <c r="D279" s="28" t="s">
        <v>692</v>
      </c>
      <c r="E279" s="36" t="str">
        <f t="shared" si="26"/>
        <v>235/75R17.5-18PR-AZ599</v>
      </c>
      <c r="F279" s="20" t="str">
        <f t="shared" si="28"/>
        <v/>
      </c>
      <c r="G279" s="23"/>
      <c r="H279" s="23"/>
      <c r="I279" s="24"/>
      <c r="J279" s="19" t="str">
        <f t="shared" si="27"/>
        <v/>
      </c>
    </row>
    <row r="280" s="19" customFormat="1" spans="1:10">
      <c r="A280" s="29" t="s">
        <v>2012</v>
      </c>
      <c r="B280" s="29" t="s">
        <v>1092</v>
      </c>
      <c r="C280" s="33" t="s">
        <v>4765</v>
      </c>
      <c r="D280" s="28" t="s">
        <v>692</v>
      </c>
      <c r="E280" s="36" t="str">
        <f t="shared" si="26"/>
        <v>235/75R17.5-18PR-HF1 PLUS</v>
      </c>
      <c r="F280" s="20" t="str">
        <f t="shared" si="28"/>
        <v/>
      </c>
      <c r="G280" s="23"/>
      <c r="H280" s="23"/>
      <c r="I280" s="24"/>
      <c r="J280" s="19" t="str">
        <f t="shared" si="27"/>
        <v/>
      </c>
    </row>
    <row r="281" s="19" customFormat="1" spans="1:10">
      <c r="A281" s="29" t="s">
        <v>2012</v>
      </c>
      <c r="B281" s="29" t="s">
        <v>1092</v>
      </c>
      <c r="C281" s="33" t="s">
        <v>1755</v>
      </c>
      <c r="D281" s="28" t="s">
        <v>692</v>
      </c>
      <c r="E281" s="36" t="str">
        <f t="shared" si="26"/>
        <v>235/75R17.5-18PR-RLINE-A1</v>
      </c>
      <c r="F281" s="20" t="str">
        <f t="shared" si="28"/>
        <v/>
      </c>
      <c r="G281" s="23"/>
      <c r="H281" s="23"/>
      <c r="I281" s="24"/>
      <c r="J281" s="19" t="str">
        <f t="shared" si="27"/>
        <v/>
      </c>
    </row>
    <row r="282" s="19" customFormat="1" spans="1:10">
      <c r="A282" s="29" t="s">
        <v>2012</v>
      </c>
      <c r="B282" s="29" t="s">
        <v>1092</v>
      </c>
      <c r="C282" s="33" t="s">
        <v>1979</v>
      </c>
      <c r="D282" s="28" t="s">
        <v>692</v>
      </c>
      <c r="E282" s="36" t="str">
        <f t="shared" si="26"/>
        <v>235/75R17.5-18PR-ZA15</v>
      </c>
      <c r="F282" s="20" t="str">
        <f t="shared" si="28"/>
        <v/>
      </c>
      <c r="G282" s="23"/>
      <c r="H282" s="23"/>
      <c r="I282" s="24"/>
      <c r="J282" s="19" t="str">
        <f t="shared" si="27"/>
        <v/>
      </c>
    </row>
    <row r="283" s="19" customFormat="1" spans="1:10">
      <c r="A283" s="29" t="s">
        <v>2012</v>
      </c>
      <c r="B283" s="29" t="s">
        <v>1092</v>
      </c>
      <c r="C283" s="33" t="s">
        <v>1977</v>
      </c>
      <c r="D283" s="28" t="s">
        <v>692</v>
      </c>
      <c r="E283" s="36" t="str">
        <f t="shared" si="26"/>
        <v>235/75R17.5-18PR-VA933</v>
      </c>
      <c r="F283" s="20" t="str">
        <f t="shared" si="28"/>
        <v/>
      </c>
      <c r="G283" s="23"/>
      <c r="H283" s="23"/>
      <c r="I283" s="24"/>
      <c r="J283" s="19" t="str">
        <f t="shared" si="27"/>
        <v/>
      </c>
    </row>
    <row r="284" s="19" customFormat="1" spans="1:10">
      <c r="A284" s="29" t="s">
        <v>2012</v>
      </c>
      <c r="B284" s="29" t="s">
        <v>1092</v>
      </c>
      <c r="C284" s="33" t="s">
        <v>1742</v>
      </c>
      <c r="D284" s="28" t="s">
        <v>692</v>
      </c>
      <c r="E284" s="36" t="str">
        <f t="shared" si="26"/>
        <v>235/75R17.5-18PR-I-19A</v>
      </c>
      <c r="F284" s="20" t="str">
        <f t="shared" si="28"/>
        <v/>
      </c>
      <c r="G284" s="23"/>
      <c r="H284" s="23"/>
      <c r="I284" s="24"/>
      <c r="J284" s="19" t="str">
        <f t="shared" si="27"/>
        <v/>
      </c>
    </row>
    <row r="285" s="19" customFormat="1" spans="1:10">
      <c r="A285" s="29" t="s">
        <v>2022</v>
      </c>
      <c r="B285" s="29" t="s">
        <v>1074</v>
      </c>
      <c r="C285" s="29" t="s">
        <v>1977</v>
      </c>
      <c r="D285" s="28" t="s">
        <v>692</v>
      </c>
      <c r="E285" s="36" t="str">
        <f t="shared" si="26"/>
        <v>245/70R19.5-16PR-VA933</v>
      </c>
      <c r="F285" s="20" t="str">
        <f t="shared" si="28"/>
        <v/>
      </c>
      <c r="G285" s="23"/>
      <c r="H285" s="23"/>
      <c r="I285" s="24"/>
      <c r="J285" s="19" t="str">
        <f t="shared" si="27"/>
        <v/>
      </c>
    </row>
    <row r="286" s="19" customFormat="1" spans="1:10">
      <c r="A286" s="29" t="s">
        <v>2022</v>
      </c>
      <c r="B286" s="29" t="s">
        <v>1074</v>
      </c>
      <c r="C286" s="29" t="s">
        <v>1979</v>
      </c>
      <c r="D286" s="28" t="s">
        <v>692</v>
      </c>
      <c r="E286" s="36" t="str">
        <f t="shared" si="26"/>
        <v>245/70R19.5-16PR-ZA15</v>
      </c>
      <c r="F286" s="20" t="str">
        <f t="shared" si="28"/>
        <v/>
      </c>
      <c r="G286" s="23"/>
      <c r="H286" s="23"/>
      <c r="I286" s="24"/>
      <c r="J286" s="19" t="str">
        <f t="shared" si="27"/>
        <v/>
      </c>
    </row>
    <row r="287" s="19" customFormat="1" spans="1:10">
      <c r="A287" s="29" t="s">
        <v>2022</v>
      </c>
      <c r="B287" s="29" t="s">
        <v>1074</v>
      </c>
      <c r="C287" s="29" t="s">
        <v>1983</v>
      </c>
      <c r="D287" s="28" t="s">
        <v>692</v>
      </c>
      <c r="E287" s="36" t="str">
        <f t="shared" si="26"/>
        <v>245/70R19.5-16PR-CM986</v>
      </c>
      <c r="F287" s="20" t="str">
        <f t="shared" si="28"/>
        <v/>
      </c>
      <c r="G287" s="23"/>
      <c r="H287" s="23"/>
      <c r="I287" s="24"/>
      <c r="J287" s="19" t="str">
        <f t="shared" si="27"/>
        <v/>
      </c>
    </row>
    <row r="288" s="19" customFormat="1" spans="1:10">
      <c r="A288" s="29" t="s">
        <v>2022</v>
      </c>
      <c r="B288" s="29" t="s">
        <v>1074</v>
      </c>
      <c r="C288" s="29" t="s">
        <v>1742</v>
      </c>
      <c r="D288" s="28" t="s">
        <v>692</v>
      </c>
      <c r="E288" s="36" t="str">
        <f t="shared" si="26"/>
        <v>245/70R19.5-16PR-I-19A</v>
      </c>
      <c r="F288" s="20" t="str">
        <f t="shared" si="28"/>
        <v/>
      </c>
      <c r="G288" s="23"/>
      <c r="H288" s="23"/>
      <c r="I288" s="24"/>
      <c r="J288" s="19" t="str">
        <f t="shared" si="27"/>
        <v/>
      </c>
    </row>
    <row r="289" s="19" customFormat="1" spans="1:10">
      <c r="A289" s="29" t="s">
        <v>2022</v>
      </c>
      <c r="B289" s="29" t="s">
        <v>1074</v>
      </c>
      <c r="C289" s="29" t="s">
        <v>1990</v>
      </c>
      <c r="D289" s="28" t="s">
        <v>692</v>
      </c>
      <c r="E289" s="36" t="str">
        <f t="shared" si="26"/>
        <v>245/70R19.5-16PR-DA24</v>
      </c>
      <c r="F289" s="20" t="str">
        <f t="shared" si="28"/>
        <v/>
      </c>
      <c r="G289" s="23"/>
      <c r="H289" s="23"/>
      <c r="I289" s="24"/>
      <c r="J289" s="19" t="str">
        <f t="shared" si="27"/>
        <v/>
      </c>
    </row>
    <row r="290" s="19" customFormat="1" spans="1:10">
      <c r="A290" s="29" t="s">
        <v>2022</v>
      </c>
      <c r="B290" s="29" t="s">
        <v>1074</v>
      </c>
      <c r="C290" s="29" t="s">
        <v>1776</v>
      </c>
      <c r="D290" s="28" t="s">
        <v>692</v>
      </c>
      <c r="E290" s="36" t="str">
        <f t="shared" si="26"/>
        <v>245/70R19.5-16PR-AZ599</v>
      </c>
      <c r="F290" s="20" t="str">
        <f t="shared" si="28"/>
        <v/>
      </c>
      <c r="G290" s="23"/>
      <c r="H290" s="23"/>
      <c r="I290" s="24"/>
      <c r="J290" s="19" t="str">
        <f t="shared" si="27"/>
        <v/>
      </c>
    </row>
    <row r="291" s="19" customFormat="1" spans="1:10">
      <c r="A291" s="29" t="s">
        <v>2022</v>
      </c>
      <c r="B291" s="29" t="s">
        <v>1074</v>
      </c>
      <c r="C291" s="29" t="s">
        <v>1781</v>
      </c>
      <c r="D291" s="28" t="s">
        <v>692</v>
      </c>
      <c r="E291" s="36" t="str">
        <f t="shared" si="26"/>
        <v>245/70R19.5-16PR-HF1 Plus</v>
      </c>
      <c r="F291" s="20" t="str">
        <f t="shared" si="28"/>
        <v/>
      </c>
      <c r="G291" s="23"/>
      <c r="H291" s="23"/>
      <c r="I291" s="24"/>
      <c r="J291" s="19" t="str">
        <f t="shared" si="27"/>
        <v/>
      </c>
    </row>
    <row r="292" s="19" customFormat="1" spans="1:10">
      <c r="A292" s="29" t="s">
        <v>2022</v>
      </c>
      <c r="B292" s="29" t="s">
        <v>1074</v>
      </c>
      <c r="C292" s="29" t="s">
        <v>1982</v>
      </c>
      <c r="D292" s="28" t="s">
        <v>692</v>
      </c>
      <c r="E292" s="36" t="str">
        <f t="shared" si="26"/>
        <v>245/70R19.5-16PR-AP-7318</v>
      </c>
      <c r="F292" s="20" t="str">
        <f t="shared" si="28"/>
        <v/>
      </c>
      <c r="G292" s="23"/>
      <c r="H292" s="23"/>
      <c r="I292" s="24"/>
      <c r="J292" s="19" t="str">
        <f t="shared" si="27"/>
        <v/>
      </c>
    </row>
    <row r="293" s="19" customFormat="1" spans="1:10">
      <c r="A293" s="29" t="s">
        <v>2022</v>
      </c>
      <c r="B293" s="29" t="s">
        <v>1074</v>
      </c>
      <c r="C293" s="29" t="s">
        <v>1849</v>
      </c>
      <c r="D293" s="28" t="s">
        <v>692</v>
      </c>
      <c r="E293" s="36" t="str">
        <f t="shared" si="26"/>
        <v>245/70R19.5-16PR-I-37D</v>
      </c>
      <c r="F293" s="20" t="str">
        <f t="shared" si="28"/>
        <v/>
      </c>
      <c r="G293" s="23"/>
      <c r="H293" s="23"/>
      <c r="I293" s="24"/>
      <c r="J293" s="19" t="str">
        <f t="shared" si="27"/>
        <v/>
      </c>
    </row>
    <row r="294" s="19" customFormat="1" spans="1:10">
      <c r="A294" s="29" t="s">
        <v>2022</v>
      </c>
      <c r="B294" s="29" t="s">
        <v>1074</v>
      </c>
      <c r="C294" s="29" t="s">
        <v>2005</v>
      </c>
      <c r="D294" s="28" t="s">
        <v>692</v>
      </c>
      <c r="E294" s="36" t="str">
        <f t="shared" si="26"/>
        <v>245/70R19.5-16PR-VD935</v>
      </c>
      <c r="F294" s="20" t="str">
        <f t="shared" si="28"/>
        <v/>
      </c>
      <c r="G294" s="23"/>
      <c r="H294" s="23"/>
      <c r="I294" s="24"/>
      <c r="J294" s="19" t="str">
        <f t="shared" si="27"/>
        <v/>
      </c>
    </row>
    <row r="295" s="19" customFormat="1" spans="1:10">
      <c r="A295" s="29" t="s">
        <v>2022</v>
      </c>
      <c r="B295" s="29" t="s">
        <v>1074</v>
      </c>
      <c r="C295" s="29" t="s">
        <v>4764</v>
      </c>
      <c r="D295" s="28" t="s">
        <v>692</v>
      </c>
      <c r="E295" s="36" t="str">
        <f t="shared" si="26"/>
        <v>245/70R19.5-16PR-HD3 PLUS</v>
      </c>
      <c r="F295" s="20" t="str">
        <f t="shared" si="28"/>
        <v/>
      </c>
      <c r="G295" s="23"/>
      <c r="H295" s="23"/>
      <c r="I295" s="24"/>
      <c r="J295" s="19" t="str">
        <f t="shared" si="27"/>
        <v/>
      </c>
    </row>
    <row r="296" s="19" customFormat="1" spans="1:10">
      <c r="A296" s="29" t="s">
        <v>2022</v>
      </c>
      <c r="B296" s="29" t="s">
        <v>1074</v>
      </c>
      <c r="C296" s="29" t="s">
        <v>1823</v>
      </c>
      <c r="D296" s="28" t="s">
        <v>692</v>
      </c>
      <c r="E296" s="36" t="str">
        <f t="shared" si="26"/>
        <v>245/70R19.5-16PR-AS673</v>
      </c>
      <c r="F296" s="20" t="str">
        <f t="shared" si="28"/>
        <v/>
      </c>
      <c r="G296" s="23"/>
      <c r="H296" s="23"/>
      <c r="I296" s="24"/>
      <c r="J296" s="19" t="str">
        <f t="shared" si="27"/>
        <v/>
      </c>
    </row>
    <row r="297" s="19" customFormat="1" spans="1:10">
      <c r="A297" s="29" t="s">
        <v>2040</v>
      </c>
      <c r="B297" s="29" t="s">
        <v>1074</v>
      </c>
      <c r="C297" s="29" t="s">
        <v>1742</v>
      </c>
      <c r="D297" s="28" t="s">
        <v>692</v>
      </c>
      <c r="E297" s="36" t="str">
        <f t="shared" si="26"/>
        <v>255/70R22.5-16PR-I-19A</v>
      </c>
      <c r="F297" s="20" t="str">
        <f t="shared" si="28"/>
        <v/>
      </c>
      <c r="G297" s="23"/>
      <c r="H297" s="23"/>
      <c r="I297" s="24"/>
      <c r="J297" s="19" t="str">
        <f t="shared" si="27"/>
        <v/>
      </c>
    </row>
    <row r="298" s="19" customFormat="1" spans="1:10">
      <c r="A298" s="33" t="s">
        <v>2040</v>
      </c>
      <c r="B298" s="29" t="s">
        <v>1074</v>
      </c>
      <c r="C298" s="29" t="s">
        <v>1776</v>
      </c>
      <c r="D298" s="28" t="s">
        <v>692</v>
      </c>
      <c r="E298" s="36" t="str">
        <f t="shared" si="26"/>
        <v>255/70R22.5-16PR-AZ599</v>
      </c>
      <c r="F298" s="20" t="str">
        <f t="shared" si="28"/>
        <v/>
      </c>
      <c r="G298" s="23"/>
      <c r="H298" s="23"/>
      <c r="I298" s="24"/>
      <c r="J298" s="19" t="str">
        <f t="shared" si="27"/>
        <v/>
      </c>
    </row>
    <row r="299" s="19" customFormat="1" spans="1:10">
      <c r="A299" s="33" t="s">
        <v>2040</v>
      </c>
      <c r="B299" s="29" t="s">
        <v>1074</v>
      </c>
      <c r="C299" s="29" t="s">
        <v>4765</v>
      </c>
      <c r="D299" s="28" t="s">
        <v>692</v>
      </c>
      <c r="E299" s="36" t="str">
        <f t="shared" si="26"/>
        <v>255/70R22.5-16PR-HF1 PLUS</v>
      </c>
      <c r="F299" s="20" t="str">
        <f t="shared" si="28"/>
        <v/>
      </c>
      <c r="G299" s="23"/>
      <c r="H299" s="23"/>
      <c r="I299" s="24"/>
      <c r="J299" s="19" t="str">
        <f t="shared" si="27"/>
        <v/>
      </c>
    </row>
    <row r="300" s="19" customFormat="1" spans="1:10">
      <c r="A300" s="33" t="s">
        <v>2040</v>
      </c>
      <c r="B300" s="29" t="s">
        <v>1074</v>
      </c>
      <c r="C300" s="29" t="s">
        <v>1778</v>
      </c>
      <c r="D300" s="28" t="s">
        <v>692</v>
      </c>
      <c r="E300" s="36" t="str">
        <f t="shared" si="26"/>
        <v>255/70R22.5-16PR-M-TRAC AP</v>
      </c>
      <c r="F300" s="20"/>
      <c r="G300" s="23"/>
      <c r="H300" s="23"/>
      <c r="I300" s="24"/>
      <c r="J300" s="19" t="str">
        <f t="shared" si="27"/>
        <v/>
      </c>
    </row>
    <row r="301" s="19" customFormat="1" spans="1:10">
      <c r="A301" s="33" t="s">
        <v>2040</v>
      </c>
      <c r="B301" s="29" t="s">
        <v>1074</v>
      </c>
      <c r="C301" s="29" t="s">
        <v>1461</v>
      </c>
      <c r="D301" s="28" t="s">
        <v>692</v>
      </c>
      <c r="E301" s="36" t="str">
        <f t="shared" si="26"/>
        <v>255/70R22.5-16PR-CR976A</v>
      </c>
      <c r="F301" s="20"/>
      <c r="G301" s="23"/>
      <c r="H301" s="23"/>
      <c r="I301" s="24"/>
      <c r="J301" s="19" t="str">
        <f t="shared" si="27"/>
        <v/>
      </c>
    </row>
    <row r="302" s="19" customFormat="1" spans="1:10">
      <c r="A302" s="33" t="s">
        <v>2040</v>
      </c>
      <c r="B302" s="29" t="s">
        <v>1074</v>
      </c>
      <c r="C302" s="29" t="s">
        <v>2042</v>
      </c>
      <c r="D302" s="28" t="s">
        <v>692</v>
      </c>
      <c r="E302" s="36" t="str">
        <f t="shared" si="26"/>
        <v>255/70R22.5-16PR-RLINE-A2</v>
      </c>
      <c r="F302" s="20"/>
      <c r="G302" s="23"/>
      <c r="H302" s="23"/>
      <c r="I302" s="24"/>
      <c r="J302" s="19" t="str">
        <f t="shared" si="27"/>
        <v/>
      </c>
    </row>
    <row r="303" s="19" customFormat="1" spans="1:10">
      <c r="A303" s="33" t="s">
        <v>2040</v>
      </c>
      <c r="B303" s="29" t="s">
        <v>1074</v>
      </c>
      <c r="C303" s="29" t="s">
        <v>1857</v>
      </c>
      <c r="D303" s="28" t="s">
        <v>692</v>
      </c>
      <c r="E303" s="36" t="str">
        <f t="shared" si="26"/>
        <v>255/70R22.5-16PR-H-RA</v>
      </c>
      <c r="F303" s="20"/>
      <c r="G303" s="23"/>
      <c r="H303" s="23"/>
      <c r="I303" s="24"/>
      <c r="J303" s="19" t="str">
        <f t="shared" si="27"/>
        <v/>
      </c>
    </row>
    <row r="304" s="19" customFormat="1" spans="1:10">
      <c r="A304" s="33" t="s">
        <v>2040</v>
      </c>
      <c r="B304" s="29" t="s">
        <v>1074</v>
      </c>
      <c r="C304" s="29" t="s">
        <v>1724</v>
      </c>
      <c r="D304" s="28" t="s">
        <v>692</v>
      </c>
      <c r="E304" s="36" t="str">
        <f t="shared" si="26"/>
        <v>255/70R22.5-16PR-VA996</v>
      </c>
      <c r="F304" s="20"/>
      <c r="G304" s="23"/>
      <c r="H304" s="23"/>
      <c r="I304" s="24"/>
      <c r="J304" s="19" t="str">
        <f t="shared" si="27"/>
        <v/>
      </c>
    </row>
    <row r="305" s="19" customFormat="1" spans="1:10">
      <c r="A305" s="29" t="s">
        <v>2057</v>
      </c>
      <c r="B305" s="29" t="s">
        <v>1092</v>
      </c>
      <c r="C305" s="29" t="s">
        <v>1977</v>
      </c>
      <c r="D305" s="63" t="s">
        <v>692</v>
      </c>
      <c r="E305" s="36" t="str">
        <f t="shared" si="26"/>
        <v>265/70R19.5-18PR-VA933</v>
      </c>
      <c r="F305" s="20"/>
      <c r="G305" s="23"/>
      <c r="H305" s="23"/>
      <c r="I305" s="24"/>
      <c r="J305" s="19" t="str">
        <f t="shared" si="27"/>
        <v/>
      </c>
    </row>
    <row r="306" s="19" customFormat="1" spans="1:10">
      <c r="A306" s="29" t="s">
        <v>2057</v>
      </c>
      <c r="B306" s="29" t="s">
        <v>1092</v>
      </c>
      <c r="C306" s="29" t="s">
        <v>1990</v>
      </c>
      <c r="D306" s="28" t="s">
        <v>692</v>
      </c>
      <c r="E306" s="36" t="str">
        <f t="shared" si="26"/>
        <v>265/70R19.5-18PR-DA24</v>
      </c>
      <c r="F306" s="20"/>
      <c r="G306" s="23"/>
      <c r="H306" s="23"/>
      <c r="I306" s="24"/>
      <c r="J306" s="19" t="str">
        <f t="shared" si="27"/>
        <v/>
      </c>
    </row>
    <row r="307" s="19" customFormat="1" spans="1:10">
      <c r="A307" s="33" t="s">
        <v>2057</v>
      </c>
      <c r="B307" s="29" t="s">
        <v>1092</v>
      </c>
      <c r="C307" s="29" t="s">
        <v>1979</v>
      </c>
      <c r="D307" s="28" t="s">
        <v>692</v>
      </c>
      <c r="E307" s="36" t="str">
        <f t="shared" si="26"/>
        <v>265/70R19.5-18PR-ZA15</v>
      </c>
      <c r="F307" s="20"/>
      <c r="G307" s="23"/>
      <c r="H307" s="23"/>
      <c r="I307" s="24"/>
      <c r="J307" s="19" t="str">
        <f t="shared" si="27"/>
        <v/>
      </c>
    </row>
    <row r="308" s="19" customFormat="1" spans="1:10">
      <c r="A308" s="33" t="s">
        <v>2057</v>
      </c>
      <c r="B308" s="29" t="s">
        <v>1092</v>
      </c>
      <c r="C308" s="29" t="s">
        <v>1742</v>
      </c>
      <c r="D308" s="28" t="s">
        <v>692</v>
      </c>
      <c r="E308" s="36" t="str">
        <f t="shared" si="26"/>
        <v>265/70R19.5-18PR-I-19A</v>
      </c>
      <c r="F308" s="20" t="str">
        <f t="shared" ref="F308:F360" si="29">_xlfn.TEXTJOIN("-",TRUE,A792,B792,C792)</f>
        <v/>
      </c>
      <c r="G308" s="23"/>
      <c r="H308" s="23"/>
      <c r="I308" s="24"/>
      <c r="J308" s="19" t="str">
        <f t="shared" si="27"/>
        <v/>
      </c>
    </row>
    <row r="309" s="19" customFormat="1" spans="1:10">
      <c r="A309" s="29" t="s">
        <v>2064</v>
      </c>
      <c r="B309" s="29" t="s">
        <v>1092</v>
      </c>
      <c r="C309" s="29" t="s">
        <v>1742</v>
      </c>
      <c r="D309" s="28" t="s">
        <v>692</v>
      </c>
      <c r="E309" s="36" t="str">
        <f t="shared" si="26"/>
        <v>275/70R22.5-18PR-I-19A</v>
      </c>
      <c r="F309" s="20" t="str">
        <f t="shared" si="29"/>
        <v/>
      </c>
      <c r="G309" s="23"/>
      <c r="H309" s="23"/>
      <c r="I309" s="24"/>
      <c r="J309" s="19" t="str">
        <f t="shared" si="27"/>
        <v/>
      </c>
    </row>
    <row r="310" s="19" customFormat="1" spans="1:10">
      <c r="A310" s="29" t="s">
        <v>2064</v>
      </c>
      <c r="B310" s="62" t="s">
        <v>1074</v>
      </c>
      <c r="C310" s="29" t="s">
        <v>1857</v>
      </c>
      <c r="D310" s="28" t="s">
        <v>692</v>
      </c>
      <c r="E310" s="36" t="str">
        <f t="shared" si="26"/>
        <v>275/70R22.5-16PR-H-RA</v>
      </c>
      <c r="F310" s="20" t="str">
        <f t="shared" si="29"/>
        <v/>
      </c>
      <c r="G310" s="23"/>
      <c r="H310" s="23"/>
      <c r="I310" s="24"/>
      <c r="J310" s="19" t="str">
        <f t="shared" si="27"/>
        <v/>
      </c>
    </row>
    <row r="311" s="19" customFormat="1" spans="1:10">
      <c r="A311" s="29" t="s">
        <v>2072</v>
      </c>
      <c r="B311" s="29" t="s">
        <v>1074</v>
      </c>
      <c r="C311" s="29" t="s">
        <v>2081</v>
      </c>
      <c r="D311" s="28" t="s">
        <v>692</v>
      </c>
      <c r="E311" s="36" t="str">
        <f t="shared" si="26"/>
        <v>275/80R22.5-16PR-AD153</v>
      </c>
      <c r="F311" s="20" t="str">
        <f t="shared" si="29"/>
        <v/>
      </c>
      <c r="G311" s="23"/>
      <c r="H311" s="23"/>
      <c r="I311" s="24"/>
      <c r="J311" s="19" t="str">
        <f t="shared" si="27"/>
        <v/>
      </c>
    </row>
    <row r="312" s="19" customFormat="1" spans="1:10">
      <c r="A312" s="29" t="s">
        <v>2072</v>
      </c>
      <c r="B312" s="29" t="s">
        <v>1074</v>
      </c>
      <c r="C312" s="29" t="s">
        <v>2083</v>
      </c>
      <c r="D312" s="28" t="s">
        <v>692</v>
      </c>
      <c r="E312" s="36" t="str">
        <f t="shared" si="26"/>
        <v>275/80R22.5-16PR-G-PERFORM D</v>
      </c>
      <c r="F312" s="20" t="str">
        <f t="shared" si="29"/>
        <v/>
      </c>
      <c r="G312" s="23"/>
      <c r="H312" s="23"/>
      <c r="I312" s="24"/>
      <c r="J312" s="19" t="str">
        <f t="shared" si="27"/>
        <v/>
      </c>
    </row>
    <row r="313" s="19" customFormat="1" spans="1:10">
      <c r="A313" s="29" t="s">
        <v>2072</v>
      </c>
      <c r="B313" s="29" t="s">
        <v>1074</v>
      </c>
      <c r="C313" s="29" t="s">
        <v>2084</v>
      </c>
      <c r="D313" s="28" t="s">
        <v>692</v>
      </c>
      <c r="E313" s="36" t="str">
        <f t="shared" si="26"/>
        <v>275/80R22.5-16PR-BRD02 ECO</v>
      </c>
      <c r="F313" s="20" t="str">
        <f t="shared" si="29"/>
        <v/>
      </c>
      <c r="G313" s="23"/>
      <c r="H313" s="23"/>
      <c r="I313" s="24"/>
      <c r="J313" s="19" t="str">
        <f t="shared" si="27"/>
        <v/>
      </c>
    </row>
    <row r="314" s="19" customFormat="1" spans="1:10">
      <c r="A314" s="29" t="s">
        <v>2072</v>
      </c>
      <c r="B314" s="29" t="s">
        <v>1074</v>
      </c>
      <c r="C314" s="29" t="s">
        <v>2088</v>
      </c>
      <c r="D314" s="28" t="s">
        <v>692</v>
      </c>
      <c r="E314" s="36" t="str">
        <f t="shared" si="26"/>
        <v>275/80R22.5-16PR-AD528</v>
      </c>
      <c r="F314" s="20" t="str">
        <f t="shared" si="29"/>
        <v/>
      </c>
      <c r="G314" s="23"/>
      <c r="H314" s="23"/>
      <c r="I314" s="24"/>
      <c r="J314" s="19" t="str">
        <f t="shared" si="27"/>
        <v/>
      </c>
    </row>
    <row r="315" s="19" customFormat="1" spans="1:10">
      <c r="A315" s="29" t="s">
        <v>2072</v>
      </c>
      <c r="B315" s="29" t="s">
        <v>1074</v>
      </c>
      <c r="C315" s="29" t="s">
        <v>2090</v>
      </c>
      <c r="D315" s="28" t="s">
        <v>692</v>
      </c>
      <c r="E315" s="36" t="str">
        <f t="shared" si="26"/>
        <v>275/80R22.5-16PR-ECOTRAX D-II</v>
      </c>
      <c r="F315" s="20" t="str">
        <f t="shared" si="29"/>
        <v/>
      </c>
      <c r="G315" s="23"/>
      <c r="H315" s="23"/>
      <c r="I315" s="24"/>
      <c r="J315" s="19" t="str">
        <f t="shared" si="27"/>
        <v/>
      </c>
    </row>
    <row r="316" s="19" customFormat="1" spans="1:10">
      <c r="A316" s="29" t="s">
        <v>2072</v>
      </c>
      <c r="B316" s="29" t="s">
        <v>1074</v>
      </c>
      <c r="C316" s="29" t="s">
        <v>1461</v>
      </c>
      <c r="D316" s="28" t="s">
        <v>692</v>
      </c>
      <c r="E316" s="36" t="str">
        <f t="shared" si="26"/>
        <v>275/80R22.5-16PR-CR976A</v>
      </c>
      <c r="F316" s="20" t="str">
        <f t="shared" si="29"/>
        <v/>
      </c>
      <c r="G316" s="23"/>
      <c r="H316" s="23"/>
      <c r="I316" s="24"/>
      <c r="J316" s="19" t="str">
        <f t="shared" si="27"/>
        <v/>
      </c>
    </row>
    <row r="317" s="19" customFormat="1" spans="1:10">
      <c r="A317" s="29" t="s">
        <v>2072</v>
      </c>
      <c r="B317" s="29" t="s">
        <v>1074</v>
      </c>
      <c r="C317" s="29" t="s">
        <v>2074</v>
      </c>
      <c r="D317" s="28" t="s">
        <v>692</v>
      </c>
      <c r="E317" s="36" t="str">
        <f t="shared" si="26"/>
        <v>275/80R22.5-16PR-G-PERFORM S</v>
      </c>
      <c r="F317" s="20" t="str">
        <f t="shared" si="29"/>
        <v/>
      </c>
      <c r="G317" s="23"/>
      <c r="H317" s="23"/>
      <c r="I317" s="24"/>
      <c r="J317" s="19" t="str">
        <f t="shared" si="27"/>
        <v/>
      </c>
    </row>
    <row r="318" s="19" customFormat="1" spans="1:10">
      <c r="A318" s="29" t="s">
        <v>2072</v>
      </c>
      <c r="B318" s="29" t="s">
        <v>1074</v>
      </c>
      <c r="C318" s="29" t="s">
        <v>2075</v>
      </c>
      <c r="D318" s="28" t="s">
        <v>692</v>
      </c>
      <c r="E318" s="36" t="str">
        <f t="shared" si="26"/>
        <v>275/80R22.5-16PR-BRA04</v>
      </c>
      <c r="F318" s="20" t="str">
        <f t="shared" si="29"/>
        <v/>
      </c>
      <c r="G318" s="23"/>
      <c r="H318" s="23"/>
      <c r="I318" s="24"/>
      <c r="J318" s="19" t="str">
        <f t="shared" si="27"/>
        <v/>
      </c>
    </row>
    <row r="319" s="19" customFormat="1" spans="1:10">
      <c r="A319" s="29" t="s">
        <v>2072</v>
      </c>
      <c r="B319" s="29" t="s">
        <v>1074</v>
      </c>
      <c r="C319" s="29" t="s">
        <v>2076</v>
      </c>
      <c r="D319" s="28" t="s">
        <v>692</v>
      </c>
      <c r="E319" s="36" t="str">
        <f t="shared" si="26"/>
        <v>275/80R22.5-16PR-ECOLINE A-II</v>
      </c>
      <c r="F319" s="20" t="str">
        <f t="shared" si="29"/>
        <v/>
      </c>
      <c r="G319" s="23"/>
      <c r="H319" s="23"/>
      <c r="I319" s="24"/>
      <c r="J319" s="19" t="str">
        <f t="shared" si="27"/>
        <v/>
      </c>
    </row>
    <row r="320" s="19" customFormat="1" spans="1:10">
      <c r="A320" s="29" t="s">
        <v>2072</v>
      </c>
      <c r="B320" s="29" t="s">
        <v>1074</v>
      </c>
      <c r="C320" s="29" t="s">
        <v>2085</v>
      </c>
      <c r="D320" s="28" t="s">
        <v>692</v>
      </c>
      <c r="E320" s="36" t="str">
        <f t="shared" si="26"/>
        <v>275/80R22.5-16PR-CR906</v>
      </c>
      <c r="F320" s="20" t="str">
        <f t="shared" si="29"/>
        <v/>
      </c>
      <c r="G320" s="23"/>
      <c r="H320" s="23"/>
      <c r="I320" s="24"/>
      <c r="J320" s="19" t="str">
        <f t="shared" si="27"/>
        <v/>
      </c>
    </row>
    <row r="321" s="19" customFormat="1" spans="1:10">
      <c r="A321" s="29" t="s">
        <v>2072</v>
      </c>
      <c r="B321" s="29" t="s">
        <v>1074</v>
      </c>
      <c r="C321" s="29" t="s">
        <v>2087</v>
      </c>
      <c r="D321" s="28" t="s">
        <v>692</v>
      </c>
      <c r="E321" s="36" t="str">
        <f t="shared" si="26"/>
        <v>275/80R22.5-16PR-G-PRO U</v>
      </c>
      <c r="F321" s="20" t="str">
        <f t="shared" si="29"/>
        <v/>
      </c>
      <c r="G321" s="23"/>
      <c r="H321" s="23"/>
      <c r="I321" s="24"/>
      <c r="J321" s="19" t="str">
        <f t="shared" si="27"/>
        <v/>
      </c>
    </row>
    <row r="322" s="19" customFormat="1" spans="1:10">
      <c r="A322" s="29" t="s">
        <v>2072</v>
      </c>
      <c r="B322" s="29" t="s">
        <v>1074</v>
      </c>
      <c r="C322" s="29" t="s">
        <v>2077</v>
      </c>
      <c r="D322" s="28" t="s">
        <v>692</v>
      </c>
      <c r="E322" s="36" t="str">
        <f t="shared" si="26"/>
        <v>275/80R22.5-16PR-EZ573</v>
      </c>
      <c r="F322" s="20" t="str">
        <f t="shared" si="29"/>
        <v/>
      </c>
      <c r="G322" s="23"/>
      <c r="H322" s="23"/>
      <c r="I322" s="24"/>
      <c r="J322" s="19" t="str">
        <f t="shared" si="27"/>
        <v/>
      </c>
    </row>
    <row r="323" s="19" customFormat="1" spans="1:10">
      <c r="A323" s="29" t="s">
        <v>2072</v>
      </c>
      <c r="B323" s="29" t="s">
        <v>1074</v>
      </c>
      <c r="C323" s="29" t="s">
        <v>2079</v>
      </c>
      <c r="D323" s="28" t="s">
        <v>692</v>
      </c>
      <c r="E323" s="36" t="str">
        <f t="shared" ref="E323:E386" si="30">_xlfn.TEXTJOIN("-",TRUE,A323,B323,C323)</f>
        <v>275/80R22.5-16PR-G-PRO MSA</v>
      </c>
      <c r="F323" s="20" t="str">
        <f t="shared" si="29"/>
        <v/>
      </c>
      <c r="G323" s="23"/>
      <c r="H323" s="23"/>
      <c r="I323" s="24"/>
      <c r="J323" s="19" t="str">
        <f t="shared" ref="J323:J386" si="31">_xlfn.TEXTJOIN("-",TRUE,F323,G323,H323)</f>
        <v/>
      </c>
    </row>
    <row r="324" s="19" customFormat="1" spans="1:10">
      <c r="A324" s="29" t="s">
        <v>2072</v>
      </c>
      <c r="B324" s="29" t="s">
        <v>1074</v>
      </c>
      <c r="C324" s="29" t="s">
        <v>2080</v>
      </c>
      <c r="D324" s="28" t="s">
        <v>692</v>
      </c>
      <c r="E324" s="36" t="str">
        <f t="shared" si="30"/>
        <v>275/80R22.5-16PR-BMA03 ECO</v>
      </c>
      <c r="F324" s="20" t="str">
        <f t="shared" si="29"/>
        <v/>
      </c>
      <c r="G324" s="23"/>
      <c r="H324" s="23"/>
      <c r="I324" s="24"/>
      <c r="J324" s="19" t="str">
        <f t="shared" si="31"/>
        <v/>
      </c>
    </row>
    <row r="325" s="19" customFormat="1" spans="1:10">
      <c r="A325" s="29" t="s">
        <v>2072</v>
      </c>
      <c r="B325" s="29" t="s">
        <v>1074</v>
      </c>
      <c r="C325" s="29" t="s">
        <v>2098</v>
      </c>
      <c r="D325" s="28" t="s">
        <v>692</v>
      </c>
      <c r="E325" s="36" t="str">
        <f t="shared" si="30"/>
        <v>275/80R22.5-16PR-MD777</v>
      </c>
      <c r="F325" s="20" t="str">
        <f t="shared" si="29"/>
        <v/>
      </c>
      <c r="G325" s="23"/>
      <c r="H325" s="23"/>
      <c r="I325" s="24"/>
      <c r="J325" s="19" t="str">
        <f t="shared" si="31"/>
        <v/>
      </c>
    </row>
    <row r="326" s="19" customFormat="1" spans="1:10">
      <c r="A326" s="29" t="s">
        <v>2072</v>
      </c>
      <c r="B326" s="29" t="s">
        <v>1074</v>
      </c>
      <c r="C326" s="29" t="s">
        <v>2100</v>
      </c>
      <c r="D326" s="28" t="s">
        <v>692</v>
      </c>
      <c r="E326" s="36" t="str">
        <f t="shared" si="30"/>
        <v>275/80R22.5-16PR-G-PRO MSD</v>
      </c>
      <c r="F326" s="20" t="str">
        <f t="shared" si="29"/>
        <v/>
      </c>
      <c r="G326" s="23"/>
      <c r="H326" s="23"/>
      <c r="I326" s="24"/>
      <c r="J326" s="19" t="str">
        <f t="shared" si="31"/>
        <v/>
      </c>
    </row>
    <row r="327" s="19" customFormat="1" spans="1:10">
      <c r="A327" s="29" t="s">
        <v>2072</v>
      </c>
      <c r="B327" s="29" t="s">
        <v>1074</v>
      </c>
      <c r="C327" s="29" t="s">
        <v>1450</v>
      </c>
      <c r="D327" s="28" t="s">
        <v>692</v>
      </c>
      <c r="E327" s="36" t="str">
        <f t="shared" si="30"/>
        <v>275/80R22.5-16PR-AT196</v>
      </c>
      <c r="F327" s="20" t="str">
        <f t="shared" si="29"/>
        <v/>
      </c>
      <c r="G327" s="23"/>
      <c r="H327" s="23"/>
      <c r="I327" s="24"/>
      <c r="J327" s="19" t="str">
        <f t="shared" si="31"/>
        <v/>
      </c>
    </row>
    <row r="328" s="19" customFormat="1" spans="1:10">
      <c r="A328" s="29" t="s">
        <v>2072</v>
      </c>
      <c r="B328" s="29" t="s">
        <v>1074</v>
      </c>
      <c r="C328" s="29" t="s">
        <v>2091</v>
      </c>
      <c r="D328" s="28" t="s">
        <v>692</v>
      </c>
      <c r="E328" s="65" t="str">
        <f t="shared" si="30"/>
        <v>275/80R22.5-16PR-AZ179</v>
      </c>
      <c r="F328" s="20" t="str">
        <f t="shared" si="29"/>
        <v/>
      </c>
      <c r="G328" s="23"/>
      <c r="H328" s="23"/>
      <c r="I328" s="24"/>
      <c r="J328" s="19" t="str">
        <f t="shared" si="31"/>
        <v/>
      </c>
    </row>
    <row r="329" s="19" customFormat="1" spans="1:10">
      <c r="A329" s="29" t="s">
        <v>2072</v>
      </c>
      <c r="B329" s="29" t="s">
        <v>1074</v>
      </c>
      <c r="C329" s="29" t="s">
        <v>1559</v>
      </c>
      <c r="D329" s="28" t="s">
        <v>692</v>
      </c>
      <c r="E329" s="36" t="str">
        <f t="shared" si="30"/>
        <v>275/80R22.5-16PR-AS678</v>
      </c>
      <c r="F329" s="20" t="str">
        <f t="shared" si="29"/>
        <v/>
      </c>
      <c r="G329" s="23"/>
      <c r="H329" s="23"/>
      <c r="I329" s="24"/>
      <c r="J329" s="19" t="str">
        <f t="shared" si="31"/>
        <v/>
      </c>
    </row>
    <row r="330" s="19" customFormat="1" spans="1:10">
      <c r="A330" s="29" t="s">
        <v>2072</v>
      </c>
      <c r="B330" s="29" t="s">
        <v>1074</v>
      </c>
      <c r="C330" s="29" t="s">
        <v>2096</v>
      </c>
      <c r="D330" s="28" t="s">
        <v>692</v>
      </c>
      <c r="E330" s="36" t="str">
        <f t="shared" si="30"/>
        <v>275/80R22.5-16PR-AS898</v>
      </c>
      <c r="F330" s="20" t="str">
        <f t="shared" si="29"/>
        <v/>
      </c>
      <c r="G330" s="23"/>
      <c r="H330" s="23"/>
      <c r="I330" s="24"/>
      <c r="J330" s="19" t="str">
        <f t="shared" si="31"/>
        <v/>
      </c>
    </row>
    <row r="331" s="19" customFormat="1" spans="1:10">
      <c r="A331" s="29" t="s">
        <v>2111</v>
      </c>
      <c r="B331" s="29" t="s">
        <v>1074</v>
      </c>
      <c r="C331" s="29" t="s">
        <v>1745</v>
      </c>
      <c r="D331" s="28" t="s">
        <v>692</v>
      </c>
      <c r="E331" s="36" t="str">
        <f t="shared" si="30"/>
        <v>285/75R24.5-16PR-I-61S</v>
      </c>
      <c r="F331" s="20" t="str">
        <f t="shared" si="29"/>
        <v/>
      </c>
      <c r="G331" s="23"/>
      <c r="H331" s="23"/>
      <c r="I331" s="24"/>
      <c r="J331" s="19" t="str">
        <f t="shared" si="31"/>
        <v/>
      </c>
    </row>
    <row r="332" s="19" customFormat="1" spans="1:10">
      <c r="A332" s="29" t="s">
        <v>2111</v>
      </c>
      <c r="B332" s="29" t="s">
        <v>958</v>
      </c>
      <c r="C332" s="29" t="s">
        <v>1656</v>
      </c>
      <c r="D332" s="28" t="s">
        <v>692</v>
      </c>
      <c r="E332" s="36" t="str">
        <f t="shared" si="30"/>
        <v>285/75R24.5-14PR-I-48T</v>
      </c>
      <c r="F332" s="20" t="str">
        <f t="shared" si="29"/>
        <v/>
      </c>
      <c r="G332" s="23"/>
      <c r="H332" s="23"/>
      <c r="I332" s="24"/>
      <c r="J332" s="19" t="str">
        <f t="shared" si="31"/>
        <v/>
      </c>
    </row>
    <row r="333" s="19" customFormat="1" spans="1:10">
      <c r="A333" s="29" t="s">
        <v>2111</v>
      </c>
      <c r="B333" s="29" t="s">
        <v>958</v>
      </c>
      <c r="C333" s="29" t="s">
        <v>1742</v>
      </c>
      <c r="D333" s="28" t="s">
        <v>692</v>
      </c>
      <c r="E333" s="36" t="str">
        <f t="shared" si="30"/>
        <v>285/75R24.5-14PR-I-19A</v>
      </c>
      <c r="F333" s="20" t="str">
        <f t="shared" si="29"/>
        <v/>
      </c>
      <c r="G333" s="23"/>
      <c r="H333" s="23"/>
      <c r="I333" s="24"/>
      <c r="J333" s="19" t="str">
        <f t="shared" si="31"/>
        <v/>
      </c>
    </row>
    <row r="334" s="19" customFormat="1" spans="1:10">
      <c r="A334" s="29" t="s">
        <v>2111</v>
      </c>
      <c r="B334" s="29" t="s">
        <v>1074</v>
      </c>
      <c r="C334" s="29" t="s">
        <v>1842</v>
      </c>
      <c r="D334" s="28" t="s">
        <v>692</v>
      </c>
      <c r="E334" s="36" t="str">
        <f t="shared" si="30"/>
        <v>285/75R24.5-16PR-I-52A</v>
      </c>
      <c r="F334" s="20" t="str">
        <f t="shared" si="29"/>
        <v/>
      </c>
      <c r="G334" s="23"/>
      <c r="H334" s="23"/>
      <c r="I334" s="24"/>
      <c r="J334" s="19" t="str">
        <f t="shared" si="31"/>
        <v/>
      </c>
    </row>
    <row r="335" s="19" customFormat="1" spans="1:10">
      <c r="A335" s="29" t="s">
        <v>2111</v>
      </c>
      <c r="B335" s="29" t="s">
        <v>958</v>
      </c>
      <c r="C335" s="29" t="s">
        <v>1846</v>
      </c>
      <c r="D335" s="28" t="s">
        <v>692</v>
      </c>
      <c r="E335" s="36" t="str">
        <f t="shared" si="30"/>
        <v>285/75R24.5-14PR-I-28D</v>
      </c>
      <c r="F335" s="20" t="str">
        <f t="shared" si="29"/>
        <v/>
      </c>
      <c r="G335" s="23"/>
      <c r="H335" s="23"/>
      <c r="I335" s="24"/>
      <c r="J335" s="19" t="str">
        <f t="shared" si="31"/>
        <v/>
      </c>
    </row>
    <row r="336" s="19" customFormat="1" spans="1:10">
      <c r="A336" s="29" t="s">
        <v>2111</v>
      </c>
      <c r="B336" s="29" t="s">
        <v>958</v>
      </c>
      <c r="C336" s="29" t="s">
        <v>1849</v>
      </c>
      <c r="D336" s="28" t="s">
        <v>692</v>
      </c>
      <c r="E336" s="36" t="str">
        <f t="shared" si="30"/>
        <v>285/75R24.5-14PR-I-37D</v>
      </c>
      <c r="F336" s="20" t="str">
        <f t="shared" si="29"/>
        <v/>
      </c>
      <c r="G336" s="23"/>
      <c r="H336" s="23"/>
      <c r="I336" s="24"/>
      <c r="J336" s="19" t="str">
        <f t="shared" si="31"/>
        <v/>
      </c>
    </row>
    <row r="337" s="19" customFormat="1" spans="1:10">
      <c r="A337" s="29" t="s">
        <v>2111</v>
      </c>
      <c r="B337" s="29" t="s">
        <v>1074</v>
      </c>
      <c r="C337" s="29" t="s">
        <v>1756</v>
      </c>
      <c r="D337" s="28" t="s">
        <v>692</v>
      </c>
      <c r="E337" s="36" t="str">
        <f t="shared" si="30"/>
        <v>285/75R24.5-16PR-VD998</v>
      </c>
      <c r="F337" s="20" t="str">
        <f t="shared" si="29"/>
        <v/>
      </c>
      <c r="G337" s="23"/>
      <c r="H337" s="23"/>
      <c r="I337" s="24"/>
      <c r="J337" s="19" t="str">
        <f t="shared" si="31"/>
        <v/>
      </c>
    </row>
    <row r="338" s="19" customFormat="1" spans="1:10">
      <c r="A338" s="29" t="s">
        <v>2111</v>
      </c>
      <c r="B338" s="29" t="s">
        <v>958</v>
      </c>
      <c r="C338" s="29" t="s">
        <v>1776</v>
      </c>
      <c r="D338" s="28" t="s">
        <v>692</v>
      </c>
      <c r="E338" s="36" t="str">
        <f t="shared" si="30"/>
        <v>285/75R24.5-14PR-AZ599</v>
      </c>
      <c r="F338" s="20" t="str">
        <f t="shared" si="29"/>
        <v/>
      </c>
      <c r="G338" s="23"/>
      <c r="H338" s="23"/>
      <c r="I338" s="24"/>
      <c r="J338" s="19" t="str">
        <f t="shared" si="31"/>
        <v/>
      </c>
    </row>
    <row r="339" s="19" customFormat="1" spans="1:10">
      <c r="A339" s="29" t="s">
        <v>2111</v>
      </c>
      <c r="B339" s="29" t="s">
        <v>958</v>
      </c>
      <c r="C339" s="29" t="s">
        <v>1781</v>
      </c>
      <c r="D339" s="28" t="s">
        <v>692</v>
      </c>
      <c r="E339" s="36" t="str">
        <f t="shared" si="30"/>
        <v>285/75R24.5-14PR-HF1 Plus</v>
      </c>
      <c r="F339" s="20" t="str">
        <f t="shared" si="29"/>
        <v/>
      </c>
      <c r="G339" s="23"/>
      <c r="H339" s="23"/>
      <c r="I339" s="24"/>
      <c r="J339" s="19" t="str">
        <f t="shared" si="31"/>
        <v/>
      </c>
    </row>
    <row r="340" s="19" customFormat="1" spans="1:10">
      <c r="A340" s="29" t="s">
        <v>2111</v>
      </c>
      <c r="B340" s="29" t="s">
        <v>1074</v>
      </c>
      <c r="C340" s="29" t="s">
        <v>1776</v>
      </c>
      <c r="D340" s="28" t="s">
        <v>692</v>
      </c>
      <c r="E340" s="36" t="str">
        <f t="shared" si="30"/>
        <v>285/75R24.5-16PR-AZ599</v>
      </c>
      <c r="F340" s="20" t="str">
        <f t="shared" si="29"/>
        <v/>
      </c>
      <c r="G340" s="23"/>
      <c r="H340" s="23"/>
      <c r="I340" s="24"/>
      <c r="J340" s="19" t="str">
        <f t="shared" si="31"/>
        <v/>
      </c>
    </row>
    <row r="341" s="19" customFormat="1" spans="1:10">
      <c r="A341" s="29" t="s">
        <v>2111</v>
      </c>
      <c r="B341" s="29" t="s">
        <v>1074</v>
      </c>
      <c r="C341" s="29" t="s">
        <v>1781</v>
      </c>
      <c r="D341" s="28" t="s">
        <v>692</v>
      </c>
      <c r="E341" s="36" t="str">
        <f t="shared" si="30"/>
        <v>285/75R24.5-16PR-HF1 Plus</v>
      </c>
      <c r="F341" s="20" t="str">
        <f t="shared" si="29"/>
        <v/>
      </c>
      <c r="G341" s="23"/>
      <c r="H341" s="23"/>
      <c r="I341" s="24"/>
      <c r="J341" s="19" t="str">
        <f t="shared" si="31"/>
        <v/>
      </c>
    </row>
    <row r="342" s="19" customFormat="1" spans="1:10">
      <c r="A342" s="29" t="s">
        <v>2111</v>
      </c>
      <c r="B342" s="29" t="s">
        <v>1074</v>
      </c>
      <c r="C342" s="29" t="s">
        <v>1671</v>
      </c>
      <c r="D342" s="28" t="s">
        <v>692</v>
      </c>
      <c r="E342" s="36" t="str">
        <f t="shared" si="30"/>
        <v>285/75R24.5-16PR-HD1 Plus</v>
      </c>
      <c r="F342" s="20" t="str">
        <f t="shared" si="29"/>
        <v/>
      </c>
      <c r="G342" s="23"/>
      <c r="H342" s="23"/>
      <c r="I342" s="24"/>
      <c r="J342" s="19" t="str">
        <f t="shared" si="31"/>
        <v/>
      </c>
    </row>
    <row r="343" s="19" customFormat="1" spans="1:10">
      <c r="A343" s="29" t="s">
        <v>2111</v>
      </c>
      <c r="B343" s="29" t="s">
        <v>958</v>
      </c>
      <c r="C343" s="29" t="s">
        <v>1671</v>
      </c>
      <c r="D343" s="28" t="s">
        <v>692</v>
      </c>
      <c r="E343" s="36" t="str">
        <f t="shared" si="30"/>
        <v>285/75R24.5-14PR-HD1 Plus</v>
      </c>
      <c r="F343" s="20" t="str">
        <f t="shared" si="29"/>
        <v/>
      </c>
      <c r="G343" s="23"/>
      <c r="H343" s="23"/>
      <c r="I343" s="24"/>
      <c r="J343" s="19" t="str">
        <f t="shared" si="31"/>
        <v/>
      </c>
    </row>
    <row r="344" s="19" customFormat="1" spans="1:10">
      <c r="A344" s="29" t="s">
        <v>2111</v>
      </c>
      <c r="B344" s="29" t="s">
        <v>1074</v>
      </c>
      <c r="C344" s="29" t="s">
        <v>1665</v>
      </c>
      <c r="D344" s="28" t="s">
        <v>692</v>
      </c>
      <c r="E344" s="36" t="str">
        <f t="shared" si="30"/>
        <v>285/75R24.5-16PR-AD716</v>
      </c>
      <c r="F344" s="20" t="str">
        <f t="shared" si="29"/>
        <v/>
      </c>
      <c r="G344" s="23"/>
      <c r="H344" s="23"/>
      <c r="I344" s="24"/>
      <c r="J344" s="19" t="str">
        <f t="shared" si="31"/>
        <v/>
      </c>
    </row>
    <row r="345" s="19" customFormat="1" spans="1:10">
      <c r="A345" s="29" t="s">
        <v>2111</v>
      </c>
      <c r="B345" s="29" t="s">
        <v>1074</v>
      </c>
      <c r="C345" s="29" t="s">
        <v>1676</v>
      </c>
      <c r="D345" s="28" t="s">
        <v>692</v>
      </c>
      <c r="E345" s="36" t="str">
        <f t="shared" si="30"/>
        <v>285/75R24.5-16PR-CM996</v>
      </c>
      <c r="F345" s="20" t="str">
        <f t="shared" si="29"/>
        <v/>
      </c>
      <c r="G345" s="23"/>
      <c r="H345" s="23"/>
      <c r="I345" s="24"/>
      <c r="J345" s="19" t="str">
        <f t="shared" si="31"/>
        <v/>
      </c>
    </row>
    <row r="346" s="19" customFormat="1" spans="1:10">
      <c r="A346" s="29" t="s">
        <v>2111</v>
      </c>
      <c r="B346" s="29" t="s">
        <v>1074</v>
      </c>
      <c r="C346" s="29" t="s">
        <v>1821</v>
      </c>
      <c r="D346" s="28" t="s">
        <v>692</v>
      </c>
      <c r="E346" s="36" t="str">
        <f t="shared" si="30"/>
        <v>285/75R24.5-16PR-AD757</v>
      </c>
      <c r="F346" s="20" t="str">
        <f t="shared" si="29"/>
        <v/>
      </c>
      <c r="G346" s="23"/>
      <c r="H346" s="23"/>
      <c r="I346" s="24"/>
      <c r="J346" s="19" t="str">
        <f t="shared" si="31"/>
        <v/>
      </c>
    </row>
    <row r="347" s="19" customFormat="1" spans="1:10">
      <c r="A347" s="29" t="s">
        <v>2111</v>
      </c>
      <c r="B347" s="29" t="s">
        <v>1074</v>
      </c>
      <c r="C347" s="29" t="s">
        <v>2124</v>
      </c>
      <c r="D347" s="28" t="s">
        <v>692</v>
      </c>
      <c r="E347" s="36" t="str">
        <f t="shared" si="30"/>
        <v>285/75R24.5-16PR-RLINE-D1</v>
      </c>
      <c r="F347" s="20" t="str">
        <f t="shared" si="29"/>
        <v/>
      </c>
      <c r="G347" s="23"/>
      <c r="H347" s="23"/>
      <c r="I347" s="24"/>
      <c r="J347" s="19" t="str">
        <f t="shared" si="31"/>
        <v/>
      </c>
    </row>
    <row r="348" s="19" customFormat="1" spans="1:10">
      <c r="A348" s="29" t="s">
        <v>2111</v>
      </c>
      <c r="B348" s="29" t="s">
        <v>958</v>
      </c>
      <c r="C348" s="29" t="s">
        <v>1823</v>
      </c>
      <c r="D348" s="28" t="s">
        <v>692</v>
      </c>
      <c r="E348" s="36" t="str">
        <f t="shared" si="30"/>
        <v>285/75R24.5-14PR-AS673</v>
      </c>
      <c r="F348" s="20" t="str">
        <f t="shared" si="29"/>
        <v/>
      </c>
      <c r="G348" s="23"/>
      <c r="H348" s="23"/>
      <c r="I348" s="24"/>
      <c r="J348" s="19" t="str">
        <f t="shared" si="31"/>
        <v/>
      </c>
    </row>
    <row r="349" s="19" customFormat="1" spans="1:10">
      <c r="A349" s="29" t="s">
        <v>2111</v>
      </c>
      <c r="B349" s="29" t="s">
        <v>958</v>
      </c>
      <c r="C349" s="29" t="s">
        <v>1863</v>
      </c>
      <c r="D349" s="28" t="s">
        <v>692</v>
      </c>
      <c r="E349" s="36" t="str">
        <f t="shared" si="30"/>
        <v>285/75R24.5-14PR-H-RD</v>
      </c>
      <c r="F349" s="20" t="str">
        <f t="shared" si="29"/>
        <v/>
      </c>
      <c r="G349" s="23"/>
      <c r="H349" s="23"/>
      <c r="I349" s="24"/>
      <c r="J349" s="19" t="str">
        <f t="shared" si="31"/>
        <v/>
      </c>
    </row>
    <row r="350" s="19" customFormat="1" spans="1:10">
      <c r="A350" s="29" t="s">
        <v>2144</v>
      </c>
      <c r="B350" s="29" t="s">
        <v>958</v>
      </c>
      <c r="C350" s="29" t="s">
        <v>1682</v>
      </c>
      <c r="D350" s="28" t="s">
        <v>692</v>
      </c>
      <c r="E350" s="36" t="str">
        <f t="shared" si="30"/>
        <v>295/75R22.5-14PR-AT552</v>
      </c>
      <c r="F350" s="20" t="str">
        <f t="shared" si="29"/>
        <v/>
      </c>
      <c r="G350" s="23"/>
      <c r="H350" s="23"/>
      <c r="I350" s="24"/>
      <c r="J350" s="19" t="str">
        <f t="shared" si="31"/>
        <v/>
      </c>
    </row>
    <row r="351" s="19" customFormat="1" spans="1:10">
      <c r="A351" s="29" t="s">
        <v>2144</v>
      </c>
      <c r="B351" s="29" t="s">
        <v>958</v>
      </c>
      <c r="C351" s="29" t="s">
        <v>1646</v>
      </c>
      <c r="D351" s="28" t="s">
        <v>692</v>
      </c>
      <c r="E351" s="36" t="str">
        <f t="shared" si="30"/>
        <v>295/75R22.5-14PR-CR915</v>
      </c>
      <c r="F351" s="20" t="str">
        <f t="shared" si="29"/>
        <v/>
      </c>
      <c r="G351" s="23"/>
      <c r="H351" s="23"/>
      <c r="I351" s="24"/>
      <c r="J351" s="19" t="str">
        <f t="shared" si="31"/>
        <v/>
      </c>
    </row>
    <row r="352" s="19" customFormat="1" spans="1:10">
      <c r="A352" s="29" t="s">
        <v>2144</v>
      </c>
      <c r="B352" s="29" t="s">
        <v>958</v>
      </c>
      <c r="C352" s="29" t="s">
        <v>1687</v>
      </c>
      <c r="D352" s="28" t="s">
        <v>692</v>
      </c>
      <c r="E352" s="36" t="str">
        <f t="shared" si="30"/>
        <v>295/75R22.5-14PR-AT563</v>
      </c>
      <c r="F352" s="20" t="str">
        <f t="shared" si="29"/>
        <v/>
      </c>
      <c r="G352" s="23"/>
      <c r="H352" s="23"/>
      <c r="I352" s="24"/>
      <c r="J352" s="19" t="str">
        <f t="shared" si="31"/>
        <v/>
      </c>
    </row>
    <row r="353" s="19" customFormat="1" spans="1:10">
      <c r="A353" s="29" t="s">
        <v>2144</v>
      </c>
      <c r="B353" s="29" t="s">
        <v>958</v>
      </c>
      <c r="C353" s="29" t="s">
        <v>1656</v>
      </c>
      <c r="D353" s="28" t="s">
        <v>692</v>
      </c>
      <c r="E353" s="36" t="str">
        <f t="shared" si="30"/>
        <v>295/75R22.5-14PR-I-48T</v>
      </c>
      <c r="F353" s="20" t="str">
        <f t="shared" si="29"/>
        <v/>
      </c>
      <c r="G353" s="23"/>
      <c r="H353" s="23"/>
      <c r="I353" s="24"/>
      <c r="J353" s="19" t="str">
        <f t="shared" si="31"/>
        <v/>
      </c>
    </row>
    <row r="354" s="19" customFormat="1" spans="1:10">
      <c r="A354" s="29" t="s">
        <v>2144</v>
      </c>
      <c r="B354" s="29" t="s">
        <v>958</v>
      </c>
      <c r="C354" s="29" t="s">
        <v>1846</v>
      </c>
      <c r="D354" s="28" t="s">
        <v>692</v>
      </c>
      <c r="E354" s="36" t="str">
        <f t="shared" si="30"/>
        <v>295/75R22.5-14PR-I-28D</v>
      </c>
      <c r="F354" s="20" t="str">
        <f t="shared" si="29"/>
        <v/>
      </c>
      <c r="G354" s="23"/>
      <c r="H354" s="23"/>
      <c r="I354" s="24"/>
      <c r="J354" s="19" t="str">
        <f t="shared" si="31"/>
        <v/>
      </c>
    </row>
    <row r="355" s="19" customFormat="1" spans="1:10">
      <c r="A355" s="29" t="s">
        <v>2144</v>
      </c>
      <c r="B355" s="29" t="s">
        <v>1074</v>
      </c>
      <c r="C355" s="29" t="s">
        <v>1665</v>
      </c>
      <c r="D355" s="28" t="s">
        <v>692</v>
      </c>
      <c r="E355" s="36" t="str">
        <f t="shared" si="30"/>
        <v>295/75R22.5-16PR-AD716</v>
      </c>
      <c r="F355" s="20" t="str">
        <f t="shared" si="29"/>
        <v/>
      </c>
      <c r="G355" s="23"/>
      <c r="H355" s="23"/>
      <c r="I355" s="24"/>
      <c r="J355" s="19" t="str">
        <f t="shared" si="31"/>
        <v/>
      </c>
    </row>
    <row r="356" s="19" customFormat="1" spans="1:10">
      <c r="A356" s="29" t="s">
        <v>2144</v>
      </c>
      <c r="B356" s="29" t="s">
        <v>1074</v>
      </c>
      <c r="C356" s="29" t="s">
        <v>1671</v>
      </c>
      <c r="D356" s="28" t="s">
        <v>692</v>
      </c>
      <c r="E356" s="36" t="str">
        <f t="shared" si="30"/>
        <v>295/75R22.5-16PR-HD1 Plus</v>
      </c>
      <c r="F356" s="20" t="str">
        <f t="shared" si="29"/>
        <v/>
      </c>
      <c r="G356" s="23"/>
      <c r="H356" s="23"/>
      <c r="I356" s="24"/>
      <c r="J356" s="19" t="str">
        <f t="shared" si="31"/>
        <v/>
      </c>
    </row>
    <row r="357" s="19" customFormat="1" spans="1:10">
      <c r="A357" s="29" t="s">
        <v>2144</v>
      </c>
      <c r="B357" s="29" t="s">
        <v>958</v>
      </c>
      <c r="C357" s="29" t="s">
        <v>1665</v>
      </c>
      <c r="D357" s="28" t="s">
        <v>692</v>
      </c>
      <c r="E357" s="36" t="str">
        <f t="shared" si="30"/>
        <v>295/75R22.5-14PR-AD716</v>
      </c>
      <c r="F357" s="20" t="str">
        <f t="shared" si="29"/>
        <v/>
      </c>
      <c r="G357" s="23"/>
      <c r="H357" s="23"/>
      <c r="I357" s="24"/>
      <c r="J357" s="19" t="str">
        <f t="shared" si="31"/>
        <v/>
      </c>
    </row>
    <row r="358" s="19" customFormat="1" spans="1:10">
      <c r="A358" s="29" t="s">
        <v>2144</v>
      </c>
      <c r="B358" s="29" t="s">
        <v>958</v>
      </c>
      <c r="C358" s="29" t="s">
        <v>1671</v>
      </c>
      <c r="D358" s="28" t="s">
        <v>692</v>
      </c>
      <c r="E358" s="36" t="str">
        <f t="shared" si="30"/>
        <v>295/75R22.5-14PR-HD1 Plus</v>
      </c>
      <c r="F358" s="20" t="str">
        <f t="shared" si="29"/>
        <v/>
      </c>
      <c r="G358" s="23"/>
      <c r="H358" s="23"/>
      <c r="I358" s="24"/>
      <c r="J358" s="19" t="str">
        <f t="shared" si="31"/>
        <v/>
      </c>
    </row>
    <row r="359" s="19" customFormat="1" spans="1:10">
      <c r="A359" s="29" t="s">
        <v>2144</v>
      </c>
      <c r="B359" s="29" t="s">
        <v>958</v>
      </c>
      <c r="C359" s="29" t="s">
        <v>1724</v>
      </c>
      <c r="D359" s="28" t="s">
        <v>692</v>
      </c>
      <c r="E359" s="36" t="str">
        <f t="shared" si="30"/>
        <v>295/75R22.5-14PR-VA996</v>
      </c>
      <c r="F359" s="20" t="str">
        <f t="shared" si="29"/>
        <v/>
      </c>
      <c r="G359" s="23"/>
      <c r="H359" s="23"/>
      <c r="I359" s="24"/>
      <c r="J359" s="19" t="str">
        <f t="shared" si="31"/>
        <v/>
      </c>
    </row>
    <row r="360" s="19" customFormat="1" spans="1:10">
      <c r="A360" s="29" t="s">
        <v>2144</v>
      </c>
      <c r="B360" s="29" t="s">
        <v>958</v>
      </c>
      <c r="C360" s="29" t="s">
        <v>4762</v>
      </c>
      <c r="D360" s="28" t="s">
        <v>692</v>
      </c>
      <c r="E360" s="36" t="str">
        <f t="shared" si="30"/>
        <v>295/75R22.5-14PR-SL11</v>
      </c>
      <c r="F360" s="20" t="str">
        <f t="shared" si="29"/>
        <v/>
      </c>
      <c r="G360" s="23"/>
      <c r="H360" s="23"/>
      <c r="I360" s="24"/>
      <c r="J360" s="19" t="str">
        <f t="shared" si="31"/>
        <v/>
      </c>
    </row>
    <row r="361" s="19" customFormat="1" spans="1:10">
      <c r="A361" s="29" t="s">
        <v>2144</v>
      </c>
      <c r="B361" s="29" t="s">
        <v>958</v>
      </c>
      <c r="C361" s="29" t="s">
        <v>1734</v>
      </c>
      <c r="D361" s="28" t="s">
        <v>692</v>
      </c>
      <c r="E361" s="36" t="str">
        <f t="shared" si="30"/>
        <v>295/75R22.5-14PR-VT993</v>
      </c>
      <c r="F361" s="20"/>
      <c r="G361" s="23"/>
      <c r="H361" s="23"/>
      <c r="I361" s="24"/>
      <c r="J361" s="19" t="str">
        <f t="shared" si="31"/>
        <v/>
      </c>
    </row>
    <row r="362" s="19" customFormat="1" spans="1:10">
      <c r="A362" s="29" t="s">
        <v>2144</v>
      </c>
      <c r="B362" s="29" t="s">
        <v>958</v>
      </c>
      <c r="C362" s="29" t="s">
        <v>1726</v>
      </c>
      <c r="D362" s="28" t="s">
        <v>692</v>
      </c>
      <c r="E362" s="36" t="str">
        <f t="shared" si="30"/>
        <v>295/75R22.5-14PR-AS200</v>
      </c>
      <c r="F362" s="20" t="str">
        <f t="shared" ref="F362:F368" si="32">_xlfn.TEXTJOIN("-",TRUE,A846,B846,C846)</f>
        <v/>
      </c>
      <c r="G362" s="23"/>
      <c r="H362" s="23"/>
      <c r="I362" s="24"/>
      <c r="J362" s="19" t="str">
        <f t="shared" si="31"/>
        <v/>
      </c>
    </row>
    <row r="363" s="19" customFormat="1" spans="1:10">
      <c r="A363" s="29" t="s">
        <v>2144</v>
      </c>
      <c r="B363" s="29" t="s">
        <v>958</v>
      </c>
      <c r="C363" s="29" t="s">
        <v>1691</v>
      </c>
      <c r="D363" s="28" t="s">
        <v>692</v>
      </c>
      <c r="E363" s="36" t="str">
        <f t="shared" si="30"/>
        <v>295/75R22.5-14PR-CR915 eco</v>
      </c>
      <c r="F363" s="20" t="str">
        <f t="shared" si="32"/>
        <v/>
      </c>
      <c r="G363" s="23"/>
      <c r="H363" s="23"/>
      <c r="I363" s="24"/>
      <c r="J363" s="19" t="str">
        <f t="shared" si="31"/>
        <v/>
      </c>
    </row>
    <row r="364" s="19" customFormat="1" spans="1:10">
      <c r="A364" s="29" t="s">
        <v>2144</v>
      </c>
      <c r="B364" s="29" t="s">
        <v>958</v>
      </c>
      <c r="C364" s="29" t="s">
        <v>1732</v>
      </c>
      <c r="D364" s="28" t="s">
        <v>692</v>
      </c>
      <c r="E364" s="36" t="str">
        <f t="shared" si="30"/>
        <v>295/75R22.5-14PR-TL31</v>
      </c>
      <c r="F364" s="20" t="str">
        <f t="shared" si="32"/>
        <v/>
      </c>
      <c r="G364" s="23"/>
      <c r="H364" s="23"/>
      <c r="I364" s="24"/>
      <c r="J364" s="19" t="str">
        <f t="shared" si="31"/>
        <v/>
      </c>
    </row>
    <row r="365" s="19" customFormat="1" spans="1:10">
      <c r="A365" s="29" t="s">
        <v>2144</v>
      </c>
      <c r="B365" s="29" t="s">
        <v>958</v>
      </c>
      <c r="C365" s="29" t="s">
        <v>1776</v>
      </c>
      <c r="D365" s="28" t="s">
        <v>692</v>
      </c>
      <c r="E365" s="36" t="str">
        <f t="shared" si="30"/>
        <v>295/75R22.5-14PR-AZ599</v>
      </c>
      <c r="F365" s="20" t="str">
        <f t="shared" si="32"/>
        <v/>
      </c>
      <c r="G365" s="23"/>
      <c r="H365" s="23"/>
      <c r="I365" s="24"/>
      <c r="J365" s="19" t="str">
        <f t="shared" si="31"/>
        <v/>
      </c>
    </row>
    <row r="366" s="19" customFormat="1" spans="1:10">
      <c r="A366" s="29" t="s">
        <v>2144</v>
      </c>
      <c r="B366" s="29" t="s">
        <v>958</v>
      </c>
      <c r="C366" s="29" t="s">
        <v>1781</v>
      </c>
      <c r="D366" s="28" t="s">
        <v>692</v>
      </c>
      <c r="E366" s="36" t="str">
        <f t="shared" si="30"/>
        <v>295/75R22.5-14PR-HF1 Plus</v>
      </c>
      <c r="F366" s="20" t="str">
        <f t="shared" si="32"/>
        <v/>
      </c>
      <c r="G366" s="23"/>
      <c r="H366" s="23"/>
      <c r="I366" s="24"/>
      <c r="J366" s="19" t="str">
        <f t="shared" si="31"/>
        <v/>
      </c>
    </row>
    <row r="367" s="19" customFormat="1" spans="1:10">
      <c r="A367" s="29" t="s">
        <v>2144</v>
      </c>
      <c r="B367" s="29" t="s">
        <v>958</v>
      </c>
      <c r="C367" s="62" t="s">
        <v>1778</v>
      </c>
      <c r="D367" s="28" t="s">
        <v>692</v>
      </c>
      <c r="E367" s="36" t="str">
        <f t="shared" si="30"/>
        <v>295/75R22.5-14PR-M-TRAC AP</v>
      </c>
      <c r="F367" s="20" t="str">
        <f t="shared" si="32"/>
        <v/>
      </c>
      <c r="G367" s="23"/>
      <c r="H367" s="23"/>
      <c r="I367" s="24"/>
      <c r="J367" s="19" t="str">
        <f t="shared" si="31"/>
        <v/>
      </c>
    </row>
    <row r="368" s="19" customFormat="1" spans="1:10">
      <c r="A368" s="29" t="s">
        <v>2144</v>
      </c>
      <c r="B368" s="29" t="s">
        <v>1074</v>
      </c>
      <c r="C368" s="29" t="s">
        <v>1776</v>
      </c>
      <c r="D368" s="28" t="s">
        <v>692</v>
      </c>
      <c r="E368" s="36" t="str">
        <f t="shared" si="30"/>
        <v>295/75R22.5-16PR-AZ599</v>
      </c>
      <c r="F368" s="20" t="str">
        <f t="shared" si="32"/>
        <v/>
      </c>
      <c r="G368" s="23"/>
      <c r="H368" s="23"/>
      <c r="I368" s="24"/>
      <c r="J368" s="19" t="str">
        <f t="shared" si="31"/>
        <v/>
      </c>
    </row>
    <row r="369" s="19" customFormat="1" spans="1:10">
      <c r="A369" s="29" t="s">
        <v>2144</v>
      </c>
      <c r="B369" s="29" t="s">
        <v>1074</v>
      </c>
      <c r="C369" s="29" t="s">
        <v>1781</v>
      </c>
      <c r="D369" s="28" t="s">
        <v>692</v>
      </c>
      <c r="E369" s="36" t="str">
        <f t="shared" si="30"/>
        <v>295/75R22.5-16PR-HF1 Plus</v>
      </c>
      <c r="F369" s="20"/>
      <c r="G369" s="23"/>
      <c r="H369" s="23"/>
      <c r="I369" s="24"/>
      <c r="J369" s="19" t="str">
        <f t="shared" si="31"/>
        <v/>
      </c>
    </row>
    <row r="370" s="19" customFormat="1" spans="1:10">
      <c r="A370" s="29" t="s">
        <v>2144</v>
      </c>
      <c r="B370" s="29" t="s">
        <v>1074</v>
      </c>
      <c r="C370" s="62" t="s">
        <v>1778</v>
      </c>
      <c r="D370" s="28" t="s">
        <v>692</v>
      </c>
      <c r="E370" s="36" t="str">
        <f t="shared" si="30"/>
        <v>295/75R22.5-16PR-M-TRAC AP</v>
      </c>
      <c r="F370" s="20" t="str">
        <f t="shared" ref="F370:F374" si="33">_xlfn.TEXTJOIN("-",TRUE,A854,B854,C854)</f>
        <v/>
      </c>
      <c r="G370" s="23"/>
      <c r="H370" s="23"/>
      <c r="I370" s="24"/>
      <c r="J370" s="19" t="str">
        <f t="shared" si="31"/>
        <v/>
      </c>
    </row>
    <row r="371" s="19" customFormat="1" spans="1:10">
      <c r="A371" s="29" t="s">
        <v>2144</v>
      </c>
      <c r="B371" s="29" t="s">
        <v>958</v>
      </c>
      <c r="C371" s="29" t="s">
        <v>2150</v>
      </c>
      <c r="D371" s="28" t="s">
        <v>692</v>
      </c>
      <c r="E371" s="36" t="str">
        <f t="shared" si="30"/>
        <v>295/75R22.5-14PR-AS201</v>
      </c>
      <c r="F371" s="20" t="str">
        <f t="shared" si="33"/>
        <v/>
      </c>
      <c r="G371" s="23"/>
      <c r="H371" s="23"/>
      <c r="I371" s="24"/>
      <c r="J371" s="19" t="str">
        <f t="shared" si="31"/>
        <v/>
      </c>
    </row>
    <row r="372" s="19" customFormat="1" spans="1:10">
      <c r="A372" s="29" t="s">
        <v>2144</v>
      </c>
      <c r="B372" s="29" t="s">
        <v>958</v>
      </c>
      <c r="C372" s="29" t="s">
        <v>1559</v>
      </c>
      <c r="D372" s="28" t="s">
        <v>692</v>
      </c>
      <c r="E372" s="36" t="str">
        <f t="shared" si="30"/>
        <v>295/75R22.5-14PR-AS678</v>
      </c>
      <c r="F372" s="20" t="str">
        <f t="shared" si="33"/>
        <v/>
      </c>
      <c r="G372" s="23"/>
      <c r="H372" s="23"/>
      <c r="I372" s="24"/>
      <c r="J372" s="19" t="str">
        <f t="shared" si="31"/>
        <v/>
      </c>
    </row>
    <row r="373" s="19" customFormat="1" spans="1:10">
      <c r="A373" s="31" t="s">
        <v>2144</v>
      </c>
      <c r="B373" s="31" t="s">
        <v>958</v>
      </c>
      <c r="C373" s="31" t="s">
        <v>1703</v>
      </c>
      <c r="D373" s="32" t="s">
        <v>692</v>
      </c>
      <c r="E373" s="36" t="str">
        <f t="shared" si="30"/>
        <v>295/75R22.5-14PR-DL21</v>
      </c>
      <c r="F373" s="20" t="str">
        <f t="shared" si="33"/>
        <v/>
      </c>
      <c r="G373" s="23"/>
      <c r="H373" s="23"/>
      <c r="I373" s="24"/>
      <c r="J373" s="19" t="str">
        <f t="shared" si="31"/>
        <v/>
      </c>
    </row>
    <row r="374" s="19" customFormat="1" spans="1:10">
      <c r="A374" s="29" t="s">
        <v>2144</v>
      </c>
      <c r="B374" s="29" t="s">
        <v>958</v>
      </c>
      <c r="C374" s="29" t="s">
        <v>1695</v>
      </c>
      <c r="D374" s="28" t="s">
        <v>692</v>
      </c>
      <c r="E374" s="36" t="str">
        <f t="shared" si="30"/>
        <v>295/75R22.5-14PR-DA25</v>
      </c>
      <c r="F374" s="20" t="str">
        <f t="shared" si="33"/>
        <v/>
      </c>
      <c r="G374" s="23"/>
      <c r="H374" s="23"/>
      <c r="I374" s="24"/>
      <c r="J374" s="19" t="str">
        <f t="shared" si="31"/>
        <v/>
      </c>
    </row>
    <row r="375" s="19" customFormat="1" spans="1:10">
      <c r="A375" s="29" t="s">
        <v>2144</v>
      </c>
      <c r="B375" s="29" t="s">
        <v>958</v>
      </c>
      <c r="C375" s="29" t="s">
        <v>1697</v>
      </c>
      <c r="D375" s="28" t="s">
        <v>692</v>
      </c>
      <c r="E375" s="36" t="str">
        <f t="shared" si="30"/>
        <v>295/75R22.5-14PR-VXD932</v>
      </c>
      <c r="F375" s="20" t="str">
        <f t="shared" ref="F375:F404" si="34">_xlfn.TEXTJOIN("-",TRUE,A858,B858,C858)</f>
        <v/>
      </c>
      <c r="G375" s="23"/>
      <c r="H375" s="23"/>
      <c r="I375" s="24"/>
      <c r="J375" s="19" t="str">
        <f t="shared" si="31"/>
        <v/>
      </c>
    </row>
    <row r="376" s="19" customFormat="1" spans="1:10">
      <c r="A376" s="29" t="s">
        <v>2144</v>
      </c>
      <c r="B376" s="29" t="s">
        <v>1074</v>
      </c>
      <c r="C376" s="29" t="s">
        <v>1714</v>
      </c>
      <c r="D376" s="28" t="s">
        <v>692</v>
      </c>
      <c r="E376" s="36" t="str">
        <f t="shared" si="30"/>
        <v>295/75R22.5-16PR-AD600</v>
      </c>
      <c r="F376" s="20" t="str">
        <f t="shared" si="34"/>
        <v/>
      </c>
      <c r="G376" s="23"/>
      <c r="H376" s="23"/>
      <c r="I376" s="24"/>
      <c r="J376" s="19" t="str">
        <f t="shared" si="31"/>
        <v/>
      </c>
    </row>
    <row r="377" s="19" customFormat="1" spans="1:10">
      <c r="A377" s="29" t="s">
        <v>2144</v>
      </c>
      <c r="B377" s="29" t="s">
        <v>958</v>
      </c>
      <c r="C377" s="29" t="s">
        <v>1737</v>
      </c>
      <c r="D377" s="28" t="s">
        <v>692</v>
      </c>
      <c r="E377" s="36" t="str">
        <f t="shared" si="30"/>
        <v>295/75R22.5-14PR-ZA12</v>
      </c>
      <c r="F377" s="20" t="str">
        <f t="shared" si="34"/>
        <v/>
      </c>
      <c r="G377" s="23"/>
      <c r="H377" s="23"/>
      <c r="I377" s="24"/>
      <c r="J377" s="19" t="str">
        <f t="shared" si="31"/>
        <v/>
      </c>
    </row>
    <row r="378" s="19" customFormat="1" spans="1:10">
      <c r="A378" s="29" t="s">
        <v>2144</v>
      </c>
      <c r="B378" s="29" t="s">
        <v>1074</v>
      </c>
      <c r="C378" s="29" t="s">
        <v>1724</v>
      </c>
      <c r="D378" s="28" t="s">
        <v>692</v>
      </c>
      <c r="E378" s="36" t="str">
        <f t="shared" si="30"/>
        <v>295/75R22.5-16PR-VA996</v>
      </c>
      <c r="F378" s="20" t="str">
        <f t="shared" si="34"/>
        <v/>
      </c>
      <c r="G378" s="23"/>
      <c r="H378" s="23"/>
      <c r="I378" s="24"/>
      <c r="J378" s="19" t="str">
        <f t="shared" si="31"/>
        <v/>
      </c>
    </row>
    <row r="379" s="19" customFormat="1" spans="1:10">
      <c r="A379" s="29" t="s">
        <v>2144</v>
      </c>
      <c r="B379" s="29" t="s">
        <v>958</v>
      </c>
      <c r="C379" s="29" t="s">
        <v>1877</v>
      </c>
      <c r="D379" s="28" t="s">
        <v>692</v>
      </c>
      <c r="E379" s="36" t="str">
        <f t="shared" si="30"/>
        <v>295/75R22.5-14PR-DL22</v>
      </c>
      <c r="F379" s="20" t="str">
        <f t="shared" si="34"/>
        <v/>
      </c>
      <c r="G379" s="23"/>
      <c r="H379" s="23"/>
      <c r="I379" s="24"/>
      <c r="J379" s="19" t="str">
        <f t="shared" si="31"/>
        <v/>
      </c>
    </row>
    <row r="380" s="19" customFormat="1" spans="1:10">
      <c r="A380" s="29" t="s">
        <v>2144</v>
      </c>
      <c r="B380" s="29" t="s">
        <v>958</v>
      </c>
      <c r="C380" s="29" t="s">
        <v>1879</v>
      </c>
      <c r="D380" s="28" t="s">
        <v>692</v>
      </c>
      <c r="E380" s="36" t="str">
        <f t="shared" si="30"/>
        <v>295/75R22.5-14PR-DA23</v>
      </c>
      <c r="F380" s="20" t="str">
        <f t="shared" si="34"/>
        <v/>
      </c>
      <c r="G380" s="23"/>
      <c r="H380" s="23"/>
      <c r="I380" s="24"/>
      <c r="J380" s="19" t="str">
        <f t="shared" si="31"/>
        <v/>
      </c>
    </row>
    <row r="381" s="19" customFormat="1" spans="1:10">
      <c r="A381" s="29" t="s">
        <v>2144</v>
      </c>
      <c r="B381" s="29" t="s">
        <v>1074</v>
      </c>
      <c r="C381" s="29" t="s">
        <v>1726</v>
      </c>
      <c r="D381" s="28" t="s">
        <v>692</v>
      </c>
      <c r="E381" s="36" t="str">
        <f t="shared" si="30"/>
        <v>295/75R22.5-16PR-AS200</v>
      </c>
      <c r="F381" s="20" t="str">
        <f t="shared" si="34"/>
        <v/>
      </c>
      <c r="G381" s="23"/>
      <c r="H381" s="23"/>
      <c r="I381" s="24"/>
      <c r="J381" s="19" t="str">
        <f t="shared" si="31"/>
        <v/>
      </c>
    </row>
    <row r="382" s="19" customFormat="1" spans="1:10">
      <c r="A382" s="29" t="s">
        <v>2144</v>
      </c>
      <c r="B382" s="29" t="s">
        <v>958</v>
      </c>
      <c r="C382" s="29" t="s">
        <v>1729</v>
      </c>
      <c r="D382" s="28" t="s">
        <v>692</v>
      </c>
      <c r="E382" s="36" t="str">
        <f t="shared" si="30"/>
        <v>295/75R22.5-14PR-PS221</v>
      </c>
      <c r="F382" s="20" t="str">
        <f t="shared" si="34"/>
        <v/>
      </c>
      <c r="G382" s="23"/>
      <c r="H382" s="23"/>
      <c r="I382" s="24"/>
      <c r="J382" s="19" t="str">
        <f t="shared" si="31"/>
        <v/>
      </c>
    </row>
    <row r="383" s="19" customFormat="1" spans="1:10">
      <c r="A383" s="29" t="s">
        <v>2144</v>
      </c>
      <c r="B383" s="29" t="s">
        <v>958</v>
      </c>
      <c r="C383" s="29" t="s">
        <v>2151</v>
      </c>
      <c r="D383" s="28" t="s">
        <v>692</v>
      </c>
      <c r="E383" s="36" t="str">
        <f t="shared" si="30"/>
        <v>295/75R22.5-14PR-PS210</v>
      </c>
      <c r="F383" s="20" t="str">
        <f t="shared" si="34"/>
        <v/>
      </c>
      <c r="G383" s="23"/>
      <c r="H383" s="23"/>
      <c r="I383" s="24"/>
      <c r="J383" s="19" t="str">
        <f t="shared" si="31"/>
        <v/>
      </c>
    </row>
    <row r="384" s="19" customFormat="1" spans="1:10">
      <c r="A384" s="29" t="s">
        <v>2144</v>
      </c>
      <c r="B384" s="31" t="s">
        <v>958</v>
      </c>
      <c r="C384" s="29" t="s">
        <v>1718</v>
      </c>
      <c r="D384" s="28" t="s">
        <v>692</v>
      </c>
      <c r="E384" s="36" t="str">
        <f t="shared" si="30"/>
        <v>295/75R22.5-14PR-PD211</v>
      </c>
      <c r="F384" s="20" t="str">
        <f t="shared" si="34"/>
        <v/>
      </c>
      <c r="G384" s="23"/>
      <c r="H384" s="23"/>
      <c r="I384" s="24"/>
      <c r="J384" s="19" t="str">
        <f t="shared" si="31"/>
        <v/>
      </c>
    </row>
    <row r="385" s="19" customFormat="1" spans="1:10">
      <c r="A385" s="25" t="s">
        <v>2144</v>
      </c>
      <c r="B385" s="29" t="s">
        <v>1074</v>
      </c>
      <c r="C385" s="53" t="s">
        <v>1745</v>
      </c>
      <c r="D385" s="28" t="s">
        <v>692</v>
      </c>
      <c r="E385" s="36" t="str">
        <f t="shared" si="30"/>
        <v>295/75R22.5-16PR-I-61S</v>
      </c>
      <c r="F385" s="20" t="str">
        <f t="shared" si="34"/>
        <v/>
      </c>
      <c r="G385" s="23"/>
      <c r="H385" s="23"/>
      <c r="I385" s="24"/>
      <c r="J385" s="19" t="str">
        <f t="shared" si="31"/>
        <v/>
      </c>
    </row>
    <row r="386" s="19" customFormat="1" spans="1:10">
      <c r="A386" s="25" t="s">
        <v>2144</v>
      </c>
      <c r="B386" s="31" t="s">
        <v>958</v>
      </c>
      <c r="C386" s="53" t="s">
        <v>1745</v>
      </c>
      <c r="D386" s="28" t="s">
        <v>692</v>
      </c>
      <c r="E386" s="36" t="str">
        <f t="shared" si="30"/>
        <v>295/75R22.5-14PR-I-61S</v>
      </c>
      <c r="F386" s="20" t="str">
        <f t="shared" si="34"/>
        <v/>
      </c>
      <c r="G386" s="23"/>
      <c r="H386" s="23"/>
      <c r="I386" s="24"/>
      <c r="J386" s="19" t="str">
        <f t="shared" si="31"/>
        <v/>
      </c>
    </row>
    <row r="387" s="19" customFormat="1" spans="1:10">
      <c r="A387" s="25" t="s">
        <v>2144</v>
      </c>
      <c r="B387" s="29" t="s">
        <v>1074</v>
      </c>
      <c r="C387" s="53" t="s">
        <v>1742</v>
      </c>
      <c r="D387" s="28" t="s">
        <v>692</v>
      </c>
      <c r="E387" s="36" t="str">
        <f t="shared" ref="E387:E450" si="35">_xlfn.TEXTJOIN("-",TRUE,A387,B387,C387)</f>
        <v>295/75R22.5-16PR-I-19A</v>
      </c>
      <c r="F387" s="20" t="str">
        <f t="shared" si="34"/>
        <v/>
      </c>
      <c r="G387" s="23"/>
      <c r="H387" s="23"/>
      <c r="I387" s="24"/>
      <c r="J387" s="19" t="str">
        <f t="shared" ref="J387:J450" si="36">_xlfn.TEXTJOIN("-",TRUE,F387,G387,H387)</f>
        <v/>
      </c>
    </row>
    <row r="388" s="19" customFormat="1" spans="1:10">
      <c r="A388" s="25" t="s">
        <v>2144</v>
      </c>
      <c r="B388" s="31" t="s">
        <v>958</v>
      </c>
      <c r="C388" s="53" t="s">
        <v>1742</v>
      </c>
      <c r="D388" s="28" t="s">
        <v>692</v>
      </c>
      <c r="E388" s="36" t="str">
        <f t="shared" si="35"/>
        <v>295/75R22.5-14PR-I-19A</v>
      </c>
      <c r="F388" s="20" t="str">
        <f t="shared" si="34"/>
        <v/>
      </c>
      <c r="G388" s="23"/>
      <c r="H388" s="23"/>
      <c r="I388" s="24"/>
      <c r="J388" s="19" t="str">
        <f t="shared" si="36"/>
        <v/>
      </c>
    </row>
    <row r="389" s="19" customFormat="1" spans="1:10">
      <c r="A389" s="29" t="s">
        <v>2144</v>
      </c>
      <c r="B389" s="29" t="s">
        <v>958</v>
      </c>
      <c r="C389" s="29" t="s">
        <v>1849</v>
      </c>
      <c r="D389" s="28" t="s">
        <v>692</v>
      </c>
      <c r="E389" s="36" t="str">
        <f t="shared" si="35"/>
        <v>295/75R22.5-14PR-I-37D</v>
      </c>
      <c r="F389" s="20" t="str">
        <f t="shared" si="34"/>
        <v/>
      </c>
      <c r="G389" s="23"/>
      <c r="H389" s="23"/>
      <c r="I389" s="24"/>
      <c r="J389" s="19" t="str">
        <f t="shared" si="36"/>
        <v/>
      </c>
    </row>
    <row r="390" s="19" customFormat="1" spans="1:10">
      <c r="A390" s="34" t="s">
        <v>2144</v>
      </c>
      <c r="B390" s="29" t="s">
        <v>958</v>
      </c>
      <c r="C390" s="33" t="s">
        <v>1756</v>
      </c>
      <c r="D390" s="28" t="s">
        <v>692</v>
      </c>
      <c r="E390" s="36" t="str">
        <f t="shared" si="35"/>
        <v>295/75R22.5-14PR-VD998</v>
      </c>
      <c r="F390" s="20" t="str">
        <f t="shared" si="34"/>
        <v/>
      </c>
      <c r="G390" s="23"/>
      <c r="H390" s="23"/>
      <c r="I390" s="24"/>
      <c r="J390" s="19" t="str">
        <f t="shared" si="36"/>
        <v/>
      </c>
    </row>
    <row r="391" s="19" customFormat="1" spans="1:10">
      <c r="A391" s="34" t="s">
        <v>2144</v>
      </c>
      <c r="B391" s="29" t="s">
        <v>1074</v>
      </c>
      <c r="C391" s="33" t="s">
        <v>1807</v>
      </c>
      <c r="D391" s="28" t="s">
        <v>692</v>
      </c>
      <c r="E391" s="36" t="str">
        <f t="shared" si="35"/>
        <v>295/75R22.5-16PR-AT115</v>
      </c>
      <c r="F391" s="20" t="str">
        <f t="shared" si="34"/>
        <v/>
      </c>
      <c r="G391" s="23"/>
      <c r="H391" s="23"/>
      <c r="I391" s="24"/>
      <c r="J391" s="19" t="str">
        <f t="shared" si="36"/>
        <v/>
      </c>
    </row>
    <row r="392" s="19" customFormat="1" spans="1:10">
      <c r="A392" s="34" t="s">
        <v>2144</v>
      </c>
      <c r="B392" s="29" t="s">
        <v>1074</v>
      </c>
      <c r="C392" s="33" t="s">
        <v>1809</v>
      </c>
      <c r="D392" s="28" t="s">
        <v>692</v>
      </c>
      <c r="E392" s="36" t="str">
        <f t="shared" si="35"/>
        <v>295/75R22.5-16PR-HT1 PlusX</v>
      </c>
      <c r="F392" s="20" t="str">
        <f t="shared" si="34"/>
        <v/>
      </c>
      <c r="G392" s="23"/>
      <c r="H392" s="23"/>
      <c r="I392" s="24"/>
      <c r="J392" s="19" t="str">
        <f t="shared" si="36"/>
        <v/>
      </c>
    </row>
    <row r="393" s="19" customFormat="1" spans="1:10">
      <c r="A393" s="34" t="s">
        <v>2144</v>
      </c>
      <c r="B393" s="29" t="s">
        <v>1074</v>
      </c>
      <c r="C393" s="33" t="s">
        <v>2175</v>
      </c>
      <c r="D393" s="28" t="s">
        <v>692</v>
      </c>
      <c r="E393" s="36" t="str">
        <f t="shared" si="35"/>
        <v>295/75R22.5-16PR-KOBE TPM</v>
      </c>
      <c r="F393" s="20" t="str">
        <f t="shared" si="34"/>
        <v/>
      </c>
      <c r="G393" s="23"/>
      <c r="H393" s="23"/>
      <c r="I393" s="24"/>
      <c r="J393" s="19" t="str">
        <f t="shared" si="36"/>
        <v/>
      </c>
    </row>
    <row r="394" s="19" customFormat="1" spans="1:10">
      <c r="A394" s="34" t="s">
        <v>2144</v>
      </c>
      <c r="B394" s="29" t="s">
        <v>1074</v>
      </c>
      <c r="C394" s="33" t="s">
        <v>1797</v>
      </c>
      <c r="D394" s="28" t="s">
        <v>692</v>
      </c>
      <c r="E394" s="36" t="str">
        <f t="shared" si="35"/>
        <v>295/75R22.5-16PR-KOBE APM</v>
      </c>
      <c r="F394" s="20" t="str">
        <f t="shared" si="34"/>
        <v/>
      </c>
      <c r="G394" s="23"/>
      <c r="H394" s="23"/>
      <c r="I394" s="24"/>
      <c r="J394" s="19" t="str">
        <f t="shared" si="36"/>
        <v/>
      </c>
    </row>
    <row r="395" s="19" customFormat="1" spans="1:10">
      <c r="A395" s="34"/>
      <c r="B395" s="29"/>
      <c r="C395" s="33"/>
      <c r="D395" s="28"/>
      <c r="E395" s="36" t="str">
        <f t="shared" si="35"/>
        <v/>
      </c>
      <c r="F395" s="20" t="str">
        <f t="shared" si="34"/>
        <v/>
      </c>
      <c r="G395" s="23"/>
      <c r="H395" s="23"/>
      <c r="I395" s="24"/>
      <c r="J395" s="19" t="str">
        <f t="shared" si="36"/>
        <v/>
      </c>
    </row>
    <row r="396" s="19" customFormat="1" spans="1:10">
      <c r="A396" s="34" t="s">
        <v>2144</v>
      </c>
      <c r="B396" s="29" t="s">
        <v>1074</v>
      </c>
      <c r="C396" s="33" t="s">
        <v>1756</v>
      </c>
      <c r="D396" s="28" t="s">
        <v>692</v>
      </c>
      <c r="E396" s="36" t="str">
        <f t="shared" si="35"/>
        <v>295/75R22.5-16PR-VD998</v>
      </c>
      <c r="F396" s="20" t="str">
        <f t="shared" si="34"/>
        <v/>
      </c>
      <c r="G396" s="23"/>
      <c r="H396" s="23"/>
      <c r="I396" s="24"/>
      <c r="J396" s="19" t="str">
        <f t="shared" si="36"/>
        <v/>
      </c>
    </row>
    <row r="397" s="19" customFormat="1" spans="1:10">
      <c r="A397" s="34" t="s">
        <v>2144</v>
      </c>
      <c r="B397" s="29" t="s">
        <v>1074</v>
      </c>
      <c r="C397" s="33" t="s">
        <v>2196</v>
      </c>
      <c r="D397" s="28" t="s">
        <v>692</v>
      </c>
      <c r="E397" s="36" t="str">
        <f t="shared" si="35"/>
        <v>295/75R22.5-16PR-AT100</v>
      </c>
      <c r="F397" s="20" t="str">
        <f t="shared" si="34"/>
        <v/>
      </c>
      <c r="G397" s="23"/>
      <c r="H397" s="23"/>
      <c r="I397" s="24"/>
      <c r="J397" s="19" t="str">
        <f t="shared" si="36"/>
        <v/>
      </c>
    </row>
    <row r="398" s="19" customFormat="1" spans="1:10">
      <c r="A398" s="34" t="s">
        <v>2144</v>
      </c>
      <c r="B398" s="29" t="s">
        <v>1074</v>
      </c>
      <c r="C398" s="33" t="s">
        <v>2198</v>
      </c>
      <c r="D398" s="28" t="s">
        <v>692</v>
      </c>
      <c r="E398" s="36" t="str">
        <f t="shared" si="35"/>
        <v>295/75R22.5-16PR-PT101</v>
      </c>
      <c r="F398" s="20" t="str">
        <f t="shared" si="34"/>
        <v/>
      </c>
      <c r="G398" s="23"/>
      <c r="H398" s="23"/>
      <c r="I398" s="24"/>
      <c r="J398" s="19" t="str">
        <f t="shared" si="36"/>
        <v/>
      </c>
    </row>
    <row r="399" s="19" customFormat="1" spans="1:10">
      <c r="A399" s="29" t="s">
        <v>2144</v>
      </c>
      <c r="B399" s="29" t="s">
        <v>1074</v>
      </c>
      <c r="C399" s="29" t="s">
        <v>1734</v>
      </c>
      <c r="D399" s="28" t="s">
        <v>692</v>
      </c>
      <c r="E399" s="36" t="str">
        <f t="shared" si="35"/>
        <v>295/75R22.5-16PR-VT993</v>
      </c>
      <c r="F399" s="20" t="str">
        <f t="shared" si="34"/>
        <v/>
      </c>
      <c r="G399" s="23"/>
      <c r="H399" s="23"/>
      <c r="I399" s="24"/>
      <c r="J399" s="19" t="str">
        <f t="shared" si="36"/>
        <v/>
      </c>
    </row>
    <row r="400" s="19" customFormat="1" spans="1:10">
      <c r="A400" s="29" t="s">
        <v>2144</v>
      </c>
      <c r="B400" s="29" t="s">
        <v>1074</v>
      </c>
      <c r="C400" s="29" t="s">
        <v>1815</v>
      </c>
      <c r="D400" s="28" t="s">
        <v>692</v>
      </c>
      <c r="E400" s="36" t="str">
        <f t="shared" si="35"/>
        <v>295/75R22.5-16PR-AD196</v>
      </c>
      <c r="F400" s="20" t="str">
        <f t="shared" si="34"/>
        <v/>
      </c>
      <c r="G400" s="23"/>
      <c r="H400" s="23"/>
      <c r="I400" s="24"/>
      <c r="J400" s="19" t="str">
        <f t="shared" si="36"/>
        <v/>
      </c>
    </row>
    <row r="401" s="19" customFormat="1" spans="1:10">
      <c r="A401" s="29" t="s">
        <v>2144</v>
      </c>
      <c r="B401" s="29" t="s">
        <v>1074</v>
      </c>
      <c r="C401" s="29" t="s">
        <v>1816</v>
      </c>
      <c r="D401" s="28" t="s">
        <v>692</v>
      </c>
      <c r="E401" s="36" t="str">
        <f t="shared" si="35"/>
        <v>295/75R22.5-16PR-KOBE DPM</v>
      </c>
      <c r="F401" s="20" t="str">
        <f t="shared" si="34"/>
        <v/>
      </c>
      <c r="G401" s="23"/>
      <c r="H401" s="23"/>
      <c r="I401" s="24"/>
      <c r="J401" s="19" t="str">
        <f t="shared" si="36"/>
        <v/>
      </c>
    </row>
    <row r="402" s="19" customFormat="1" spans="1:10">
      <c r="A402" s="37" t="s">
        <v>2144</v>
      </c>
      <c r="B402" s="37" t="s">
        <v>1074</v>
      </c>
      <c r="C402" s="37" t="s">
        <v>1857</v>
      </c>
      <c r="D402" s="28" t="s">
        <v>692</v>
      </c>
      <c r="E402" s="36" t="str">
        <f t="shared" si="35"/>
        <v>295/75R22.5-16PR-H-RA</v>
      </c>
      <c r="F402" s="20" t="str">
        <f t="shared" si="34"/>
        <v/>
      </c>
      <c r="G402" s="23"/>
      <c r="H402" s="23"/>
      <c r="I402" s="24"/>
      <c r="J402" s="19" t="str">
        <f t="shared" si="36"/>
        <v/>
      </c>
    </row>
    <row r="403" s="19" customFormat="1" spans="1:10">
      <c r="A403" s="37"/>
      <c r="B403" s="37"/>
      <c r="C403" s="37"/>
      <c r="D403" s="66"/>
      <c r="E403" s="36" t="str">
        <f t="shared" si="35"/>
        <v/>
      </c>
      <c r="F403" s="20" t="str">
        <f t="shared" si="34"/>
        <v/>
      </c>
      <c r="G403" s="23"/>
      <c r="H403" s="23"/>
      <c r="I403" s="24"/>
      <c r="J403" s="19" t="str">
        <f t="shared" si="36"/>
        <v/>
      </c>
    </row>
    <row r="404" s="19" customFormat="1" spans="1:10">
      <c r="A404" s="29" t="s">
        <v>2218</v>
      </c>
      <c r="B404" s="29" t="s">
        <v>1092</v>
      </c>
      <c r="C404" s="29" t="s">
        <v>2221</v>
      </c>
      <c r="D404" s="28" t="s">
        <v>692</v>
      </c>
      <c r="E404" s="36" t="str">
        <f t="shared" si="35"/>
        <v>295/80R22.5-18PR-AS858pro</v>
      </c>
      <c r="F404" s="20" t="str">
        <f t="shared" si="34"/>
        <v/>
      </c>
      <c r="G404" s="23"/>
      <c r="H404" s="23"/>
      <c r="I404" s="24"/>
      <c r="J404" s="19" t="str">
        <f t="shared" si="36"/>
        <v/>
      </c>
    </row>
    <row r="405" s="19" customFormat="1" spans="1:10">
      <c r="A405" s="29" t="s">
        <v>2218</v>
      </c>
      <c r="B405" s="29" t="s">
        <v>1092</v>
      </c>
      <c r="C405" s="29" t="s">
        <v>2219</v>
      </c>
      <c r="D405" s="28" t="s">
        <v>692</v>
      </c>
      <c r="E405" s="36" t="str">
        <f t="shared" si="35"/>
        <v>295/80R22.5-18PR-AS868pro</v>
      </c>
      <c r="F405" s="20"/>
      <c r="G405" s="23"/>
      <c r="H405" s="23"/>
      <c r="I405" s="24"/>
      <c r="J405" s="19" t="str">
        <f t="shared" si="36"/>
        <v/>
      </c>
    </row>
    <row r="406" s="19" customFormat="1" spans="1:10">
      <c r="A406" s="29" t="s">
        <v>2218</v>
      </c>
      <c r="B406" s="29" t="s">
        <v>1092</v>
      </c>
      <c r="C406" s="29" t="s">
        <v>1461</v>
      </c>
      <c r="D406" s="28" t="s">
        <v>692</v>
      </c>
      <c r="E406" s="36" t="str">
        <f t="shared" si="35"/>
        <v>295/80R22.5-18PR-CR976A</v>
      </c>
      <c r="F406" s="20"/>
      <c r="G406" s="23"/>
      <c r="H406" s="23"/>
      <c r="I406" s="24"/>
      <c r="J406" s="19" t="str">
        <f t="shared" si="36"/>
        <v/>
      </c>
    </row>
    <row r="407" s="19" customFormat="1" spans="1:10">
      <c r="A407" s="29" t="s">
        <v>2218</v>
      </c>
      <c r="B407" s="29" t="s">
        <v>1092</v>
      </c>
      <c r="C407" s="29" t="s">
        <v>2303</v>
      </c>
      <c r="D407" s="28" t="s">
        <v>692</v>
      </c>
      <c r="E407" s="36" t="str">
        <f t="shared" si="35"/>
        <v>295/80R22.5-18PR-AT161</v>
      </c>
      <c r="F407" s="20"/>
      <c r="G407" s="23"/>
      <c r="H407" s="23"/>
      <c r="I407" s="24"/>
      <c r="J407" s="19" t="str">
        <f t="shared" si="36"/>
        <v/>
      </c>
    </row>
    <row r="408" s="19" customFormat="1" spans="1:10">
      <c r="A408" s="29" t="s">
        <v>2218</v>
      </c>
      <c r="B408" s="29" t="s">
        <v>1092</v>
      </c>
      <c r="C408" s="29" t="s">
        <v>2074</v>
      </c>
      <c r="D408" s="28" t="s">
        <v>692</v>
      </c>
      <c r="E408" s="36" t="str">
        <f t="shared" si="35"/>
        <v>295/80R22.5-18PR-G-PERFORM S</v>
      </c>
      <c r="F408" s="20"/>
      <c r="G408" s="23"/>
      <c r="H408" s="23"/>
      <c r="I408" s="24"/>
      <c r="J408" s="19" t="str">
        <f t="shared" si="36"/>
        <v/>
      </c>
    </row>
    <row r="409" s="19" customFormat="1" spans="1:10">
      <c r="A409" s="29" t="s">
        <v>2218</v>
      </c>
      <c r="B409" s="29" t="s">
        <v>1092</v>
      </c>
      <c r="C409" s="29" t="s">
        <v>2288</v>
      </c>
      <c r="D409" s="28" t="s">
        <v>692</v>
      </c>
      <c r="E409" s="36" t="str">
        <f t="shared" si="35"/>
        <v>295/80R22.5-18PR-ECOPLUS</v>
      </c>
      <c r="F409" s="20"/>
      <c r="G409" s="23"/>
      <c r="H409" s="23"/>
      <c r="I409" s="24"/>
      <c r="J409" s="19" t="str">
        <f t="shared" si="36"/>
        <v/>
      </c>
    </row>
    <row r="410" s="19" customFormat="1" spans="1:10">
      <c r="A410" s="29" t="s">
        <v>2218</v>
      </c>
      <c r="B410" s="29" t="s">
        <v>1092</v>
      </c>
      <c r="C410" s="29" t="s">
        <v>2081</v>
      </c>
      <c r="D410" s="28" t="s">
        <v>692</v>
      </c>
      <c r="E410" s="36" t="str">
        <f t="shared" si="35"/>
        <v>295/80R22.5-18PR-AD153</v>
      </c>
      <c r="F410" s="20"/>
      <c r="G410" s="23"/>
      <c r="H410" s="23"/>
      <c r="I410" s="24"/>
      <c r="J410" s="19" t="str">
        <f t="shared" si="36"/>
        <v/>
      </c>
    </row>
    <row r="411" s="19" customFormat="1" spans="1:10">
      <c r="A411" s="29" t="s">
        <v>2218</v>
      </c>
      <c r="B411" s="29" t="s">
        <v>1092</v>
      </c>
      <c r="C411" s="29" t="s">
        <v>2083</v>
      </c>
      <c r="D411" s="28" t="s">
        <v>692</v>
      </c>
      <c r="E411" s="36" t="str">
        <f t="shared" si="35"/>
        <v>295/80R22.5-18PR-G-PERFORM D</v>
      </c>
      <c r="F411" s="20"/>
      <c r="G411" s="23"/>
      <c r="H411" s="23"/>
      <c r="I411" s="24"/>
      <c r="J411" s="19" t="str">
        <f t="shared" si="36"/>
        <v/>
      </c>
    </row>
    <row r="412" s="19" customFormat="1" spans="1:10">
      <c r="A412" s="29" t="s">
        <v>2218</v>
      </c>
      <c r="B412" s="29" t="s">
        <v>1092</v>
      </c>
      <c r="C412" s="29" t="s">
        <v>2084</v>
      </c>
      <c r="D412" s="28" t="s">
        <v>692</v>
      </c>
      <c r="E412" s="36" t="str">
        <f t="shared" si="35"/>
        <v>295/80R22.5-18PR-BRD02 ECO</v>
      </c>
      <c r="F412" s="20"/>
      <c r="G412" s="23"/>
      <c r="H412" s="23"/>
      <c r="I412" s="24"/>
      <c r="J412" s="19" t="str">
        <f t="shared" si="36"/>
        <v/>
      </c>
    </row>
    <row r="413" s="19" customFormat="1" spans="1:10">
      <c r="A413" s="29" t="s">
        <v>2218</v>
      </c>
      <c r="B413" s="29" t="s">
        <v>1092</v>
      </c>
      <c r="C413" s="29" t="s">
        <v>1450</v>
      </c>
      <c r="D413" s="28" t="s">
        <v>692</v>
      </c>
      <c r="E413" s="36" t="str">
        <f t="shared" si="35"/>
        <v>295/80R22.5-18PR-AT196</v>
      </c>
      <c r="F413" s="20"/>
      <c r="G413" s="23"/>
      <c r="H413" s="23"/>
      <c r="I413" s="24"/>
      <c r="J413" s="19" t="str">
        <f t="shared" si="36"/>
        <v/>
      </c>
    </row>
    <row r="414" s="19" customFormat="1" spans="1:10">
      <c r="A414" s="29" t="s">
        <v>2218</v>
      </c>
      <c r="B414" s="29" t="s">
        <v>1092</v>
      </c>
      <c r="C414" s="29" t="s">
        <v>2260</v>
      </c>
      <c r="D414" s="28" t="s">
        <v>692</v>
      </c>
      <c r="E414" s="36" t="str">
        <f t="shared" si="35"/>
        <v>295/80R22.5-18PR-TUCSON A</v>
      </c>
      <c r="F414" s="20" t="str">
        <f t="shared" ref="F414:F477" si="37">_xlfn.TEXTJOIN("-",TRUE,A897,B897,C897)</f>
        <v/>
      </c>
      <c r="G414" s="23"/>
      <c r="H414" s="23"/>
      <c r="I414" s="24"/>
      <c r="J414" s="19" t="str">
        <f t="shared" si="36"/>
        <v/>
      </c>
    </row>
    <row r="415" s="19" customFormat="1" spans="1:10">
      <c r="A415" s="29" t="s">
        <v>2218</v>
      </c>
      <c r="B415" s="29" t="s">
        <v>1092</v>
      </c>
      <c r="C415" s="29" t="s">
        <v>2261</v>
      </c>
      <c r="D415" s="28" t="s">
        <v>692</v>
      </c>
      <c r="E415" s="36" t="str">
        <f t="shared" si="35"/>
        <v>295/80R22.5-18PR-BRA07 ECO</v>
      </c>
      <c r="F415" s="20" t="str">
        <f t="shared" si="37"/>
        <v/>
      </c>
      <c r="G415" s="23"/>
      <c r="H415" s="23"/>
      <c r="I415" s="24"/>
      <c r="J415" s="19" t="str">
        <f t="shared" si="36"/>
        <v/>
      </c>
    </row>
    <row r="416" s="19" customFormat="1" spans="1:10">
      <c r="A416" s="29" t="s">
        <v>2218</v>
      </c>
      <c r="B416" s="29" t="s">
        <v>1092</v>
      </c>
      <c r="C416" s="29" t="s">
        <v>2262</v>
      </c>
      <c r="D416" s="28" t="s">
        <v>692</v>
      </c>
      <c r="E416" s="36" t="str">
        <f t="shared" si="35"/>
        <v>295/80R22.5-18PR-ECOLINE A-I</v>
      </c>
      <c r="F416" s="20" t="str">
        <f t="shared" si="37"/>
        <v/>
      </c>
      <c r="G416" s="23"/>
      <c r="H416" s="23"/>
      <c r="I416" s="24"/>
      <c r="J416" s="19" t="str">
        <f t="shared" si="36"/>
        <v/>
      </c>
    </row>
    <row r="417" s="19" customFormat="1" spans="1:10">
      <c r="A417" s="29" t="s">
        <v>2218</v>
      </c>
      <c r="B417" s="29" t="s">
        <v>1092</v>
      </c>
      <c r="C417" s="29" t="s">
        <v>2230</v>
      </c>
      <c r="D417" s="28" t="s">
        <v>692</v>
      </c>
      <c r="E417" s="36" t="str">
        <f t="shared" si="35"/>
        <v>295/80R22.5-18PR-CM987pro</v>
      </c>
      <c r="F417" s="20" t="str">
        <f t="shared" si="37"/>
        <v/>
      </c>
      <c r="G417" s="23"/>
      <c r="H417" s="23"/>
      <c r="I417" s="24"/>
      <c r="J417" s="19" t="str">
        <f t="shared" si="36"/>
        <v/>
      </c>
    </row>
    <row r="418" s="19" customFormat="1" spans="1:10">
      <c r="A418" s="29" t="s">
        <v>2218</v>
      </c>
      <c r="B418" s="29" t="s">
        <v>1092</v>
      </c>
      <c r="C418" s="29" t="s">
        <v>2259</v>
      </c>
      <c r="D418" s="28" t="s">
        <v>692</v>
      </c>
      <c r="E418" s="36" t="str">
        <f t="shared" si="35"/>
        <v>295/80R22.5-18PR-AT186</v>
      </c>
      <c r="F418" s="20" t="str">
        <f t="shared" si="37"/>
        <v/>
      </c>
      <c r="G418" s="23"/>
      <c r="H418" s="23"/>
      <c r="I418" s="24"/>
      <c r="J418" s="19" t="str">
        <f t="shared" si="36"/>
        <v/>
      </c>
    </row>
    <row r="419" s="19" customFormat="1" spans="1:10">
      <c r="A419" s="29" t="s">
        <v>2218</v>
      </c>
      <c r="B419" s="29" t="s">
        <v>1092</v>
      </c>
      <c r="C419" s="29" t="s">
        <v>2244</v>
      </c>
      <c r="D419" s="61" t="s">
        <v>692</v>
      </c>
      <c r="E419" s="36" t="str">
        <f t="shared" si="35"/>
        <v>295/80R22.5-18PR-CM335</v>
      </c>
      <c r="F419" s="20" t="str">
        <f t="shared" si="37"/>
        <v/>
      </c>
      <c r="G419" s="23"/>
      <c r="H419" s="23"/>
      <c r="I419" s="24"/>
      <c r="J419" s="19" t="str">
        <f t="shared" si="36"/>
        <v/>
      </c>
    </row>
    <row r="420" s="19" customFormat="1" spans="1:10">
      <c r="A420" s="29" t="s">
        <v>2218</v>
      </c>
      <c r="B420" s="29" t="s">
        <v>1092</v>
      </c>
      <c r="C420" s="29" t="s">
        <v>2232</v>
      </c>
      <c r="D420" s="61" t="s">
        <v>692</v>
      </c>
      <c r="E420" s="36" t="str">
        <f t="shared" si="35"/>
        <v>295/80R22.5-18PR-AD733</v>
      </c>
      <c r="F420" s="20" t="str">
        <f t="shared" si="37"/>
        <v/>
      </c>
      <c r="G420" s="23"/>
      <c r="H420" s="23"/>
      <c r="I420" s="24"/>
      <c r="J420" s="19" t="str">
        <f t="shared" si="36"/>
        <v/>
      </c>
    </row>
    <row r="421" s="19" customFormat="1" spans="1:10">
      <c r="A421" s="29" t="s">
        <v>2218</v>
      </c>
      <c r="B421" s="29" t="s">
        <v>1092</v>
      </c>
      <c r="C421" s="29" t="s">
        <v>2267</v>
      </c>
      <c r="D421" s="28" t="s">
        <v>692</v>
      </c>
      <c r="E421" s="36" t="str">
        <f t="shared" si="35"/>
        <v>295/80R22.5-18PR-WDR1</v>
      </c>
      <c r="F421" s="20" t="str">
        <f t="shared" si="37"/>
        <v/>
      </c>
      <c r="G421" s="23"/>
      <c r="H421" s="23"/>
      <c r="I421" s="24"/>
      <c r="J421" s="19" t="str">
        <f t="shared" si="36"/>
        <v/>
      </c>
    </row>
    <row r="422" s="19" customFormat="1" spans="1:10">
      <c r="A422" s="29" t="s">
        <v>2218</v>
      </c>
      <c r="B422" s="29" t="s">
        <v>1092</v>
      </c>
      <c r="C422" s="29" t="s">
        <v>2269</v>
      </c>
      <c r="D422" s="28" t="s">
        <v>692</v>
      </c>
      <c r="E422" s="36" t="str">
        <f t="shared" si="35"/>
        <v>295/80R22.5-18PR-BRD06 PRO</v>
      </c>
      <c r="F422" s="20" t="str">
        <f t="shared" si="37"/>
        <v/>
      </c>
      <c r="G422" s="23"/>
      <c r="H422" s="23"/>
      <c r="I422" s="24"/>
      <c r="J422" s="19" t="str">
        <f t="shared" si="36"/>
        <v/>
      </c>
    </row>
    <row r="423" s="19" customFormat="1" spans="1:10">
      <c r="A423" s="29" t="s">
        <v>2218</v>
      </c>
      <c r="B423" s="29" t="s">
        <v>1092</v>
      </c>
      <c r="C423" s="29" t="s">
        <v>2270</v>
      </c>
      <c r="D423" s="28" t="s">
        <v>692</v>
      </c>
      <c r="E423" s="36" t="str">
        <f t="shared" si="35"/>
        <v>295/80R22.5-18PR-RF45</v>
      </c>
      <c r="F423" s="20" t="str">
        <f t="shared" si="37"/>
        <v/>
      </c>
      <c r="G423" s="23"/>
      <c r="H423" s="23"/>
      <c r="I423" s="24"/>
      <c r="J423" s="19" t="str">
        <f t="shared" si="36"/>
        <v/>
      </c>
    </row>
    <row r="424" s="19" customFormat="1" spans="1:10">
      <c r="A424" s="29" t="s">
        <v>2218</v>
      </c>
      <c r="B424" s="29" t="s">
        <v>1092</v>
      </c>
      <c r="C424" s="29" t="s">
        <v>2271</v>
      </c>
      <c r="D424" s="28" t="s">
        <v>692</v>
      </c>
      <c r="E424" s="36" t="str">
        <f t="shared" si="35"/>
        <v>295/80R22.5-18PR-GDR1</v>
      </c>
      <c r="F424" s="20" t="str">
        <f t="shared" si="37"/>
        <v/>
      </c>
      <c r="G424" s="23"/>
      <c r="H424" s="23"/>
      <c r="I424" s="24"/>
      <c r="J424" s="19" t="str">
        <f t="shared" si="36"/>
        <v/>
      </c>
    </row>
    <row r="425" s="19" customFormat="1" spans="1:10">
      <c r="A425" s="29" t="s">
        <v>2218</v>
      </c>
      <c r="B425" s="29" t="s">
        <v>1092</v>
      </c>
      <c r="C425" s="29" t="s">
        <v>2102</v>
      </c>
      <c r="D425" s="28" t="s">
        <v>692</v>
      </c>
      <c r="E425" s="36" t="str">
        <f t="shared" si="35"/>
        <v>295/80R22.5-18PR-AD818</v>
      </c>
      <c r="F425" s="20" t="str">
        <f t="shared" si="37"/>
        <v/>
      </c>
      <c r="G425" s="23"/>
      <c r="H425" s="23"/>
      <c r="I425" s="24"/>
      <c r="J425" s="19" t="str">
        <f t="shared" si="36"/>
        <v/>
      </c>
    </row>
    <row r="426" s="19" customFormat="1" spans="1:10">
      <c r="A426" s="29" t="s">
        <v>2218</v>
      </c>
      <c r="B426" s="29" t="s">
        <v>1092</v>
      </c>
      <c r="C426" s="29" t="s">
        <v>2234</v>
      </c>
      <c r="D426" s="28" t="s">
        <v>692</v>
      </c>
      <c r="E426" s="36" t="str">
        <f t="shared" si="35"/>
        <v>295/80R22.5-18PR-G-PRO D</v>
      </c>
      <c r="F426" s="20" t="str">
        <f t="shared" si="37"/>
        <v/>
      </c>
      <c r="G426" s="23"/>
      <c r="H426" s="23"/>
      <c r="I426" s="24"/>
      <c r="J426" s="19" t="str">
        <f t="shared" si="36"/>
        <v/>
      </c>
    </row>
    <row r="427" s="19" customFormat="1" spans="1:10">
      <c r="A427" s="29" t="s">
        <v>2218</v>
      </c>
      <c r="B427" s="29" t="s">
        <v>1092</v>
      </c>
      <c r="C427" s="29" t="s">
        <v>2088</v>
      </c>
      <c r="D427" s="28" t="s">
        <v>692</v>
      </c>
      <c r="E427" s="36" t="str">
        <f t="shared" si="35"/>
        <v>295/80R22.5-18PR-AD528</v>
      </c>
      <c r="F427" s="20" t="str">
        <f t="shared" si="37"/>
        <v/>
      </c>
      <c r="G427" s="23"/>
      <c r="H427" s="23"/>
      <c r="I427" s="24"/>
      <c r="J427" s="19" t="str">
        <f t="shared" si="36"/>
        <v/>
      </c>
    </row>
    <row r="428" s="19" customFormat="1" spans="1:10">
      <c r="A428" s="29" t="s">
        <v>2218</v>
      </c>
      <c r="B428" s="29" t="s">
        <v>1092</v>
      </c>
      <c r="C428" s="29" t="s">
        <v>2263</v>
      </c>
      <c r="D428" s="28" t="s">
        <v>692</v>
      </c>
      <c r="E428" s="36" t="str">
        <f t="shared" si="35"/>
        <v>295/80R22.5-18PR-AD156A</v>
      </c>
      <c r="F428" s="20" t="str">
        <f t="shared" si="37"/>
        <v/>
      </c>
      <c r="G428" s="23"/>
      <c r="H428" s="23"/>
      <c r="I428" s="24"/>
      <c r="J428" s="19" t="str">
        <f t="shared" si="36"/>
        <v/>
      </c>
    </row>
    <row r="429" s="19" customFormat="1" spans="1:10">
      <c r="A429" s="29" t="s">
        <v>2218</v>
      </c>
      <c r="B429" s="29" t="s">
        <v>1092</v>
      </c>
      <c r="C429" s="29" t="s">
        <v>2265</v>
      </c>
      <c r="D429" s="28" t="s">
        <v>692</v>
      </c>
      <c r="E429" s="36" t="str">
        <f t="shared" si="35"/>
        <v>295/80R22.5-18PR-TUCSON D</v>
      </c>
      <c r="F429" s="20" t="str">
        <f t="shared" si="37"/>
        <v/>
      </c>
      <c r="G429" s="23"/>
      <c r="H429" s="23"/>
      <c r="I429" s="24"/>
      <c r="J429" s="19" t="str">
        <f t="shared" si="36"/>
        <v/>
      </c>
    </row>
    <row r="430" s="19" customFormat="1" spans="1:10">
      <c r="A430" s="29" t="s">
        <v>2218</v>
      </c>
      <c r="B430" s="29" t="s">
        <v>1092</v>
      </c>
      <c r="C430" s="29" t="s">
        <v>2266</v>
      </c>
      <c r="D430" s="28" t="s">
        <v>692</v>
      </c>
      <c r="E430" s="36" t="str">
        <f t="shared" si="35"/>
        <v>295/80R22.5-18PR-ECOTRAX D-I</v>
      </c>
      <c r="F430" s="20" t="str">
        <f t="shared" si="37"/>
        <v/>
      </c>
      <c r="G430" s="23"/>
      <c r="H430" s="23"/>
      <c r="I430" s="24"/>
      <c r="J430" s="19" t="str">
        <f t="shared" si="36"/>
        <v/>
      </c>
    </row>
    <row r="431" s="19" customFormat="1" spans="1:10">
      <c r="A431" s="29" t="s">
        <v>2218</v>
      </c>
      <c r="B431" s="29" t="s">
        <v>1092</v>
      </c>
      <c r="C431" s="29" t="s">
        <v>2098</v>
      </c>
      <c r="D431" s="61" t="s">
        <v>692</v>
      </c>
      <c r="E431" s="36" t="str">
        <f t="shared" si="35"/>
        <v>295/80R22.5-18PR-MD777</v>
      </c>
      <c r="F431" s="20" t="str">
        <f t="shared" si="37"/>
        <v/>
      </c>
      <c r="G431" s="23"/>
      <c r="H431" s="23"/>
      <c r="I431" s="24"/>
      <c r="J431" s="19" t="str">
        <f t="shared" si="36"/>
        <v/>
      </c>
    </row>
    <row r="432" s="19" customFormat="1" spans="1:10">
      <c r="A432" s="29" t="s">
        <v>2218</v>
      </c>
      <c r="B432" s="29" t="s">
        <v>1092</v>
      </c>
      <c r="C432" s="29" t="s">
        <v>2100</v>
      </c>
      <c r="D432" s="28" t="s">
        <v>692</v>
      </c>
      <c r="E432" s="36" t="str">
        <f t="shared" si="35"/>
        <v>295/80R22.5-18PR-G-PRO MSD</v>
      </c>
      <c r="F432" s="20" t="str">
        <f t="shared" si="37"/>
        <v/>
      </c>
      <c r="G432" s="23"/>
      <c r="H432" s="23"/>
      <c r="I432" s="24"/>
      <c r="J432" s="19" t="str">
        <f t="shared" si="36"/>
        <v/>
      </c>
    </row>
    <row r="433" s="19" customFormat="1" spans="1:10">
      <c r="A433" s="29" t="s">
        <v>2218</v>
      </c>
      <c r="B433" s="29" t="s">
        <v>1092</v>
      </c>
      <c r="C433" s="29" t="s">
        <v>2101</v>
      </c>
      <c r="D433" s="28" t="s">
        <v>692</v>
      </c>
      <c r="E433" s="36" t="str">
        <f t="shared" si="35"/>
        <v>295/80R22.5-18PR-BMD06 PRO</v>
      </c>
      <c r="F433" s="20" t="str">
        <f t="shared" si="37"/>
        <v/>
      </c>
      <c r="G433" s="23"/>
      <c r="H433" s="23"/>
      <c r="I433" s="24"/>
      <c r="J433" s="19" t="str">
        <f t="shared" si="36"/>
        <v/>
      </c>
    </row>
    <row r="434" s="19" customFormat="1" spans="1:10">
      <c r="A434" s="29" t="s">
        <v>2218</v>
      </c>
      <c r="B434" s="29" t="s">
        <v>1092</v>
      </c>
      <c r="C434" s="29" t="s">
        <v>2236</v>
      </c>
      <c r="D434" s="28" t="s">
        <v>692</v>
      </c>
      <c r="E434" s="36" t="str">
        <f t="shared" si="35"/>
        <v>295/80R22.5-18PR-TRAX D-I</v>
      </c>
      <c r="F434" s="20" t="str">
        <f t="shared" si="37"/>
        <v/>
      </c>
      <c r="G434" s="23"/>
      <c r="H434" s="23"/>
      <c r="I434" s="24"/>
      <c r="J434" s="19" t="str">
        <f t="shared" si="36"/>
        <v/>
      </c>
    </row>
    <row r="435" s="19" customFormat="1" spans="1:10">
      <c r="A435" s="29" t="s">
        <v>2218</v>
      </c>
      <c r="B435" s="29" t="s">
        <v>1092</v>
      </c>
      <c r="C435" s="29" t="s">
        <v>1559</v>
      </c>
      <c r="D435" s="28" t="s">
        <v>692</v>
      </c>
      <c r="E435" s="36" t="str">
        <f t="shared" si="35"/>
        <v>295/80R22.5-18PR-AS678</v>
      </c>
      <c r="F435" s="20" t="str">
        <f t="shared" si="37"/>
        <v/>
      </c>
      <c r="G435" s="23"/>
      <c r="H435" s="23"/>
      <c r="I435" s="24"/>
      <c r="J435" s="19" t="str">
        <f t="shared" si="36"/>
        <v/>
      </c>
    </row>
    <row r="436" s="19" customFormat="1" spans="1:10">
      <c r="A436" s="29" t="s">
        <v>2218</v>
      </c>
      <c r="B436" s="29" t="s">
        <v>1092</v>
      </c>
      <c r="C436" s="29" t="s">
        <v>2281</v>
      </c>
      <c r="D436" s="28" t="s">
        <v>692</v>
      </c>
      <c r="E436" s="36" t="str">
        <f t="shared" si="35"/>
        <v>295/80R22.5-18PR-RF35</v>
      </c>
      <c r="F436" s="20" t="str">
        <f t="shared" si="37"/>
        <v/>
      </c>
      <c r="G436" s="23"/>
      <c r="H436" s="23"/>
      <c r="I436" s="24"/>
      <c r="J436" s="19" t="str">
        <f t="shared" si="36"/>
        <v/>
      </c>
    </row>
    <row r="437" s="19" customFormat="1" spans="1:10">
      <c r="A437" s="29" t="s">
        <v>2218</v>
      </c>
      <c r="B437" s="29" t="s">
        <v>1092</v>
      </c>
      <c r="C437" s="29" t="s">
        <v>2278</v>
      </c>
      <c r="D437" s="28" t="s">
        <v>692</v>
      </c>
      <c r="E437" s="36" t="str">
        <f t="shared" si="35"/>
        <v>295/80R22.5-18PR-EZ177</v>
      </c>
      <c r="F437" s="20" t="str">
        <f t="shared" si="37"/>
        <v/>
      </c>
      <c r="G437" s="23"/>
      <c r="H437" s="23"/>
      <c r="I437" s="24"/>
      <c r="J437" s="19" t="str">
        <f t="shared" si="36"/>
        <v/>
      </c>
    </row>
    <row r="438" s="19" customFormat="1" spans="1:10">
      <c r="A438" s="29" t="s">
        <v>2218</v>
      </c>
      <c r="B438" s="29" t="s">
        <v>1092</v>
      </c>
      <c r="C438" s="29" t="s">
        <v>2276</v>
      </c>
      <c r="D438" s="28" t="s">
        <v>692</v>
      </c>
      <c r="E438" s="36" t="str">
        <f t="shared" si="35"/>
        <v>295/80R22.5-18PR-CM997</v>
      </c>
      <c r="F438" s="20" t="str">
        <f t="shared" si="37"/>
        <v/>
      </c>
      <c r="G438" s="23"/>
      <c r="H438" s="23"/>
      <c r="I438" s="24"/>
      <c r="J438" s="19" t="str">
        <f t="shared" si="36"/>
        <v/>
      </c>
    </row>
    <row r="439" s="19" customFormat="1" spans="1:10">
      <c r="A439" s="29" t="s">
        <v>2218</v>
      </c>
      <c r="B439" s="29" t="s">
        <v>1092</v>
      </c>
      <c r="C439" s="29" t="s">
        <v>2085</v>
      </c>
      <c r="D439" s="28" t="s">
        <v>692</v>
      </c>
      <c r="E439" s="36" t="str">
        <f t="shared" si="35"/>
        <v>295/80R22.5-18PR-CR906</v>
      </c>
      <c r="F439" s="20" t="str">
        <f t="shared" si="37"/>
        <v/>
      </c>
      <c r="G439" s="23"/>
      <c r="H439" s="23"/>
      <c r="I439" s="24"/>
      <c r="J439" s="19" t="str">
        <f t="shared" si="36"/>
        <v/>
      </c>
    </row>
    <row r="440" s="19" customFormat="1" spans="1:10">
      <c r="A440" s="29" t="s">
        <v>2218</v>
      </c>
      <c r="B440" s="29" t="s">
        <v>1092</v>
      </c>
      <c r="C440" s="29" t="s">
        <v>2087</v>
      </c>
      <c r="D440" s="28" t="s">
        <v>692</v>
      </c>
      <c r="E440" s="36" t="str">
        <f t="shared" si="35"/>
        <v>295/80R22.5-18PR-G-PRO U</v>
      </c>
      <c r="F440" s="20" t="str">
        <f t="shared" si="37"/>
        <v/>
      </c>
      <c r="G440" s="23"/>
      <c r="H440" s="23"/>
      <c r="I440" s="24"/>
      <c r="J440" s="19" t="str">
        <f t="shared" si="36"/>
        <v/>
      </c>
    </row>
    <row r="441" s="19" customFormat="1" spans="1:10">
      <c r="A441" s="29" t="s">
        <v>2218</v>
      </c>
      <c r="B441" s="29" t="s">
        <v>1092</v>
      </c>
      <c r="C441" s="29" t="s">
        <v>2105</v>
      </c>
      <c r="D441" s="28" t="s">
        <v>692</v>
      </c>
      <c r="E441" s="36" t="str">
        <f t="shared" si="35"/>
        <v>295/80R22.5-18PR-AS589</v>
      </c>
      <c r="F441" s="20" t="str">
        <f t="shared" si="37"/>
        <v/>
      </c>
      <c r="G441" s="23"/>
      <c r="H441" s="23"/>
      <c r="I441" s="24"/>
      <c r="J441" s="19" t="str">
        <f t="shared" si="36"/>
        <v/>
      </c>
    </row>
    <row r="442" s="19" customFormat="1" spans="1:10">
      <c r="A442" s="29" t="s">
        <v>2218</v>
      </c>
      <c r="B442" s="29" t="s">
        <v>1092</v>
      </c>
      <c r="C442" s="29" t="s">
        <v>2255</v>
      </c>
      <c r="D442" s="28" t="s">
        <v>692</v>
      </c>
      <c r="E442" s="36" t="str">
        <f t="shared" si="35"/>
        <v>295/80R22.5-18PR-AS668</v>
      </c>
      <c r="F442" s="20" t="str">
        <f t="shared" si="37"/>
        <v/>
      </c>
      <c r="G442" s="23"/>
      <c r="H442" s="23"/>
      <c r="I442" s="24"/>
      <c r="J442" s="19" t="str">
        <f t="shared" si="36"/>
        <v/>
      </c>
    </row>
    <row r="443" s="19" customFormat="1" spans="1:10">
      <c r="A443" s="29" t="s">
        <v>2218</v>
      </c>
      <c r="B443" s="29" t="s">
        <v>1092</v>
      </c>
      <c r="C443" s="29" t="s">
        <v>1793</v>
      </c>
      <c r="D443" s="28" t="s">
        <v>692</v>
      </c>
      <c r="E443" s="36" t="str">
        <f t="shared" si="35"/>
        <v>295/80R22.5-18PR-AT167</v>
      </c>
      <c r="F443" s="20" t="str">
        <f t="shared" si="37"/>
        <v/>
      </c>
      <c r="G443" s="23"/>
      <c r="H443" s="23"/>
      <c r="I443" s="24"/>
      <c r="J443" s="19" t="str">
        <f t="shared" si="36"/>
        <v/>
      </c>
    </row>
    <row r="444" s="19" customFormat="1" spans="1:10">
      <c r="A444" s="29" t="s">
        <v>2218</v>
      </c>
      <c r="B444" s="29" t="s">
        <v>1092</v>
      </c>
      <c r="C444" s="29" t="s">
        <v>2275</v>
      </c>
      <c r="D444" s="28" t="s">
        <v>692</v>
      </c>
      <c r="E444" s="36" t="str">
        <f t="shared" si="35"/>
        <v>295/80R22.5-18PR-BRA02 ECO</v>
      </c>
      <c r="F444" s="20" t="str">
        <f t="shared" si="37"/>
        <v/>
      </c>
      <c r="G444" s="23"/>
      <c r="H444" s="23"/>
      <c r="I444" s="24"/>
      <c r="J444" s="19" t="str">
        <f t="shared" si="36"/>
        <v/>
      </c>
    </row>
    <row r="445" s="19" customFormat="1" spans="1:10">
      <c r="A445" s="29" t="s">
        <v>2218</v>
      </c>
      <c r="B445" s="29" t="s">
        <v>1092</v>
      </c>
      <c r="C445" s="29" t="s">
        <v>2272</v>
      </c>
      <c r="D445" s="28" t="s">
        <v>692</v>
      </c>
      <c r="E445" s="36" t="str">
        <f t="shared" si="35"/>
        <v>295/80R22.5-18PR-AD733pro</v>
      </c>
      <c r="F445" s="20" t="str">
        <f t="shared" si="37"/>
        <v/>
      </c>
      <c r="G445" s="23"/>
      <c r="H445" s="23"/>
      <c r="I445" s="24"/>
      <c r="J445" s="19" t="str">
        <f t="shared" si="36"/>
        <v/>
      </c>
    </row>
    <row r="446" s="19" customFormat="1" spans="1:10">
      <c r="A446" s="29" t="s">
        <v>2218</v>
      </c>
      <c r="B446" s="29" t="s">
        <v>1092</v>
      </c>
      <c r="C446" s="29" t="s">
        <v>1047</v>
      </c>
      <c r="D446" s="28" t="s">
        <v>692</v>
      </c>
      <c r="E446" s="36" t="str">
        <f t="shared" si="35"/>
        <v>295/80R22.5-18PR-AZ126T</v>
      </c>
      <c r="F446" s="20" t="str">
        <f t="shared" si="37"/>
        <v/>
      </c>
      <c r="G446" s="23"/>
      <c r="H446" s="23"/>
      <c r="I446" s="24"/>
      <c r="J446" s="19" t="str">
        <f t="shared" si="36"/>
        <v/>
      </c>
    </row>
    <row r="447" s="19" customFormat="1" spans="1:10">
      <c r="A447" s="29" t="s">
        <v>2218</v>
      </c>
      <c r="B447" s="29" t="s">
        <v>1092</v>
      </c>
      <c r="C447" s="29" t="s">
        <v>1851</v>
      </c>
      <c r="D447" s="28" t="s">
        <v>692</v>
      </c>
      <c r="E447" s="36" t="str">
        <f t="shared" si="35"/>
        <v>295/80R22.5-18PR-CR926D</v>
      </c>
      <c r="F447" s="20" t="str">
        <f t="shared" si="37"/>
        <v/>
      </c>
      <c r="G447" s="23"/>
      <c r="H447" s="23"/>
      <c r="I447" s="24"/>
      <c r="J447" s="19" t="str">
        <f t="shared" si="36"/>
        <v/>
      </c>
    </row>
    <row r="448" s="19" customFormat="1" spans="1:10">
      <c r="A448" s="29" t="s">
        <v>2218</v>
      </c>
      <c r="B448" s="29" t="s">
        <v>1092</v>
      </c>
      <c r="C448" s="29" t="s">
        <v>2251</v>
      </c>
      <c r="D448" s="28" t="s">
        <v>692</v>
      </c>
      <c r="E448" s="36" t="str">
        <f t="shared" si="35"/>
        <v>295/80R22.5-18PR-BMA07 ECO</v>
      </c>
      <c r="F448" s="20" t="str">
        <f t="shared" si="37"/>
        <v/>
      </c>
      <c r="G448" s="23"/>
      <c r="H448" s="23"/>
      <c r="I448" s="24"/>
      <c r="J448" s="19" t="str">
        <f t="shared" si="36"/>
        <v/>
      </c>
    </row>
    <row r="449" s="19" customFormat="1" spans="1:10">
      <c r="A449" s="29" t="s">
        <v>2218</v>
      </c>
      <c r="B449" s="29" t="s">
        <v>1092</v>
      </c>
      <c r="C449" s="29" t="s">
        <v>2252</v>
      </c>
      <c r="D449" s="28" t="s">
        <v>692</v>
      </c>
      <c r="E449" s="36" t="str">
        <f t="shared" si="35"/>
        <v>295/80R22.5-18PR-NMIX Z-I</v>
      </c>
      <c r="F449" s="20" t="str">
        <f t="shared" si="37"/>
        <v/>
      </c>
      <c r="G449" s="23"/>
      <c r="H449" s="23"/>
      <c r="I449" s="24"/>
      <c r="J449" s="19" t="str">
        <f t="shared" si="36"/>
        <v/>
      </c>
    </row>
    <row r="450" s="19" customFormat="1" spans="1:10">
      <c r="A450" s="29" t="s">
        <v>2218</v>
      </c>
      <c r="B450" s="29" t="s">
        <v>1092</v>
      </c>
      <c r="C450" s="29" t="s">
        <v>2248</v>
      </c>
      <c r="D450" s="28" t="s">
        <v>692</v>
      </c>
      <c r="E450" s="36" t="str">
        <f t="shared" si="35"/>
        <v>295/80R22.5-18PR-WDA2</v>
      </c>
      <c r="F450" s="20" t="str">
        <f t="shared" si="37"/>
        <v/>
      </c>
      <c r="G450" s="23"/>
      <c r="H450" s="23"/>
      <c r="I450" s="24"/>
      <c r="J450" s="19" t="str">
        <f t="shared" si="36"/>
        <v/>
      </c>
    </row>
    <row r="451" s="19" customFormat="1" spans="1:10">
      <c r="A451" s="29" t="s">
        <v>2218</v>
      </c>
      <c r="B451" s="29" t="s">
        <v>1092</v>
      </c>
      <c r="C451" s="29" t="s">
        <v>2246</v>
      </c>
      <c r="D451" s="28" t="s">
        <v>692</v>
      </c>
      <c r="E451" s="36" t="str">
        <f t="shared" ref="E451:E514" si="38">_xlfn.TEXTJOIN("-",TRUE,A451,B451,C451)</f>
        <v>295/80R22.5-18PR-WSA2</v>
      </c>
      <c r="F451" s="20" t="str">
        <f t="shared" si="37"/>
        <v/>
      </c>
      <c r="G451" s="23"/>
      <c r="H451" s="23"/>
      <c r="I451" s="24"/>
      <c r="J451" s="19" t="str">
        <f t="shared" ref="J451:J499" si="39">_xlfn.TEXTJOIN("-",TRUE,F451,G451,H451)</f>
        <v/>
      </c>
    </row>
    <row r="452" s="19" customFormat="1" spans="1:10">
      <c r="A452" s="29" t="s">
        <v>2218</v>
      </c>
      <c r="B452" s="29" t="s">
        <v>1092</v>
      </c>
      <c r="C452" s="29" t="s">
        <v>2077</v>
      </c>
      <c r="D452" s="28" t="s">
        <v>692</v>
      </c>
      <c r="E452" s="36" t="str">
        <f t="shared" si="38"/>
        <v>295/80R22.5-18PR-EZ573</v>
      </c>
      <c r="F452" s="20" t="str">
        <f t="shared" si="37"/>
        <v/>
      </c>
      <c r="G452" s="23"/>
      <c r="H452" s="23"/>
      <c r="I452" s="24"/>
      <c r="J452" s="19" t="str">
        <f t="shared" si="39"/>
        <v/>
      </c>
    </row>
    <row r="453" s="19" customFormat="1" spans="1:10">
      <c r="A453" s="29" t="s">
        <v>2218</v>
      </c>
      <c r="B453" s="29" t="s">
        <v>1092</v>
      </c>
      <c r="C453" s="29" t="s">
        <v>2079</v>
      </c>
      <c r="D453" s="28" t="s">
        <v>692</v>
      </c>
      <c r="E453" s="36" t="str">
        <f t="shared" si="38"/>
        <v>295/80R22.5-18PR-G-PRO MSA</v>
      </c>
      <c r="F453" s="20" t="str">
        <f t="shared" si="37"/>
        <v/>
      </c>
      <c r="G453" s="23"/>
      <c r="H453" s="23"/>
      <c r="I453" s="24"/>
      <c r="J453" s="19" t="str">
        <f t="shared" si="39"/>
        <v/>
      </c>
    </row>
    <row r="454" s="19" customFormat="1" spans="1:10">
      <c r="A454" s="29" t="s">
        <v>2218</v>
      </c>
      <c r="B454" s="29" t="s">
        <v>1092</v>
      </c>
      <c r="C454" s="29" t="s">
        <v>2238</v>
      </c>
      <c r="D454" s="28" t="s">
        <v>692</v>
      </c>
      <c r="E454" s="36" t="str">
        <f t="shared" si="38"/>
        <v>295/80R22.5-18PR-NMIX Z-II</v>
      </c>
      <c r="F454" s="20" t="str">
        <f t="shared" si="37"/>
        <v/>
      </c>
      <c r="G454" s="23"/>
      <c r="H454" s="23"/>
      <c r="I454" s="24"/>
      <c r="J454" s="19" t="str">
        <f t="shared" si="39"/>
        <v/>
      </c>
    </row>
    <row r="455" s="19" customFormat="1" spans="1:10">
      <c r="A455" s="29" t="s">
        <v>2218</v>
      </c>
      <c r="B455" s="29" t="s">
        <v>1092</v>
      </c>
      <c r="C455" s="29" t="s">
        <v>4766</v>
      </c>
      <c r="D455" s="28" t="s">
        <v>692</v>
      </c>
      <c r="E455" s="36" t="str">
        <f t="shared" si="38"/>
        <v>295/80R22.5-18PR-G-PROU</v>
      </c>
      <c r="F455" s="20" t="str">
        <f t="shared" si="37"/>
        <v/>
      </c>
      <c r="G455" s="23"/>
      <c r="H455" s="23"/>
      <c r="I455" s="24"/>
      <c r="J455" s="19" t="str">
        <f t="shared" si="39"/>
        <v/>
      </c>
    </row>
    <row r="456" s="19" customFormat="1" spans="1:10">
      <c r="A456" s="29" t="s">
        <v>2218</v>
      </c>
      <c r="B456" s="29" t="s">
        <v>1092</v>
      </c>
      <c r="C456" s="29" t="s">
        <v>1327</v>
      </c>
      <c r="D456" s="28" t="s">
        <v>692</v>
      </c>
      <c r="E456" s="36" t="str">
        <f t="shared" si="38"/>
        <v>295/80R22.5-18PR-CM958</v>
      </c>
      <c r="F456" s="20" t="str">
        <f t="shared" si="37"/>
        <v/>
      </c>
      <c r="G456" s="23"/>
      <c r="H456" s="23"/>
      <c r="I456" s="24"/>
      <c r="J456" s="19" t="str">
        <f t="shared" si="39"/>
        <v/>
      </c>
    </row>
    <row r="457" s="19" customFormat="1" spans="1:10">
      <c r="A457" s="29" t="s">
        <v>2218</v>
      </c>
      <c r="B457" s="29" t="s">
        <v>1092</v>
      </c>
      <c r="C457" s="29" t="s">
        <v>2222</v>
      </c>
      <c r="D457" s="28" t="s">
        <v>692</v>
      </c>
      <c r="E457" s="36" t="str">
        <f t="shared" si="38"/>
        <v>295/80R22.5-18PR-WSR1</v>
      </c>
      <c r="F457" s="20" t="str">
        <f t="shared" si="37"/>
        <v/>
      </c>
      <c r="G457" s="23"/>
      <c r="H457" s="23"/>
      <c r="I457" s="24"/>
      <c r="J457" s="19" t="str">
        <f t="shared" si="39"/>
        <v/>
      </c>
    </row>
    <row r="458" s="19" customFormat="1" spans="1:10">
      <c r="A458" s="29" t="s">
        <v>2218</v>
      </c>
      <c r="B458" s="29" t="s">
        <v>1092</v>
      </c>
      <c r="C458" s="29" t="s">
        <v>2224</v>
      </c>
      <c r="D458" s="28" t="s">
        <v>692</v>
      </c>
      <c r="E458" s="36" t="str">
        <f t="shared" si="38"/>
        <v>295/80R22.5-18PR-BRA06 PRO</v>
      </c>
      <c r="F458" s="20" t="str">
        <f t="shared" si="37"/>
        <v/>
      </c>
      <c r="G458" s="23"/>
      <c r="H458" s="23"/>
      <c r="I458" s="24"/>
      <c r="J458" s="19" t="str">
        <f t="shared" si="39"/>
        <v/>
      </c>
    </row>
    <row r="459" s="19" customFormat="1" spans="1:10">
      <c r="A459" s="29" t="s">
        <v>2218</v>
      </c>
      <c r="B459" s="29" t="s">
        <v>1092</v>
      </c>
      <c r="C459" s="29" t="s">
        <v>2225</v>
      </c>
      <c r="D459" s="28" t="s">
        <v>692</v>
      </c>
      <c r="E459" s="36" t="str">
        <f t="shared" si="38"/>
        <v>295/80R22.5-18PR-RF15</v>
      </c>
      <c r="F459" s="20" t="str">
        <f t="shared" si="37"/>
        <v/>
      </c>
      <c r="G459" s="23"/>
      <c r="H459" s="23"/>
      <c r="I459" s="24"/>
      <c r="J459" s="19" t="str">
        <f t="shared" si="39"/>
        <v/>
      </c>
    </row>
    <row r="460" s="19" customFormat="1" spans="1:10">
      <c r="A460" s="29" t="s">
        <v>2218</v>
      </c>
      <c r="B460" s="29" t="s">
        <v>1092</v>
      </c>
      <c r="C460" s="29" t="s">
        <v>2226</v>
      </c>
      <c r="D460" s="28" t="s">
        <v>692</v>
      </c>
      <c r="E460" s="36" t="str">
        <f t="shared" si="38"/>
        <v>295/80R22.5-18PR-GSR1</v>
      </c>
      <c r="F460" s="20" t="str">
        <f t="shared" si="37"/>
        <v/>
      </c>
      <c r="G460" s="23"/>
      <c r="H460" s="23"/>
      <c r="I460" s="24"/>
      <c r="J460" s="19" t="str">
        <f t="shared" si="39"/>
        <v/>
      </c>
    </row>
    <row r="461" s="19" customFormat="1" spans="1:10">
      <c r="A461" s="29" t="s">
        <v>2218</v>
      </c>
      <c r="B461" s="29" t="s">
        <v>1092</v>
      </c>
      <c r="C461" s="29" t="s">
        <v>2253</v>
      </c>
      <c r="D461" s="28" t="s">
        <v>692</v>
      </c>
      <c r="E461" s="36" t="str">
        <f t="shared" si="38"/>
        <v>295/80R22.5-18PR-AS567</v>
      </c>
      <c r="F461" s="20" t="str">
        <f t="shared" si="37"/>
        <v/>
      </c>
      <c r="G461" s="23"/>
      <c r="H461" s="23"/>
      <c r="I461" s="24"/>
      <c r="J461" s="19" t="str">
        <f t="shared" si="39"/>
        <v/>
      </c>
    </row>
    <row r="462" s="19" customFormat="1" spans="1:10">
      <c r="A462" s="29" t="s">
        <v>2218</v>
      </c>
      <c r="B462" s="29" t="s">
        <v>1092</v>
      </c>
      <c r="C462" s="29" t="s">
        <v>2241</v>
      </c>
      <c r="D462" s="28" t="s">
        <v>692</v>
      </c>
      <c r="E462" s="36" t="str">
        <f t="shared" si="38"/>
        <v>295/80R22.5-18PR-G-PERFORM O</v>
      </c>
      <c r="F462" s="20" t="str">
        <f t="shared" si="37"/>
        <v/>
      </c>
      <c r="G462" s="23"/>
      <c r="H462" s="23"/>
      <c r="I462" s="24"/>
      <c r="J462" s="19" t="str">
        <f t="shared" si="39"/>
        <v/>
      </c>
    </row>
    <row r="463" s="19" customFormat="1" spans="1:10">
      <c r="A463" s="29" t="s">
        <v>2218</v>
      </c>
      <c r="B463" s="29" t="s">
        <v>1092</v>
      </c>
      <c r="C463" s="29" t="s">
        <v>1096</v>
      </c>
      <c r="D463" s="28" t="s">
        <v>692</v>
      </c>
      <c r="E463" s="36" t="str">
        <f t="shared" si="38"/>
        <v>295/80R22.5-18PR-CB972</v>
      </c>
      <c r="F463" s="20" t="str">
        <f t="shared" si="37"/>
        <v/>
      </c>
      <c r="G463" s="23"/>
      <c r="H463" s="23"/>
      <c r="I463" s="24"/>
      <c r="J463" s="19" t="str">
        <f t="shared" si="39"/>
        <v/>
      </c>
    </row>
    <row r="464" s="19" customFormat="1" spans="1:10">
      <c r="A464" s="29" t="s">
        <v>2218</v>
      </c>
      <c r="B464" s="29" t="s">
        <v>1092</v>
      </c>
      <c r="C464" s="29" t="s">
        <v>2242</v>
      </c>
      <c r="D464" s="28" t="s">
        <v>692</v>
      </c>
      <c r="E464" s="36" t="str">
        <f t="shared" si="38"/>
        <v>295/80R22.5-18PR-BLOCK D-I</v>
      </c>
      <c r="F464" s="20" t="str">
        <f t="shared" si="37"/>
        <v/>
      </c>
      <c r="G464" s="23"/>
      <c r="H464" s="23"/>
      <c r="I464" s="24"/>
      <c r="J464" s="19" t="str">
        <f t="shared" si="39"/>
        <v/>
      </c>
    </row>
    <row r="465" s="19" customFormat="1" spans="1:10">
      <c r="A465" s="29" t="s">
        <v>2218</v>
      </c>
      <c r="B465" s="29" t="s">
        <v>1092</v>
      </c>
      <c r="C465" s="29" t="s">
        <v>1375</v>
      </c>
      <c r="D465" s="28" t="s">
        <v>692</v>
      </c>
      <c r="E465" s="36" t="str">
        <f t="shared" si="38"/>
        <v>295/80R22.5-18PR-CB919</v>
      </c>
      <c r="F465" s="20" t="str">
        <f t="shared" si="37"/>
        <v/>
      </c>
      <c r="G465" s="23"/>
      <c r="H465" s="23"/>
      <c r="I465" s="24"/>
      <c r="J465" s="19" t="str">
        <f t="shared" si="39"/>
        <v/>
      </c>
    </row>
    <row r="466" s="19" customFormat="1" spans="1:10">
      <c r="A466" s="29" t="s">
        <v>2218</v>
      </c>
      <c r="B466" s="29" t="s">
        <v>1092</v>
      </c>
      <c r="C466" s="29" t="s">
        <v>2096</v>
      </c>
      <c r="D466" s="28" t="s">
        <v>692</v>
      </c>
      <c r="E466" s="36" t="str">
        <f t="shared" si="38"/>
        <v>295/80R22.5-18PR-AS898</v>
      </c>
      <c r="F466" s="20" t="str">
        <f t="shared" si="37"/>
        <v/>
      </c>
      <c r="G466" s="23"/>
      <c r="H466" s="23"/>
      <c r="I466" s="24"/>
      <c r="J466" s="19" t="str">
        <f t="shared" si="39"/>
        <v/>
      </c>
    </row>
    <row r="467" s="19" customFormat="1" spans="1:10">
      <c r="A467" s="29" t="s">
        <v>2218</v>
      </c>
      <c r="B467" s="29" t="s">
        <v>1092</v>
      </c>
      <c r="C467" s="29" t="s">
        <v>2096</v>
      </c>
      <c r="D467" s="28" t="s">
        <v>692</v>
      </c>
      <c r="E467" s="36" t="str">
        <f t="shared" si="38"/>
        <v>295/80R22.5-18PR-AS898</v>
      </c>
      <c r="F467" s="20" t="str">
        <f t="shared" si="37"/>
        <v/>
      </c>
      <c r="G467" s="23"/>
      <c r="H467" s="23"/>
      <c r="I467" s="24"/>
      <c r="J467" s="19" t="str">
        <f t="shared" si="39"/>
        <v/>
      </c>
    </row>
    <row r="468" s="19" customFormat="1" spans="1:10">
      <c r="A468" s="29" t="s">
        <v>2218</v>
      </c>
      <c r="B468" s="29" t="s">
        <v>1092</v>
      </c>
      <c r="C468" s="29" t="s">
        <v>2293</v>
      </c>
      <c r="D468" s="28" t="s">
        <v>692</v>
      </c>
      <c r="E468" s="36" t="str">
        <f t="shared" si="38"/>
        <v>295/80R22.5-18PR-G-PRO S</v>
      </c>
      <c r="F468" s="20" t="str">
        <f t="shared" si="37"/>
        <v/>
      </c>
      <c r="G468" s="23"/>
      <c r="H468" s="23"/>
      <c r="I468" s="24"/>
      <c r="J468" s="19" t="str">
        <f t="shared" si="39"/>
        <v/>
      </c>
    </row>
    <row r="469" s="19" customFormat="1" spans="1:10">
      <c r="A469" s="29" t="s">
        <v>2218</v>
      </c>
      <c r="B469" s="29" t="s">
        <v>1092</v>
      </c>
      <c r="C469" s="29" t="s">
        <v>2294</v>
      </c>
      <c r="D469" s="28" t="s">
        <v>692</v>
      </c>
      <c r="E469" s="36" t="str">
        <f t="shared" si="38"/>
        <v>295/80R22.5-18PR-NEOLINE A-I</v>
      </c>
      <c r="F469" s="20" t="str">
        <f t="shared" si="37"/>
        <v/>
      </c>
      <c r="G469" s="23"/>
      <c r="H469" s="23"/>
      <c r="I469" s="24"/>
      <c r="J469" s="19" t="str">
        <f t="shared" si="39"/>
        <v/>
      </c>
    </row>
    <row r="470" s="19" customFormat="1" ht="18" spans="1:10">
      <c r="A470" s="30" t="s">
        <v>2218</v>
      </c>
      <c r="B470" s="29" t="s">
        <v>1092</v>
      </c>
      <c r="C470" s="31" t="s">
        <v>1490</v>
      </c>
      <c r="D470" s="28" t="s">
        <v>692</v>
      </c>
      <c r="E470" s="36" t="str">
        <f t="shared" si="38"/>
        <v>295/80R22.5-18PR-AZ183</v>
      </c>
      <c r="F470" s="20" t="str">
        <f t="shared" si="37"/>
        <v/>
      </c>
      <c r="G470" s="23"/>
      <c r="H470" s="23"/>
      <c r="I470" s="24"/>
      <c r="J470" s="19" t="str">
        <f t="shared" si="39"/>
        <v/>
      </c>
    </row>
    <row r="471" s="19" customFormat="1" spans="1:10">
      <c r="A471" s="29" t="s">
        <v>2218</v>
      </c>
      <c r="B471" s="29" t="s">
        <v>1092</v>
      </c>
      <c r="C471" s="29" t="s">
        <v>2284</v>
      </c>
      <c r="D471" s="28" t="s">
        <v>692</v>
      </c>
      <c r="E471" s="36" t="str">
        <f t="shared" si="38"/>
        <v>295/80R22.5-18PR-BMA02 ECO</v>
      </c>
      <c r="F471" s="20" t="str">
        <f t="shared" si="37"/>
        <v/>
      </c>
      <c r="G471" s="23"/>
      <c r="H471" s="23"/>
      <c r="I471" s="24"/>
      <c r="J471" s="19" t="str">
        <f t="shared" si="39"/>
        <v/>
      </c>
    </row>
    <row r="472" s="19" customFormat="1" spans="1:10">
      <c r="A472" s="29"/>
      <c r="B472" s="29"/>
      <c r="C472" s="29"/>
      <c r="D472" s="28"/>
      <c r="E472" s="36" t="str">
        <f t="shared" si="38"/>
        <v/>
      </c>
      <c r="F472" s="20" t="str">
        <f t="shared" si="37"/>
        <v/>
      </c>
      <c r="G472" s="23"/>
      <c r="H472" s="23"/>
      <c r="I472" s="24"/>
      <c r="J472" s="19" t="str">
        <f t="shared" si="39"/>
        <v/>
      </c>
    </row>
    <row r="473" s="19" customFormat="1" spans="1:10">
      <c r="A473" s="29" t="s">
        <v>2305</v>
      </c>
      <c r="B473" s="29" t="s">
        <v>1101</v>
      </c>
      <c r="C473" s="29" t="s">
        <v>2315</v>
      </c>
      <c r="D473" s="28" t="s">
        <v>692</v>
      </c>
      <c r="E473" s="36" t="str">
        <f t="shared" si="38"/>
        <v>315/80R22.5-20PR-CR926B</v>
      </c>
      <c r="F473" s="20" t="str">
        <f t="shared" si="37"/>
        <v/>
      </c>
      <c r="G473" s="23"/>
      <c r="H473" s="23"/>
      <c r="I473" s="24"/>
      <c r="J473" s="19" t="str">
        <f t="shared" si="39"/>
        <v/>
      </c>
    </row>
    <row r="474" s="19" customFormat="1" spans="1:10">
      <c r="A474" s="29" t="s">
        <v>2305</v>
      </c>
      <c r="B474" s="29" t="s">
        <v>1101</v>
      </c>
      <c r="C474" s="29" t="s">
        <v>1739</v>
      </c>
      <c r="D474" s="28" t="s">
        <v>692</v>
      </c>
      <c r="E474" s="36" t="str">
        <f t="shared" si="38"/>
        <v>315/80R22.5-20PR-ZM41</v>
      </c>
      <c r="F474" s="20" t="str">
        <f t="shared" si="37"/>
        <v/>
      </c>
      <c r="G474" s="23"/>
      <c r="H474" s="23"/>
      <c r="I474" s="24"/>
      <c r="J474" s="19" t="str">
        <f t="shared" si="39"/>
        <v/>
      </c>
    </row>
    <row r="475" s="19" customFormat="1" spans="1:10">
      <c r="A475" s="29" t="s">
        <v>2305</v>
      </c>
      <c r="B475" s="29" t="s">
        <v>1101</v>
      </c>
      <c r="C475" s="29" t="s">
        <v>2306</v>
      </c>
      <c r="D475" s="28" t="s">
        <v>692</v>
      </c>
      <c r="E475" s="36" t="str">
        <f t="shared" si="38"/>
        <v>315/80R22.5-20PR-AD710A</v>
      </c>
      <c r="F475" s="20" t="str">
        <f t="shared" si="37"/>
        <v/>
      </c>
      <c r="G475" s="23"/>
      <c r="H475" s="23"/>
      <c r="I475" s="24"/>
      <c r="J475" s="19" t="str">
        <f t="shared" si="39"/>
        <v/>
      </c>
    </row>
    <row r="476" s="19" customFormat="1" spans="1:10">
      <c r="A476" s="29" t="s">
        <v>2305</v>
      </c>
      <c r="B476" s="29" t="s">
        <v>1101</v>
      </c>
      <c r="C476" s="29" t="s">
        <v>1554</v>
      </c>
      <c r="D476" s="28" t="s">
        <v>692</v>
      </c>
      <c r="E476" s="36" t="str">
        <f t="shared" si="38"/>
        <v>315/80R22.5-20PR-AS578</v>
      </c>
      <c r="F476" s="20" t="str">
        <f t="shared" si="37"/>
        <v/>
      </c>
      <c r="G476" s="23"/>
      <c r="H476" s="23"/>
      <c r="I476" s="24"/>
      <c r="J476" s="19" t="str">
        <f t="shared" si="39"/>
        <v/>
      </c>
    </row>
    <row r="477" s="19" customFormat="1" spans="1:10">
      <c r="A477" s="29" t="s">
        <v>2305</v>
      </c>
      <c r="B477" s="29" t="s">
        <v>1101</v>
      </c>
      <c r="C477" s="29" t="s">
        <v>1776</v>
      </c>
      <c r="D477" s="28" t="s">
        <v>692</v>
      </c>
      <c r="E477" s="36" t="str">
        <f t="shared" si="38"/>
        <v>315/80R22.5-20PR-AZ599</v>
      </c>
      <c r="F477" s="20" t="str">
        <f t="shared" si="37"/>
        <v/>
      </c>
      <c r="G477" s="23"/>
      <c r="H477" s="23"/>
      <c r="I477" s="24"/>
      <c r="J477" s="19" t="str">
        <f t="shared" si="39"/>
        <v/>
      </c>
    </row>
    <row r="478" s="19" customFormat="1" spans="1:10">
      <c r="A478" s="29" t="s">
        <v>2305</v>
      </c>
      <c r="B478" s="29" t="s">
        <v>1101</v>
      </c>
      <c r="C478" s="29" t="s">
        <v>1751</v>
      </c>
      <c r="D478" s="28" t="s">
        <v>692</v>
      </c>
      <c r="E478" s="36" t="str">
        <f t="shared" si="38"/>
        <v>315/80R22.5-20PR-CR960A</v>
      </c>
      <c r="F478" s="20" t="str">
        <f t="shared" ref="F478:F491" si="40">_xlfn.TEXTJOIN("-",TRUE,A961,B961,C961)</f>
        <v/>
      </c>
      <c r="G478" s="23"/>
      <c r="H478" s="23"/>
      <c r="I478" s="24"/>
      <c r="J478" s="19" t="str">
        <f t="shared" si="39"/>
        <v/>
      </c>
    </row>
    <row r="479" s="19" customFormat="1" spans="1:10">
      <c r="A479" s="29" t="s">
        <v>2305</v>
      </c>
      <c r="B479" s="29" t="s">
        <v>1101</v>
      </c>
      <c r="C479" s="29" t="s">
        <v>1327</v>
      </c>
      <c r="D479" s="28" t="s">
        <v>692</v>
      </c>
      <c r="E479" s="36" t="str">
        <f t="shared" si="38"/>
        <v>315/80R22.5-20PR-CM958</v>
      </c>
      <c r="F479" s="20" t="str">
        <f t="shared" si="40"/>
        <v/>
      </c>
      <c r="G479" s="23"/>
      <c r="H479" s="23"/>
      <c r="I479" s="24"/>
      <c r="J479" s="19" t="str">
        <f t="shared" si="39"/>
        <v/>
      </c>
    </row>
    <row r="480" s="19" customFormat="1" spans="1:10">
      <c r="A480" s="29" t="s">
        <v>2305</v>
      </c>
      <c r="B480" s="29" t="s">
        <v>1101</v>
      </c>
      <c r="C480" s="29" t="s">
        <v>1724</v>
      </c>
      <c r="D480" s="28" t="s">
        <v>692</v>
      </c>
      <c r="E480" s="36" t="str">
        <f t="shared" si="38"/>
        <v>315/80R22.5-20PR-VA996</v>
      </c>
      <c r="F480" s="20" t="str">
        <f t="shared" si="40"/>
        <v/>
      </c>
      <c r="G480" s="23"/>
      <c r="H480" s="23"/>
      <c r="I480" s="24"/>
      <c r="J480" s="19" t="str">
        <f t="shared" si="39"/>
        <v/>
      </c>
    </row>
    <row r="481" s="19" customFormat="1" spans="1:10">
      <c r="A481" s="29" t="s">
        <v>2305</v>
      </c>
      <c r="B481" s="29" t="s">
        <v>1101</v>
      </c>
      <c r="C481" s="29" t="s">
        <v>1844</v>
      </c>
      <c r="D481" s="28" t="s">
        <v>692</v>
      </c>
      <c r="E481" s="36" t="str">
        <f t="shared" si="38"/>
        <v>315/80R22.5-20PR-I-31M</v>
      </c>
      <c r="F481" s="20" t="str">
        <f t="shared" si="40"/>
        <v/>
      </c>
      <c r="G481" s="23"/>
      <c r="H481" s="23"/>
      <c r="I481" s="24"/>
      <c r="J481" s="19" t="str">
        <f t="shared" si="39"/>
        <v/>
      </c>
    </row>
    <row r="482" s="19" customFormat="1" spans="1:10">
      <c r="A482" s="29" t="s">
        <v>2305</v>
      </c>
      <c r="B482" s="29" t="s">
        <v>1101</v>
      </c>
      <c r="C482" s="29" t="s">
        <v>1842</v>
      </c>
      <c r="D482" s="28" t="s">
        <v>692</v>
      </c>
      <c r="E482" s="36" t="str">
        <f t="shared" si="38"/>
        <v>315/80R22.5-20PR-I-52A</v>
      </c>
      <c r="F482" s="20" t="str">
        <f t="shared" si="40"/>
        <v/>
      </c>
      <c r="G482" s="23"/>
      <c r="H482" s="23"/>
      <c r="I482" s="24"/>
      <c r="J482" s="19" t="str">
        <f t="shared" si="39"/>
        <v/>
      </c>
    </row>
    <row r="483" s="19" customFormat="1" spans="1:10">
      <c r="A483" s="29" t="s">
        <v>2305</v>
      </c>
      <c r="B483" s="29" t="s">
        <v>1101</v>
      </c>
      <c r="C483" s="29" t="s">
        <v>2313</v>
      </c>
      <c r="D483" s="28" t="s">
        <v>692</v>
      </c>
      <c r="E483" s="36" t="str">
        <f t="shared" si="38"/>
        <v>315/80R22.5-20PR-CM923</v>
      </c>
      <c r="F483" s="20" t="str">
        <f t="shared" si="40"/>
        <v/>
      </c>
      <c r="G483" s="23"/>
      <c r="H483" s="23"/>
      <c r="I483" s="24"/>
      <c r="J483" s="19" t="str">
        <f t="shared" si="39"/>
        <v/>
      </c>
    </row>
    <row r="484" s="19" customFormat="1" spans="1:10">
      <c r="A484" s="29"/>
      <c r="B484" s="29"/>
      <c r="C484" s="29"/>
      <c r="D484" s="28"/>
      <c r="E484" s="36" t="str">
        <f t="shared" si="38"/>
        <v/>
      </c>
      <c r="F484" s="20" t="str">
        <f t="shared" si="40"/>
        <v/>
      </c>
      <c r="G484" s="23"/>
      <c r="H484" s="23"/>
      <c r="I484" s="24"/>
      <c r="J484" s="19" t="str">
        <f t="shared" si="39"/>
        <v/>
      </c>
    </row>
    <row r="485" s="19" customFormat="1" ht="18" spans="1:10">
      <c r="A485" s="30" t="s">
        <v>2340</v>
      </c>
      <c r="B485" s="29" t="s">
        <v>1925</v>
      </c>
      <c r="C485" s="29" t="s">
        <v>1568</v>
      </c>
      <c r="D485" s="28" t="s">
        <v>692</v>
      </c>
      <c r="E485" s="36" t="str">
        <f t="shared" si="38"/>
        <v>325/95R24-22PR-EZ336</v>
      </c>
      <c r="F485" s="20" t="str">
        <f t="shared" si="40"/>
        <v/>
      </c>
      <c r="G485" s="23"/>
      <c r="H485" s="23"/>
      <c r="I485" s="24"/>
      <c r="J485" s="19" t="str">
        <f t="shared" si="39"/>
        <v/>
      </c>
    </row>
    <row r="486" s="19" customFormat="1" ht="18" spans="1:10">
      <c r="A486" s="30" t="s">
        <v>2340</v>
      </c>
      <c r="B486" s="29" t="s">
        <v>1925</v>
      </c>
      <c r="C486" s="29" t="s">
        <v>1405</v>
      </c>
      <c r="D486" s="28" t="s">
        <v>692</v>
      </c>
      <c r="E486" s="36" t="str">
        <f t="shared" si="38"/>
        <v>325/95R24-22PR-CB332</v>
      </c>
      <c r="F486" s="20" t="str">
        <f t="shared" si="40"/>
        <v/>
      </c>
      <c r="G486" s="23"/>
      <c r="H486" s="23"/>
      <c r="I486" s="24"/>
      <c r="J486" s="19" t="str">
        <f t="shared" si="39"/>
        <v/>
      </c>
    </row>
    <row r="487" s="19" customFormat="1" ht="18" spans="1:10">
      <c r="A487" s="30" t="s">
        <v>2340</v>
      </c>
      <c r="B487" s="29" t="s">
        <v>1925</v>
      </c>
      <c r="C487" s="29" t="s">
        <v>1375</v>
      </c>
      <c r="D487" s="28" t="s">
        <v>692</v>
      </c>
      <c r="E487" s="36" t="str">
        <f t="shared" si="38"/>
        <v>325/95R24-22PR-CB919</v>
      </c>
      <c r="F487" s="20" t="str">
        <f t="shared" si="40"/>
        <v/>
      </c>
      <c r="G487" s="23"/>
      <c r="H487" s="23"/>
      <c r="I487" s="24"/>
      <c r="J487" s="19" t="str">
        <f t="shared" si="39"/>
        <v/>
      </c>
    </row>
    <row r="488" s="19" customFormat="1" ht="18" spans="1:10">
      <c r="A488" s="30" t="s">
        <v>2340</v>
      </c>
      <c r="B488" s="29" t="s">
        <v>1925</v>
      </c>
      <c r="C488" s="29" t="s">
        <v>1096</v>
      </c>
      <c r="D488" s="28" t="s">
        <v>692</v>
      </c>
      <c r="E488" s="36" t="str">
        <f t="shared" si="38"/>
        <v>325/95R24-22PR-CB972</v>
      </c>
      <c r="F488" s="20" t="str">
        <f t="shared" si="40"/>
        <v/>
      </c>
      <c r="G488" s="23"/>
      <c r="H488" s="23"/>
      <c r="I488" s="24"/>
      <c r="J488" s="19" t="str">
        <f t="shared" si="39"/>
        <v/>
      </c>
    </row>
    <row r="489" s="19" customFormat="1" ht="18" spans="1:10">
      <c r="A489" s="30" t="s">
        <v>2340</v>
      </c>
      <c r="B489" s="29" t="s">
        <v>1925</v>
      </c>
      <c r="C489" s="29" t="s">
        <v>2347</v>
      </c>
      <c r="D489" s="28" t="s">
        <v>692</v>
      </c>
      <c r="E489" s="36" t="str">
        <f t="shared" si="38"/>
        <v>325/95R24-22PR-AZ691</v>
      </c>
      <c r="F489" s="20" t="str">
        <f t="shared" si="40"/>
        <v/>
      </c>
      <c r="G489" s="23"/>
      <c r="H489" s="23"/>
      <c r="I489" s="24"/>
      <c r="J489" s="19" t="str">
        <f t="shared" si="39"/>
        <v/>
      </c>
    </row>
    <row r="490" s="19" customFormat="1" ht="18" spans="1:10">
      <c r="A490" s="30" t="s">
        <v>2340</v>
      </c>
      <c r="B490" s="29" t="s">
        <v>1925</v>
      </c>
      <c r="C490" s="29" t="s">
        <v>2350</v>
      </c>
      <c r="D490" s="28" t="s">
        <v>692</v>
      </c>
      <c r="E490" s="36" t="str">
        <f t="shared" si="38"/>
        <v>325/95R24-22PR-AZ828</v>
      </c>
      <c r="F490" s="20" t="str">
        <f t="shared" si="40"/>
        <v/>
      </c>
      <c r="G490" s="23"/>
      <c r="H490" s="23"/>
      <c r="I490" s="24"/>
      <c r="J490" s="19" t="str">
        <f t="shared" si="39"/>
        <v/>
      </c>
    </row>
    <row r="491" s="19" customFormat="1" ht="18" spans="1:10">
      <c r="A491" s="30" t="s">
        <v>2340</v>
      </c>
      <c r="B491" s="29" t="s">
        <v>1925</v>
      </c>
      <c r="C491" s="29" t="s">
        <v>2357</v>
      </c>
      <c r="D491" s="28" t="s">
        <v>692</v>
      </c>
      <c r="E491" s="36" t="str">
        <f t="shared" si="38"/>
        <v>325/95R24-22PR-CM912A</v>
      </c>
      <c r="F491" s="20" t="str">
        <f t="shared" si="40"/>
        <v/>
      </c>
      <c r="G491" s="23"/>
      <c r="H491" s="23"/>
      <c r="I491" s="24"/>
      <c r="J491" s="19" t="str">
        <f t="shared" si="39"/>
        <v/>
      </c>
    </row>
    <row r="492" s="19" customFormat="1" ht="18" spans="1:10">
      <c r="A492" s="30" t="s">
        <v>2340</v>
      </c>
      <c r="B492" s="29" t="s">
        <v>1925</v>
      </c>
      <c r="C492" s="29" t="s">
        <v>2344</v>
      </c>
      <c r="D492" s="28" t="s">
        <v>692</v>
      </c>
      <c r="E492" s="36" t="str">
        <f t="shared" si="38"/>
        <v>325/95R24-22PR-AZ272</v>
      </c>
      <c r="F492" s="20"/>
      <c r="G492" s="23"/>
      <c r="H492" s="23"/>
      <c r="I492" s="24"/>
      <c r="J492" s="19" t="str">
        <f t="shared" si="39"/>
        <v/>
      </c>
    </row>
    <row r="493" s="19" customFormat="1" ht="18" spans="1:10">
      <c r="A493" s="30" t="s">
        <v>2340</v>
      </c>
      <c r="B493" s="29" t="s">
        <v>1925</v>
      </c>
      <c r="C493" s="29" t="s">
        <v>2311</v>
      </c>
      <c r="D493" s="28" t="s">
        <v>692</v>
      </c>
      <c r="E493" s="36" t="str">
        <f t="shared" si="38"/>
        <v>325/95R24-22PR-CM913A</v>
      </c>
      <c r="F493" s="20"/>
      <c r="G493" s="23"/>
      <c r="H493" s="23"/>
      <c r="I493" s="24"/>
      <c r="J493" s="19" t="str">
        <f t="shared" si="39"/>
        <v/>
      </c>
    </row>
    <row r="494" s="19" customFormat="1" ht="18" spans="1:10">
      <c r="A494" s="30" t="s">
        <v>2340</v>
      </c>
      <c r="B494" s="29" t="s">
        <v>1925</v>
      </c>
      <c r="C494" s="31" t="s">
        <v>2364</v>
      </c>
      <c r="D494" s="32" t="s">
        <v>692</v>
      </c>
      <c r="E494" s="36" t="str">
        <f t="shared" si="38"/>
        <v>325/95R24-22PR-MD752</v>
      </c>
      <c r="F494" s="20"/>
      <c r="G494" s="23"/>
      <c r="H494" s="23"/>
      <c r="I494" s="24"/>
      <c r="J494" s="19" t="str">
        <f t="shared" si="39"/>
        <v/>
      </c>
    </row>
    <row r="495" s="19" customFormat="1" ht="18" spans="1:10">
      <c r="A495" s="30" t="s">
        <v>2340</v>
      </c>
      <c r="B495" s="29" t="s">
        <v>1925</v>
      </c>
      <c r="C495" s="29" t="s">
        <v>1958</v>
      </c>
      <c r="D495" s="28" t="s">
        <v>692</v>
      </c>
      <c r="E495" s="36" t="str">
        <f t="shared" si="38"/>
        <v>325/95R24-22PR-CB972E</v>
      </c>
      <c r="F495" s="20"/>
      <c r="G495" s="23"/>
      <c r="H495" s="23"/>
      <c r="I495" s="24"/>
      <c r="J495" s="19" t="str">
        <f t="shared" si="39"/>
        <v/>
      </c>
    </row>
    <row r="496" s="19" customFormat="1" ht="18" spans="1:10">
      <c r="A496" s="30" t="s">
        <v>2340</v>
      </c>
      <c r="B496" s="29" t="s">
        <v>1925</v>
      </c>
      <c r="C496" s="29" t="s">
        <v>1176</v>
      </c>
      <c r="D496" s="67" t="s">
        <v>692</v>
      </c>
      <c r="E496" s="36" t="str">
        <f t="shared" si="38"/>
        <v>325/95R24-22PR-EZ865</v>
      </c>
      <c r="F496" s="20"/>
      <c r="G496" s="23"/>
      <c r="H496" s="23"/>
      <c r="I496" s="24"/>
      <c r="J496" s="19" t="str">
        <f t="shared" si="39"/>
        <v/>
      </c>
    </row>
    <row r="497" s="19" customFormat="1" spans="1:10">
      <c r="A497" s="68" t="s">
        <v>2340</v>
      </c>
      <c r="B497" s="31" t="s">
        <v>1925</v>
      </c>
      <c r="C497" s="31" t="s">
        <v>2369</v>
      </c>
      <c r="D497" s="67" t="s">
        <v>692</v>
      </c>
      <c r="E497" s="36" t="str">
        <f t="shared" si="38"/>
        <v>325/95R24-22PR-EZ509</v>
      </c>
      <c r="F497" s="20"/>
      <c r="G497" s="23"/>
      <c r="H497" s="23"/>
      <c r="I497" s="24"/>
      <c r="J497" s="19" t="str">
        <f t="shared" si="39"/>
        <v/>
      </c>
    </row>
    <row r="498" s="19" customFormat="1" spans="1:10">
      <c r="A498" s="29"/>
      <c r="B498" s="29"/>
      <c r="C498" s="29"/>
      <c r="D498" s="28"/>
      <c r="E498" s="36" t="str">
        <f t="shared" si="38"/>
        <v/>
      </c>
      <c r="F498" s="20"/>
      <c r="G498" s="23"/>
      <c r="H498" s="23"/>
      <c r="I498" s="24"/>
      <c r="J498" s="19" t="str">
        <f t="shared" si="39"/>
        <v/>
      </c>
    </row>
    <row r="499" s="19" customFormat="1" spans="1:10">
      <c r="A499" s="29" t="s">
        <v>2384</v>
      </c>
      <c r="B499" s="29" t="s">
        <v>1101</v>
      </c>
      <c r="C499" s="29" t="s">
        <v>2388</v>
      </c>
      <c r="D499" s="28" t="s">
        <v>692</v>
      </c>
      <c r="E499" s="36" t="str">
        <f t="shared" si="38"/>
        <v>385/65R22.5-20PR-VA916</v>
      </c>
      <c r="F499" s="20"/>
      <c r="G499" s="23"/>
      <c r="H499" s="23"/>
      <c r="I499" s="24"/>
      <c r="J499" s="19" t="str">
        <f t="shared" si="39"/>
        <v/>
      </c>
    </row>
    <row r="500" s="19" customFormat="1" spans="1:9">
      <c r="A500" s="29" t="s">
        <v>2384</v>
      </c>
      <c r="B500" s="29" t="s">
        <v>1101</v>
      </c>
      <c r="C500" s="29" t="s">
        <v>2390</v>
      </c>
      <c r="D500" s="28" t="s">
        <v>692</v>
      </c>
      <c r="E500" s="36" t="str">
        <f t="shared" si="38"/>
        <v>385/65R22.5-20PR-AZ577</v>
      </c>
      <c r="F500" s="20"/>
      <c r="G500" s="23"/>
      <c r="H500" s="23"/>
      <c r="I500" s="24"/>
    </row>
    <row r="501" s="19" customFormat="1" spans="1:9">
      <c r="A501" s="29" t="s">
        <v>2384</v>
      </c>
      <c r="B501" s="29" t="s">
        <v>1101</v>
      </c>
      <c r="C501" s="29" t="s">
        <v>2385</v>
      </c>
      <c r="D501" s="28" t="s">
        <v>692</v>
      </c>
      <c r="E501" s="36" t="str">
        <f t="shared" si="38"/>
        <v>385/65R22.5-20PR-ZM42</v>
      </c>
      <c r="F501" s="20"/>
      <c r="G501" s="23"/>
      <c r="H501" s="23"/>
      <c r="I501" s="24"/>
    </row>
    <row r="502" s="19" customFormat="1" spans="1:9">
      <c r="A502" s="29" t="s">
        <v>2384</v>
      </c>
      <c r="B502" s="29" t="s">
        <v>1101</v>
      </c>
      <c r="C502" s="29" t="s">
        <v>2394</v>
      </c>
      <c r="D502" s="28" t="s">
        <v>692</v>
      </c>
      <c r="E502" s="36" t="str">
        <f t="shared" si="38"/>
        <v>385/65R22.5-20PR-AT532</v>
      </c>
      <c r="F502" s="20"/>
      <c r="G502" s="23"/>
      <c r="H502" s="23"/>
      <c r="I502" s="24"/>
    </row>
    <row r="503" s="19" customFormat="1" spans="1:9">
      <c r="A503" s="29" t="s">
        <v>2384</v>
      </c>
      <c r="B503" s="29" t="s">
        <v>1101</v>
      </c>
      <c r="C503" s="29" t="s">
        <v>2399</v>
      </c>
      <c r="D503" s="28" t="s">
        <v>692</v>
      </c>
      <c r="E503" s="36" t="str">
        <f t="shared" si="38"/>
        <v>385/65R22.5-20PR-I-42W</v>
      </c>
      <c r="F503" s="20"/>
      <c r="G503" s="23"/>
      <c r="H503" s="23"/>
      <c r="I503" s="24"/>
    </row>
    <row r="504" s="19" customFormat="1" spans="1:9">
      <c r="A504" s="20"/>
      <c r="B504" s="20"/>
      <c r="C504" s="20"/>
      <c r="D504" s="21"/>
      <c r="E504" s="36" t="str">
        <f t="shared" si="38"/>
        <v/>
      </c>
      <c r="F504" s="20"/>
      <c r="G504" s="23"/>
      <c r="H504" s="23"/>
      <c r="I504" s="24"/>
    </row>
    <row r="505" s="19" customFormat="1" spans="1:9">
      <c r="A505" s="29" t="s">
        <v>2408</v>
      </c>
      <c r="B505" s="29" t="s">
        <v>1101</v>
      </c>
      <c r="C505" s="29" t="s">
        <v>2399</v>
      </c>
      <c r="D505" s="28" t="s">
        <v>692</v>
      </c>
      <c r="E505" s="36" t="str">
        <f t="shared" si="38"/>
        <v>425/65R22.5-20PR-I-42W</v>
      </c>
      <c r="F505" s="20"/>
      <c r="G505" s="23"/>
      <c r="H505" s="23"/>
      <c r="I505" s="24"/>
    </row>
    <row r="506" s="19" customFormat="1" spans="1:9">
      <c r="A506" s="29" t="s">
        <v>2408</v>
      </c>
      <c r="B506" s="29" t="s">
        <v>1101</v>
      </c>
      <c r="C506" s="29" t="s">
        <v>2045</v>
      </c>
      <c r="D506" s="28" t="s">
        <v>692</v>
      </c>
      <c r="E506" s="36" t="str">
        <f t="shared" si="38"/>
        <v>425/65R22.5-20PR-AT557</v>
      </c>
      <c r="F506" s="20"/>
      <c r="G506" s="23"/>
      <c r="H506" s="23"/>
      <c r="I506" s="24"/>
    </row>
    <row r="507" s="19" customFormat="1" spans="1:9">
      <c r="A507" s="29" t="s">
        <v>2408</v>
      </c>
      <c r="B507" s="29" t="s">
        <v>1101</v>
      </c>
      <c r="C507" s="29" t="s">
        <v>2047</v>
      </c>
      <c r="D507" s="28" t="s">
        <v>692</v>
      </c>
      <c r="E507" s="36" t="str">
        <f t="shared" si="38"/>
        <v>425/65R22.5-20PR-RLINE-M2</v>
      </c>
      <c r="F507" s="20"/>
      <c r="G507" s="23"/>
      <c r="H507" s="23"/>
      <c r="I507" s="24"/>
    </row>
    <row r="508" s="19" customFormat="1" spans="1:9">
      <c r="A508" s="29" t="s">
        <v>2408</v>
      </c>
      <c r="B508" s="29" t="s">
        <v>1101</v>
      </c>
      <c r="C508" s="29" t="s">
        <v>2388</v>
      </c>
      <c r="D508" s="28" t="s">
        <v>692</v>
      </c>
      <c r="E508" s="36" t="str">
        <f t="shared" si="38"/>
        <v>425/65R22.5-20PR-VA916</v>
      </c>
      <c r="F508" s="20"/>
      <c r="G508" s="23"/>
      <c r="H508" s="23"/>
      <c r="I508" s="24"/>
    </row>
    <row r="509" s="19" customFormat="1" spans="1:9">
      <c r="A509" s="29"/>
      <c r="B509" s="29"/>
      <c r="C509" s="29"/>
      <c r="D509" s="28"/>
      <c r="E509" s="36" t="str">
        <f t="shared" si="38"/>
        <v/>
      </c>
      <c r="F509" s="20"/>
      <c r="G509" s="23"/>
      <c r="H509" s="23"/>
      <c r="I509" s="24"/>
    </row>
    <row r="510" s="19" customFormat="1" spans="1:9">
      <c r="A510" s="29" t="s">
        <v>2415</v>
      </c>
      <c r="B510" s="29" t="s">
        <v>1101</v>
      </c>
      <c r="C510" s="29" t="s">
        <v>2423</v>
      </c>
      <c r="D510" s="28" t="s">
        <v>692</v>
      </c>
      <c r="E510" s="36" t="str">
        <f t="shared" si="38"/>
        <v>445/50R22.5-20PR-AT566</v>
      </c>
      <c r="F510" s="20"/>
      <c r="G510" s="23"/>
      <c r="H510" s="23"/>
      <c r="I510" s="24"/>
    </row>
    <row r="511" s="19" customFormat="1" spans="1:9">
      <c r="A511" s="29" t="s">
        <v>2415</v>
      </c>
      <c r="B511" s="29" t="s">
        <v>1101</v>
      </c>
      <c r="C511" s="31" t="s">
        <v>2426</v>
      </c>
      <c r="D511" s="28" t="s">
        <v>692</v>
      </c>
      <c r="E511" s="36" t="str">
        <f t="shared" si="38"/>
        <v>445/50R22.5-20PR-AT570</v>
      </c>
      <c r="F511" s="20"/>
      <c r="G511" s="23"/>
      <c r="H511" s="23"/>
      <c r="I511" s="24"/>
    </row>
    <row r="512" s="19" customFormat="1" spans="1:9">
      <c r="A512" s="29" t="s">
        <v>2415</v>
      </c>
      <c r="B512" s="29" t="s">
        <v>1101</v>
      </c>
      <c r="C512" s="29" t="s">
        <v>2427</v>
      </c>
      <c r="D512" s="28" t="s">
        <v>692</v>
      </c>
      <c r="E512" s="36" t="str">
        <f t="shared" si="38"/>
        <v>445/50R22.5-20PR-RLINE WA1</v>
      </c>
      <c r="F512" s="20"/>
      <c r="G512" s="23"/>
      <c r="H512" s="23"/>
      <c r="I512" s="24"/>
    </row>
    <row r="513" s="19" customFormat="1" spans="1:9">
      <c r="A513" s="31" t="s">
        <v>2415</v>
      </c>
      <c r="B513" s="31" t="s">
        <v>1101</v>
      </c>
      <c r="C513" s="31" t="s">
        <v>2425</v>
      </c>
      <c r="D513" s="32" t="s">
        <v>692</v>
      </c>
      <c r="E513" s="36" t="str">
        <f t="shared" si="38"/>
        <v>445/50R22.5-20PR-HT2 Plus</v>
      </c>
      <c r="F513" s="20"/>
      <c r="G513" s="23"/>
      <c r="H513" s="23"/>
      <c r="I513" s="24"/>
    </row>
    <row r="514" s="19" customFormat="1" spans="1:9">
      <c r="A514" s="29" t="s">
        <v>2415</v>
      </c>
      <c r="B514" s="29" t="s">
        <v>1101</v>
      </c>
      <c r="C514" s="29" t="s">
        <v>2421</v>
      </c>
      <c r="D514" s="32" t="s">
        <v>692</v>
      </c>
      <c r="E514" s="36" t="str">
        <f t="shared" si="38"/>
        <v>445/50R22.5-20PR-TL32</v>
      </c>
      <c r="F514" s="20"/>
      <c r="G514" s="23"/>
      <c r="H514" s="23"/>
      <c r="I514" s="24"/>
    </row>
    <row r="515" s="19" customFormat="1" spans="1:9">
      <c r="A515" s="29" t="s">
        <v>2415</v>
      </c>
      <c r="B515" s="29" t="s">
        <v>1101</v>
      </c>
      <c r="C515" s="29" t="s">
        <v>2424</v>
      </c>
      <c r="D515" s="32" t="s">
        <v>692</v>
      </c>
      <c r="E515" s="36" t="str">
        <f t="shared" ref="E515:E578" si="41">_xlfn.TEXTJOIN("-",TRUE,A515,B515,C515)</f>
        <v>445/50R22.5-20PR-VA905</v>
      </c>
      <c r="F515" s="20"/>
      <c r="G515" s="23"/>
      <c r="H515" s="23"/>
      <c r="I515" s="24"/>
    </row>
    <row r="516" s="19" customFormat="1" spans="1:9">
      <c r="A516" s="29" t="s">
        <v>2415</v>
      </c>
      <c r="B516" s="29" t="s">
        <v>1101</v>
      </c>
      <c r="C516" s="29" t="s">
        <v>2428</v>
      </c>
      <c r="D516" s="28" t="s">
        <v>692</v>
      </c>
      <c r="E516" s="36" t="str">
        <f t="shared" si="41"/>
        <v>445/50R22.5-20PR-M-TRAC WBT</v>
      </c>
      <c r="F516" s="20"/>
      <c r="G516" s="23"/>
      <c r="H516" s="23"/>
      <c r="I516" s="24"/>
    </row>
    <row r="517" s="19" customFormat="1" spans="1:9">
      <c r="A517" s="20"/>
      <c r="B517" s="20"/>
      <c r="C517" s="20"/>
      <c r="D517" s="21"/>
      <c r="E517" s="36" t="str">
        <f t="shared" si="41"/>
        <v/>
      </c>
      <c r="F517" s="20"/>
      <c r="G517" s="23"/>
      <c r="H517" s="23"/>
      <c r="I517" s="24"/>
    </row>
    <row r="518" s="19" customFormat="1" spans="1:9">
      <c r="A518" s="29" t="s">
        <v>2430</v>
      </c>
      <c r="B518" s="29" t="s">
        <v>1101</v>
      </c>
      <c r="C518" s="29" t="s">
        <v>2399</v>
      </c>
      <c r="D518" s="28" t="s">
        <v>692</v>
      </c>
      <c r="E518" s="36" t="str">
        <f t="shared" si="41"/>
        <v>445/65R22.5-20PR-I-42W</v>
      </c>
      <c r="F518" s="20"/>
      <c r="G518" s="23"/>
      <c r="H518" s="23"/>
      <c r="I518" s="24"/>
    </row>
    <row r="519" s="19" customFormat="1" spans="1:9">
      <c r="A519" s="29" t="s">
        <v>2430</v>
      </c>
      <c r="B519" s="29" t="s">
        <v>1101</v>
      </c>
      <c r="C519" s="29" t="s">
        <v>2390</v>
      </c>
      <c r="D519" s="28" t="s">
        <v>692</v>
      </c>
      <c r="E519" s="36" t="str">
        <f t="shared" si="41"/>
        <v>445/65R22.5-20PR-AZ577</v>
      </c>
      <c r="F519" s="20"/>
      <c r="G519" s="23"/>
      <c r="H519" s="23"/>
      <c r="I519" s="24"/>
    </row>
    <row r="520" s="19" customFormat="1" spans="1:9">
      <c r="A520" s="29" t="s">
        <v>2430</v>
      </c>
      <c r="B520" s="29" t="s">
        <v>1101</v>
      </c>
      <c r="C520" s="29" t="s">
        <v>4767</v>
      </c>
      <c r="D520" s="28" t="s">
        <v>692</v>
      </c>
      <c r="E520" s="36" t="str">
        <f t="shared" si="41"/>
        <v>445/65R22.5-20PR-W-ELite ZM42</v>
      </c>
      <c r="F520" s="20"/>
      <c r="G520" s="23"/>
      <c r="H520" s="23"/>
      <c r="I520" s="24"/>
    </row>
    <row r="521" s="19" customFormat="1" spans="1:9">
      <c r="A521" s="20" t="s">
        <v>1872</v>
      </c>
      <c r="B521" s="20" t="s">
        <v>1074</v>
      </c>
      <c r="C521" s="20" t="s">
        <v>1863</v>
      </c>
      <c r="D521" s="21" t="s">
        <v>692</v>
      </c>
      <c r="E521" s="36" t="str">
        <f t="shared" si="41"/>
        <v>11R24.5-16PR-H-RD</v>
      </c>
      <c r="F521" s="20"/>
      <c r="G521" s="23"/>
      <c r="H521" s="23"/>
      <c r="I521" s="24"/>
    </row>
    <row r="522" s="19" customFormat="1" spans="1:9">
      <c r="A522" s="20" t="s">
        <v>2144</v>
      </c>
      <c r="B522" s="20" t="s">
        <v>958</v>
      </c>
      <c r="C522" s="20" t="s">
        <v>1859</v>
      </c>
      <c r="D522" s="21" t="s">
        <v>692</v>
      </c>
      <c r="E522" s="36" t="str">
        <f t="shared" si="41"/>
        <v>295/75R22.5-14PR-H-TL</v>
      </c>
      <c r="F522" s="20"/>
      <c r="G522" s="23"/>
      <c r="H522" s="23"/>
      <c r="I522" s="24"/>
    </row>
    <row r="523" s="19" customFormat="1" spans="1:9">
      <c r="A523" s="20" t="s">
        <v>2305</v>
      </c>
      <c r="B523" s="20" t="s">
        <v>1101</v>
      </c>
      <c r="C523" s="20" t="s">
        <v>1765</v>
      </c>
      <c r="D523" s="21" t="s">
        <v>692</v>
      </c>
      <c r="E523" s="36" t="str">
        <f t="shared" si="41"/>
        <v>315/80R22.5-20PR-VDM924</v>
      </c>
      <c r="F523" s="20"/>
      <c r="G523" s="23"/>
      <c r="H523" s="23"/>
      <c r="I523" s="24"/>
    </row>
    <row r="524" s="19" customFormat="1" spans="1:9">
      <c r="A524" s="20" t="s">
        <v>801</v>
      </c>
      <c r="B524" s="20" t="s">
        <v>1092</v>
      </c>
      <c r="C524" s="20" t="s">
        <v>1380</v>
      </c>
      <c r="D524" s="21" t="s">
        <v>692</v>
      </c>
      <c r="E524" s="36" t="str">
        <f t="shared" si="41"/>
        <v>12.00R20-18PR-MT100</v>
      </c>
      <c r="F524" s="20"/>
      <c r="G524" s="23"/>
      <c r="H524" s="23"/>
      <c r="I524" s="24"/>
    </row>
    <row r="525" s="19" customFormat="1" spans="1:9">
      <c r="A525" s="20" t="s">
        <v>803</v>
      </c>
      <c r="B525" s="20" t="s">
        <v>1092</v>
      </c>
      <c r="C525" s="20" t="s">
        <v>1417</v>
      </c>
      <c r="D525" s="21" t="s">
        <v>692</v>
      </c>
      <c r="E525" s="36" t="str">
        <f t="shared" si="41"/>
        <v>11.00R20-18PR-FOLO.R109</v>
      </c>
      <c r="F525" s="20"/>
      <c r="G525" s="23"/>
      <c r="H525" s="23"/>
      <c r="I525" s="24"/>
    </row>
    <row r="526" s="19" customFormat="1" spans="1:9">
      <c r="A526" s="20" t="s">
        <v>803</v>
      </c>
      <c r="B526" s="20" t="s">
        <v>1092</v>
      </c>
      <c r="C526" s="20" t="s">
        <v>1380</v>
      </c>
      <c r="D526" s="21" t="s">
        <v>692</v>
      </c>
      <c r="E526" s="36" t="str">
        <f t="shared" si="41"/>
        <v>11.00R20-18PR-MT100</v>
      </c>
      <c r="F526" s="20"/>
      <c r="G526" s="23"/>
      <c r="H526" s="23"/>
      <c r="I526" s="24"/>
    </row>
    <row r="527" s="19" customFormat="1" spans="1:9">
      <c r="A527" s="20" t="s">
        <v>801</v>
      </c>
      <c r="B527" s="20" t="s">
        <v>1925</v>
      </c>
      <c r="C527" s="20" t="s">
        <v>1096</v>
      </c>
      <c r="D527" s="21" t="s">
        <v>692</v>
      </c>
      <c r="E527" s="36" t="str">
        <f t="shared" si="41"/>
        <v>12.00R20-22PR-CB972</v>
      </c>
      <c r="F527" s="20"/>
      <c r="G527" s="23"/>
      <c r="H527" s="23"/>
      <c r="I527" s="24"/>
    </row>
    <row r="528" s="19" customFormat="1" spans="1:9">
      <c r="A528" s="20" t="s">
        <v>805</v>
      </c>
      <c r="B528" s="20" t="s">
        <v>1092</v>
      </c>
      <c r="C528" s="20" t="s">
        <v>1380</v>
      </c>
      <c r="D528" s="21" t="s">
        <v>692</v>
      </c>
      <c r="E528" s="36" t="str">
        <f t="shared" si="41"/>
        <v>10.00R20-18PR-MT100</v>
      </c>
      <c r="F528" s="20"/>
      <c r="G528" s="23"/>
      <c r="H528" s="23"/>
      <c r="I528" s="24"/>
    </row>
    <row r="529" s="19" customFormat="1" spans="1:9">
      <c r="A529" s="20" t="s">
        <v>2430</v>
      </c>
      <c r="B529" s="20" t="s">
        <v>1101</v>
      </c>
      <c r="C529" s="20" t="s">
        <v>2402</v>
      </c>
      <c r="D529" s="21" t="s">
        <v>692</v>
      </c>
      <c r="E529" s="36" t="str">
        <f t="shared" si="41"/>
        <v>445/65R22.5-20PR-H-MW</v>
      </c>
      <c r="F529" s="20"/>
      <c r="G529" s="23"/>
      <c r="H529" s="23"/>
      <c r="I529" s="24"/>
    </row>
    <row r="530" s="19" customFormat="1" spans="1:9">
      <c r="A530" s="20" t="s">
        <v>2384</v>
      </c>
      <c r="B530" s="20" t="s">
        <v>1101</v>
      </c>
      <c r="C530" s="20" t="s">
        <v>2402</v>
      </c>
      <c r="D530" s="21" t="s">
        <v>692</v>
      </c>
      <c r="E530" s="36" t="str">
        <f t="shared" si="41"/>
        <v>385/65R22.5-20PR-H-MW</v>
      </c>
      <c r="F530" s="20"/>
      <c r="G530" s="23"/>
      <c r="H530" s="23"/>
      <c r="I530" s="24"/>
    </row>
    <row r="531" s="19" customFormat="1" spans="1:9">
      <c r="A531" s="20" t="s">
        <v>2022</v>
      </c>
      <c r="B531" s="20" t="s">
        <v>1074</v>
      </c>
      <c r="C531" s="20" t="s">
        <v>2000</v>
      </c>
      <c r="D531" s="21" t="s">
        <v>692</v>
      </c>
      <c r="E531" s="36" t="str">
        <f t="shared" si="41"/>
        <v>245/70R19.5-16PR-DR-7318</v>
      </c>
      <c r="F531" s="20"/>
      <c r="G531" s="23"/>
      <c r="H531" s="23"/>
      <c r="I531" s="24"/>
    </row>
    <row r="532" s="19" customFormat="1" spans="1:9">
      <c r="A532" s="20" t="s">
        <v>808</v>
      </c>
      <c r="B532" s="20" t="s">
        <v>1074</v>
      </c>
      <c r="C532" s="20" t="s">
        <v>1035</v>
      </c>
      <c r="D532" s="21" t="s">
        <v>692</v>
      </c>
      <c r="E532" s="36" t="str">
        <f t="shared" si="41"/>
        <v>8.25R16-16PR-CR926</v>
      </c>
      <c r="F532" s="20"/>
      <c r="G532" s="23"/>
      <c r="H532" s="23"/>
      <c r="I532" s="24"/>
    </row>
    <row r="533" s="19" customFormat="1" spans="1:9">
      <c r="A533" s="20" t="s">
        <v>801</v>
      </c>
      <c r="B533" s="20" t="s">
        <v>1101</v>
      </c>
      <c r="C533" s="20" t="s">
        <v>1370</v>
      </c>
      <c r="D533" s="21" t="s">
        <v>692</v>
      </c>
      <c r="E533" s="36" t="str">
        <f t="shared" si="41"/>
        <v>12.00R20-20PR-TZ101</v>
      </c>
      <c r="F533" s="20"/>
      <c r="G533" s="23"/>
      <c r="H533" s="23"/>
      <c r="I533" s="24"/>
    </row>
    <row r="534" s="19" customFormat="1" spans="1:9">
      <c r="A534" s="20" t="s">
        <v>801</v>
      </c>
      <c r="B534" s="20" t="s">
        <v>1925</v>
      </c>
      <c r="C534" s="20" t="s">
        <v>1370</v>
      </c>
      <c r="D534" s="21" t="s">
        <v>692</v>
      </c>
      <c r="E534" s="36" t="str">
        <f t="shared" si="41"/>
        <v>12.00R20-22PR-TZ101</v>
      </c>
      <c r="F534" s="20"/>
      <c r="G534" s="23"/>
      <c r="H534" s="23"/>
      <c r="I534" s="24"/>
    </row>
    <row r="535" s="19" customFormat="1" spans="1:9">
      <c r="A535" s="20" t="s">
        <v>801</v>
      </c>
      <c r="B535" s="20" t="s">
        <v>1101</v>
      </c>
      <c r="C535" s="20" t="s">
        <v>1380</v>
      </c>
      <c r="D535" s="21" t="s">
        <v>692</v>
      </c>
      <c r="E535" s="36" t="str">
        <f t="shared" si="41"/>
        <v>12.00R20-20PR-MT100</v>
      </c>
      <c r="F535" s="20"/>
      <c r="G535" s="23"/>
      <c r="H535" s="23"/>
      <c r="I535" s="24"/>
    </row>
    <row r="536" s="19" customFormat="1" spans="1:9">
      <c r="A536" s="20" t="s">
        <v>801</v>
      </c>
      <c r="B536" s="20" t="s">
        <v>1925</v>
      </c>
      <c r="C536" s="20" t="s">
        <v>1380</v>
      </c>
      <c r="D536" s="21" t="s">
        <v>692</v>
      </c>
      <c r="E536" s="36" t="str">
        <f t="shared" si="41"/>
        <v>12.00R20-22PR-MT100</v>
      </c>
      <c r="F536" s="20"/>
      <c r="G536" s="23"/>
      <c r="H536" s="23"/>
      <c r="I536" s="24"/>
    </row>
    <row r="537" s="19" customFormat="1" spans="1:9">
      <c r="A537" s="20" t="s">
        <v>2305</v>
      </c>
      <c r="B537" s="20" t="s">
        <v>1101</v>
      </c>
      <c r="C537" s="20" t="s">
        <v>2311</v>
      </c>
      <c r="D537" s="21" t="s">
        <v>692</v>
      </c>
      <c r="E537" s="36" t="str">
        <f t="shared" si="41"/>
        <v>315/80R22.5-20PR-CM913A</v>
      </c>
      <c r="F537" s="20"/>
      <c r="G537" s="23"/>
      <c r="H537" s="23"/>
      <c r="I537" s="24"/>
    </row>
    <row r="538" s="19" customFormat="1" spans="1:9">
      <c r="A538" s="20" t="s">
        <v>2408</v>
      </c>
      <c r="B538" s="20" t="s">
        <v>1101</v>
      </c>
      <c r="C538" s="20" t="s">
        <v>2402</v>
      </c>
      <c r="D538" s="21" t="s">
        <v>692</v>
      </c>
      <c r="E538" s="36" t="str">
        <f t="shared" si="41"/>
        <v>425/65R22.5-20PR-H-MW</v>
      </c>
      <c r="F538" s="20"/>
      <c r="G538" s="23"/>
      <c r="H538" s="23"/>
      <c r="I538" s="24"/>
    </row>
    <row r="539" s="19" customFormat="1" spans="1:9">
      <c r="A539" s="20" t="s">
        <v>805</v>
      </c>
      <c r="B539" s="20" t="s">
        <v>1092</v>
      </c>
      <c r="C539" s="20" t="s">
        <v>4768</v>
      </c>
      <c r="D539" s="21" t="s">
        <v>692</v>
      </c>
      <c r="E539" s="36" t="str">
        <f t="shared" si="41"/>
        <v>10.00R20-18PR-CR926 MAX</v>
      </c>
      <c r="F539" s="20"/>
      <c r="G539" s="23"/>
      <c r="H539" s="23"/>
      <c r="I539" s="24"/>
    </row>
    <row r="540" s="19" customFormat="1" spans="1:9">
      <c r="A540" s="20" t="s">
        <v>2218</v>
      </c>
      <c r="B540" s="20" t="s">
        <v>1092</v>
      </c>
      <c r="C540" s="20" t="s">
        <v>1857</v>
      </c>
      <c r="D540" s="21" t="s">
        <v>692</v>
      </c>
      <c r="E540" s="36" t="str">
        <f t="shared" si="41"/>
        <v>295/80R22.5-18PR-H-RA</v>
      </c>
      <c r="F540" s="20"/>
      <c r="G540" s="23"/>
      <c r="H540" s="23"/>
      <c r="I540" s="24"/>
    </row>
    <row r="541" s="19" customFormat="1" spans="1:9">
      <c r="A541" s="20" t="s">
        <v>2305</v>
      </c>
      <c r="B541" s="20" t="s">
        <v>1101</v>
      </c>
      <c r="C541" s="20" t="s">
        <v>1863</v>
      </c>
      <c r="D541" s="21" t="s">
        <v>692</v>
      </c>
      <c r="E541" s="36" t="str">
        <f t="shared" si="41"/>
        <v>315/80R22.5-20PR-H-RD</v>
      </c>
      <c r="F541" s="20"/>
      <c r="G541" s="23"/>
      <c r="H541" s="23"/>
      <c r="I541" s="24"/>
    </row>
    <row r="542" s="19" customFormat="1" spans="1:9">
      <c r="A542" s="20" t="s">
        <v>1872</v>
      </c>
      <c r="B542" s="20" t="s">
        <v>1074</v>
      </c>
      <c r="C542" s="20" t="s">
        <v>1823</v>
      </c>
      <c r="D542" s="21" t="s">
        <v>692</v>
      </c>
      <c r="E542" s="36" t="str">
        <f t="shared" si="41"/>
        <v>11R24.5-16PR-AS673</v>
      </c>
      <c r="F542" s="20"/>
      <c r="G542" s="23"/>
      <c r="H542" s="23"/>
      <c r="I542" s="24"/>
    </row>
    <row r="543" s="19" customFormat="1" spans="1:9">
      <c r="A543" s="20" t="s">
        <v>2111</v>
      </c>
      <c r="B543" s="20" t="s">
        <v>958</v>
      </c>
      <c r="C543" s="20" t="s">
        <v>1859</v>
      </c>
      <c r="D543" s="21" t="s">
        <v>692</v>
      </c>
      <c r="E543" s="36" t="str">
        <f t="shared" si="41"/>
        <v>285/75R24.5-14PR-H-TL</v>
      </c>
      <c r="F543" s="20"/>
      <c r="G543" s="23"/>
      <c r="H543" s="23"/>
      <c r="I543" s="24"/>
    </row>
    <row r="544" s="19" customFormat="1" spans="1:9">
      <c r="A544" s="20" t="s">
        <v>2022</v>
      </c>
      <c r="B544" s="20" t="s">
        <v>958</v>
      </c>
      <c r="C544" s="20" t="s">
        <v>1857</v>
      </c>
      <c r="D544" s="21" t="s">
        <v>692</v>
      </c>
      <c r="E544" s="36" t="str">
        <f t="shared" si="41"/>
        <v>245/70R19.5-14PR-H-RA</v>
      </c>
      <c r="F544" s="20"/>
      <c r="G544" s="23"/>
      <c r="H544" s="23"/>
      <c r="I544" s="24"/>
    </row>
    <row r="545" s="19" customFormat="1" spans="1:9">
      <c r="A545" s="20" t="s">
        <v>1633</v>
      </c>
      <c r="B545" s="20" t="s">
        <v>1074</v>
      </c>
      <c r="C545" s="20" t="s">
        <v>1827</v>
      </c>
      <c r="D545" s="21" t="s">
        <v>692</v>
      </c>
      <c r="E545" s="22" t="str">
        <f t="shared" si="41"/>
        <v>11R22.5-16PR-AD778</v>
      </c>
      <c r="F545" s="20"/>
      <c r="G545" s="23"/>
      <c r="H545" s="23"/>
      <c r="I545" s="24"/>
    </row>
    <row r="546" s="19" customFormat="1" spans="1:9">
      <c r="A546" s="20" t="s">
        <v>1872</v>
      </c>
      <c r="B546" s="20" t="s">
        <v>1074</v>
      </c>
      <c r="C546" s="20" t="s">
        <v>1827</v>
      </c>
      <c r="D546" s="21" t="s">
        <v>692</v>
      </c>
      <c r="E546" s="36" t="str">
        <f t="shared" si="41"/>
        <v>11R24.5-16PR-AD778</v>
      </c>
      <c r="F546" s="20"/>
      <c r="G546" s="23"/>
      <c r="H546" s="23"/>
      <c r="I546" s="24"/>
    </row>
    <row r="547" s="19" customFormat="1" spans="1:9">
      <c r="A547" s="20" t="s">
        <v>2144</v>
      </c>
      <c r="B547" s="20" t="s">
        <v>1074</v>
      </c>
      <c r="C547" s="20" t="s">
        <v>1650</v>
      </c>
      <c r="D547" s="21" t="s">
        <v>692</v>
      </c>
      <c r="E547" s="36" t="str">
        <f t="shared" si="41"/>
        <v>295/75R22.5-16PR-AT598</v>
      </c>
      <c r="F547" s="20"/>
      <c r="G547" s="23"/>
      <c r="H547" s="23"/>
      <c r="I547" s="24"/>
    </row>
    <row r="548" s="19" customFormat="1" spans="1:9">
      <c r="A548" s="20" t="s">
        <v>2144</v>
      </c>
      <c r="B548" s="20" t="s">
        <v>1074</v>
      </c>
      <c r="C548" s="20" t="s">
        <v>1654</v>
      </c>
      <c r="D548" s="21" t="s">
        <v>692</v>
      </c>
      <c r="E548" s="36" t="str">
        <f t="shared" si="41"/>
        <v>295/75R22.5-16PR-HT1 Plus</v>
      </c>
      <c r="F548" s="20"/>
      <c r="G548" s="23"/>
      <c r="H548" s="23"/>
      <c r="I548" s="24"/>
    </row>
    <row r="549" s="19" customFormat="1" spans="1:9">
      <c r="A549" s="20" t="s">
        <v>2144</v>
      </c>
      <c r="B549" s="20" t="s">
        <v>1074</v>
      </c>
      <c r="C549" s="20" t="s">
        <v>4769</v>
      </c>
      <c r="D549" s="21" t="s">
        <v>692</v>
      </c>
      <c r="E549" s="36" t="str">
        <f t="shared" si="41"/>
        <v>295/75R22.5-16PR-RLINE T1</v>
      </c>
      <c r="F549" s="20"/>
      <c r="G549" s="23"/>
      <c r="H549" s="23"/>
      <c r="I549" s="24"/>
    </row>
    <row r="550" s="19" customFormat="1" spans="1:9">
      <c r="A550" s="20" t="s">
        <v>2144</v>
      </c>
      <c r="B550" s="20" t="s">
        <v>958</v>
      </c>
      <c r="C550" s="20" t="s">
        <v>1650</v>
      </c>
      <c r="D550" s="21" t="s">
        <v>692</v>
      </c>
      <c r="E550" s="36" t="str">
        <f t="shared" si="41"/>
        <v>295/75R22.5-14PR-AT598</v>
      </c>
      <c r="F550" s="20"/>
      <c r="G550" s="23"/>
      <c r="H550" s="23"/>
      <c r="I550" s="24"/>
    </row>
    <row r="551" s="19" customFormat="1" spans="1:9">
      <c r="A551" s="20" t="s">
        <v>2144</v>
      </c>
      <c r="B551" s="20" t="s">
        <v>958</v>
      </c>
      <c r="C551" s="20" t="s">
        <v>1654</v>
      </c>
      <c r="D551" s="21" t="s">
        <v>692</v>
      </c>
      <c r="E551" s="36" t="str">
        <f t="shared" si="41"/>
        <v>295/75R22.5-14PR-HT1 Plus</v>
      </c>
      <c r="F551" s="20"/>
      <c r="G551" s="23"/>
      <c r="H551" s="23"/>
      <c r="I551" s="24"/>
    </row>
    <row r="552" s="19" customFormat="1" spans="1:9">
      <c r="A552" s="20" t="s">
        <v>2144</v>
      </c>
      <c r="B552" s="20" t="s">
        <v>958</v>
      </c>
      <c r="C552" s="20" t="s">
        <v>1660</v>
      </c>
      <c r="D552" s="21" t="s">
        <v>692</v>
      </c>
      <c r="E552" s="36" t="str">
        <f t="shared" si="41"/>
        <v>295/75R22.5-14PR-RLINE-T1</v>
      </c>
      <c r="F552" s="20"/>
      <c r="G552" s="23"/>
      <c r="H552" s="23"/>
      <c r="I552" s="24"/>
    </row>
    <row r="553" s="19" customFormat="1" spans="1:9">
      <c r="A553" s="20" t="s">
        <v>801</v>
      </c>
      <c r="B553" s="20" t="s">
        <v>1925</v>
      </c>
      <c r="C553" s="20" t="s">
        <v>1931</v>
      </c>
      <c r="D553" s="21" t="s">
        <v>692</v>
      </c>
      <c r="E553" s="36" t="str">
        <f t="shared" si="41"/>
        <v>12.00R20-22PR-TRD-71</v>
      </c>
      <c r="F553" s="20"/>
      <c r="G553" s="23"/>
      <c r="H553" s="23"/>
      <c r="I553" s="24"/>
    </row>
    <row r="554" s="19" customFormat="1" spans="1:9">
      <c r="A554" s="20" t="s">
        <v>803</v>
      </c>
      <c r="B554" s="20" t="s">
        <v>1092</v>
      </c>
      <c r="C554" s="20" t="s">
        <v>1599</v>
      </c>
      <c r="D554" s="21" t="s">
        <v>692</v>
      </c>
      <c r="E554" s="36" t="str">
        <f t="shared" si="41"/>
        <v>11.00R20-18PR-AM4S.Q679</v>
      </c>
      <c r="F554" s="20"/>
      <c r="G554" s="23"/>
      <c r="H554" s="23"/>
      <c r="I554" s="24"/>
    </row>
    <row r="555" s="19" customFormat="1" spans="1:9">
      <c r="A555" s="20" t="s">
        <v>2305</v>
      </c>
      <c r="B555" s="20" t="s">
        <v>1101</v>
      </c>
      <c r="C555" s="20" t="s">
        <v>2222</v>
      </c>
      <c r="D555" s="21" t="s">
        <v>692</v>
      </c>
      <c r="E555" s="36" t="str">
        <f t="shared" si="41"/>
        <v>315/80R22.5-20PR-WSR1</v>
      </c>
      <c r="F555" s="20"/>
      <c r="G555" s="23"/>
      <c r="H555" s="23"/>
      <c r="I555" s="24"/>
    </row>
    <row r="556" s="19" customFormat="1" spans="1:9">
      <c r="A556" s="20" t="s">
        <v>2144</v>
      </c>
      <c r="B556" s="20" t="s">
        <v>1074</v>
      </c>
      <c r="C556" s="20" t="s">
        <v>1812</v>
      </c>
      <c r="D556" s="21" t="s">
        <v>692</v>
      </c>
      <c r="E556" s="36" t="str">
        <f t="shared" si="41"/>
        <v>295/75R22.5-16PR-AD178</v>
      </c>
      <c r="F556" s="20"/>
      <c r="G556" s="23"/>
      <c r="H556" s="23"/>
      <c r="I556" s="24"/>
    </row>
    <row r="557" s="19" customFormat="1" spans="1:9">
      <c r="A557" s="20" t="s">
        <v>2144</v>
      </c>
      <c r="B557" s="20" t="s">
        <v>1074</v>
      </c>
      <c r="C557" s="20" t="s">
        <v>1814</v>
      </c>
      <c r="D557" s="21" t="s">
        <v>692</v>
      </c>
      <c r="E557" s="36" t="str">
        <f t="shared" si="41"/>
        <v>295/75R22.5-16PR-HD1 PlusX</v>
      </c>
      <c r="F557" s="20"/>
      <c r="G557" s="23"/>
      <c r="H557" s="23"/>
      <c r="I557" s="24"/>
    </row>
    <row r="558" s="19" customFormat="1" spans="1:9">
      <c r="A558" s="20" t="s">
        <v>2144</v>
      </c>
      <c r="B558" s="20" t="s">
        <v>1074</v>
      </c>
      <c r="C558" s="20" t="s">
        <v>2170</v>
      </c>
      <c r="D558" s="21" t="s">
        <v>692</v>
      </c>
      <c r="E558" s="22" t="str">
        <f t="shared" si="41"/>
        <v>295/75R22.5-16PR-TLD-178</v>
      </c>
      <c r="F558" s="20"/>
      <c r="G558" s="23"/>
      <c r="H558" s="23"/>
      <c r="I558" s="24"/>
    </row>
    <row r="559" s="19" customFormat="1" spans="1:9">
      <c r="A559" s="20" t="s">
        <v>2144</v>
      </c>
      <c r="B559" s="20" t="s">
        <v>1074</v>
      </c>
      <c r="C559" s="20" t="s">
        <v>2171</v>
      </c>
      <c r="D559" s="21" t="s">
        <v>692</v>
      </c>
      <c r="E559" s="36" t="str">
        <f t="shared" si="41"/>
        <v>295/75R22.5-16PR-MX901 CSD</v>
      </c>
      <c r="F559" s="20"/>
      <c r="G559" s="23"/>
      <c r="H559" s="23"/>
      <c r="I559" s="24"/>
    </row>
    <row r="560" s="19" customFormat="1" spans="1:9">
      <c r="A560" s="20" t="s">
        <v>2408</v>
      </c>
      <c r="B560" s="20" t="s">
        <v>1101</v>
      </c>
      <c r="C560" s="20" t="s">
        <v>2390</v>
      </c>
      <c r="D560" s="21" t="s">
        <v>692</v>
      </c>
      <c r="E560" s="36" t="str">
        <f t="shared" si="41"/>
        <v>425/65R22.5-20PR-AZ577</v>
      </c>
      <c r="F560" s="20"/>
      <c r="G560" s="23"/>
      <c r="H560" s="23"/>
      <c r="I560" s="24"/>
    </row>
    <row r="561" s="19" customFormat="1" spans="1:9">
      <c r="A561" s="20" t="s">
        <v>2408</v>
      </c>
      <c r="B561" s="20" t="s">
        <v>1101</v>
      </c>
      <c r="C561" s="20" t="s">
        <v>2411</v>
      </c>
      <c r="D561" s="21" t="s">
        <v>692</v>
      </c>
      <c r="E561" s="36" t="str">
        <f t="shared" si="41"/>
        <v>425/65R22.5-20PR-TMA-134</v>
      </c>
      <c r="F561" s="20"/>
      <c r="G561" s="23"/>
      <c r="H561" s="23"/>
      <c r="I561" s="24"/>
    </row>
    <row r="562" s="19" customFormat="1" spans="1:9">
      <c r="A562" s="20" t="s">
        <v>2415</v>
      </c>
      <c r="B562" s="20" t="s">
        <v>1101</v>
      </c>
      <c r="C562" s="20" t="s">
        <v>2419</v>
      </c>
      <c r="D562" s="21" t="s">
        <v>692</v>
      </c>
      <c r="E562" s="22" t="str">
        <f t="shared" si="41"/>
        <v>445/50R22.5-20PR-AD755</v>
      </c>
      <c r="F562" s="20"/>
      <c r="G562" s="23"/>
      <c r="H562" s="23"/>
      <c r="I562" s="24"/>
    </row>
    <row r="563" s="19" customFormat="1" spans="1:9">
      <c r="A563" s="20" t="s">
        <v>2415</v>
      </c>
      <c r="B563" s="20" t="s">
        <v>1101</v>
      </c>
      <c r="C563" s="20" t="s">
        <v>2416</v>
      </c>
      <c r="D563" s="21" t="s">
        <v>692</v>
      </c>
      <c r="E563" s="22" t="str">
        <f t="shared" si="41"/>
        <v>445/50R22.5-20PR-AD781</v>
      </c>
      <c r="F563" s="20"/>
      <c r="G563" s="23"/>
      <c r="H563" s="23"/>
      <c r="I563" s="24"/>
    </row>
    <row r="564" s="19" customFormat="1" spans="1:9">
      <c r="A564" s="20" t="s">
        <v>2415</v>
      </c>
      <c r="B564" s="20" t="s">
        <v>1101</v>
      </c>
      <c r="C564" s="20" t="s">
        <v>2418</v>
      </c>
      <c r="D564" s="21" t="s">
        <v>692</v>
      </c>
      <c r="E564" s="22" t="str">
        <f t="shared" si="41"/>
        <v>445/50R22.5-20PR-HD4 Plus</v>
      </c>
      <c r="F564" s="20"/>
      <c r="G564" s="23"/>
      <c r="H564" s="23"/>
      <c r="I564" s="24"/>
    </row>
    <row r="565" s="19" customFormat="1" spans="1:9">
      <c r="A565" s="20" t="s">
        <v>2415</v>
      </c>
      <c r="B565" s="20" t="s">
        <v>1101</v>
      </c>
      <c r="C565" s="20" t="s">
        <v>2420</v>
      </c>
      <c r="D565" s="21" t="s">
        <v>692</v>
      </c>
      <c r="E565" s="22" t="str">
        <f t="shared" si="41"/>
        <v>445/50R22.5-20PR-RLINE-WD1</v>
      </c>
      <c r="F565" s="20"/>
      <c r="G565" s="23"/>
      <c r="H565" s="23"/>
      <c r="I565" s="24"/>
    </row>
    <row r="566" s="19" customFormat="1" spans="1:9">
      <c r="A566" s="20" t="s">
        <v>2305</v>
      </c>
      <c r="B566" s="20" t="s">
        <v>1101</v>
      </c>
      <c r="C566" s="20" t="s">
        <v>2319</v>
      </c>
      <c r="D566" s="21" t="s">
        <v>692</v>
      </c>
      <c r="E566" s="22" t="str">
        <f t="shared" si="41"/>
        <v>315/80R22.5-20PR-HA3 Plus</v>
      </c>
      <c r="F566" s="20"/>
      <c r="G566" s="23"/>
      <c r="H566" s="23"/>
      <c r="I566" s="24"/>
    </row>
    <row r="567" s="19" customFormat="1" spans="1:9">
      <c r="A567" s="20" t="s">
        <v>1947</v>
      </c>
      <c r="B567" s="20" t="s">
        <v>1092</v>
      </c>
      <c r="C567" s="20" t="s">
        <v>1249</v>
      </c>
      <c r="D567" s="21" t="s">
        <v>692</v>
      </c>
      <c r="E567" s="22" t="str">
        <f t="shared" si="41"/>
        <v>12R22.5-18PR-VEZ87</v>
      </c>
      <c r="F567" s="20"/>
      <c r="G567" s="23"/>
      <c r="H567" s="23"/>
      <c r="I567" s="24"/>
    </row>
    <row r="568" s="19" customFormat="1" spans="1:9">
      <c r="A568" s="20" t="s">
        <v>1947</v>
      </c>
      <c r="B568" s="20" t="s">
        <v>1092</v>
      </c>
      <c r="C568" s="20" t="s">
        <v>1949</v>
      </c>
      <c r="D568" s="21" t="s">
        <v>692</v>
      </c>
      <c r="E568" s="22" t="str">
        <f t="shared" si="41"/>
        <v>12R22.5-18PR-VEZ80</v>
      </c>
      <c r="F568" s="20"/>
      <c r="G568" s="23"/>
      <c r="H568" s="23"/>
      <c r="I568" s="24"/>
    </row>
    <row r="569" s="19" customFormat="1" spans="1:9">
      <c r="A569" s="20" t="s">
        <v>1947</v>
      </c>
      <c r="B569" s="20" t="s">
        <v>1092</v>
      </c>
      <c r="C569" s="20" t="s">
        <v>1244</v>
      </c>
      <c r="D569" s="21" t="s">
        <v>692</v>
      </c>
      <c r="E569" s="22" t="str">
        <f t="shared" si="41"/>
        <v>12R22.5-18PR-EZ867</v>
      </c>
      <c r="F569" s="20"/>
      <c r="G569" s="23"/>
      <c r="H569" s="23"/>
      <c r="I569" s="24"/>
    </row>
    <row r="570" s="19" customFormat="1" spans="1:9">
      <c r="A570" s="20" t="s">
        <v>1947</v>
      </c>
      <c r="B570" s="20" t="s">
        <v>1092</v>
      </c>
      <c r="C570" s="20" t="s">
        <v>1610</v>
      </c>
      <c r="D570" s="21" t="s">
        <v>692</v>
      </c>
      <c r="E570" s="22" t="str">
        <f t="shared" si="41"/>
        <v>12R22.5-18PR-EZ870</v>
      </c>
      <c r="F570" s="20"/>
      <c r="G570" s="23"/>
      <c r="H570" s="23"/>
      <c r="I570" s="24"/>
    </row>
    <row r="571" s="19" customFormat="1" spans="1:9">
      <c r="A571" s="20" t="s">
        <v>1947</v>
      </c>
      <c r="B571" s="20" t="s">
        <v>1101</v>
      </c>
      <c r="C571" s="20" t="s">
        <v>1249</v>
      </c>
      <c r="D571" s="21" t="s">
        <v>692</v>
      </c>
      <c r="E571" s="22" t="str">
        <f t="shared" si="41"/>
        <v>12R22.5-20PR-VEZ87</v>
      </c>
      <c r="F571" s="20"/>
      <c r="G571" s="23"/>
      <c r="H571" s="23"/>
      <c r="I571" s="24"/>
    </row>
    <row r="572" s="19" customFormat="1" spans="1:9">
      <c r="A572" s="20" t="s">
        <v>1947</v>
      </c>
      <c r="B572" s="20" t="s">
        <v>1101</v>
      </c>
      <c r="C572" s="20" t="s">
        <v>1949</v>
      </c>
      <c r="D572" s="21" t="s">
        <v>692</v>
      </c>
      <c r="E572" s="22" t="str">
        <f t="shared" si="41"/>
        <v>12R22.5-20PR-VEZ80</v>
      </c>
      <c r="F572" s="20"/>
      <c r="G572" s="23"/>
      <c r="H572" s="23"/>
      <c r="I572" s="24"/>
    </row>
    <row r="573" s="19" customFormat="1" spans="1:9">
      <c r="A573" s="20" t="s">
        <v>1947</v>
      </c>
      <c r="B573" s="20" t="s">
        <v>1101</v>
      </c>
      <c r="C573" s="20" t="s">
        <v>1244</v>
      </c>
      <c r="D573" s="21" t="s">
        <v>692</v>
      </c>
      <c r="E573" s="22" t="str">
        <f t="shared" si="41"/>
        <v>12R22.5-20PR-EZ867</v>
      </c>
      <c r="F573" s="20"/>
      <c r="G573" s="23"/>
      <c r="H573" s="23"/>
      <c r="I573" s="24"/>
    </row>
    <row r="574" s="19" customFormat="1" spans="1:9">
      <c r="A574" s="20" t="s">
        <v>1947</v>
      </c>
      <c r="B574" s="20" t="s">
        <v>1101</v>
      </c>
      <c r="C574" s="20" t="s">
        <v>1610</v>
      </c>
      <c r="D574" s="21" t="s">
        <v>692</v>
      </c>
      <c r="E574" s="22" t="str">
        <f t="shared" si="41"/>
        <v>12R22.5-20PR-EZ870</v>
      </c>
      <c r="F574" s="20"/>
      <c r="G574" s="23"/>
      <c r="H574" s="23"/>
      <c r="I574" s="24"/>
    </row>
    <row r="575" s="19" customFormat="1" spans="1:9">
      <c r="A575" s="20" t="s">
        <v>805</v>
      </c>
      <c r="B575" s="20" t="s">
        <v>1092</v>
      </c>
      <c r="C575" s="20" t="s">
        <v>1462</v>
      </c>
      <c r="D575" s="21" t="s">
        <v>692</v>
      </c>
      <c r="E575" s="22" t="str">
        <f t="shared" si="41"/>
        <v>10.00R20-18PR-EZ175</v>
      </c>
      <c r="F575" s="20"/>
      <c r="G575" s="23"/>
      <c r="H575" s="23"/>
      <c r="I575" s="24"/>
    </row>
    <row r="576" s="19" customFormat="1" spans="1:9">
      <c r="A576" s="20" t="s">
        <v>1633</v>
      </c>
      <c r="B576" s="20" t="s">
        <v>1074</v>
      </c>
      <c r="C576" s="20" t="s">
        <v>1823</v>
      </c>
      <c r="D576" s="21" t="s">
        <v>692</v>
      </c>
      <c r="E576" s="22" t="str">
        <f t="shared" si="41"/>
        <v>11R22.5-16PR-AS673</v>
      </c>
      <c r="F576" s="20"/>
      <c r="G576" s="23"/>
      <c r="H576" s="23"/>
      <c r="I576" s="24"/>
    </row>
    <row r="577" s="19" customFormat="1" spans="1:9">
      <c r="A577" s="20" t="s">
        <v>2144</v>
      </c>
      <c r="B577" s="20" t="s">
        <v>1074</v>
      </c>
      <c r="C577" s="20" t="s">
        <v>1829</v>
      </c>
      <c r="D577" s="21" t="s">
        <v>692</v>
      </c>
      <c r="E577" s="22" t="str">
        <f t="shared" si="41"/>
        <v>295/75R22.5-16PR-AD759</v>
      </c>
      <c r="F577" s="20"/>
      <c r="G577" s="23"/>
      <c r="H577" s="23"/>
      <c r="I577" s="24"/>
    </row>
    <row r="578" s="19" customFormat="1" spans="1:9">
      <c r="A578" s="20" t="s">
        <v>1633</v>
      </c>
      <c r="B578" s="20" t="s">
        <v>1074</v>
      </c>
      <c r="C578" s="20" t="s">
        <v>1855</v>
      </c>
      <c r="D578" s="21" t="s">
        <v>692</v>
      </c>
      <c r="E578" s="22" t="str">
        <f t="shared" si="41"/>
        <v>11R22.5-16PR-H-MD</v>
      </c>
      <c r="F578" s="20"/>
      <c r="G578" s="23"/>
      <c r="H578" s="23"/>
      <c r="I578" s="24"/>
    </row>
    <row r="579" s="19" customFormat="1" spans="1:9">
      <c r="A579" s="20" t="s">
        <v>1872</v>
      </c>
      <c r="B579" s="20" t="s">
        <v>1074</v>
      </c>
      <c r="C579" s="20" t="s">
        <v>1855</v>
      </c>
      <c r="D579" s="21" t="s">
        <v>692</v>
      </c>
      <c r="E579" s="22" t="str">
        <f t="shared" ref="E579:E608" si="42">_xlfn.TEXTJOIN("-",TRUE,A579,B579,C579)</f>
        <v>11R24.5-16PR-H-MD</v>
      </c>
      <c r="F579" s="20"/>
      <c r="G579" s="23"/>
      <c r="H579" s="23"/>
      <c r="I579" s="24"/>
    </row>
    <row r="580" s="19" customFormat="1" spans="1:9">
      <c r="A580" s="20" t="s">
        <v>1872</v>
      </c>
      <c r="B580" s="20" t="s">
        <v>958</v>
      </c>
      <c r="C580" s="20" t="s">
        <v>1859</v>
      </c>
      <c r="D580" s="21" t="s">
        <v>692</v>
      </c>
      <c r="E580" s="22" t="str">
        <f t="shared" si="42"/>
        <v>11R24.5-14PR-H-TL</v>
      </c>
      <c r="F580" s="20"/>
      <c r="G580" s="23"/>
      <c r="H580" s="23"/>
      <c r="I580" s="24"/>
    </row>
    <row r="581" s="19" customFormat="1" spans="1:9">
      <c r="A581" s="20" t="s">
        <v>1872</v>
      </c>
      <c r="B581" s="20" t="s">
        <v>1074</v>
      </c>
      <c r="C581" s="20" t="s">
        <v>4770</v>
      </c>
      <c r="D581" s="21" t="s">
        <v>692</v>
      </c>
      <c r="E581" s="22" t="str">
        <f t="shared" si="42"/>
        <v>11R24.5-16PR-M-TRAC MS</v>
      </c>
      <c r="F581" s="20"/>
      <c r="G581" s="23"/>
      <c r="H581" s="23"/>
      <c r="I581" s="24"/>
    </row>
    <row r="582" s="19" customFormat="1" spans="1:9">
      <c r="A582" s="20" t="s">
        <v>1872</v>
      </c>
      <c r="B582" s="20" t="s">
        <v>1074</v>
      </c>
      <c r="C582" s="20" t="s">
        <v>4771</v>
      </c>
      <c r="D582" s="21" t="s">
        <v>692</v>
      </c>
      <c r="E582" s="22" t="str">
        <f t="shared" si="42"/>
        <v>11R24.5-16PR-ECO-MILE MS</v>
      </c>
      <c r="F582" s="20"/>
      <c r="G582" s="23"/>
      <c r="H582" s="23"/>
      <c r="I582" s="24"/>
    </row>
    <row r="583" s="19" customFormat="1" spans="1:9">
      <c r="A583" s="20" t="s">
        <v>1974</v>
      </c>
      <c r="B583" s="20" t="s">
        <v>1092</v>
      </c>
      <c r="C583" s="20" t="s">
        <v>2128</v>
      </c>
      <c r="D583" s="21" t="s">
        <v>692</v>
      </c>
      <c r="E583" s="22" t="str">
        <f t="shared" si="42"/>
        <v>215/75R17.5-18PR-ECO-MILE AP</v>
      </c>
      <c r="F583" s="20"/>
      <c r="G583" s="23"/>
      <c r="H583" s="23"/>
      <c r="I583" s="24"/>
    </row>
    <row r="584" s="19" customFormat="1" spans="1:9">
      <c r="A584" s="20" t="s">
        <v>1986</v>
      </c>
      <c r="B584" s="20" t="s">
        <v>958</v>
      </c>
      <c r="C584" s="20" t="s">
        <v>2128</v>
      </c>
      <c r="D584" s="21" t="s">
        <v>692</v>
      </c>
      <c r="E584" s="22" t="str">
        <f t="shared" si="42"/>
        <v>225/70R19.5-14PR-ECO-MILE AP</v>
      </c>
      <c r="F584" s="20"/>
      <c r="G584" s="23"/>
      <c r="H584" s="23"/>
      <c r="I584" s="24"/>
    </row>
    <row r="585" s="19" customFormat="1" spans="1:9">
      <c r="A585" s="20" t="s">
        <v>1986</v>
      </c>
      <c r="B585" s="20" t="s">
        <v>958</v>
      </c>
      <c r="C585" s="20" t="s">
        <v>4772</v>
      </c>
      <c r="D585" s="21" t="s">
        <v>692</v>
      </c>
      <c r="E585" s="22" t="str">
        <f t="shared" si="42"/>
        <v>225/70R19.5-14PR-ECO-MILE HTD</v>
      </c>
      <c r="F585" s="20"/>
      <c r="G585" s="23"/>
      <c r="H585" s="23"/>
      <c r="I585" s="24"/>
    </row>
    <row r="586" s="19" customFormat="1" spans="1:9">
      <c r="A586" s="20" t="s">
        <v>2012</v>
      </c>
      <c r="B586" s="20" t="s">
        <v>1092</v>
      </c>
      <c r="C586" s="20" t="s">
        <v>1778</v>
      </c>
      <c r="D586" s="21" t="s">
        <v>692</v>
      </c>
      <c r="E586" s="22" t="str">
        <f t="shared" si="42"/>
        <v>235/75R17.5-18PR-M-TRAC AP</v>
      </c>
      <c r="F586" s="20"/>
      <c r="G586" s="23"/>
      <c r="H586" s="23"/>
      <c r="I586" s="24"/>
    </row>
    <row r="587" s="19" customFormat="1" spans="1:9">
      <c r="A587" s="20" t="s">
        <v>2012</v>
      </c>
      <c r="B587" s="20" t="s">
        <v>1092</v>
      </c>
      <c r="C587" s="20" t="s">
        <v>2128</v>
      </c>
      <c r="D587" s="21" t="s">
        <v>692</v>
      </c>
      <c r="E587" s="22" t="str">
        <f t="shared" si="42"/>
        <v>235/75R17.5-18PR-ECO-MILE AP</v>
      </c>
      <c r="F587" s="20"/>
      <c r="G587" s="23"/>
      <c r="H587" s="23"/>
      <c r="I587" s="24"/>
    </row>
    <row r="588" s="19" customFormat="1" spans="1:9">
      <c r="A588" s="20" t="s">
        <v>2022</v>
      </c>
      <c r="B588" s="20" t="s">
        <v>1074</v>
      </c>
      <c r="C588" s="20" t="s">
        <v>1778</v>
      </c>
      <c r="D588" s="21" t="s">
        <v>692</v>
      </c>
      <c r="E588" s="22" t="str">
        <f t="shared" si="42"/>
        <v>245/70R19.5-16PR-M-TRAC AP</v>
      </c>
      <c r="F588" s="20"/>
      <c r="G588" s="23"/>
      <c r="H588" s="23"/>
      <c r="I588" s="24"/>
    </row>
    <row r="589" s="19" customFormat="1" spans="1:9">
      <c r="A589" s="20" t="s">
        <v>2022</v>
      </c>
      <c r="B589" s="20" t="s">
        <v>1074</v>
      </c>
      <c r="C589" s="20" t="s">
        <v>2128</v>
      </c>
      <c r="D589" s="21" t="s">
        <v>692</v>
      </c>
      <c r="E589" s="22" t="str">
        <f t="shared" si="42"/>
        <v>245/70R19.5-16PR-ECO-MILE AP</v>
      </c>
      <c r="F589" s="20"/>
      <c r="G589" s="23"/>
      <c r="H589" s="23"/>
      <c r="I589" s="24"/>
    </row>
    <row r="590" s="19" customFormat="1" spans="1:9">
      <c r="A590" s="20" t="s">
        <v>2022</v>
      </c>
      <c r="B590" s="20" t="s">
        <v>1074</v>
      </c>
      <c r="C590" s="20" t="s">
        <v>1998</v>
      </c>
      <c r="D590" s="21" t="s">
        <v>692</v>
      </c>
      <c r="E590" s="22" t="str">
        <f t="shared" si="42"/>
        <v>245/70R19.5-16PR-M-TRAC HTD</v>
      </c>
      <c r="F590" s="20"/>
      <c r="G590" s="23"/>
      <c r="H590" s="23"/>
      <c r="I590" s="24"/>
    </row>
    <row r="591" s="19" customFormat="1" spans="1:9">
      <c r="A591" s="20" t="s">
        <v>2022</v>
      </c>
      <c r="B591" s="20" t="s">
        <v>1074</v>
      </c>
      <c r="C591" s="20" t="s">
        <v>4772</v>
      </c>
      <c r="D591" s="21" t="s">
        <v>692</v>
      </c>
      <c r="E591" s="22" t="str">
        <f t="shared" si="42"/>
        <v>245/70R19.5-16PR-ECO-MILE HTD</v>
      </c>
      <c r="F591" s="20"/>
      <c r="G591" s="23"/>
      <c r="H591" s="23"/>
      <c r="I591" s="24"/>
    </row>
    <row r="592" s="19" customFormat="1" spans="1:9">
      <c r="A592" s="20" t="s">
        <v>2040</v>
      </c>
      <c r="B592" s="20" t="s">
        <v>1074</v>
      </c>
      <c r="C592" s="20" t="s">
        <v>2128</v>
      </c>
      <c r="D592" s="21" t="s">
        <v>692</v>
      </c>
      <c r="E592" s="22" t="str">
        <f t="shared" si="42"/>
        <v>255/70R22.5-16PR-ECO-MILE AP</v>
      </c>
      <c r="F592" s="20"/>
      <c r="G592" s="23"/>
      <c r="H592" s="23"/>
      <c r="I592" s="24"/>
    </row>
    <row r="593" s="19" customFormat="1" spans="1:9">
      <c r="A593" s="20" t="s">
        <v>2072</v>
      </c>
      <c r="B593" s="20" t="s">
        <v>1074</v>
      </c>
      <c r="C593" s="20" t="s">
        <v>2101</v>
      </c>
      <c r="D593" s="21" t="s">
        <v>692</v>
      </c>
      <c r="E593" s="22" t="str">
        <f t="shared" si="42"/>
        <v>275/80R22.5-16PR-BMD06 PRO</v>
      </c>
      <c r="F593" s="20"/>
      <c r="G593" s="23"/>
      <c r="H593" s="23"/>
      <c r="I593" s="24"/>
    </row>
    <row r="594" s="19" customFormat="1" spans="1:9">
      <c r="A594" s="20" t="s">
        <v>2111</v>
      </c>
      <c r="B594" s="20" t="s">
        <v>1074</v>
      </c>
      <c r="C594" s="20" t="s">
        <v>2125</v>
      </c>
      <c r="D594" s="21" t="s">
        <v>692</v>
      </c>
      <c r="E594" s="22" t="str">
        <f t="shared" si="42"/>
        <v>285/75R24.5-16PR-ECO-MILE CSD</v>
      </c>
      <c r="F594" s="20"/>
      <c r="G594" s="23"/>
      <c r="H594" s="23"/>
      <c r="I594" s="24"/>
    </row>
    <row r="595" s="19" customFormat="1" spans="1:9">
      <c r="A595" s="20" t="s">
        <v>2111</v>
      </c>
      <c r="B595" s="20" t="s">
        <v>1074</v>
      </c>
      <c r="C595" s="20" t="s">
        <v>1669</v>
      </c>
      <c r="D595" s="21" t="s">
        <v>692</v>
      </c>
      <c r="E595" s="22" t="str">
        <f t="shared" si="42"/>
        <v>285/75R24.5-16PR-M-TRAC CSD</v>
      </c>
      <c r="F595" s="20"/>
      <c r="G595" s="23"/>
      <c r="H595" s="23"/>
      <c r="I595" s="24"/>
    </row>
    <row r="596" s="19" customFormat="1" spans="1:9">
      <c r="A596" s="20" t="s">
        <v>2111</v>
      </c>
      <c r="B596" s="20" t="s">
        <v>1074</v>
      </c>
      <c r="C596" s="20" t="s">
        <v>2126</v>
      </c>
      <c r="D596" s="21" t="s">
        <v>692</v>
      </c>
      <c r="E596" s="22" t="str">
        <f t="shared" si="42"/>
        <v>285/75R24.5-16PR-ADL12</v>
      </c>
      <c r="F596" s="20"/>
      <c r="G596" s="23"/>
      <c r="H596" s="23"/>
      <c r="I596" s="24"/>
    </row>
    <row r="597" s="19" customFormat="1" spans="1:9">
      <c r="A597" s="20" t="s">
        <v>2111</v>
      </c>
      <c r="B597" s="20" t="s">
        <v>1074</v>
      </c>
      <c r="C597" s="20" t="s">
        <v>2128</v>
      </c>
      <c r="D597" s="21" t="s">
        <v>692</v>
      </c>
      <c r="E597" s="22" t="str">
        <f t="shared" si="42"/>
        <v>285/75R24.5-16PR-ECO-MILE AP</v>
      </c>
      <c r="F597" s="20"/>
      <c r="G597" s="23"/>
      <c r="H597" s="23"/>
      <c r="I597" s="24"/>
    </row>
    <row r="598" s="19" customFormat="1" spans="1:9">
      <c r="A598" s="20" t="s">
        <v>2111</v>
      </c>
      <c r="B598" s="20" t="s">
        <v>1074</v>
      </c>
      <c r="C598" s="20" t="s">
        <v>1778</v>
      </c>
      <c r="D598" s="21" t="s">
        <v>692</v>
      </c>
      <c r="E598" s="22" t="str">
        <f t="shared" si="42"/>
        <v>285/75R24.5-16PR-M-TRAC AP</v>
      </c>
      <c r="F598" s="20"/>
      <c r="G598" s="23"/>
      <c r="H598" s="23"/>
      <c r="I598" s="24"/>
    </row>
    <row r="599" s="19" customFormat="1" spans="1:9">
      <c r="A599" s="20" t="s">
        <v>2111</v>
      </c>
      <c r="B599" s="20" t="s">
        <v>1074</v>
      </c>
      <c r="C599" s="20" t="s">
        <v>2129</v>
      </c>
      <c r="D599" s="21" t="s">
        <v>692</v>
      </c>
      <c r="E599" s="22" t="str">
        <f t="shared" si="42"/>
        <v>285/75R24.5-16PR-AZA02</v>
      </c>
      <c r="F599" s="20"/>
      <c r="G599" s="23"/>
      <c r="H599" s="23"/>
      <c r="I599" s="24"/>
    </row>
    <row r="600" s="19" customFormat="1" spans="1:9">
      <c r="A600" s="20" t="s">
        <v>2111</v>
      </c>
      <c r="B600" s="20" t="s">
        <v>958</v>
      </c>
      <c r="C600" s="20" t="s">
        <v>2128</v>
      </c>
      <c r="D600" s="21" t="s">
        <v>692</v>
      </c>
      <c r="E600" s="22" t="str">
        <f t="shared" si="42"/>
        <v>285/75R24.5-14PR-ECO-MILE AP</v>
      </c>
      <c r="F600" s="20"/>
      <c r="G600" s="23"/>
      <c r="H600" s="23"/>
      <c r="I600" s="24"/>
    </row>
    <row r="601" s="19" customFormat="1" spans="1:9">
      <c r="A601" s="20" t="s">
        <v>2111</v>
      </c>
      <c r="B601" s="20" t="s">
        <v>958</v>
      </c>
      <c r="C601" s="20" t="s">
        <v>1778</v>
      </c>
      <c r="D601" s="21" t="s">
        <v>692</v>
      </c>
      <c r="E601" s="22" t="str">
        <f t="shared" si="42"/>
        <v>285/75R24.5-14PR-M-TRAC AP</v>
      </c>
      <c r="F601" s="20"/>
      <c r="G601" s="23"/>
      <c r="H601" s="23"/>
      <c r="I601" s="24"/>
    </row>
    <row r="602" s="19" customFormat="1" spans="1:9">
      <c r="A602" s="20" t="s">
        <v>2111</v>
      </c>
      <c r="B602" s="20" t="s">
        <v>958</v>
      </c>
      <c r="C602" s="20" t="s">
        <v>2129</v>
      </c>
      <c r="D602" s="21" t="s">
        <v>692</v>
      </c>
      <c r="E602" s="22" t="str">
        <f t="shared" si="42"/>
        <v>285/75R24.5-14PR-AZA02</v>
      </c>
      <c r="F602" s="20"/>
      <c r="G602" s="23"/>
      <c r="H602" s="23"/>
      <c r="I602" s="24"/>
    </row>
    <row r="603" s="19" customFormat="1" spans="1:9">
      <c r="A603" s="20" t="s">
        <v>2144</v>
      </c>
      <c r="B603" s="20" t="s">
        <v>958</v>
      </c>
      <c r="C603" s="20" t="s">
        <v>2128</v>
      </c>
      <c r="D603" s="21" t="s">
        <v>692</v>
      </c>
      <c r="E603" s="22" t="str">
        <f t="shared" si="42"/>
        <v>295/75R22.5-14PR-ECO-MILE AP</v>
      </c>
      <c r="F603" s="20"/>
      <c r="G603" s="23"/>
      <c r="H603" s="23"/>
      <c r="I603" s="24"/>
    </row>
    <row r="604" s="19" customFormat="1" spans="1:9">
      <c r="A604" s="20" t="s">
        <v>2144</v>
      </c>
      <c r="B604" s="20" t="s">
        <v>958</v>
      </c>
      <c r="C604" s="20" t="s">
        <v>1669</v>
      </c>
      <c r="D604" s="21" t="s">
        <v>692</v>
      </c>
      <c r="E604" s="22" t="str">
        <f t="shared" si="42"/>
        <v>295/75R22.5-14PR-M-TRAC CSD</v>
      </c>
      <c r="F604" s="20"/>
      <c r="G604" s="23"/>
      <c r="H604" s="23"/>
      <c r="I604" s="24"/>
    </row>
    <row r="605" s="19" customFormat="1" spans="1:9">
      <c r="A605" s="20" t="s">
        <v>2144</v>
      </c>
      <c r="B605" s="20" t="s">
        <v>958</v>
      </c>
      <c r="C605" s="20" t="s">
        <v>4773</v>
      </c>
      <c r="D605" s="21" t="s">
        <v>692</v>
      </c>
      <c r="E605" s="22" t="str">
        <f t="shared" si="42"/>
        <v>295/75R22.5-14PR-M-TRAC TR</v>
      </c>
      <c r="F605" s="20"/>
      <c r="G605" s="23"/>
      <c r="H605" s="23"/>
      <c r="I605" s="24"/>
    </row>
    <row r="606" s="19" customFormat="1" spans="1:9">
      <c r="A606" s="20" t="s">
        <v>2144</v>
      </c>
      <c r="B606" s="20" t="s">
        <v>1074</v>
      </c>
      <c r="C606" s="20" t="s">
        <v>4773</v>
      </c>
      <c r="D606" s="21" t="s">
        <v>692</v>
      </c>
      <c r="E606" s="22" t="str">
        <f t="shared" si="42"/>
        <v>295/75R22.5-16PR-M-TRAC TR</v>
      </c>
      <c r="F606" s="20"/>
      <c r="G606" s="23"/>
      <c r="H606" s="23"/>
      <c r="I606" s="24"/>
    </row>
    <row r="607" s="19" customFormat="1" spans="1:9">
      <c r="A607" s="20" t="s">
        <v>2144</v>
      </c>
      <c r="B607" s="20" t="s">
        <v>1074</v>
      </c>
      <c r="C607" s="20" t="s">
        <v>1669</v>
      </c>
      <c r="D607" s="21" t="s">
        <v>692</v>
      </c>
      <c r="E607" s="22" t="str">
        <f t="shared" si="42"/>
        <v>295/75R22.5-16PR-M-TRAC CSD</v>
      </c>
      <c r="F607" s="20"/>
      <c r="G607" s="23"/>
      <c r="H607" s="23"/>
      <c r="I607" s="24"/>
    </row>
    <row r="608" s="19" customFormat="1" spans="1:9">
      <c r="A608" s="20" t="s">
        <v>2144</v>
      </c>
      <c r="B608" s="20" t="s">
        <v>1074</v>
      </c>
      <c r="C608" s="20" t="s">
        <v>2125</v>
      </c>
      <c r="D608" s="21" t="s">
        <v>692</v>
      </c>
      <c r="E608" s="22" t="str">
        <f t="shared" si="42"/>
        <v>295/75R22.5-16PR-ECO-MILE CSD</v>
      </c>
      <c r="F608" s="20"/>
      <c r="G608" s="23"/>
      <c r="H608" s="23"/>
      <c r="I608" s="24"/>
    </row>
    <row r="609" s="19" customFormat="1" spans="1:9">
      <c r="A609" s="20" t="s">
        <v>807</v>
      </c>
      <c r="B609" s="20" t="s">
        <v>958</v>
      </c>
      <c r="C609" s="20" t="s">
        <v>1056</v>
      </c>
      <c r="D609" s="21" t="s">
        <v>692</v>
      </c>
      <c r="E609" s="22" t="str">
        <f t="shared" ref="E609:E640" si="43">_xlfn.TEXTJOIN("-",TRUE,A609,B609,C609)</f>
        <v>7.50R16-14PR-MT200</v>
      </c>
      <c r="F609" s="20"/>
      <c r="G609" s="23"/>
      <c r="H609" s="23"/>
      <c r="I609" s="24"/>
    </row>
    <row r="610" s="19" customFormat="1" spans="1:9">
      <c r="A610" s="20" t="s">
        <v>807</v>
      </c>
      <c r="B610" s="20" t="s">
        <v>958</v>
      </c>
      <c r="C610" s="20" t="s">
        <v>1417</v>
      </c>
      <c r="D610" s="21" t="s">
        <v>692</v>
      </c>
      <c r="E610" s="22" t="str">
        <f t="shared" si="43"/>
        <v>7.50R16-14PR-FOLO.R109</v>
      </c>
      <c r="F610" s="20"/>
      <c r="G610" s="23"/>
      <c r="H610" s="23"/>
      <c r="I610" s="24"/>
    </row>
    <row r="611" s="19" customFormat="1" spans="1:9">
      <c r="A611" s="20" t="s">
        <v>1633</v>
      </c>
      <c r="B611" s="20" t="s">
        <v>958</v>
      </c>
      <c r="C611" s="20" t="s">
        <v>4773</v>
      </c>
      <c r="D611" s="21" t="s">
        <v>692</v>
      </c>
      <c r="E611" s="22" t="str">
        <f t="shared" si="43"/>
        <v>11R22.5-14PR-M-TRAC TR</v>
      </c>
      <c r="F611" s="20"/>
      <c r="G611" s="23"/>
      <c r="H611" s="23"/>
      <c r="I611" s="24"/>
    </row>
    <row r="612" s="19" customFormat="1" spans="1:9">
      <c r="A612" s="20" t="s">
        <v>1633</v>
      </c>
      <c r="B612" s="20" t="s">
        <v>1074</v>
      </c>
      <c r="C612" s="20" t="s">
        <v>2125</v>
      </c>
      <c r="D612" s="21" t="s">
        <v>692</v>
      </c>
      <c r="E612" s="22" t="str">
        <f t="shared" si="43"/>
        <v>11R22.5-16PR-ECO-MILE CSD</v>
      </c>
      <c r="F612" s="20"/>
      <c r="G612" s="23"/>
      <c r="H612" s="23"/>
      <c r="I612" s="24"/>
    </row>
    <row r="613" s="19" customFormat="1" spans="1:9">
      <c r="A613" s="20" t="s">
        <v>1633</v>
      </c>
      <c r="B613" s="20" t="s">
        <v>1074</v>
      </c>
      <c r="C613" s="20" t="s">
        <v>2128</v>
      </c>
      <c r="D613" s="21" t="s">
        <v>692</v>
      </c>
      <c r="E613" s="22" t="str">
        <f t="shared" si="43"/>
        <v>11R22.5-16PR-ECO-MILE AP</v>
      </c>
      <c r="F613" s="20"/>
      <c r="G613" s="23"/>
      <c r="H613" s="23"/>
      <c r="I613" s="24"/>
    </row>
    <row r="614" s="19" customFormat="1" spans="1:9">
      <c r="A614" s="20" t="s">
        <v>1633</v>
      </c>
      <c r="B614" s="20" t="s">
        <v>1074</v>
      </c>
      <c r="C614" s="20" t="s">
        <v>4770</v>
      </c>
      <c r="D614" s="21" t="s">
        <v>692</v>
      </c>
      <c r="E614" s="22" t="str">
        <f t="shared" si="43"/>
        <v>11R22.5-16PR-M-TRAC MS</v>
      </c>
      <c r="F614" s="20"/>
      <c r="G614" s="23"/>
      <c r="H614" s="23"/>
      <c r="I614" s="24"/>
    </row>
    <row r="615" s="19" customFormat="1" spans="1:9">
      <c r="A615" s="20" t="s">
        <v>1633</v>
      </c>
      <c r="B615" s="20" t="s">
        <v>1074</v>
      </c>
      <c r="C615" s="20" t="s">
        <v>4771</v>
      </c>
      <c r="D615" s="21" t="s">
        <v>692</v>
      </c>
      <c r="E615" s="22" t="str">
        <f t="shared" si="43"/>
        <v>11R22.5-16PR-ECO-MILE MS</v>
      </c>
      <c r="F615" s="20"/>
      <c r="G615" s="23"/>
      <c r="H615" s="23"/>
      <c r="I615" s="24"/>
    </row>
    <row r="616" s="19" customFormat="1" spans="1:9">
      <c r="A616" s="20" t="s">
        <v>1872</v>
      </c>
      <c r="B616" s="20" t="s">
        <v>1074</v>
      </c>
      <c r="C616" s="20" t="s">
        <v>4774</v>
      </c>
      <c r="D616" s="21" t="s">
        <v>692</v>
      </c>
      <c r="E616" s="22" t="str">
        <f t="shared" si="43"/>
        <v>11R24.5-16PR-M-TRAC OSD</v>
      </c>
      <c r="F616" s="20"/>
      <c r="G616" s="23"/>
      <c r="H616" s="23"/>
      <c r="I616" s="24"/>
    </row>
    <row r="617" s="19" customFormat="1" spans="1:9">
      <c r="A617" s="20" t="s">
        <v>1872</v>
      </c>
      <c r="B617" s="20" t="s">
        <v>1074</v>
      </c>
      <c r="C617" s="20" t="s">
        <v>1669</v>
      </c>
      <c r="D617" s="21" t="s">
        <v>692</v>
      </c>
      <c r="E617" s="22" t="str">
        <f t="shared" si="43"/>
        <v>11R24.5-16PR-M-TRAC CSD</v>
      </c>
      <c r="F617" s="20"/>
      <c r="G617" s="23"/>
      <c r="H617" s="23"/>
      <c r="I617" s="24"/>
    </row>
    <row r="618" s="19" customFormat="1" spans="1:9">
      <c r="A618" s="20" t="s">
        <v>1872</v>
      </c>
      <c r="B618" s="20" t="s">
        <v>1074</v>
      </c>
      <c r="C618" s="20" t="s">
        <v>2125</v>
      </c>
      <c r="D618" s="21" t="s">
        <v>692</v>
      </c>
      <c r="E618" s="22" t="str">
        <f t="shared" si="43"/>
        <v>11R24.5-16PR-ECO-MILE CSD</v>
      </c>
      <c r="F618" s="20"/>
      <c r="G618" s="23"/>
      <c r="H618" s="23"/>
      <c r="I618" s="24"/>
    </row>
    <row r="619" s="19" customFormat="1" spans="1:9">
      <c r="A619" s="20" t="s">
        <v>1872</v>
      </c>
      <c r="B619" s="20" t="s">
        <v>1074</v>
      </c>
      <c r="C619" s="20" t="s">
        <v>1778</v>
      </c>
      <c r="D619" s="21" t="s">
        <v>692</v>
      </c>
      <c r="E619" s="22" t="str">
        <f t="shared" si="43"/>
        <v>11R24.5-16PR-M-TRAC AP</v>
      </c>
      <c r="F619" s="20"/>
      <c r="G619" s="23"/>
      <c r="H619" s="23"/>
      <c r="I619" s="24"/>
    </row>
    <row r="620" s="19" customFormat="1" spans="1:9">
      <c r="A620" s="20" t="s">
        <v>1872</v>
      </c>
      <c r="B620" s="20" t="s">
        <v>1074</v>
      </c>
      <c r="C620" s="20" t="s">
        <v>2128</v>
      </c>
      <c r="D620" s="21" t="s">
        <v>692</v>
      </c>
      <c r="E620" s="22" t="str">
        <f t="shared" si="43"/>
        <v>11R24.5-16PR-ECO-MILE AP</v>
      </c>
      <c r="F620" s="20"/>
      <c r="G620" s="23"/>
      <c r="H620" s="23"/>
      <c r="I620" s="24"/>
    </row>
    <row r="621" s="19" customFormat="1" spans="1:9">
      <c r="A621" s="20" t="s">
        <v>805</v>
      </c>
      <c r="B621" s="20" t="s">
        <v>1074</v>
      </c>
      <c r="C621" s="20" t="s">
        <v>1457</v>
      </c>
      <c r="D621" s="21" t="s">
        <v>692</v>
      </c>
      <c r="E621" s="22" t="str">
        <f t="shared" si="43"/>
        <v>10.00R20-16PR-I-181</v>
      </c>
      <c r="F621" s="20"/>
      <c r="G621" s="23"/>
      <c r="H621" s="23"/>
      <c r="I621" s="24"/>
    </row>
    <row r="622" s="19" customFormat="1" spans="1:9">
      <c r="A622" s="20" t="s">
        <v>1947</v>
      </c>
      <c r="B622" s="20" t="s">
        <v>1092</v>
      </c>
      <c r="C622" s="20" t="s">
        <v>1457</v>
      </c>
      <c r="D622" s="21" t="s">
        <v>692</v>
      </c>
      <c r="E622" s="22" t="str">
        <f t="shared" si="43"/>
        <v>12R22.5-18PR-I-181</v>
      </c>
      <c r="F622" s="20"/>
      <c r="G622" s="23"/>
      <c r="H622" s="23"/>
      <c r="I622" s="24"/>
    </row>
    <row r="623" s="19" customFormat="1" spans="1:9">
      <c r="A623" s="20" t="s">
        <v>2144</v>
      </c>
      <c r="B623" s="20" t="s">
        <v>1074</v>
      </c>
      <c r="C623" s="20" t="s">
        <v>1818</v>
      </c>
      <c r="D623" s="21" t="s">
        <v>692</v>
      </c>
      <c r="E623" s="22" t="str">
        <f t="shared" si="43"/>
        <v>295/75R22.5-16PR-AD184</v>
      </c>
      <c r="F623" s="20"/>
      <c r="G623" s="23"/>
      <c r="H623" s="23"/>
      <c r="I623" s="24"/>
    </row>
    <row r="624" s="19" customFormat="1" spans="1:9">
      <c r="A624" s="20" t="s">
        <v>2144</v>
      </c>
      <c r="B624" s="20" t="s">
        <v>1074</v>
      </c>
      <c r="C624" s="20" t="s">
        <v>1820</v>
      </c>
      <c r="D624" s="21" t="s">
        <v>692</v>
      </c>
      <c r="E624" s="22" t="str">
        <f t="shared" si="43"/>
        <v>295/75R22.5-16PR-HD2 PlusX</v>
      </c>
      <c r="F624" s="20"/>
      <c r="G624" s="23"/>
      <c r="H624" s="23"/>
      <c r="I624" s="24"/>
    </row>
    <row r="625" s="19" customFormat="1" spans="1:9">
      <c r="A625" s="20" t="s">
        <v>1986</v>
      </c>
      <c r="B625" s="20" t="s">
        <v>958</v>
      </c>
      <c r="C625" s="20" t="s">
        <v>1840</v>
      </c>
      <c r="D625" s="21" t="s">
        <v>692</v>
      </c>
      <c r="E625" s="22" t="str">
        <f t="shared" si="43"/>
        <v>225/70R19.5-14PR-CM983</v>
      </c>
      <c r="F625" s="20"/>
      <c r="G625" s="23"/>
      <c r="H625" s="23"/>
      <c r="I625" s="24"/>
    </row>
    <row r="626" s="19" customFormat="1" spans="1:9">
      <c r="A626" s="20" t="s">
        <v>2144</v>
      </c>
      <c r="B626" s="20" t="s">
        <v>1074</v>
      </c>
      <c r="C626" s="20" t="s">
        <v>1793</v>
      </c>
      <c r="D626" s="21" t="s">
        <v>692</v>
      </c>
      <c r="E626" s="22" t="str">
        <f t="shared" si="43"/>
        <v>295/75R22.5-16PR-AT167</v>
      </c>
      <c r="F626" s="20"/>
      <c r="G626" s="23"/>
      <c r="H626" s="23"/>
      <c r="I626" s="24"/>
    </row>
    <row r="627" s="19" customFormat="1" spans="1:9">
      <c r="A627" s="20" t="s">
        <v>2144</v>
      </c>
      <c r="B627" s="20" t="s">
        <v>1074</v>
      </c>
      <c r="C627" s="20" t="s">
        <v>1796</v>
      </c>
      <c r="D627" s="21" t="s">
        <v>692</v>
      </c>
      <c r="E627" s="22" t="str">
        <f t="shared" si="43"/>
        <v>295/75R22.5-16PR-HF1 PlusX</v>
      </c>
      <c r="F627" s="20"/>
      <c r="G627" s="23"/>
      <c r="H627" s="23"/>
      <c r="I627" s="24"/>
    </row>
    <row r="628" s="19" customFormat="1" spans="1:9">
      <c r="A628" s="20" t="s">
        <v>2144</v>
      </c>
      <c r="B628" s="20" t="s">
        <v>1074</v>
      </c>
      <c r="C628" s="20" t="s">
        <v>1660</v>
      </c>
      <c r="D628" s="21" t="s">
        <v>692</v>
      </c>
      <c r="E628" s="22" t="str">
        <f t="shared" si="43"/>
        <v>295/75R22.5-16PR-RLINE-T1</v>
      </c>
      <c r="F628" s="20"/>
      <c r="G628" s="23"/>
      <c r="H628" s="23"/>
      <c r="I628" s="24"/>
    </row>
    <row r="629" s="19" customFormat="1" spans="1:9">
      <c r="A629" s="20" t="s">
        <v>2144</v>
      </c>
      <c r="B629" s="20" t="s">
        <v>1074</v>
      </c>
      <c r="C629" s="20" t="s">
        <v>1697</v>
      </c>
      <c r="D629" s="21" t="s">
        <v>692</v>
      </c>
      <c r="E629" s="22" t="str">
        <f t="shared" si="43"/>
        <v>295/75R22.5-16PR-VXD932</v>
      </c>
      <c r="F629" s="20"/>
      <c r="G629" s="23"/>
      <c r="H629" s="23"/>
      <c r="I629" s="24"/>
    </row>
    <row r="630" s="19" customFormat="1" spans="1:9">
      <c r="A630" s="20" t="s">
        <v>1633</v>
      </c>
      <c r="B630" s="20" t="s">
        <v>1074</v>
      </c>
      <c r="C630" s="20" t="s">
        <v>4774</v>
      </c>
      <c r="D630" s="21" t="s">
        <v>692</v>
      </c>
      <c r="E630" s="22" t="str">
        <f t="shared" si="43"/>
        <v>11R22.5-16PR-M-TRAC OSD</v>
      </c>
      <c r="F630" s="20"/>
      <c r="G630" s="23"/>
      <c r="H630" s="23"/>
      <c r="I630" s="24"/>
    </row>
    <row r="631" s="19" customFormat="1" spans="1:9">
      <c r="A631" s="20" t="s">
        <v>1872</v>
      </c>
      <c r="B631" s="20" t="s">
        <v>1074</v>
      </c>
      <c r="C631" s="20" t="s">
        <v>1656</v>
      </c>
      <c r="D631" s="21" t="s">
        <v>692</v>
      </c>
      <c r="E631" s="22" t="str">
        <f t="shared" si="43"/>
        <v>11R24.5-16PR-I-48T</v>
      </c>
      <c r="F631" s="20"/>
      <c r="G631" s="23"/>
      <c r="H631" s="23"/>
      <c r="I631" s="24"/>
    </row>
    <row r="632" s="19" customFormat="1" spans="1:9">
      <c r="A632" s="20" t="s">
        <v>1872</v>
      </c>
      <c r="B632" s="20" t="s">
        <v>1074</v>
      </c>
      <c r="C632" s="20" t="s">
        <v>1796</v>
      </c>
      <c r="D632" s="21" t="s">
        <v>692</v>
      </c>
      <c r="E632" s="22" t="str">
        <f t="shared" si="43"/>
        <v>11R24.5-16PR-HF1 PlusX</v>
      </c>
      <c r="F632" s="20"/>
      <c r="G632" s="23"/>
      <c r="H632" s="23"/>
      <c r="I632" s="24"/>
    </row>
    <row r="633" s="19" customFormat="1" spans="1:9">
      <c r="A633" s="20" t="s">
        <v>1872</v>
      </c>
      <c r="B633" s="20" t="s">
        <v>958</v>
      </c>
      <c r="C633" s="20" t="s">
        <v>1863</v>
      </c>
      <c r="D633" s="21" t="s">
        <v>692</v>
      </c>
      <c r="E633" s="22" t="str">
        <f t="shared" si="43"/>
        <v>11R24.5-14PR-H-RD</v>
      </c>
      <c r="F633" s="20"/>
      <c r="G633" s="23"/>
      <c r="H633" s="23"/>
      <c r="I633" s="24"/>
    </row>
    <row r="634" s="19" customFormat="1" spans="1:9">
      <c r="A634" s="20" t="s">
        <v>1872</v>
      </c>
      <c r="B634" s="20" t="s">
        <v>1074</v>
      </c>
      <c r="C634" s="20" t="s">
        <v>1859</v>
      </c>
      <c r="D634" s="21" t="s">
        <v>692</v>
      </c>
      <c r="E634" s="22" t="str">
        <f t="shared" si="43"/>
        <v>11R24.5-16PR-H-TL</v>
      </c>
      <c r="F634" s="20"/>
      <c r="G634" s="23"/>
      <c r="H634" s="23"/>
      <c r="I634" s="24"/>
    </row>
    <row r="635" s="19" customFormat="1" spans="1:9">
      <c r="A635" s="20" t="s">
        <v>1947</v>
      </c>
      <c r="B635" s="20" t="s">
        <v>1092</v>
      </c>
      <c r="C635" s="20" t="s">
        <v>1954</v>
      </c>
      <c r="D635" s="21" t="s">
        <v>692</v>
      </c>
      <c r="E635" s="22" t="str">
        <f t="shared" si="43"/>
        <v>12R22.5-18PR-AZ850M</v>
      </c>
      <c r="F635" s="20"/>
      <c r="G635" s="23"/>
      <c r="H635" s="23"/>
      <c r="I635" s="24"/>
    </row>
    <row r="636" s="19" customFormat="1" spans="1:9">
      <c r="A636" s="20" t="s">
        <v>798</v>
      </c>
      <c r="B636" s="20" t="s">
        <v>1101</v>
      </c>
      <c r="C636" s="20" t="s">
        <v>1938</v>
      </c>
      <c r="D636" s="21" t="s">
        <v>692</v>
      </c>
      <c r="E636" s="22" t="str">
        <f t="shared" si="43"/>
        <v>12.00R24-20PR-XC809</v>
      </c>
      <c r="F636" s="20"/>
      <c r="G636" s="23"/>
      <c r="H636" s="23"/>
      <c r="I636" s="24"/>
    </row>
    <row r="637" s="19" customFormat="1" spans="1:9">
      <c r="A637" s="20" t="s">
        <v>1974</v>
      </c>
      <c r="B637" s="20" t="s">
        <v>1074</v>
      </c>
      <c r="C637" s="20" t="s">
        <v>1778</v>
      </c>
      <c r="D637" s="21" t="s">
        <v>692</v>
      </c>
      <c r="E637" s="22" t="str">
        <f t="shared" si="43"/>
        <v>215/75R17.5-16PR-M-TRAC AP</v>
      </c>
      <c r="F637" s="20"/>
      <c r="G637" s="23"/>
      <c r="H637" s="23"/>
      <c r="I637" s="24"/>
    </row>
    <row r="638" s="19" customFormat="1" spans="1:9">
      <c r="A638" s="20" t="s">
        <v>2019</v>
      </c>
      <c r="B638" s="20" t="s">
        <v>1092</v>
      </c>
      <c r="C638" s="20" t="s">
        <v>1742</v>
      </c>
      <c r="D638" s="21" t="s">
        <v>692</v>
      </c>
      <c r="E638" s="22" t="str">
        <f t="shared" si="43"/>
        <v>245/70R17.5-18PR-I-19A</v>
      </c>
      <c r="F638" s="20"/>
      <c r="G638" s="23"/>
      <c r="H638" s="23"/>
      <c r="I638" s="24"/>
    </row>
    <row r="639" s="19" customFormat="1" spans="1:9">
      <c r="A639" s="20" t="s">
        <v>2019</v>
      </c>
      <c r="B639" s="20" t="s">
        <v>1092</v>
      </c>
      <c r="C639" s="20" t="s">
        <v>1776</v>
      </c>
      <c r="D639" s="21" t="s">
        <v>692</v>
      </c>
      <c r="E639" s="22" t="str">
        <f t="shared" si="43"/>
        <v>245/70R17.5-18PR-AZ599</v>
      </c>
      <c r="F639" s="20"/>
      <c r="G639" s="23"/>
      <c r="H639" s="23"/>
      <c r="I639" s="24"/>
    </row>
    <row r="640" s="19" customFormat="1" spans="1:9">
      <c r="A640" s="20" t="s">
        <v>2019</v>
      </c>
      <c r="B640" s="20" t="s">
        <v>1092</v>
      </c>
      <c r="C640" s="20" t="s">
        <v>1982</v>
      </c>
      <c r="D640" s="21" t="s">
        <v>692</v>
      </c>
      <c r="E640" s="22" t="str">
        <f t="shared" si="43"/>
        <v>245/70R17.5-18PR-AP-7318</v>
      </c>
      <c r="F640" s="20"/>
      <c r="G640" s="23"/>
      <c r="H640" s="23"/>
      <c r="I640" s="24"/>
    </row>
    <row r="641" s="19" customFormat="1" spans="1:9">
      <c r="A641" s="20" t="s">
        <v>2022</v>
      </c>
      <c r="B641" s="20" t="s">
        <v>1074</v>
      </c>
      <c r="C641" s="20" t="s">
        <v>1995</v>
      </c>
      <c r="D641" s="21" t="s">
        <v>692</v>
      </c>
      <c r="E641" s="22" t="str">
        <f t="shared" ref="E641:E704" si="44">_xlfn.TEXTJOIN("-",TRUE,A641,B641,C641)</f>
        <v>245/70R19.5-16PR-AD717</v>
      </c>
      <c r="F641" s="20"/>
      <c r="G641" s="23"/>
      <c r="H641" s="23"/>
      <c r="I641" s="24"/>
    </row>
    <row r="642" s="19" customFormat="1" spans="1:9">
      <c r="A642" s="20" t="s">
        <v>2022</v>
      </c>
      <c r="B642" s="20" t="s">
        <v>1074</v>
      </c>
      <c r="C642" s="20" t="s">
        <v>1997</v>
      </c>
      <c r="D642" s="21" t="s">
        <v>692</v>
      </c>
      <c r="E642" s="22" t="str">
        <f t="shared" si="44"/>
        <v>245/70R19.5-16PR-AW717</v>
      </c>
      <c r="F642" s="20"/>
      <c r="G642" s="23"/>
      <c r="H642" s="23"/>
      <c r="I642" s="24"/>
    </row>
    <row r="643" s="19" customFormat="1" spans="1:9">
      <c r="A643" s="20" t="s">
        <v>2040</v>
      </c>
      <c r="B643" s="20" t="s">
        <v>1074</v>
      </c>
      <c r="C643" s="20" t="s">
        <v>1879</v>
      </c>
      <c r="D643" s="21" t="s">
        <v>692</v>
      </c>
      <c r="E643" s="22" t="str">
        <f t="shared" si="44"/>
        <v>255/70R22.5-16PR-DA23</v>
      </c>
      <c r="F643" s="20"/>
      <c r="G643" s="23"/>
      <c r="H643" s="23"/>
      <c r="I643" s="24"/>
    </row>
    <row r="644" s="19" customFormat="1" spans="1:9">
      <c r="A644" s="20" t="s">
        <v>2064</v>
      </c>
      <c r="B644" s="20" t="s">
        <v>1092</v>
      </c>
      <c r="C644" s="20" t="s">
        <v>1857</v>
      </c>
      <c r="D644" s="21" t="s">
        <v>692</v>
      </c>
      <c r="E644" s="22" t="str">
        <f t="shared" si="44"/>
        <v>275/70R22.5-18PR-H-RA</v>
      </c>
      <c r="F644" s="20"/>
      <c r="G644" s="23"/>
      <c r="H644" s="23"/>
      <c r="I644" s="24"/>
    </row>
    <row r="645" s="19" customFormat="1" spans="1:9">
      <c r="A645" s="20" t="s">
        <v>2408</v>
      </c>
      <c r="B645" s="20" t="s">
        <v>1101</v>
      </c>
      <c r="C645" s="20" t="s">
        <v>4775</v>
      </c>
      <c r="D645" s="21" t="s">
        <v>692</v>
      </c>
      <c r="E645" s="22" t="str">
        <f t="shared" si="44"/>
        <v>425/65R22.5-20PR-TM-134</v>
      </c>
      <c r="F645" s="20"/>
      <c r="G645" s="23"/>
      <c r="H645" s="23"/>
      <c r="I645" s="24"/>
    </row>
    <row r="646" s="19" customFormat="1" spans="1:9">
      <c r="A646" s="20" t="s">
        <v>801</v>
      </c>
      <c r="B646" s="20" t="s">
        <v>1092</v>
      </c>
      <c r="C646" s="20" t="s">
        <v>1938</v>
      </c>
      <c r="D646" s="21" t="s">
        <v>692</v>
      </c>
      <c r="E646" s="22" t="str">
        <f t="shared" si="44"/>
        <v>12.00R20-18PR-XC809</v>
      </c>
      <c r="F646" s="20"/>
      <c r="G646" s="23"/>
      <c r="H646" s="23"/>
      <c r="I646" s="24"/>
    </row>
    <row r="647" s="19" customFormat="1" spans="1:9">
      <c r="A647" s="20" t="s">
        <v>801</v>
      </c>
      <c r="B647" s="20" t="s">
        <v>1092</v>
      </c>
      <c r="C647" s="20" t="s">
        <v>1936</v>
      </c>
      <c r="D647" s="21" t="s">
        <v>692</v>
      </c>
      <c r="E647" s="22" t="str">
        <f t="shared" si="44"/>
        <v>12.00R20-18PR-EZ309</v>
      </c>
      <c r="F647" s="20"/>
      <c r="G647" s="23"/>
      <c r="H647" s="23"/>
      <c r="I647" s="24"/>
    </row>
    <row r="648" s="19" customFormat="1" spans="1:9">
      <c r="A648" s="20" t="s">
        <v>801</v>
      </c>
      <c r="B648" s="20" t="s">
        <v>1925</v>
      </c>
      <c r="C648" s="20" t="s">
        <v>1938</v>
      </c>
      <c r="D648" s="21" t="s">
        <v>692</v>
      </c>
      <c r="E648" s="22" t="str">
        <f t="shared" si="44"/>
        <v>12.00R20-22PR-XC809</v>
      </c>
      <c r="F648" s="20"/>
      <c r="G648" s="23"/>
      <c r="H648" s="23"/>
      <c r="I648" s="24"/>
    </row>
    <row r="649" s="19" customFormat="1" spans="1:9">
      <c r="A649" s="20" t="s">
        <v>798</v>
      </c>
      <c r="B649" s="20" t="s">
        <v>4763</v>
      </c>
      <c r="C649" s="20" t="s">
        <v>1964</v>
      </c>
      <c r="D649" s="21" t="s">
        <v>692</v>
      </c>
      <c r="E649" s="22" t="str">
        <f t="shared" si="44"/>
        <v>12.00R24-☆☆PR-XC819</v>
      </c>
      <c r="F649" s="20"/>
      <c r="G649" s="23"/>
      <c r="H649" s="23"/>
      <c r="I649" s="24"/>
    </row>
    <row r="650" s="19" customFormat="1" spans="1:9">
      <c r="A650" s="20" t="s">
        <v>2072</v>
      </c>
      <c r="B650" s="20" t="s">
        <v>1092</v>
      </c>
      <c r="C650" s="20" t="s">
        <v>2091</v>
      </c>
      <c r="D650" s="21" t="s">
        <v>692</v>
      </c>
      <c r="E650" s="22" t="str">
        <f t="shared" si="44"/>
        <v>275/80R22.5-18PR-AZ179</v>
      </c>
      <c r="F650" s="20"/>
      <c r="G650" s="23"/>
      <c r="H650" s="23"/>
      <c r="I650" s="24"/>
    </row>
    <row r="651" s="19" customFormat="1" spans="1:9">
      <c r="A651" s="20" t="s">
        <v>1633</v>
      </c>
      <c r="B651" s="20" t="s">
        <v>1074</v>
      </c>
      <c r="C651" s="20" t="s">
        <v>1837</v>
      </c>
      <c r="D651" s="21" t="s">
        <v>692</v>
      </c>
      <c r="E651" s="22" t="str">
        <f t="shared" si="44"/>
        <v>11R22.5-16PR-STEALTH S01</v>
      </c>
      <c r="F651" s="20"/>
      <c r="G651" s="23"/>
      <c r="H651" s="23"/>
      <c r="I651" s="24"/>
    </row>
    <row r="652" s="19" customFormat="1" spans="1:9">
      <c r="A652" s="20" t="s">
        <v>1974</v>
      </c>
      <c r="B652" s="20" t="s">
        <v>1092</v>
      </c>
      <c r="C652" s="20" t="s">
        <v>1776</v>
      </c>
      <c r="D652" s="21" t="s">
        <v>692</v>
      </c>
      <c r="E652" s="22" t="str">
        <f t="shared" si="44"/>
        <v>215/75R17.5-18PR-AZ599</v>
      </c>
      <c r="F652" s="20"/>
      <c r="G652" s="23"/>
      <c r="H652" s="23"/>
      <c r="I652" s="24"/>
    </row>
    <row r="653" s="19" customFormat="1" spans="1:9">
      <c r="A653" s="20" t="s">
        <v>805</v>
      </c>
      <c r="B653" s="20" t="s">
        <v>1092</v>
      </c>
      <c r="C653" s="20" t="s">
        <v>1056</v>
      </c>
      <c r="D653" s="21" t="s">
        <v>692</v>
      </c>
      <c r="E653" s="22" t="str">
        <f t="shared" si="44"/>
        <v>10.00R20-18PR-MT200</v>
      </c>
      <c r="F653" s="20"/>
      <c r="G653" s="23"/>
      <c r="H653" s="23"/>
      <c r="I653" s="24"/>
    </row>
    <row r="654" s="19" customFormat="1" spans="1:9">
      <c r="A654" s="20" t="s">
        <v>803</v>
      </c>
      <c r="B654" s="20" t="s">
        <v>1092</v>
      </c>
      <c r="C654" s="20" t="s">
        <v>1056</v>
      </c>
      <c r="D654" s="21" t="s">
        <v>692</v>
      </c>
      <c r="E654" s="22" t="str">
        <f t="shared" si="44"/>
        <v>11.00R20-18PR-MT200</v>
      </c>
      <c r="F654" s="20"/>
      <c r="G654" s="23"/>
      <c r="H654" s="23"/>
      <c r="I654" s="24"/>
    </row>
    <row r="655" s="19" customFormat="1" spans="1:9">
      <c r="A655" s="20" t="s">
        <v>1633</v>
      </c>
      <c r="B655" s="20" t="s">
        <v>1074</v>
      </c>
      <c r="C655" s="20" t="s">
        <v>1818</v>
      </c>
      <c r="D655" s="21" t="s">
        <v>692</v>
      </c>
      <c r="E655" s="22" t="str">
        <f t="shared" si="44"/>
        <v>11R22.5-16PR-AD184</v>
      </c>
      <c r="F655" s="20"/>
      <c r="G655" s="23"/>
      <c r="H655" s="23"/>
      <c r="I655" s="24"/>
    </row>
    <row r="656" s="19" customFormat="1" spans="1:9">
      <c r="A656" s="20" t="s">
        <v>1633</v>
      </c>
      <c r="B656" s="20" t="s">
        <v>1074</v>
      </c>
      <c r="C656" s="20" t="s">
        <v>1820</v>
      </c>
      <c r="D656" s="21" t="s">
        <v>692</v>
      </c>
      <c r="E656" s="22" t="str">
        <f t="shared" si="44"/>
        <v>11R22.5-16PR-HD2 PlusX</v>
      </c>
      <c r="F656" s="20"/>
      <c r="G656" s="23"/>
      <c r="H656" s="23"/>
      <c r="I656" s="24"/>
    </row>
    <row r="657" s="19" customFormat="1" spans="1:9">
      <c r="A657" s="20" t="s">
        <v>1872</v>
      </c>
      <c r="B657" s="20" t="s">
        <v>1074</v>
      </c>
      <c r="C657" s="20" t="s">
        <v>1818</v>
      </c>
      <c r="D657" s="21" t="s">
        <v>692</v>
      </c>
      <c r="E657" s="22" t="str">
        <f t="shared" si="44"/>
        <v>11R24.5-16PR-AD184</v>
      </c>
      <c r="F657" s="20"/>
      <c r="G657" s="23"/>
      <c r="H657" s="23"/>
      <c r="I657" s="24"/>
    </row>
    <row r="658" s="19" customFormat="1" spans="1:9">
      <c r="A658" s="20" t="s">
        <v>1872</v>
      </c>
      <c r="B658" s="20" t="s">
        <v>1074</v>
      </c>
      <c r="C658" s="20" t="s">
        <v>1820</v>
      </c>
      <c r="D658" s="21" t="s">
        <v>692</v>
      </c>
      <c r="E658" s="22" t="str">
        <f t="shared" si="44"/>
        <v>11R24.5-16PR-HD2 PlusX</v>
      </c>
      <c r="F658" s="20"/>
      <c r="G658" s="23"/>
      <c r="H658" s="23"/>
      <c r="I658" s="24"/>
    </row>
    <row r="659" s="19" customFormat="1" spans="1:9">
      <c r="A659" s="20" t="s">
        <v>2144</v>
      </c>
      <c r="B659" s="20" t="s">
        <v>1074</v>
      </c>
      <c r="C659" s="20" t="s">
        <v>1837</v>
      </c>
      <c r="D659" s="21" t="s">
        <v>692</v>
      </c>
      <c r="E659" s="22" t="str">
        <f t="shared" si="44"/>
        <v>295/75R22.5-16PR-STEALTH S01</v>
      </c>
      <c r="F659" s="20"/>
      <c r="G659" s="23"/>
      <c r="H659" s="23"/>
      <c r="I659" s="24"/>
    </row>
    <row r="660" s="19" customFormat="1" spans="1:9">
      <c r="A660" s="20" t="s">
        <v>807</v>
      </c>
      <c r="B660" s="20" t="s">
        <v>958</v>
      </c>
      <c r="C660" s="20" t="s">
        <v>1168</v>
      </c>
      <c r="D660" s="21" t="s">
        <v>692</v>
      </c>
      <c r="E660" s="22" t="str">
        <f t="shared" si="44"/>
        <v>7.50R16-14PR-AZ601+</v>
      </c>
      <c r="F660" s="20"/>
      <c r="G660" s="23"/>
      <c r="H660" s="23"/>
      <c r="I660" s="24"/>
    </row>
    <row r="661" s="19" customFormat="1" spans="1:9">
      <c r="A661" s="20" t="s">
        <v>805</v>
      </c>
      <c r="B661" s="20" t="s">
        <v>1092</v>
      </c>
      <c r="C661" s="20" t="s">
        <v>1310</v>
      </c>
      <c r="D661" s="21" t="s">
        <v>692</v>
      </c>
      <c r="E661" s="22" t="str">
        <f t="shared" si="44"/>
        <v>10.00R20-18PR-BMA08</v>
      </c>
      <c r="F661" s="20"/>
      <c r="G661" s="23"/>
      <c r="H661" s="23"/>
      <c r="I661" s="24"/>
    </row>
    <row r="662" s="19" customFormat="1" spans="1:9">
      <c r="A662" s="20" t="s">
        <v>798</v>
      </c>
      <c r="B662" s="20" t="s">
        <v>1101</v>
      </c>
      <c r="C662" s="20" t="s">
        <v>1919</v>
      </c>
      <c r="D662" s="21" t="s">
        <v>692</v>
      </c>
      <c r="E662" s="22" t="str">
        <f t="shared" si="44"/>
        <v>12.00R24-20PR-TZ304</v>
      </c>
      <c r="F662" s="20"/>
      <c r="G662" s="23"/>
      <c r="H662" s="23"/>
      <c r="I662" s="24"/>
    </row>
    <row r="663" s="19" customFormat="1" spans="1:9">
      <c r="A663" s="20" t="s">
        <v>798</v>
      </c>
      <c r="B663" s="20" t="s">
        <v>1584</v>
      </c>
      <c r="C663" s="20" t="s">
        <v>1919</v>
      </c>
      <c r="D663" s="21" t="s">
        <v>692</v>
      </c>
      <c r="E663" s="22" t="str">
        <f t="shared" si="44"/>
        <v>12.00R24-24PR-TZ304</v>
      </c>
      <c r="F663" s="20"/>
      <c r="G663" s="23"/>
      <c r="H663" s="23"/>
      <c r="I663" s="24"/>
    </row>
    <row r="664" s="19" customFormat="1" spans="1:9">
      <c r="A664" s="20" t="s">
        <v>2111</v>
      </c>
      <c r="B664" s="20" t="s">
        <v>1074</v>
      </c>
      <c r="C664" s="20" t="s">
        <v>4762</v>
      </c>
      <c r="D664" s="21" t="s">
        <v>692</v>
      </c>
      <c r="E664" s="22" t="str">
        <f t="shared" si="44"/>
        <v>285/75R24.5-16PR-SL11</v>
      </c>
      <c r="F664" s="20"/>
      <c r="G664" s="23"/>
      <c r="H664" s="23"/>
      <c r="I664" s="24"/>
    </row>
    <row r="665" s="19" customFormat="1" spans="1:9">
      <c r="A665" s="20" t="s">
        <v>2144</v>
      </c>
      <c r="B665" s="20" t="s">
        <v>1074</v>
      </c>
      <c r="C665" s="20" t="s">
        <v>1687</v>
      </c>
      <c r="D665" s="21" t="s">
        <v>692</v>
      </c>
      <c r="E665" s="22" t="str">
        <f t="shared" si="44"/>
        <v>295/75R22.5-16PR-AT563</v>
      </c>
      <c r="F665" s="20"/>
      <c r="G665" s="23"/>
      <c r="H665" s="23"/>
      <c r="I665" s="24"/>
    </row>
    <row r="666" s="19" customFormat="1" spans="1:9">
      <c r="A666" s="20" t="s">
        <v>2144</v>
      </c>
      <c r="B666" s="20" t="s">
        <v>1074</v>
      </c>
      <c r="C666" s="20" t="s">
        <v>1646</v>
      </c>
      <c r="D666" s="21" t="s">
        <v>692</v>
      </c>
      <c r="E666" s="22" t="str">
        <f t="shared" si="44"/>
        <v>295/75R22.5-16PR-CR915</v>
      </c>
      <c r="F666" s="20"/>
      <c r="G666" s="23"/>
      <c r="H666" s="23"/>
      <c r="I666" s="24"/>
    </row>
    <row r="667" s="19" customFormat="1" spans="1:9">
      <c r="A667" s="20" t="s">
        <v>2144</v>
      </c>
      <c r="B667" s="20" t="s">
        <v>1074</v>
      </c>
      <c r="C667" s="20" t="s">
        <v>2202</v>
      </c>
      <c r="D667" s="21" t="s">
        <v>692</v>
      </c>
      <c r="E667" s="22" t="str">
        <f t="shared" si="44"/>
        <v>295/75R22.5-16PR-I-460</v>
      </c>
      <c r="F667" s="20"/>
      <c r="G667" s="23"/>
      <c r="H667" s="23"/>
      <c r="I667" s="24"/>
    </row>
    <row r="668" s="19" customFormat="1" spans="1:9">
      <c r="A668" s="20" t="s">
        <v>2144</v>
      </c>
      <c r="B668" s="20" t="s">
        <v>1074</v>
      </c>
      <c r="C668" s="20" t="s">
        <v>2203</v>
      </c>
      <c r="D668" s="21" t="s">
        <v>692</v>
      </c>
      <c r="E668" s="22" t="str">
        <f t="shared" si="44"/>
        <v>295/75R22.5-16PR-R-T1</v>
      </c>
      <c r="F668" s="20"/>
      <c r="G668" s="23"/>
      <c r="H668" s="23"/>
      <c r="I668" s="24"/>
    </row>
    <row r="669" s="19" customFormat="1" spans="1:9">
      <c r="A669" s="20" t="s">
        <v>2144</v>
      </c>
      <c r="B669" s="20" t="s">
        <v>1074</v>
      </c>
      <c r="C669" s="20" t="s">
        <v>2204</v>
      </c>
      <c r="D669" s="21" t="s">
        <v>692</v>
      </c>
      <c r="E669" s="22" t="str">
        <f t="shared" si="44"/>
        <v>295/75R22.5-16PR-TP100</v>
      </c>
      <c r="F669" s="20"/>
      <c r="G669" s="23"/>
      <c r="H669" s="23"/>
      <c r="I669" s="24"/>
    </row>
    <row r="670" s="19" customFormat="1" spans="1:9">
      <c r="A670" s="20" t="s">
        <v>2144</v>
      </c>
      <c r="B670" s="20" t="s">
        <v>1074</v>
      </c>
      <c r="C670" s="20" t="s">
        <v>2205</v>
      </c>
      <c r="D670" s="21" t="s">
        <v>692</v>
      </c>
      <c r="E670" s="22" t="str">
        <f t="shared" si="44"/>
        <v>295/75R22.5-16PR-DT916</v>
      </c>
      <c r="F670" s="20"/>
      <c r="G670" s="23"/>
      <c r="H670" s="23"/>
      <c r="I670" s="24"/>
    </row>
    <row r="671" s="19" customFormat="1" spans="1:9">
      <c r="A671" s="20" t="s">
        <v>2144</v>
      </c>
      <c r="B671" s="20" t="s">
        <v>1074</v>
      </c>
      <c r="C671" s="20" t="s">
        <v>4776</v>
      </c>
      <c r="D671" s="21" t="s">
        <v>692</v>
      </c>
      <c r="E671" s="22" t="str">
        <f t="shared" si="44"/>
        <v>295/75R22.5-16PR-RLINE-TⅡ</v>
      </c>
      <c r="F671" s="20"/>
      <c r="G671" s="23"/>
      <c r="H671" s="23"/>
      <c r="I671" s="24"/>
    </row>
    <row r="672" s="19" customFormat="1" spans="1:9">
      <c r="A672" s="20" t="s">
        <v>2144</v>
      </c>
      <c r="B672" s="20" t="s">
        <v>958</v>
      </c>
      <c r="C672" s="20" t="s">
        <v>1863</v>
      </c>
      <c r="D672" s="21" t="s">
        <v>692</v>
      </c>
      <c r="E672" s="22" t="str">
        <f t="shared" si="44"/>
        <v>295/75R22.5-14PR-H-RD</v>
      </c>
      <c r="F672" s="20"/>
      <c r="G672" s="23"/>
      <c r="H672" s="23"/>
      <c r="I672" s="24"/>
    </row>
    <row r="673" s="19" customFormat="1" spans="1:9">
      <c r="A673" s="20" t="s">
        <v>801</v>
      </c>
      <c r="B673" s="20" t="s">
        <v>4777</v>
      </c>
      <c r="C673" s="20" t="s">
        <v>1938</v>
      </c>
      <c r="D673" s="21" t="s">
        <v>692</v>
      </c>
      <c r="E673" s="22" t="str">
        <f t="shared" si="44"/>
        <v>12.00R20-☆☆-XC809</v>
      </c>
      <c r="F673" s="20"/>
      <c r="G673" s="23"/>
      <c r="H673" s="23"/>
      <c r="I673" s="24"/>
    </row>
    <row r="674" s="19" customFormat="1" spans="1:9">
      <c r="A674" s="20" t="s">
        <v>798</v>
      </c>
      <c r="B674" s="20" t="s">
        <v>4777</v>
      </c>
      <c r="C674" s="20" t="s">
        <v>1938</v>
      </c>
      <c r="D674" s="21" t="s">
        <v>692</v>
      </c>
      <c r="E674" s="22" t="str">
        <f t="shared" si="44"/>
        <v>12.00R24-☆☆-XC809</v>
      </c>
      <c r="F674" s="20"/>
      <c r="G674" s="23"/>
      <c r="H674" s="23"/>
      <c r="I674" s="24"/>
    </row>
    <row r="675" s="19" customFormat="1" spans="1:9">
      <c r="A675" s="20" t="s">
        <v>798</v>
      </c>
      <c r="B675" s="20" t="s">
        <v>4777</v>
      </c>
      <c r="C675" s="20" t="s">
        <v>1964</v>
      </c>
      <c r="D675" s="21" t="s">
        <v>692</v>
      </c>
      <c r="E675" s="22" t="str">
        <f t="shared" si="44"/>
        <v>12.00R24-☆☆-XC819</v>
      </c>
      <c r="F675" s="20"/>
      <c r="G675" s="23"/>
      <c r="H675" s="23"/>
      <c r="I675" s="24"/>
    </row>
    <row r="676" s="19" customFormat="1" spans="1:9">
      <c r="A676" s="20"/>
      <c r="B676" s="20"/>
      <c r="C676" s="20"/>
      <c r="D676" s="21"/>
      <c r="E676" s="22" t="str">
        <f t="shared" si="44"/>
        <v/>
      </c>
      <c r="F676" s="20"/>
      <c r="G676" s="23"/>
      <c r="H676" s="23"/>
      <c r="I676" s="24"/>
    </row>
    <row r="677" s="19" customFormat="1" spans="1:9">
      <c r="A677" s="20" t="s">
        <v>2144</v>
      </c>
      <c r="B677" s="20" t="s">
        <v>1074</v>
      </c>
      <c r="C677" s="20" t="s">
        <v>1656</v>
      </c>
      <c r="D677" s="21" t="s">
        <v>692</v>
      </c>
      <c r="E677" s="22" t="str">
        <f t="shared" si="44"/>
        <v>295/75R22.5-16PR-I-48T</v>
      </c>
      <c r="F677" s="20"/>
      <c r="G677" s="23"/>
      <c r="H677" s="23"/>
      <c r="I677" s="24"/>
    </row>
    <row r="678" s="19" customFormat="1" spans="1:9">
      <c r="A678" s="20" t="s">
        <v>1633</v>
      </c>
      <c r="B678" s="20" t="s">
        <v>1074</v>
      </c>
      <c r="C678" s="20" t="s">
        <v>1746</v>
      </c>
      <c r="D678" s="21" t="s">
        <v>692</v>
      </c>
      <c r="E678" s="22" t="str">
        <f t="shared" si="44"/>
        <v>11R22.5-16PR-CM980</v>
      </c>
      <c r="F678" s="20"/>
      <c r="G678" s="23"/>
      <c r="H678" s="23"/>
      <c r="I678" s="24"/>
    </row>
    <row r="679" s="19" customFormat="1" spans="1:9">
      <c r="A679" s="20" t="s">
        <v>1633</v>
      </c>
      <c r="B679" s="20" t="s">
        <v>1074</v>
      </c>
      <c r="C679" s="20" t="s">
        <v>1750</v>
      </c>
      <c r="D679" s="21" t="s">
        <v>692</v>
      </c>
      <c r="E679" s="22" t="str">
        <f t="shared" si="44"/>
        <v>11R22.5-16PR-RLINE-D3</v>
      </c>
      <c r="F679" s="20"/>
      <c r="G679" s="23"/>
      <c r="H679" s="23"/>
      <c r="I679" s="24"/>
    </row>
    <row r="680" s="19" customFormat="1" spans="1:9">
      <c r="A680" s="20" t="s">
        <v>1633</v>
      </c>
      <c r="B680" s="20" t="s">
        <v>1074</v>
      </c>
      <c r="C680" s="20" t="s">
        <v>1751</v>
      </c>
      <c r="D680" s="21" t="s">
        <v>692</v>
      </c>
      <c r="E680" s="22" t="str">
        <f t="shared" si="44"/>
        <v>11R22.5-16PR-CR960A</v>
      </c>
      <c r="F680" s="20"/>
      <c r="G680" s="23"/>
      <c r="H680" s="23"/>
      <c r="I680" s="24"/>
    </row>
    <row r="681" s="19" customFormat="1" spans="1:9">
      <c r="A681" s="20" t="s">
        <v>1633</v>
      </c>
      <c r="B681" s="20" t="s">
        <v>1074</v>
      </c>
      <c r="C681" s="20" t="s">
        <v>1755</v>
      </c>
      <c r="D681" s="21" t="s">
        <v>692</v>
      </c>
      <c r="E681" s="22" t="str">
        <f t="shared" si="44"/>
        <v>11R22.5-16PR-RLINE-A1</v>
      </c>
      <c r="F681" s="20"/>
      <c r="G681" s="23"/>
      <c r="H681" s="23"/>
      <c r="I681" s="24"/>
    </row>
    <row r="682" s="19" customFormat="1" spans="1:9">
      <c r="A682" s="20" t="s">
        <v>1633</v>
      </c>
      <c r="B682" s="20" t="s">
        <v>1074</v>
      </c>
      <c r="C682" s="20" t="s">
        <v>1840</v>
      </c>
      <c r="D682" s="21" t="s">
        <v>692</v>
      </c>
      <c r="E682" s="22" t="str">
        <f t="shared" si="44"/>
        <v>11R22.5-16PR-CM983</v>
      </c>
      <c r="F682" s="20"/>
      <c r="G682" s="23"/>
      <c r="H682" s="23"/>
      <c r="I682" s="24"/>
    </row>
    <row r="683" s="19" customFormat="1" spans="1:9">
      <c r="A683" s="20" t="s">
        <v>801</v>
      </c>
      <c r="B683" s="20" t="s">
        <v>1925</v>
      </c>
      <c r="C683" s="20" t="s">
        <v>972</v>
      </c>
      <c r="D683" s="21" t="s">
        <v>692</v>
      </c>
      <c r="E683" s="22" t="str">
        <f t="shared" si="44"/>
        <v>12.00R20-22PR-AZ850</v>
      </c>
      <c r="F683" s="20"/>
      <c r="G683" s="23"/>
      <c r="H683" s="23"/>
      <c r="I683" s="24"/>
    </row>
    <row r="684" s="19" customFormat="1" spans="1:9">
      <c r="A684" s="20" t="s">
        <v>801</v>
      </c>
      <c r="B684" s="20" t="s">
        <v>1101</v>
      </c>
      <c r="C684" s="20" t="s">
        <v>1176</v>
      </c>
      <c r="D684" s="21" t="s">
        <v>692</v>
      </c>
      <c r="E684" s="22" t="str">
        <f t="shared" si="44"/>
        <v>12.00R20-20PR-EZ865</v>
      </c>
      <c r="F684" s="20"/>
      <c r="G684" s="23"/>
      <c r="H684" s="23"/>
      <c r="I684" s="24"/>
    </row>
    <row r="685" s="19" customFormat="1" spans="1:9">
      <c r="A685" s="20" t="s">
        <v>801</v>
      </c>
      <c r="B685" s="20" t="s">
        <v>1925</v>
      </c>
      <c r="C685" s="20" t="s">
        <v>1244</v>
      </c>
      <c r="D685" s="21" t="s">
        <v>692</v>
      </c>
      <c r="E685" s="22" t="str">
        <f t="shared" si="44"/>
        <v>12.00R20-22PR-EZ867</v>
      </c>
      <c r="F685" s="20"/>
      <c r="G685" s="23"/>
      <c r="H685" s="23"/>
      <c r="I685" s="24"/>
    </row>
    <row r="686" s="19" customFormat="1" spans="1:9">
      <c r="A686" s="20" t="s">
        <v>1974</v>
      </c>
      <c r="B686" s="20" t="s">
        <v>1092</v>
      </c>
      <c r="C686" s="20" t="s">
        <v>1982</v>
      </c>
      <c r="D686" s="21" t="s">
        <v>692</v>
      </c>
      <c r="E686" s="22" t="str">
        <f t="shared" si="44"/>
        <v>215/75R17.5-18PR-AP-7318</v>
      </c>
      <c r="F686" s="20"/>
      <c r="G686" s="23"/>
      <c r="H686" s="23"/>
      <c r="I686" s="24"/>
    </row>
    <row r="687" s="19" customFormat="1" spans="1:9">
      <c r="A687" s="20" t="s">
        <v>1974</v>
      </c>
      <c r="B687" s="20" t="s">
        <v>1092</v>
      </c>
      <c r="C687" s="20" t="s">
        <v>1781</v>
      </c>
      <c r="D687" s="21" t="s">
        <v>692</v>
      </c>
      <c r="E687" s="22" t="str">
        <f t="shared" si="44"/>
        <v>215/75R17.5-18PR-HF1 Plus</v>
      </c>
      <c r="F687" s="20"/>
      <c r="G687" s="23"/>
      <c r="H687" s="23"/>
      <c r="I687" s="24"/>
    </row>
    <row r="688" s="19" customFormat="1" spans="1:9">
      <c r="A688" s="20" t="s">
        <v>2144</v>
      </c>
      <c r="B688" s="20" t="s">
        <v>1074</v>
      </c>
      <c r="C688" s="20" t="s">
        <v>1751</v>
      </c>
      <c r="D688" s="21" t="s">
        <v>692</v>
      </c>
      <c r="E688" s="22" t="str">
        <f t="shared" si="44"/>
        <v>295/75R22.5-16PR-CR960A</v>
      </c>
      <c r="F688" s="20"/>
      <c r="G688" s="23"/>
      <c r="H688" s="23"/>
      <c r="I688" s="24"/>
    </row>
    <row r="689" s="19" customFormat="1" spans="1:9">
      <c r="A689" s="20" t="s">
        <v>2144</v>
      </c>
      <c r="B689" s="20" t="s">
        <v>1074</v>
      </c>
      <c r="C689" s="20" t="s">
        <v>1755</v>
      </c>
      <c r="D689" s="21" t="s">
        <v>692</v>
      </c>
      <c r="E689" s="22" t="str">
        <f t="shared" si="44"/>
        <v>295/75R22.5-16PR-RLINE-A1</v>
      </c>
      <c r="F689" s="20"/>
      <c r="G689" s="23"/>
      <c r="H689" s="23"/>
      <c r="I689" s="24"/>
    </row>
    <row r="690" s="19" customFormat="1" spans="1:9">
      <c r="A690" s="20" t="s">
        <v>2144</v>
      </c>
      <c r="B690" s="20" t="s">
        <v>1074</v>
      </c>
      <c r="C690" s="20" t="s">
        <v>1833</v>
      </c>
      <c r="D690" s="21" t="s">
        <v>692</v>
      </c>
      <c r="E690" s="22" t="str">
        <f t="shared" si="44"/>
        <v>295/75R22.5-16PR-AS600+</v>
      </c>
      <c r="F690" s="20"/>
      <c r="G690" s="23"/>
      <c r="H690" s="23"/>
      <c r="I690" s="24"/>
    </row>
    <row r="691" s="19" customFormat="1" spans="1:9">
      <c r="A691" s="20" t="s">
        <v>2144</v>
      </c>
      <c r="B691" s="20" t="s">
        <v>1074</v>
      </c>
      <c r="C691" s="20" t="s">
        <v>1695</v>
      </c>
      <c r="D691" s="21" t="s">
        <v>692</v>
      </c>
      <c r="E691" s="22" t="str">
        <f t="shared" si="44"/>
        <v>295/75R22.5-16PR-DA25</v>
      </c>
      <c r="F691" s="20"/>
      <c r="G691" s="23"/>
      <c r="H691" s="23"/>
      <c r="I691" s="24"/>
    </row>
    <row r="692" s="19" customFormat="1" spans="1:9">
      <c r="A692" s="20" t="s">
        <v>2144</v>
      </c>
      <c r="B692" s="20" t="s">
        <v>958</v>
      </c>
      <c r="C692" s="20" t="s">
        <v>1823</v>
      </c>
      <c r="D692" s="21" t="s">
        <v>692</v>
      </c>
      <c r="E692" s="22" t="str">
        <f t="shared" si="44"/>
        <v>295/75R22.5-14PR-AS673</v>
      </c>
      <c r="F692" s="20"/>
      <c r="G692" s="23"/>
      <c r="H692" s="23"/>
      <c r="I692" s="24"/>
    </row>
    <row r="693" s="19" customFormat="1" spans="1:9">
      <c r="A693" s="20" t="s">
        <v>798</v>
      </c>
      <c r="B693" s="20" t="s">
        <v>1101</v>
      </c>
      <c r="C693" s="20" t="s">
        <v>4778</v>
      </c>
      <c r="D693" s="21" t="s">
        <v>692</v>
      </c>
      <c r="E693" s="22" t="str">
        <f t="shared" si="44"/>
        <v>12.00R24-20PR-TRD-79</v>
      </c>
      <c r="F693" s="20"/>
      <c r="G693" s="23"/>
      <c r="H693" s="23"/>
      <c r="I693" s="24"/>
    </row>
    <row r="694" s="19" customFormat="1" spans="1:9">
      <c r="A694" s="20" t="s">
        <v>801</v>
      </c>
      <c r="B694" s="20" t="s">
        <v>1925</v>
      </c>
      <c r="C694" s="20" t="s">
        <v>4778</v>
      </c>
      <c r="D694" s="21" t="s">
        <v>692</v>
      </c>
      <c r="E694" s="22" t="str">
        <f t="shared" si="44"/>
        <v>12.00R20-22PR-TRD-79</v>
      </c>
      <c r="F694" s="20"/>
      <c r="G694" s="23"/>
      <c r="H694" s="23"/>
      <c r="I694" s="24"/>
    </row>
    <row r="695" s="19" customFormat="1" spans="1:9">
      <c r="A695" s="20" t="s">
        <v>2144</v>
      </c>
      <c r="B695" s="20" t="s">
        <v>958</v>
      </c>
      <c r="C695" s="20" t="s">
        <v>4774</v>
      </c>
      <c r="D695" s="21" t="s">
        <v>692</v>
      </c>
      <c r="E695" s="22" t="str">
        <f t="shared" si="44"/>
        <v>295/75R22.5-14PR-M-TRAC OSD</v>
      </c>
      <c r="F695" s="20"/>
      <c r="G695" s="23"/>
      <c r="H695" s="23"/>
      <c r="I695" s="24"/>
    </row>
    <row r="696" s="19" customFormat="1" spans="1:9">
      <c r="A696" s="20"/>
      <c r="B696" s="20"/>
      <c r="C696" s="20"/>
      <c r="D696" s="21" t="s">
        <v>692</v>
      </c>
      <c r="E696" s="22" t="str">
        <f t="shared" si="44"/>
        <v/>
      </c>
      <c r="F696" s="20"/>
      <c r="G696" s="23"/>
      <c r="H696" s="23"/>
      <c r="I696" s="24"/>
    </row>
    <row r="697" s="19" customFormat="1" spans="1:9">
      <c r="A697" s="20"/>
      <c r="B697" s="20"/>
      <c r="C697" s="20"/>
      <c r="D697" s="21" t="s">
        <v>692</v>
      </c>
      <c r="E697" s="22" t="str">
        <f t="shared" si="44"/>
        <v/>
      </c>
      <c r="F697" s="20"/>
      <c r="G697" s="23"/>
      <c r="H697" s="23"/>
      <c r="I697" s="24"/>
    </row>
    <row r="698" s="19" customFormat="1" spans="1:9">
      <c r="A698" s="20"/>
      <c r="B698" s="20"/>
      <c r="C698" s="20"/>
      <c r="D698" s="21" t="s">
        <v>692</v>
      </c>
      <c r="E698" s="22" t="str">
        <f t="shared" si="44"/>
        <v/>
      </c>
      <c r="F698" s="20"/>
      <c r="G698" s="23"/>
      <c r="H698" s="23"/>
      <c r="I698" s="24"/>
    </row>
    <row r="699" s="19" customFormat="1" spans="1:9">
      <c r="A699" s="20"/>
      <c r="B699" s="20"/>
      <c r="C699" s="20"/>
      <c r="D699" s="21"/>
      <c r="E699" s="22" t="str">
        <f t="shared" si="44"/>
        <v/>
      </c>
      <c r="F699" s="20"/>
      <c r="G699" s="23"/>
      <c r="H699" s="23"/>
      <c r="I699" s="24"/>
    </row>
    <row r="700" s="19" customFormat="1" spans="1:9">
      <c r="A700" s="20"/>
      <c r="B700" s="20"/>
      <c r="C700" s="20"/>
      <c r="D700" s="21"/>
      <c r="E700" s="22" t="str">
        <f t="shared" si="44"/>
        <v/>
      </c>
      <c r="F700" s="20"/>
      <c r="G700" s="23"/>
      <c r="H700" s="23"/>
      <c r="I700" s="24"/>
    </row>
    <row r="701" s="19" customFormat="1" spans="1:9">
      <c r="A701" s="20"/>
      <c r="B701" s="20"/>
      <c r="C701" s="20"/>
      <c r="D701" s="21"/>
      <c r="E701" s="22" t="str">
        <f t="shared" si="44"/>
        <v/>
      </c>
      <c r="F701" s="20"/>
      <c r="G701" s="23"/>
      <c r="H701" s="23"/>
      <c r="I701" s="24"/>
    </row>
    <row r="702" s="19" customFormat="1" spans="1:9">
      <c r="A702" s="20"/>
      <c r="B702" s="20"/>
      <c r="C702" s="20"/>
      <c r="D702" s="21"/>
      <c r="E702" s="22" t="str">
        <f t="shared" si="44"/>
        <v/>
      </c>
      <c r="F702" s="20"/>
      <c r="G702" s="23"/>
      <c r="H702" s="23"/>
      <c r="I702" s="24"/>
    </row>
    <row r="703" s="19" customFormat="1" spans="1:9">
      <c r="A703" s="20"/>
      <c r="B703" s="20"/>
      <c r="C703" s="20"/>
      <c r="D703" s="21"/>
      <c r="E703" s="22" t="str">
        <f t="shared" si="44"/>
        <v/>
      </c>
      <c r="F703" s="20"/>
      <c r="G703" s="23"/>
      <c r="H703" s="23"/>
      <c r="I703" s="24"/>
    </row>
    <row r="704" s="19" customFormat="1" spans="1:9">
      <c r="A704" s="20"/>
      <c r="B704" s="20"/>
      <c r="C704" s="20"/>
      <c r="D704" s="21"/>
      <c r="E704" s="22" t="str">
        <f t="shared" si="44"/>
        <v/>
      </c>
      <c r="F704" s="20"/>
      <c r="G704" s="23"/>
      <c r="H704" s="23"/>
      <c r="I704" s="24"/>
    </row>
    <row r="705" s="19" customFormat="1" spans="1:9">
      <c r="A705" s="20"/>
      <c r="B705" s="20"/>
      <c r="C705" s="20"/>
      <c r="D705" s="21"/>
      <c r="E705" s="22" t="str">
        <f t="shared" ref="E705:E768" si="45">_xlfn.TEXTJOIN("-",TRUE,A705,B705,C705)</f>
        <v/>
      </c>
      <c r="F705" s="20"/>
      <c r="G705" s="23"/>
      <c r="H705" s="23"/>
      <c r="I705" s="24"/>
    </row>
    <row r="706" s="19" customFormat="1" spans="1:9">
      <c r="A706" s="20"/>
      <c r="B706" s="20"/>
      <c r="C706" s="20"/>
      <c r="D706" s="21"/>
      <c r="E706" s="22" t="str">
        <f t="shared" si="45"/>
        <v/>
      </c>
      <c r="F706" s="20"/>
      <c r="G706" s="23"/>
      <c r="H706" s="23"/>
      <c r="I706" s="24"/>
    </row>
    <row r="707" s="19" customFormat="1" spans="1:9">
      <c r="A707" s="20"/>
      <c r="B707" s="20"/>
      <c r="C707" s="20"/>
      <c r="D707" s="21"/>
      <c r="E707" s="22" t="str">
        <f t="shared" si="45"/>
        <v/>
      </c>
      <c r="F707" s="20"/>
      <c r="G707" s="23"/>
      <c r="H707" s="23"/>
      <c r="I707" s="24"/>
    </row>
    <row r="708" s="19" customFormat="1" spans="1:9">
      <c r="A708" s="20"/>
      <c r="B708" s="20"/>
      <c r="C708" s="20"/>
      <c r="D708" s="21"/>
      <c r="E708" s="22" t="str">
        <f t="shared" si="45"/>
        <v/>
      </c>
      <c r="F708" s="20"/>
      <c r="G708" s="23"/>
      <c r="H708" s="23"/>
      <c r="I708" s="24"/>
    </row>
    <row r="709" s="19" customFormat="1" spans="1:9">
      <c r="A709" s="20"/>
      <c r="B709" s="20"/>
      <c r="C709" s="20"/>
      <c r="D709" s="21"/>
      <c r="E709" s="22" t="str">
        <f t="shared" si="45"/>
        <v/>
      </c>
      <c r="F709" s="20"/>
      <c r="G709" s="23"/>
      <c r="H709" s="23"/>
      <c r="I709" s="24"/>
    </row>
    <row r="710" s="19" customFormat="1" spans="1:9">
      <c r="A710" s="20"/>
      <c r="B710" s="20"/>
      <c r="C710" s="20"/>
      <c r="D710" s="21"/>
      <c r="E710" s="22" t="str">
        <f t="shared" si="45"/>
        <v/>
      </c>
      <c r="F710" s="20"/>
      <c r="G710" s="23"/>
      <c r="H710" s="23"/>
      <c r="I710" s="24"/>
    </row>
    <row r="711" s="19" customFormat="1" spans="1:9">
      <c r="A711" s="20"/>
      <c r="B711" s="20"/>
      <c r="C711" s="20"/>
      <c r="D711" s="21"/>
      <c r="E711" s="22" t="str">
        <f t="shared" si="45"/>
        <v/>
      </c>
      <c r="F711" s="20"/>
      <c r="G711" s="23"/>
      <c r="H711" s="23"/>
      <c r="I711" s="24"/>
    </row>
    <row r="712" s="19" customFormat="1" spans="1:9">
      <c r="A712" s="20"/>
      <c r="B712" s="20"/>
      <c r="C712" s="20"/>
      <c r="D712" s="21"/>
      <c r="E712" s="22" t="str">
        <f t="shared" si="45"/>
        <v/>
      </c>
      <c r="F712" s="20"/>
      <c r="G712" s="23"/>
      <c r="H712" s="23"/>
      <c r="I712" s="24"/>
    </row>
    <row r="713" s="19" customFormat="1" spans="1:9">
      <c r="A713" s="20"/>
      <c r="B713" s="20"/>
      <c r="C713" s="20"/>
      <c r="D713" s="21"/>
      <c r="E713" s="22" t="str">
        <f t="shared" si="45"/>
        <v/>
      </c>
      <c r="F713" s="20"/>
      <c r="G713" s="23"/>
      <c r="H713" s="23"/>
      <c r="I713" s="24"/>
    </row>
    <row r="714" s="19" customFormat="1" spans="1:9">
      <c r="A714" s="20"/>
      <c r="B714" s="20"/>
      <c r="C714" s="20"/>
      <c r="D714" s="21"/>
      <c r="E714" s="22" t="str">
        <f t="shared" si="45"/>
        <v/>
      </c>
      <c r="F714" s="20"/>
      <c r="G714" s="23"/>
      <c r="H714" s="23"/>
      <c r="I714" s="24"/>
    </row>
    <row r="715" s="19" customFormat="1" spans="1:9">
      <c r="A715" s="20"/>
      <c r="B715" s="20"/>
      <c r="C715" s="20"/>
      <c r="D715" s="21"/>
      <c r="E715" s="22" t="str">
        <f t="shared" si="45"/>
        <v/>
      </c>
      <c r="F715" s="20"/>
      <c r="G715" s="23"/>
      <c r="H715" s="23"/>
      <c r="I715" s="24"/>
    </row>
    <row r="716" s="19" customFormat="1" spans="1:9">
      <c r="A716" s="20"/>
      <c r="B716" s="20"/>
      <c r="C716" s="20"/>
      <c r="D716" s="21"/>
      <c r="E716" s="22" t="str">
        <f t="shared" si="45"/>
        <v/>
      </c>
      <c r="F716" s="20"/>
      <c r="G716" s="23"/>
      <c r="H716" s="23"/>
      <c r="I716" s="24"/>
    </row>
    <row r="717" s="19" customFormat="1" spans="1:9">
      <c r="A717" s="20"/>
      <c r="B717" s="20"/>
      <c r="C717" s="20"/>
      <c r="D717" s="21"/>
      <c r="E717" s="22" t="str">
        <f t="shared" si="45"/>
        <v/>
      </c>
      <c r="F717" s="20"/>
      <c r="G717" s="23"/>
      <c r="H717" s="23"/>
      <c r="I717" s="24"/>
    </row>
    <row r="718" s="19" customFormat="1" spans="1:9">
      <c r="A718" s="20"/>
      <c r="B718" s="20"/>
      <c r="C718" s="20"/>
      <c r="D718" s="21"/>
      <c r="E718" s="22" t="str">
        <f t="shared" si="45"/>
        <v/>
      </c>
      <c r="F718" s="20"/>
      <c r="G718" s="23"/>
      <c r="H718" s="23"/>
      <c r="I718" s="24"/>
    </row>
    <row r="719" s="19" customFormat="1" spans="1:9">
      <c r="A719" s="20"/>
      <c r="B719" s="20"/>
      <c r="C719" s="20"/>
      <c r="D719" s="21"/>
      <c r="E719" s="22" t="str">
        <f t="shared" si="45"/>
        <v/>
      </c>
      <c r="F719" s="20"/>
      <c r="G719" s="23"/>
      <c r="H719" s="23"/>
      <c r="I719" s="24"/>
    </row>
    <row r="720" s="19" customFormat="1" spans="1:9">
      <c r="A720" s="20"/>
      <c r="B720" s="20"/>
      <c r="C720" s="20"/>
      <c r="D720" s="21"/>
      <c r="E720" s="22" t="str">
        <f t="shared" si="45"/>
        <v/>
      </c>
      <c r="F720" s="20"/>
      <c r="G720" s="23"/>
      <c r="H720" s="23"/>
      <c r="I720" s="24"/>
    </row>
    <row r="721" s="19" customFormat="1" spans="1:9">
      <c r="A721" s="20"/>
      <c r="B721" s="20"/>
      <c r="C721" s="20"/>
      <c r="D721" s="21"/>
      <c r="E721" s="22" t="str">
        <f t="shared" si="45"/>
        <v/>
      </c>
      <c r="F721" s="20"/>
      <c r="G721" s="23"/>
      <c r="H721" s="23"/>
      <c r="I721" s="24"/>
    </row>
    <row r="722" s="19" customFormat="1" spans="1:9">
      <c r="A722" s="20"/>
      <c r="B722" s="20"/>
      <c r="C722" s="20"/>
      <c r="D722" s="21"/>
      <c r="E722" s="22" t="str">
        <f t="shared" si="45"/>
        <v/>
      </c>
      <c r="F722" s="20"/>
      <c r="G722" s="23"/>
      <c r="H722" s="23"/>
      <c r="I722" s="24"/>
    </row>
    <row r="723" s="19" customFormat="1" spans="1:9">
      <c r="A723" s="20"/>
      <c r="B723" s="20"/>
      <c r="C723" s="20"/>
      <c r="D723" s="21"/>
      <c r="E723" s="22" t="str">
        <f t="shared" si="45"/>
        <v/>
      </c>
      <c r="F723" s="20"/>
      <c r="G723" s="23"/>
      <c r="H723" s="23"/>
      <c r="I723" s="24"/>
    </row>
    <row r="724" s="19" customFormat="1" spans="1:9">
      <c r="A724" s="20"/>
      <c r="B724" s="20"/>
      <c r="C724" s="20"/>
      <c r="D724" s="21"/>
      <c r="E724" s="22" t="str">
        <f t="shared" si="45"/>
        <v/>
      </c>
      <c r="F724" s="20"/>
      <c r="G724" s="23"/>
      <c r="H724" s="23"/>
      <c r="I724" s="24"/>
    </row>
    <row r="725" s="19" customFormat="1" spans="1:9">
      <c r="A725" s="20"/>
      <c r="B725" s="20"/>
      <c r="C725" s="20"/>
      <c r="D725" s="21"/>
      <c r="E725" s="22" t="str">
        <f t="shared" si="45"/>
        <v/>
      </c>
      <c r="F725" s="20"/>
      <c r="G725" s="23"/>
      <c r="H725" s="23"/>
      <c r="I725" s="24"/>
    </row>
    <row r="726" s="19" customFormat="1" spans="1:9">
      <c r="A726" s="20"/>
      <c r="B726" s="20"/>
      <c r="C726" s="20"/>
      <c r="D726" s="21"/>
      <c r="E726" s="22" t="str">
        <f t="shared" si="45"/>
        <v/>
      </c>
      <c r="F726" s="20"/>
      <c r="G726" s="23"/>
      <c r="H726" s="23"/>
      <c r="I726" s="24"/>
    </row>
    <row r="727" s="19" customFormat="1" spans="1:9">
      <c r="A727" s="20"/>
      <c r="B727" s="20"/>
      <c r="C727" s="20"/>
      <c r="D727" s="21"/>
      <c r="E727" s="22" t="str">
        <f t="shared" si="45"/>
        <v/>
      </c>
      <c r="F727" s="20"/>
      <c r="G727" s="23"/>
      <c r="H727" s="23"/>
      <c r="I727" s="24"/>
    </row>
    <row r="728" s="19" customFormat="1" spans="1:9">
      <c r="A728" s="20"/>
      <c r="B728" s="20"/>
      <c r="C728" s="20"/>
      <c r="D728" s="21"/>
      <c r="E728" s="22" t="str">
        <f t="shared" si="45"/>
        <v/>
      </c>
      <c r="F728" s="20"/>
      <c r="G728" s="23"/>
      <c r="H728" s="23"/>
      <c r="I728" s="24"/>
    </row>
    <row r="729" s="19" customFormat="1" spans="1:9">
      <c r="A729" s="20"/>
      <c r="B729" s="20"/>
      <c r="C729" s="20"/>
      <c r="D729" s="21"/>
      <c r="E729" s="22" t="str">
        <f t="shared" si="45"/>
        <v/>
      </c>
      <c r="F729" s="20"/>
      <c r="G729" s="23"/>
      <c r="H729" s="23"/>
      <c r="I729" s="24"/>
    </row>
    <row r="730" s="19" customFormat="1" spans="1:9">
      <c r="A730" s="20"/>
      <c r="B730" s="20"/>
      <c r="C730" s="20"/>
      <c r="D730" s="21"/>
      <c r="E730" s="22" t="str">
        <f t="shared" si="45"/>
        <v/>
      </c>
      <c r="F730" s="20"/>
      <c r="G730" s="23"/>
      <c r="H730" s="23"/>
      <c r="I730" s="24"/>
    </row>
    <row r="731" s="19" customFormat="1" spans="1:9">
      <c r="A731" s="20"/>
      <c r="B731" s="20"/>
      <c r="C731" s="20"/>
      <c r="D731" s="21"/>
      <c r="E731" s="22" t="str">
        <f t="shared" si="45"/>
        <v/>
      </c>
      <c r="F731" s="20"/>
      <c r="G731" s="23"/>
      <c r="H731" s="23"/>
      <c r="I731" s="24"/>
    </row>
    <row r="732" s="19" customFormat="1" spans="1:9">
      <c r="A732" s="20"/>
      <c r="B732" s="20"/>
      <c r="C732" s="20"/>
      <c r="D732" s="21"/>
      <c r="E732" s="22" t="str">
        <f t="shared" si="45"/>
        <v/>
      </c>
      <c r="F732" s="20"/>
      <c r="G732" s="23"/>
      <c r="H732" s="23"/>
      <c r="I732" s="24"/>
    </row>
    <row r="733" s="19" customFormat="1" spans="1:9">
      <c r="A733" s="20"/>
      <c r="B733" s="20"/>
      <c r="C733" s="20"/>
      <c r="D733" s="21"/>
      <c r="E733" s="22" t="str">
        <f t="shared" si="45"/>
        <v/>
      </c>
      <c r="F733" s="20"/>
      <c r="G733" s="23"/>
      <c r="H733" s="23"/>
      <c r="I733" s="24"/>
    </row>
    <row r="734" s="19" customFormat="1" spans="1:9">
      <c r="A734" s="20"/>
      <c r="B734" s="20"/>
      <c r="C734" s="20"/>
      <c r="D734" s="21"/>
      <c r="E734" s="22" t="str">
        <f t="shared" si="45"/>
        <v/>
      </c>
      <c r="F734" s="20"/>
      <c r="G734" s="23"/>
      <c r="H734" s="23"/>
      <c r="I734" s="24"/>
    </row>
    <row r="735" s="19" customFormat="1" spans="1:9">
      <c r="A735" s="20"/>
      <c r="B735" s="20"/>
      <c r="C735" s="20"/>
      <c r="D735" s="21"/>
      <c r="E735" s="22" t="str">
        <f t="shared" si="45"/>
        <v/>
      </c>
      <c r="F735" s="20"/>
      <c r="G735" s="23"/>
      <c r="H735" s="23"/>
      <c r="I735" s="24"/>
    </row>
    <row r="736" s="19" customFormat="1" spans="1:9">
      <c r="A736" s="20"/>
      <c r="B736" s="20"/>
      <c r="C736" s="20"/>
      <c r="D736" s="21"/>
      <c r="E736" s="22" t="str">
        <f t="shared" si="45"/>
        <v/>
      </c>
      <c r="F736" s="20"/>
      <c r="G736" s="23"/>
      <c r="H736" s="23"/>
      <c r="I736" s="24"/>
    </row>
    <row r="737" s="19" customFormat="1" spans="1:9">
      <c r="A737" s="20"/>
      <c r="B737" s="20"/>
      <c r="C737" s="20"/>
      <c r="D737" s="21"/>
      <c r="E737" s="22" t="str">
        <f t="shared" si="45"/>
        <v/>
      </c>
      <c r="F737" s="20"/>
      <c r="G737" s="23"/>
      <c r="H737" s="23"/>
      <c r="I737" s="24"/>
    </row>
    <row r="738" s="19" customFormat="1" spans="1:9">
      <c r="A738" s="20"/>
      <c r="B738" s="20"/>
      <c r="C738" s="20"/>
      <c r="D738" s="21"/>
      <c r="E738" s="22" t="str">
        <f t="shared" si="45"/>
        <v/>
      </c>
      <c r="F738" s="20"/>
      <c r="G738" s="23"/>
      <c r="H738" s="23"/>
      <c r="I738" s="24"/>
    </row>
    <row r="739" s="19" customFormat="1" spans="1:9">
      <c r="A739" s="20"/>
      <c r="B739" s="20"/>
      <c r="C739" s="20"/>
      <c r="D739" s="21"/>
      <c r="E739" s="22" t="str">
        <f t="shared" si="45"/>
        <v/>
      </c>
      <c r="F739" s="20"/>
      <c r="G739" s="23"/>
      <c r="H739" s="23"/>
      <c r="I739" s="24"/>
    </row>
    <row r="740" s="19" customFormat="1" spans="1:9">
      <c r="A740" s="20"/>
      <c r="B740" s="20"/>
      <c r="C740" s="20"/>
      <c r="D740" s="21"/>
      <c r="E740" s="22" t="str">
        <f t="shared" si="45"/>
        <v/>
      </c>
      <c r="F740" s="20"/>
      <c r="G740" s="23"/>
      <c r="H740" s="23"/>
      <c r="I740" s="24"/>
    </row>
    <row r="741" s="19" customFormat="1" spans="1:9">
      <c r="A741" s="20"/>
      <c r="B741" s="20"/>
      <c r="C741" s="20"/>
      <c r="D741" s="21"/>
      <c r="E741" s="22" t="str">
        <f t="shared" si="45"/>
        <v/>
      </c>
      <c r="F741" s="20"/>
      <c r="G741" s="23"/>
      <c r="H741" s="23"/>
      <c r="I741" s="24"/>
    </row>
    <row r="742" s="19" customFormat="1" spans="1:9">
      <c r="A742" s="20"/>
      <c r="B742" s="20"/>
      <c r="C742" s="20"/>
      <c r="D742" s="21"/>
      <c r="E742" s="22" t="str">
        <f t="shared" si="45"/>
        <v/>
      </c>
      <c r="F742" s="20"/>
      <c r="G742" s="23"/>
      <c r="H742" s="23"/>
      <c r="I742" s="24"/>
    </row>
    <row r="743" s="19" customFormat="1" spans="1:9">
      <c r="A743" s="20"/>
      <c r="B743" s="20"/>
      <c r="C743" s="20"/>
      <c r="D743" s="21"/>
      <c r="E743" s="22" t="str">
        <f t="shared" si="45"/>
        <v/>
      </c>
      <c r="F743" s="20"/>
      <c r="G743" s="23"/>
      <c r="H743" s="23"/>
      <c r="I743" s="24"/>
    </row>
    <row r="744" s="19" customFormat="1" spans="1:9">
      <c r="A744" s="20"/>
      <c r="B744" s="20"/>
      <c r="C744" s="20"/>
      <c r="D744" s="21"/>
      <c r="E744" s="22" t="str">
        <f t="shared" si="45"/>
        <v/>
      </c>
      <c r="F744" s="20"/>
      <c r="G744" s="23"/>
      <c r="H744" s="23"/>
      <c r="I744" s="24"/>
    </row>
    <row r="745" s="19" customFormat="1" spans="1:9">
      <c r="A745" s="20"/>
      <c r="B745" s="20"/>
      <c r="C745" s="20"/>
      <c r="D745" s="21"/>
      <c r="E745" s="22" t="str">
        <f t="shared" si="45"/>
        <v/>
      </c>
      <c r="F745" s="20"/>
      <c r="G745" s="23"/>
      <c r="H745" s="23"/>
      <c r="I745" s="24"/>
    </row>
    <row r="746" s="19" customFormat="1" spans="1:9">
      <c r="A746" s="20"/>
      <c r="B746" s="20"/>
      <c r="C746" s="20"/>
      <c r="D746" s="21"/>
      <c r="E746" s="22" t="str">
        <f t="shared" si="45"/>
        <v/>
      </c>
      <c r="F746" s="20"/>
      <c r="G746" s="23"/>
      <c r="H746" s="23"/>
      <c r="I746" s="24"/>
    </row>
    <row r="747" s="19" customFormat="1" spans="1:9">
      <c r="A747" s="20"/>
      <c r="B747" s="20"/>
      <c r="C747" s="20"/>
      <c r="D747" s="21"/>
      <c r="E747" s="22" t="str">
        <f t="shared" si="45"/>
        <v/>
      </c>
      <c r="F747" s="20"/>
      <c r="G747" s="23"/>
      <c r="H747" s="23"/>
      <c r="I747" s="24"/>
    </row>
    <row r="748" s="19" customFormat="1" spans="1:9">
      <c r="A748" s="20"/>
      <c r="B748" s="20"/>
      <c r="C748" s="20"/>
      <c r="D748" s="21"/>
      <c r="E748" s="22" t="str">
        <f t="shared" si="45"/>
        <v/>
      </c>
      <c r="F748" s="20"/>
      <c r="G748" s="23"/>
      <c r="H748" s="23"/>
      <c r="I748" s="24"/>
    </row>
    <row r="749" s="19" customFormat="1" spans="1:9">
      <c r="A749" s="20"/>
      <c r="B749" s="20"/>
      <c r="C749" s="20"/>
      <c r="D749" s="21"/>
      <c r="E749" s="22" t="str">
        <f t="shared" si="45"/>
        <v/>
      </c>
      <c r="F749" s="20"/>
      <c r="G749" s="23"/>
      <c r="H749" s="23"/>
      <c r="I749" s="24"/>
    </row>
    <row r="750" s="19" customFormat="1" spans="1:9">
      <c r="A750" s="20"/>
      <c r="B750" s="20"/>
      <c r="C750" s="20"/>
      <c r="D750" s="21"/>
      <c r="E750" s="22" t="str">
        <f t="shared" si="45"/>
        <v/>
      </c>
      <c r="F750" s="20"/>
      <c r="G750" s="23"/>
      <c r="H750" s="23"/>
      <c r="I750" s="24"/>
    </row>
    <row r="751" s="19" customFormat="1" spans="1:9">
      <c r="A751" s="20"/>
      <c r="B751" s="20"/>
      <c r="C751" s="20"/>
      <c r="D751" s="21"/>
      <c r="E751" s="22" t="str">
        <f t="shared" si="45"/>
        <v/>
      </c>
      <c r="F751" s="20"/>
      <c r="G751" s="23"/>
      <c r="H751" s="23"/>
      <c r="I751" s="24"/>
    </row>
    <row r="752" s="19" customFormat="1" spans="1:9">
      <c r="A752" s="20"/>
      <c r="B752" s="20"/>
      <c r="C752" s="20"/>
      <c r="D752" s="21"/>
      <c r="E752" s="22" t="str">
        <f t="shared" si="45"/>
        <v/>
      </c>
      <c r="F752" s="20"/>
      <c r="G752" s="23"/>
      <c r="H752" s="23"/>
      <c r="I752" s="24"/>
    </row>
    <row r="753" s="19" customFormat="1" spans="1:9">
      <c r="A753" s="20"/>
      <c r="B753" s="20"/>
      <c r="C753" s="20"/>
      <c r="D753" s="21"/>
      <c r="E753" s="22" t="str">
        <f t="shared" si="45"/>
        <v/>
      </c>
      <c r="F753" s="20"/>
      <c r="G753" s="23"/>
      <c r="H753" s="23"/>
      <c r="I753" s="24"/>
    </row>
    <row r="754" s="19" customFormat="1" spans="1:9">
      <c r="A754" s="20"/>
      <c r="B754" s="20"/>
      <c r="C754" s="20"/>
      <c r="D754" s="21"/>
      <c r="E754" s="22" t="str">
        <f t="shared" si="45"/>
        <v/>
      </c>
      <c r="F754" s="20"/>
      <c r="G754" s="23"/>
      <c r="H754" s="23"/>
      <c r="I754" s="24"/>
    </row>
    <row r="755" s="19" customFormat="1" spans="1:9">
      <c r="A755" s="20"/>
      <c r="B755" s="20"/>
      <c r="C755" s="20"/>
      <c r="D755" s="21"/>
      <c r="E755" s="22" t="str">
        <f t="shared" si="45"/>
        <v/>
      </c>
      <c r="F755" s="20"/>
      <c r="G755" s="23"/>
      <c r="H755" s="23"/>
      <c r="I755" s="24"/>
    </row>
    <row r="756" s="19" customFormat="1" spans="1:9">
      <c r="A756" s="20"/>
      <c r="B756" s="20"/>
      <c r="C756" s="20"/>
      <c r="D756" s="21"/>
      <c r="E756" s="22" t="str">
        <f t="shared" si="45"/>
        <v/>
      </c>
      <c r="F756" s="20"/>
      <c r="G756" s="23"/>
      <c r="H756" s="23"/>
      <c r="I756" s="24"/>
    </row>
    <row r="757" s="19" customFormat="1" spans="1:9">
      <c r="A757" s="20"/>
      <c r="B757" s="20"/>
      <c r="C757" s="20"/>
      <c r="D757" s="21"/>
      <c r="E757" s="22" t="str">
        <f t="shared" si="45"/>
        <v/>
      </c>
      <c r="F757" s="20"/>
      <c r="G757" s="23"/>
      <c r="H757" s="23"/>
      <c r="I757" s="24"/>
    </row>
    <row r="758" s="19" customFormat="1" spans="1:9">
      <c r="A758" s="20"/>
      <c r="B758" s="20"/>
      <c r="C758" s="20"/>
      <c r="D758" s="21"/>
      <c r="E758" s="22" t="str">
        <f t="shared" si="45"/>
        <v/>
      </c>
      <c r="F758" s="20"/>
      <c r="G758" s="23"/>
      <c r="H758" s="23"/>
      <c r="I758" s="24"/>
    </row>
    <row r="759" s="19" customFormat="1" spans="1:9">
      <c r="A759" s="20"/>
      <c r="B759" s="20"/>
      <c r="C759" s="20"/>
      <c r="D759" s="21"/>
      <c r="E759" s="22" t="str">
        <f t="shared" si="45"/>
        <v/>
      </c>
      <c r="F759" s="20"/>
      <c r="G759" s="23"/>
      <c r="H759" s="23"/>
      <c r="I759" s="24"/>
    </row>
    <row r="760" s="19" customFormat="1" spans="1:9">
      <c r="A760" s="20"/>
      <c r="B760" s="20"/>
      <c r="C760" s="20"/>
      <c r="D760" s="21"/>
      <c r="E760" s="22" t="str">
        <f t="shared" si="45"/>
        <v/>
      </c>
      <c r="F760" s="20"/>
      <c r="G760" s="23"/>
      <c r="H760" s="23"/>
      <c r="I760" s="24"/>
    </row>
    <row r="761" s="19" customFormat="1" spans="1:9">
      <c r="A761" s="20"/>
      <c r="B761" s="20"/>
      <c r="C761" s="20"/>
      <c r="D761" s="21"/>
      <c r="E761" s="22" t="str">
        <f t="shared" si="45"/>
        <v/>
      </c>
      <c r="F761" s="20"/>
      <c r="G761" s="23"/>
      <c r="H761" s="23"/>
      <c r="I761" s="24"/>
    </row>
    <row r="762" s="19" customFormat="1" spans="1:9">
      <c r="A762" s="20"/>
      <c r="B762" s="20"/>
      <c r="C762" s="20"/>
      <c r="D762" s="21"/>
      <c r="E762" s="22" t="str">
        <f t="shared" si="45"/>
        <v/>
      </c>
      <c r="F762" s="20"/>
      <c r="G762" s="23"/>
      <c r="H762" s="23"/>
      <c r="I762" s="24"/>
    </row>
    <row r="763" s="19" customFormat="1" spans="1:9">
      <c r="A763" s="20"/>
      <c r="B763" s="20"/>
      <c r="C763" s="20"/>
      <c r="D763" s="21"/>
      <c r="E763" s="22" t="str">
        <f t="shared" si="45"/>
        <v/>
      </c>
      <c r="F763" s="20"/>
      <c r="G763" s="23"/>
      <c r="H763" s="23"/>
      <c r="I763" s="24"/>
    </row>
    <row r="764" s="19" customFormat="1" spans="1:9">
      <c r="A764" s="20"/>
      <c r="B764" s="20"/>
      <c r="C764" s="20"/>
      <c r="D764" s="21"/>
      <c r="E764" s="22" t="str">
        <f t="shared" si="45"/>
        <v/>
      </c>
      <c r="F764" s="20"/>
      <c r="G764" s="23"/>
      <c r="H764" s="23"/>
      <c r="I764" s="24"/>
    </row>
    <row r="765" s="19" customFormat="1" spans="1:9">
      <c r="A765" s="20"/>
      <c r="B765" s="20"/>
      <c r="C765" s="20"/>
      <c r="D765" s="21"/>
      <c r="E765" s="22" t="str">
        <f t="shared" si="45"/>
        <v/>
      </c>
      <c r="F765" s="20"/>
      <c r="G765" s="23"/>
      <c r="H765" s="23"/>
      <c r="I765" s="24"/>
    </row>
    <row r="766" s="19" customFormat="1" spans="1:9">
      <c r="A766" s="20"/>
      <c r="B766" s="20"/>
      <c r="C766" s="20"/>
      <c r="D766" s="21"/>
      <c r="E766" s="22" t="str">
        <f t="shared" si="45"/>
        <v/>
      </c>
      <c r="F766" s="20"/>
      <c r="G766" s="23"/>
      <c r="H766" s="23"/>
      <c r="I766" s="24"/>
    </row>
    <row r="767" s="19" customFormat="1" spans="1:9">
      <c r="A767" s="20"/>
      <c r="B767" s="20"/>
      <c r="C767" s="20"/>
      <c r="D767" s="21"/>
      <c r="E767" s="22" t="str">
        <f t="shared" si="45"/>
        <v/>
      </c>
      <c r="F767" s="20"/>
      <c r="G767" s="23"/>
      <c r="H767" s="23"/>
      <c r="I767" s="24"/>
    </row>
    <row r="768" s="19" customFormat="1" spans="1:9">
      <c r="A768" s="20"/>
      <c r="B768" s="20"/>
      <c r="C768" s="20"/>
      <c r="D768" s="21"/>
      <c r="E768" s="22" t="str">
        <f t="shared" si="45"/>
        <v/>
      </c>
      <c r="F768" s="20"/>
      <c r="G768" s="23"/>
      <c r="H768" s="23"/>
      <c r="I768" s="24"/>
    </row>
    <row r="769" s="19" customFormat="1" spans="1:9">
      <c r="A769" s="20"/>
      <c r="B769" s="20"/>
      <c r="C769" s="20"/>
      <c r="D769" s="21"/>
      <c r="E769" s="22" t="str">
        <f t="shared" ref="E769:E832" si="46">_xlfn.TEXTJOIN("-",TRUE,A769,B769,C769)</f>
        <v/>
      </c>
      <c r="F769" s="20"/>
      <c r="G769" s="23"/>
      <c r="H769" s="23"/>
      <c r="I769" s="24"/>
    </row>
    <row r="770" s="19" customFormat="1" spans="1:9">
      <c r="A770" s="20"/>
      <c r="B770" s="20"/>
      <c r="C770" s="20"/>
      <c r="D770" s="21"/>
      <c r="E770" s="22" t="str">
        <f t="shared" si="46"/>
        <v/>
      </c>
      <c r="F770" s="20"/>
      <c r="G770" s="23"/>
      <c r="H770" s="23"/>
      <c r="I770" s="24"/>
    </row>
    <row r="771" s="19" customFormat="1" spans="1:9">
      <c r="A771" s="20"/>
      <c r="B771" s="20"/>
      <c r="C771" s="20"/>
      <c r="D771" s="21"/>
      <c r="E771" s="22" t="str">
        <f t="shared" si="46"/>
        <v/>
      </c>
      <c r="F771" s="20"/>
      <c r="G771" s="23"/>
      <c r="H771" s="23"/>
      <c r="I771" s="24"/>
    </row>
    <row r="772" s="19" customFormat="1" spans="1:9">
      <c r="A772" s="20"/>
      <c r="B772" s="20"/>
      <c r="C772" s="20"/>
      <c r="D772" s="21"/>
      <c r="E772" s="22" t="str">
        <f t="shared" si="46"/>
        <v/>
      </c>
      <c r="F772" s="20"/>
      <c r="G772" s="23"/>
      <c r="H772" s="23"/>
      <c r="I772" s="24"/>
    </row>
    <row r="773" s="19" customFormat="1" spans="1:9">
      <c r="A773" s="20"/>
      <c r="B773" s="20"/>
      <c r="C773" s="20"/>
      <c r="D773" s="21"/>
      <c r="E773" s="22" t="str">
        <f t="shared" si="46"/>
        <v/>
      </c>
      <c r="F773" s="20"/>
      <c r="G773" s="23"/>
      <c r="H773" s="23"/>
      <c r="I773" s="24"/>
    </row>
    <row r="774" s="19" customFormat="1" spans="1:9">
      <c r="A774" s="20"/>
      <c r="B774" s="20"/>
      <c r="C774" s="20"/>
      <c r="D774" s="21"/>
      <c r="E774" s="22" t="str">
        <f t="shared" si="46"/>
        <v/>
      </c>
      <c r="F774" s="20"/>
      <c r="G774" s="23"/>
      <c r="H774" s="23"/>
      <c r="I774" s="24"/>
    </row>
    <row r="775" s="19" customFormat="1" spans="1:9">
      <c r="A775" s="20"/>
      <c r="B775" s="20"/>
      <c r="C775" s="20"/>
      <c r="D775" s="21"/>
      <c r="E775" s="22" t="str">
        <f t="shared" si="46"/>
        <v/>
      </c>
      <c r="F775" s="20"/>
      <c r="G775" s="23"/>
      <c r="H775" s="23"/>
      <c r="I775" s="24"/>
    </row>
    <row r="776" s="19" customFormat="1" spans="1:9">
      <c r="A776" s="20"/>
      <c r="B776" s="20"/>
      <c r="C776" s="20"/>
      <c r="D776" s="21"/>
      <c r="E776" s="22" t="str">
        <f t="shared" si="46"/>
        <v/>
      </c>
      <c r="F776" s="20"/>
      <c r="G776" s="23"/>
      <c r="H776" s="23"/>
      <c r="I776" s="24"/>
    </row>
    <row r="777" s="19" customFormat="1" spans="1:9">
      <c r="A777" s="20"/>
      <c r="B777" s="20"/>
      <c r="C777" s="20"/>
      <c r="D777" s="21"/>
      <c r="E777" s="22" t="str">
        <f t="shared" si="46"/>
        <v/>
      </c>
      <c r="F777" s="20"/>
      <c r="G777" s="23"/>
      <c r="H777" s="23"/>
      <c r="I777" s="24"/>
    </row>
    <row r="778" s="19" customFormat="1" spans="1:9">
      <c r="A778" s="20"/>
      <c r="B778" s="20"/>
      <c r="C778" s="20"/>
      <c r="D778" s="21"/>
      <c r="E778" s="22" t="str">
        <f t="shared" si="46"/>
        <v/>
      </c>
      <c r="F778" s="20"/>
      <c r="G778" s="23"/>
      <c r="H778" s="23"/>
      <c r="I778" s="24"/>
    </row>
    <row r="779" s="19" customFormat="1" spans="1:9">
      <c r="A779" s="20"/>
      <c r="B779" s="20"/>
      <c r="C779" s="20"/>
      <c r="D779" s="21"/>
      <c r="E779" s="22" t="str">
        <f t="shared" si="46"/>
        <v/>
      </c>
      <c r="F779" s="20"/>
      <c r="G779" s="23"/>
      <c r="H779" s="23"/>
      <c r="I779" s="24"/>
    </row>
    <row r="780" s="19" customFormat="1" spans="1:9">
      <c r="A780" s="20"/>
      <c r="B780" s="20"/>
      <c r="C780" s="20"/>
      <c r="D780" s="21"/>
      <c r="E780" s="22" t="str">
        <f t="shared" si="46"/>
        <v/>
      </c>
      <c r="F780" s="20"/>
      <c r="G780" s="23"/>
      <c r="H780" s="23"/>
      <c r="I780" s="24"/>
    </row>
    <row r="781" s="19" customFormat="1" spans="1:9">
      <c r="A781" s="20"/>
      <c r="B781" s="20"/>
      <c r="C781" s="20"/>
      <c r="D781" s="21"/>
      <c r="E781" s="22" t="str">
        <f t="shared" si="46"/>
        <v/>
      </c>
      <c r="F781" s="20"/>
      <c r="G781" s="23"/>
      <c r="H781" s="23"/>
      <c r="I781" s="24"/>
    </row>
    <row r="782" s="19" customFormat="1" spans="1:9">
      <c r="A782" s="20"/>
      <c r="B782" s="20"/>
      <c r="C782" s="20"/>
      <c r="D782" s="21"/>
      <c r="E782" s="22" t="str">
        <f t="shared" si="46"/>
        <v/>
      </c>
      <c r="F782" s="20"/>
      <c r="G782" s="23"/>
      <c r="H782" s="23"/>
      <c r="I782" s="24"/>
    </row>
    <row r="783" s="19" customFormat="1" spans="1:9">
      <c r="A783" s="20"/>
      <c r="B783" s="20"/>
      <c r="C783" s="20"/>
      <c r="D783" s="21"/>
      <c r="E783" s="22" t="str">
        <f t="shared" si="46"/>
        <v/>
      </c>
      <c r="F783" s="20"/>
      <c r="G783" s="23"/>
      <c r="H783" s="23"/>
      <c r="I783" s="24"/>
    </row>
    <row r="784" s="19" customFormat="1" spans="1:9">
      <c r="A784" s="20"/>
      <c r="B784" s="20"/>
      <c r="C784" s="20"/>
      <c r="D784" s="21"/>
      <c r="E784" s="22" t="str">
        <f t="shared" si="46"/>
        <v/>
      </c>
      <c r="F784" s="20"/>
      <c r="G784" s="23"/>
      <c r="H784" s="23"/>
      <c r="I784" s="24"/>
    </row>
    <row r="785" s="19" customFormat="1" spans="1:9">
      <c r="A785" s="20"/>
      <c r="B785" s="20"/>
      <c r="C785" s="20"/>
      <c r="D785" s="21"/>
      <c r="E785" s="22" t="str">
        <f t="shared" si="46"/>
        <v/>
      </c>
      <c r="F785" s="20"/>
      <c r="G785" s="23"/>
      <c r="H785" s="23"/>
      <c r="I785" s="24"/>
    </row>
    <row r="786" s="19" customFormat="1" spans="1:9">
      <c r="A786" s="20"/>
      <c r="B786" s="20"/>
      <c r="C786" s="20"/>
      <c r="D786" s="21"/>
      <c r="E786" s="22" t="str">
        <f t="shared" si="46"/>
        <v/>
      </c>
      <c r="F786" s="20"/>
      <c r="G786" s="23"/>
      <c r="H786" s="23"/>
      <c r="I786" s="24"/>
    </row>
    <row r="787" s="19" customFormat="1" spans="1:9">
      <c r="A787" s="20"/>
      <c r="B787" s="20"/>
      <c r="C787" s="20"/>
      <c r="D787" s="21"/>
      <c r="E787" s="22" t="str">
        <f t="shared" si="46"/>
        <v/>
      </c>
      <c r="F787" s="20"/>
      <c r="G787" s="23"/>
      <c r="H787" s="23"/>
      <c r="I787" s="24"/>
    </row>
    <row r="788" s="19" customFormat="1" spans="1:9">
      <c r="A788" s="20"/>
      <c r="B788" s="20"/>
      <c r="C788" s="20"/>
      <c r="D788" s="21"/>
      <c r="E788" s="22" t="str">
        <f t="shared" si="46"/>
        <v/>
      </c>
      <c r="F788" s="20"/>
      <c r="G788" s="23"/>
      <c r="H788" s="23"/>
      <c r="I788" s="24"/>
    </row>
    <row r="789" s="19" customFormat="1" spans="1:9">
      <c r="A789" s="20"/>
      <c r="B789" s="20"/>
      <c r="C789" s="20"/>
      <c r="D789" s="21"/>
      <c r="E789" s="22" t="str">
        <f t="shared" si="46"/>
        <v/>
      </c>
      <c r="F789" s="20"/>
      <c r="G789" s="23"/>
      <c r="H789" s="23"/>
      <c r="I789" s="24"/>
    </row>
    <row r="790" s="19" customFormat="1" spans="1:9">
      <c r="A790" s="20"/>
      <c r="B790" s="20"/>
      <c r="C790" s="20"/>
      <c r="D790" s="21"/>
      <c r="E790" s="22" t="str">
        <f t="shared" si="46"/>
        <v/>
      </c>
      <c r="F790" s="20"/>
      <c r="G790" s="23"/>
      <c r="H790" s="23"/>
      <c r="I790" s="24"/>
    </row>
    <row r="791" s="19" customFormat="1" spans="1:9">
      <c r="A791" s="20"/>
      <c r="B791" s="20"/>
      <c r="C791" s="20"/>
      <c r="D791" s="21"/>
      <c r="E791" s="22" t="str">
        <f t="shared" si="46"/>
        <v/>
      </c>
      <c r="F791" s="20"/>
      <c r="G791" s="23"/>
      <c r="H791" s="23"/>
      <c r="I791" s="24"/>
    </row>
    <row r="792" s="19" customFormat="1" spans="1:9">
      <c r="A792" s="20"/>
      <c r="B792" s="20"/>
      <c r="C792" s="20"/>
      <c r="D792" s="21"/>
      <c r="E792" s="22" t="str">
        <f t="shared" si="46"/>
        <v/>
      </c>
      <c r="F792" s="20"/>
      <c r="G792" s="23"/>
      <c r="H792" s="23"/>
      <c r="I792" s="24"/>
    </row>
    <row r="793" s="19" customFormat="1" spans="1:9">
      <c r="A793" s="20"/>
      <c r="B793" s="20"/>
      <c r="C793" s="20"/>
      <c r="D793" s="21"/>
      <c r="E793" s="22" t="str">
        <f t="shared" si="46"/>
        <v/>
      </c>
      <c r="F793" s="20"/>
      <c r="G793" s="23"/>
      <c r="H793" s="23"/>
      <c r="I793" s="24"/>
    </row>
    <row r="794" s="19" customFormat="1" spans="1:9">
      <c r="A794" s="20"/>
      <c r="B794" s="20"/>
      <c r="C794" s="20"/>
      <c r="D794" s="21"/>
      <c r="E794" s="22" t="str">
        <f t="shared" si="46"/>
        <v/>
      </c>
      <c r="F794" s="20"/>
      <c r="G794" s="23"/>
      <c r="H794" s="23"/>
      <c r="I794" s="24"/>
    </row>
    <row r="795" s="19" customFormat="1" spans="1:9">
      <c r="A795" s="20"/>
      <c r="B795" s="20"/>
      <c r="C795" s="20"/>
      <c r="D795" s="21"/>
      <c r="E795" s="22" t="str">
        <f t="shared" si="46"/>
        <v/>
      </c>
      <c r="F795" s="20"/>
      <c r="G795" s="23"/>
      <c r="H795" s="23"/>
      <c r="I795" s="24"/>
    </row>
    <row r="796" s="19" customFormat="1" spans="1:9">
      <c r="A796" s="20"/>
      <c r="B796" s="20"/>
      <c r="C796" s="20"/>
      <c r="D796" s="21"/>
      <c r="E796" s="22" t="str">
        <f t="shared" si="46"/>
        <v/>
      </c>
      <c r="F796" s="20"/>
      <c r="G796" s="23"/>
      <c r="H796" s="23"/>
      <c r="I796" s="24"/>
    </row>
    <row r="797" s="19" customFormat="1" spans="1:9">
      <c r="A797" s="20"/>
      <c r="B797" s="20"/>
      <c r="C797" s="20"/>
      <c r="D797" s="21"/>
      <c r="E797" s="22" t="str">
        <f t="shared" si="46"/>
        <v/>
      </c>
      <c r="F797" s="20"/>
      <c r="G797" s="23"/>
      <c r="H797" s="23"/>
      <c r="I797" s="24"/>
    </row>
    <row r="798" s="19" customFormat="1" spans="1:9">
      <c r="A798" s="20"/>
      <c r="B798" s="20"/>
      <c r="C798" s="20"/>
      <c r="D798" s="21"/>
      <c r="E798" s="22" t="str">
        <f t="shared" si="46"/>
        <v/>
      </c>
      <c r="F798" s="20"/>
      <c r="G798" s="23"/>
      <c r="H798" s="23"/>
      <c r="I798" s="24"/>
    </row>
    <row r="799" s="19" customFormat="1" spans="1:9">
      <c r="A799" s="20"/>
      <c r="B799" s="20"/>
      <c r="C799" s="20"/>
      <c r="D799" s="21"/>
      <c r="E799" s="22" t="str">
        <f t="shared" si="46"/>
        <v/>
      </c>
      <c r="F799" s="20"/>
      <c r="G799" s="23"/>
      <c r="H799" s="23"/>
      <c r="I799" s="24"/>
    </row>
    <row r="800" s="19" customFormat="1" spans="1:9">
      <c r="A800" s="20"/>
      <c r="B800" s="20"/>
      <c r="C800" s="20"/>
      <c r="D800" s="21"/>
      <c r="E800" s="22" t="str">
        <f t="shared" si="46"/>
        <v/>
      </c>
      <c r="F800" s="20"/>
      <c r="G800" s="23"/>
      <c r="H800" s="23"/>
      <c r="I800" s="24"/>
    </row>
    <row r="801" s="19" customFormat="1" spans="1:9">
      <c r="A801" s="20"/>
      <c r="B801" s="20"/>
      <c r="C801" s="20"/>
      <c r="D801" s="21"/>
      <c r="E801" s="22" t="str">
        <f t="shared" si="46"/>
        <v/>
      </c>
      <c r="F801" s="20"/>
      <c r="G801" s="23"/>
      <c r="H801" s="23"/>
      <c r="I801" s="24"/>
    </row>
    <row r="802" s="19" customFormat="1" spans="1:9">
      <c r="A802" s="20"/>
      <c r="B802" s="20"/>
      <c r="C802" s="20"/>
      <c r="D802" s="21"/>
      <c r="E802" s="22" t="str">
        <f t="shared" si="46"/>
        <v/>
      </c>
      <c r="F802" s="20"/>
      <c r="G802" s="23"/>
      <c r="H802" s="23"/>
      <c r="I802" s="24"/>
    </row>
    <row r="803" s="19" customFormat="1" spans="1:9">
      <c r="A803" s="20"/>
      <c r="B803" s="20"/>
      <c r="C803" s="20"/>
      <c r="D803" s="21"/>
      <c r="E803" s="22" t="str">
        <f t="shared" si="46"/>
        <v/>
      </c>
      <c r="F803" s="20"/>
      <c r="G803" s="23"/>
      <c r="H803" s="23"/>
      <c r="I803" s="24"/>
    </row>
    <row r="804" s="19" customFormat="1" spans="1:9">
      <c r="A804" s="20"/>
      <c r="B804" s="20"/>
      <c r="C804" s="20"/>
      <c r="D804" s="21"/>
      <c r="E804" s="22" t="str">
        <f t="shared" si="46"/>
        <v/>
      </c>
      <c r="F804" s="20"/>
      <c r="G804" s="23"/>
      <c r="H804" s="23"/>
      <c r="I804" s="24"/>
    </row>
    <row r="805" s="19" customFormat="1" spans="1:9">
      <c r="A805" s="20"/>
      <c r="B805" s="20"/>
      <c r="C805" s="20"/>
      <c r="D805" s="21"/>
      <c r="E805" s="22" t="str">
        <f t="shared" si="46"/>
        <v/>
      </c>
      <c r="F805" s="20"/>
      <c r="G805" s="23"/>
      <c r="H805" s="23"/>
      <c r="I805" s="24"/>
    </row>
    <row r="806" s="19" customFormat="1" spans="1:9">
      <c r="A806" s="20"/>
      <c r="B806" s="20"/>
      <c r="C806" s="20"/>
      <c r="D806" s="21"/>
      <c r="E806" s="22" t="str">
        <f t="shared" si="46"/>
        <v/>
      </c>
      <c r="F806" s="20"/>
      <c r="G806" s="23"/>
      <c r="H806" s="23"/>
      <c r="I806" s="24"/>
    </row>
    <row r="807" s="19" customFormat="1" spans="1:9">
      <c r="A807" s="20"/>
      <c r="B807" s="20"/>
      <c r="C807" s="20"/>
      <c r="D807" s="21"/>
      <c r="E807" s="22" t="str">
        <f t="shared" si="46"/>
        <v/>
      </c>
      <c r="F807" s="20"/>
      <c r="G807" s="23"/>
      <c r="H807" s="23"/>
      <c r="I807" s="24"/>
    </row>
    <row r="808" s="19" customFormat="1" spans="1:9">
      <c r="A808" s="20"/>
      <c r="B808" s="20"/>
      <c r="C808" s="20"/>
      <c r="D808" s="21"/>
      <c r="E808" s="22" t="str">
        <f t="shared" si="46"/>
        <v/>
      </c>
      <c r="F808" s="20"/>
      <c r="G808" s="23"/>
      <c r="H808" s="23"/>
      <c r="I808" s="24"/>
    </row>
    <row r="809" s="19" customFormat="1" spans="1:9">
      <c r="A809" s="20"/>
      <c r="B809" s="20"/>
      <c r="C809" s="20"/>
      <c r="D809" s="21"/>
      <c r="E809" s="22" t="str">
        <f t="shared" si="46"/>
        <v/>
      </c>
      <c r="F809" s="20"/>
      <c r="G809" s="23"/>
      <c r="H809" s="23"/>
      <c r="I809" s="24"/>
    </row>
    <row r="810" s="19" customFormat="1" spans="1:9">
      <c r="A810" s="20"/>
      <c r="B810" s="20"/>
      <c r="C810" s="20"/>
      <c r="D810" s="21"/>
      <c r="E810" s="22" t="str">
        <f t="shared" si="46"/>
        <v/>
      </c>
      <c r="F810" s="20"/>
      <c r="G810" s="23"/>
      <c r="H810" s="23"/>
      <c r="I810" s="24"/>
    </row>
    <row r="811" s="19" customFormat="1" spans="1:9">
      <c r="A811" s="20"/>
      <c r="B811" s="20"/>
      <c r="C811" s="20"/>
      <c r="D811" s="21"/>
      <c r="E811" s="22" t="str">
        <f t="shared" si="46"/>
        <v/>
      </c>
      <c r="F811" s="20"/>
      <c r="G811" s="23"/>
      <c r="H811" s="23"/>
      <c r="I811" s="24"/>
    </row>
    <row r="812" s="19" customFormat="1" spans="1:9">
      <c r="A812" s="20"/>
      <c r="B812" s="20"/>
      <c r="C812" s="20"/>
      <c r="D812" s="21"/>
      <c r="E812" s="22" t="str">
        <f t="shared" si="46"/>
        <v/>
      </c>
      <c r="F812" s="20"/>
      <c r="G812" s="23"/>
      <c r="H812" s="23"/>
      <c r="I812" s="24"/>
    </row>
    <row r="813" s="19" customFormat="1" spans="1:9">
      <c r="A813" s="20"/>
      <c r="B813" s="20"/>
      <c r="C813" s="20"/>
      <c r="D813" s="21"/>
      <c r="E813" s="22" t="str">
        <f t="shared" si="46"/>
        <v/>
      </c>
      <c r="F813" s="20"/>
      <c r="G813" s="23"/>
      <c r="H813" s="23"/>
      <c r="I813" s="24"/>
    </row>
    <row r="814" s="19" customFormat="1" spans="1:9">
      <c r="A814" s="20"/>
      <c r="B814" s="20"/>
      <c r="C814" s="20"/>
      <c r="D814" s="21"/>
      <c r="E814" s="22" t="str">
        <f t="shared" si="46"/>
        <v/>
      </c>
      <c r="F814" s="20"/>
      <c r="G814" s="23"/>
      <c r="H814" s="23"/>
      <c r="I814" s="24"/>
    </row>
    <row r="815" s="19" customFormat="1" spans="1:9">
      <c r="A815" s="20"/>
      <c r="B815" s="20"/>
      <c r="C815" s="20"/>
      <c r="D815" s="21"/>
      <c r="E815" s="22" t="str">
        <f t="shared" si="46"/>
        <v/>
      </c>
      <c r="F815" s="20"/>
      <c r="G815" s="23"/>
      <c r="H815" s="23"/>
      <c r="I815" s="24"/>
    </row>
    <row r="816" s="19" customFormat="1" spans="1:9">
      <c r="A816" s="20"/>
      <c r="B816" s="20"/>
      <c r="C816" s="20"/>
      <c r="D816" s="21"/>
      <c r="E816" s="22" t="str">
        <f t="shared" si="46"/>
        <v/>
      </c>
      <c r="F816" s="20"/>
      <c r="G816" s="23"/>
      <c r="H816" s="23"/>
      <c r="I816" s="24"/>
    </row>
    <row r="817" s="19" customFormat="1" spans="1:9">
      <c r="A817" s="20"/>
      <c r="B817" s="20"/>
      <c r="C817" s="20"/>
      <c r="D817" s="21"/>
      <c r="E817" s="22" t="str">
        <f t="shared" si="46"/>
        <v/>
      </c>
      <c r="F817" s="20"/>
      <c r="G817" s="23"/>
      <c r="H817" s="23"/>
      <c r="I817" s="24"/>
    </row>
    <row r="818" s="19" customFormat="1" spans="1:9">
      <c r="A818" s="20"/>
      <c r="B818" s="20"/>
      <c r="C818" s="20"/>
      <c r="D818" s="21"/>
      <c r="E818" s="22" t="str">
        <f t="shared" si="46"/>
        <v/>
      </c>
      <c r="F818" s="20"/>
      <c r="G818" s="23"/>
      <c r="H818" s="23"/>
      <c r="I818" s="24"/>
    </row>
    <row r="819" s="19" customFormat="1" spans="1:9">
      <c r="A819" s="20"/>
      <c r="B819" s="20"/>
      <c r="C819" s="20"/>
      <c r="D819" s="21"/>
      <c r="E819" s="22" t="str">
        <f t="shared" si="46"/>
        <v/>
      </c>
      <c r="F819" s="20"/>
      <c r="G819" s="23"/>
      <c r="H819" s="23"/>
      <c r="I819" s="24"/>
    </row>
    <row r="820" s="19" customFormat="1" spans="1:9">
      <c r="A820" s="20"/>
      <c r="B820" s="20"/>
      <c r="C820" s="20"/>
      <c r="D820" s="21"/>
      <c r="E820" s="22" t="str">
        <f t="shared" si="46"/>
        <v/>
      </c>
      <c r="F820" s="20"/>
      <c r="G820" s="23"/>
      <c r="H820" s="23"/>
      <c r="I820" s="24"/>
    </row>
    <row r="821" s="19" customFormat="1" spans="1:9">
      <c r="A821" s="20"/>
      <c r="B821" s="20"/>
      <c r="C821" s="20"/>
      <c r="D821" s="21"/>
      <c r="E821" s="22" t="str">
        <f t="shared" si="46"/>
        <v/>
      </c>
      <c r="F821" s="20"/>
      <c r="G821" s="23"/>
      <c r="H821" s="23"/>
      <c r="I821" s="24"/>
    </row>
    <row r="822" s="19" customFormat="1" spans="1:9">
      <c r="A822" s="20"/>
      <c r="B822" s="20"/>
      <c r="C822" s="20"/>
      <c r="D822" s="21"/>
      <c r="E822" s="22" t="str">
        <f t="shared" si="46"/>
        <v/>
      </c>
      <c r="F822" s="20"/>
      <c r="G822" s="23"/>
      <c r="H822" s="23"/>
      <c r="I822" s="24"/>
    </row>
    <row r="823" s="19" customFormat="1" spans="1:9">
      <c r="A823" s="20"/>
      <c r="B823" s="20"/>
      <c r="C823" s="20"/>
      <c r="D823" s="21"/>
      <c r="E823" s="22" t="str">
        <f t="shared" si="46"/>
        <v/>
      </c>
      <c r="F823" s="20"/>
      <c r="G823" s="23"/>
      <c r="H823" s="23"/>
      <c r="I823" s="24"/>
    </row>
    <row r="824" s="19" customFormat="1" spans="1:9">
      <c r="A824" s="20"/>
      <c r="B824" s="20"/>
      <c r="C824" s="20"/>
      <c r="D824" s="21"/>
      <c r="E824" s="22" t="str">
        <f t="shared" si="46"/>
        <v/>
      </c>
      <c r="F824" s="20"/>
      <c r="G824" s="23"/>
      <c r="H824" s="23"/>
      <c r="I824" s="24"/>
    </row>
    <row r="825" s="19" customFormat="1" spans="1:9">
      <c r="A825" s="20"/>
      <c r="B825" s="20"/>
      <c r="C825" s="20"/>
      <c r="D825" s="21"/>
      <c r="E825" s="22" t="str">
        <f t="shared" si="46"/>
        <v/>
      </c>
      <c r="F825" s="20"/>
      <c r="G825" s="23"/>
      <c r="H825" s="23"/>
      <c r="I825" s="24"/>
    </row>
    <row r="826" s="19" customFormat="1" spans="1:9">
      <c r="A826" s="20"/>
      <c r="B826" s="20"/>
      <c r="C826" s="20"/>
      <c r="D826" s="21"/>
      <c r="E826" s="22" t="str">
        <f t="shared" si="46"/>
        <v/>
      </c>
      <c r="F826" s="20"/>
      <c r="G826" s="23"/>
      <c r="H826" s="23"/>
      <c r="I826" s="24"/>
    </row>
    <row r="827" s="19" customFormat="1" spans="1:9">
      <c r="A827" s="20"/>
      <c r="B827" s="20"/>
      <c r="C827" s="20"/>
      <c r="D827" s="21"/>
      <c r="E827" s="22" t="str">
        <f t="shared" si="46"/>
        <v/>
      </c>
      <c r="F827" s="20"/>
      <c r="G827" s="23"/>
      <c r="H827" s="23"/>
      <c r="I827" s="24"/>
    </row>
    <row r="828" s="19" customFormat="1" spans="1:9">
      <c r="A828" s="20"/>
      <c r="B828" s="20"/>
      <c r="C828" s="20"/>
      <c r="D828" s="21"/>
      <c r="E828" s="22" t="str">
        <f t="shared" si="46"/>
        <v/>
      </c>
      <c r="F828" s="20"/>
      <c r="G828" s="23"/>
      <c r="H828" s="23"/>
      <c r="I828" s="24"/>
    </row>
    <row r="829" s="19" customFormat="1" spans="1:9">
      <c r="A829" s="20"/>
      <c r="B829" s="20"/>
      <c r="C829" s="20"/>
      <c r="D829" s="21"/>
      <c r="E829" s="22" t="str">
        <f t="shared" si="46"/>
        <v/>
      </c>
      <c r="F829" s="20"/>
      <c r="G829" s="23"/>
      <c r="H829" s="23"/>
      <c r="I829" s="24"/>
    </row>
    <row r="830" s="19" customFormat="1" spans="1:9">
      <c r="A830" s="20"/>
      <c r="B830" s="20"/>
      <c r="C830" s="20"/>
      <c r="D830" s="21"/>
      <c r="E830" s="22" t="str">
        <f t="shared" si="46"/>
        <v/>
      </c>
      <c r="F830" s="20"/>
      <c r="G830" s="23"/>
      <c r="H830" s="23"/>
      <c r="I830" s="24"/>
    </row>
    <row r="831" s="19" customFormat="1" spans="1:9">
      <c r="A831" s="20"/>
      <c r="B831" s="20"/>
      <c r="C831" s="20"/>
      <c r="D831" s="21"/>
      <c r="E831" s="22" t="str">
        <f t="shared" si="46"/>
        <v/>
      </c>
      <c r="F831" s="20"/>
      <c r="G831" s="23"/>
      <c r="H831" s="23"/>
      <c r="I831" s="24"/>
    </row>
    <row r="832" s="19" customFormat="1" spans="1:9">
      <c r="A832" s="20"/>
      <c r="B832" s="20"/>
      <c r="C832" s="20"/>
      <c r="D832" s="21"/>
      <c r="E832" s="22" t="str">
        <f t="shared" si="46"/>
        <v/>
      </c>
      <c r="F832" s="20"/>
      <c r="G832" s="23"/>
      <c r="H832" s="23"/>
      <c r="I832" s="24"/>
    </row>
  </sheetData>
  <autoFilter xmlns:etc="http://www.wps.cn/officeDocument/2017/etCustomData" ref="A2:AC832" etc:filterBottomFollowUsedRange="0">
    <extLst/>
  </autoFilter>
  <conditionalFormatting sqref="E374">
    <cfRule type="duplicateValues" dxfId="2" priority="1"/>
  </conditionalFormatting>
  <conditionalFormatting sqref="E1:E373 E375:E65534">
    <cfRule type="duplicateValues" dxfId="2" priority="2"/>
  </conditionalFormatting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L25"/>
  <sheetViews>
    <sheetView topLeftCell="A3" workbookViewId="0">
      <selection activeCell="G188" sqref="G188"/>
    </sheetView>
  </sheetViews>
  <sheetFormatPr defaultColWidth="8.1015625" defaultRowHeight="20.4"/>
  <cols>
    <col min="1" max="1" width="20.9609375" style="1" customWidth="1"/>
    <col min="2" max="3" width="20.9609375" style="2" customWidth="1"/>
    <col min="4" max="4" width="15.421875" style="2" customWidth="1"/>
    <col min="5" max="5" width="64.796875" style="2" customWidth="1"/>
    <col min="6" max="6" width="1.671875" style="3" customWidth="1"/>
    <col min="7" max="7" width="16.8359375" style="2" customWidth="1"/>
    <col min="8" max="8" width="15.421875" style="2" customWidth="1"/>
    <col min="9" max="9" width="35.734375" style="2" customWidth="1"/>
    <col min="10" max="10" width="1.40625" style="3" customWidth="1"/>
    <col min="11" max="11" width="20.1796875" style="2" customWidth="1"/>
    <col min="12" max="12" width="16.5859375" style="2" customWidth="1"/>
    <col min="13" max="16384" width="8.1015625" style="1"/>
  </cols>
  <sheetData>
    <row r="1" ht="23.2" spans="1:12">
      <c r="A1" s="4" t="s">
        <v>4779</v>
      </c>
      <c r="B1" s="4"/>
      <c r="C1" s="4"/>
      <c r="D1" s="4"/>
      <c r="E1" s="4"/>
      <c r="F1" s="4"/>
      <c r="G1" s="4"/>
      <c r="H1" s="4"/>
      <c r="I1" s="4"/>
      <c r="K1" s="18" t="s">
        <v>4780</v>
      </c>
      <c r="L1" s="18"/>
    </row>
    <row r="2" ht="26" spans="1:12">
      <c r="A2" s="5" t="s">
        <v>4781</v>
      </c>
      <c r="B2" s="5"/>
      <c r="C2" s="5"/>
      <c r="D2" s="5"/>
      <c r="E2" s="5"/>
      <c r="G2" s="5" t="s">
        <v>4782</v>
      </c>
      <c r="H2" s="5"/>
      <c r="I2" s="5"/>
      <c r="K2" s="6" t="s">
        <v>4783</v>
      </c>
      <c r="L2" s="6" t="s">
        <v>4784</v>
      </c>
    </row>
    <row r="3" ht="22.5" customHeight="1" spans="1:12">
      <c r="A3" s="6" t="s">
        <v>4783</v>
      </c>
      <c r="B3" s="6" t="s">
        <v>670</v>
      </c>
      <c r="C3" s="6" t="s">
        <v>861</v>
      </c>
      <c r="D3" s="6" t="s">
        <v>4784</v>
      </c>
      <c r="E3" s="6" t="s">
        <v>4785</v>
      </c>
      <c r="F3" s="13"/>
      <c r="G3" s="6" t="s">
        <v>4783</v>
      </c>
      <c r="H3" s="6" t="s">
        <v>4784</v>
      </c>
      <c r="I3" s="6" t="s">
        <v>4785</v>
      </c>
      <c r="K3" s="6" t="s">
        <v>798</v>
      </c>
      <c r="L3" s="6"/>
    </row>
    <row r="4" ht="23.2" spans="1:12">
      <c r="A4" s="7" t="s">
        <v>2340</v>
      </c>
      <c r="B4" s="6" t="s">
        <v>4786</v>
      </c>
      <c r="C4" s="6" t="s">
        <v>911</v>
      </c>
      <c r="D4" s="6">
        <v>190</v>
      </c>
      <c r="E4" s="14" t="s">
        <v>4787</v>
      </c>
      <c r="F4" s="13"/>
      <c r="G4" s="15" t="s">
        <v>4788</v>
      </c>
      <c r="H4" s="16">
        <v>48</v>
      </c>
      <c r="I4" s="14" t="s">
        <v>4789</v>
      </c>
      <c r="K4" s="6" t="s">
        <v>801</v>
      </c>
      <c r="L4" s="6">
        <v>7400</v>
      </c>
    </row>
    <row r="5" spans="1:12">
      <c r="A5" s="7" t="s">
        <v>798</v>
      </c>
      <c r="B5" s="6" t="s">
        <v>4786</v>
      </c>
      <c r="C5" s="6" t="s">
        <v>695</v>
      </c>
      <c r="D5" s="6">
        <v>186</v>
      </c>
      <c r="E5" s="14" t="s">
        <v>4790</v>
      </c>
      <c r="F5" s="13"/>
      <c r="G5" s="7" t="s">
        <v>4791</v>
      </c>
      <c r="H5" s="6">
        <v>286</v>
      </c>
      <c r="I5" s="14" t="s">
        <v>4792</v>
      </c>
      <c r="K5" s="6" t="s">
        <v>805</v>
      </c>
      <c r="L5" s="6">
        <v>9000</v>
      </c>
    </row>
    <row r="6" spans="1:9">
      <c r="A6" s="7" t="s">
        <v>801</v>
      </c>
      <c r="B6" s="6" t="s">
        <v>839</v>
      </c>
      <c r="C6" s="6" t="s">
        <v>695</v>
      </c>
      <c r="D6" s="8">
        <v>242</v>
      </c>
      <c r="E6" s="14" t="s">
        <v>4793</v>
      </c>
      <c r="F6" s="13"/>
      <c r="G6" s="7" t="s">
        <v>4794</v>
      </c>
      <c r="H6" s="6">
        <v>650</v>
      </c>
      <c r="I6" s="14" t="s">
        <v>4795</v>
      </c>
    </row>
    <row r="7" spans="1:9">
      <c r="A7" s="9" t="s">
        <v>803</v>
      </c>
      <c r="B7" s="8" t="s">
        <v>839</v>
      </c>
      <c r="C7" s="8" t="s">
        <v>695</v>
      </c>
      <c r="D7" s="10"/>
      <c r="E7" s="14" t="s">
        <v>4796</v>
      </c>
      <c r="F7" s="13"/>
      <c r="G7" s="7" t="s">
        <v>4797</v>
      </c>
      <c r="H7" s="6">
        <v>780</v>
      </c>
      <c r="I7" s="14"/>
    </row>
    <row r="8" spans="1:9">
      <c r="A8" s="11"/>
      <c r="B8" s="12"/>
      <c r="C8" s="12"/>
      <c r="D8" s="10"/>
      <c r="E8" s="14"/>
      <c r="F8" s="13"/>
      <c r="G8" s="7" t="s">
        <v>4798</v>
      </c>
      <c r="H8" s="6">
        <v>750</v>
      </c>
      <c r="I8" s="14"/>
    </row>
    <row r="9" spans="1:9">
      <c r="A9" s="7" t="s">
        <v>805</v>
      </c>
      <c r="B9" s="6" t="s">
        <v>839</v>
      </c>
      <c r="C9" s="6" t="s">
        <v>695</v>
      </c>
      <c r="D9" s="12"/>
      <c r="E9" s="14" t="s">
        <v>4799</v>
      </c>
      <c r="F9" s="13"/>
      <c r="G9" s="7" t="s">
        <v>1526</v>
      </c>
      <c r="H9" s="6">
        <v>1100</v>
      </c>
      <c r="I9" s="14"/>
    </row>
    <row r="10" spans="1:9">
      <c r="A10" s="7" t="s">
        <v>1633</v>
      </c>
      <c r="B10" s="6" t="s">
        <v>4800</v>
      </c>
      <c r="C10" s="6" t="s">
        <v>691</v>
      </c>
      <c r="D10" s="6">
        <v>272</v>
      </c>
      <c r="E10" s="14"/>
      <c r="F10" s="13"/>
      <c r="G10" s="7" t="s">
        <v>1500</v>
      </c>
      <c r="H10" s="6">
        <v>1250</v>
      </c>
      <c r="I10" s="14"/>
    </row>
    <row r="11" spans="1:9">
      <c r="A11" s="7" t="s">
        <v>2218</v>
      </c>
      <c r="B11" s="6" t="s">
        <v>4800</v>
      </c>
      <c r="C11" s="6" t="s">
        <v>691</v>
      </c>
      <c r="D11" s="6">
        <v>250</v>
      </c>
      <c r="E11" s="14" t="s">
        <v>4793</v>
      </c>
      <c r="F11" s="13"/>
      <c r="G11" s="7" t="s">
        <v>1079</v>
      </c>
      <c r="H11" s="6">
        <v>1900</v>
      </c>
      <c r="I11" s="14"/>
    </row>
    <row r="12" spans="1:9">
      <c r="A12" s="7" t="s">
        <v>2144</v>
      </c>
      <c r="B12" s="6" t="s">
        <v>4800</v>
      </c>
      <c r="C12" s="6" t="s">
        <v>691</v>
      </c>
      <c r="D12" s="6">
        <v>272</v>
      </c>
      <c r="E12" s="14" t="s">
        <v>4801</v>
      </c>
      <c r="F12" s="13"/>
      <c r="G12" s="7" t="s">
        <v>4802</v>
      </c>
      <c r="H12" s="6">
        <v>3800</v>
      </c>
      <c r="I12" s="14"/>
    </row>
    <row r="13" spans="1:9">
      <c r="A13" s="7" t="s">
        <v>2072</v>
      </c>
      <c r="B13" s="6" t="s">
        <v>4800</v>
      </c>
      <c r="C13" s="6" t="s">
        <v>691</v>
      </c>
      <c r="D13" s="6">
        <v>267</v>
      </c>
      <c r="E13" s="14" t="s">
        <v>4803</v>
      </c>
      <c r="F13" s="13"/>
      <c r="G13" s="6"/>
      <c r="H13" s="6"/>
      <c r="I13" s="6"/>
    </row>
    <row r="14" spans="1:9">
      <c r="A14" s="7" t="s">
        <v>807</v>
      </c>
      <c r="B14" s="6" t="s">
        <v>837</v>
      </c>
      <c r="C14" s="6" t="s">
        <v>695</v>
      </c>
      <c r="D14" s="6">
        <v>630</v>
      </c>
      <c r="E14" s="14" t="s">
        <v>4795</v>
      </c>
      <c r="F14" s="13"/>
      <c r="G14" s="6"/>
      <c r="H14" s="6"/>
      <c r="I14" s="6"/>
    </row>
    <row r="15" ht="23.2" spans="1:9">
      <c r="A15" s="7" t="s">
        <v>1974</v>
      </c>
      <c r="B15" s="8" t="s">
        <v>4804</v>
      </c>
      <c r="C15" s="8" t="s">
        <v>691</v>
      </c>
      <c r="D15" s="8">
        <v>640</v>
      </c>
      <c r="E15" s="14"/>
      <c r="F15" s="17"/>
      <c r="G15" s="6"/>
      <c r="H15" s="6"/>
      <c r="I15" s="6"/>
    </row>
    <row r="16" ht="23.2" spans="1:9">
      <c r="A16" s="7" t="s">
        <v>2012</v>
      </c>
      <c r="B16" s="12"/>
      <c r="C16" s="12"/>
      <c r="D16" s="12"/>
      <c r="E16" s="14"/>
      <c r="F16" s="13"/>
      <c r="G16" s="16"/>
      <c r="H16" s="16"/>
      <c r="I16" s="16"/>
    </row>
    <row r="17" spans="1:9">
      <c r="A17" s="7" t="s">
        <v>1986</v>
      </c>
      <c r="B17" s="6" t="s">
        <v>4805</v>
      </c>
      <c r="C17" s="6" t="s">
        <v>691</v>
      </c>
      <c r="D17" s="6">
        <v>600</v>
      </c>
      <c r="E17" s="14"/>
      <c r="F17" s="13"/>
      <c r="G17" s="6"/>
      <c r="H17" s="6"/>
      <c r="I17" s="6"/>
    </row>
    <row r="20" spans="2:2">
      <c r="B20"/>
    </row>
    <row r="21" spans="2:2">
      <c r="B21"/>
    </row>
    <row r="22" spans="2:2">
      <c r="B22"/>
    </row>
    <row r="23" spans="2:2">
      <c r="B23"/>
    </row>
    <row r="24" spans="2:2">
      <c r="B24"/>
    </row>
    <row r="25" spans="2:2">
      <c r="B25"/>
    </row>
  </sheetData>
  <mergeCells count="15">
    <mergeCell ref="A1:H1"/>
    <mergeCell ref="K1:L1"/>
    <mergeCell ref="A2:D2"/>
    <mergeCell ref="G2:H2"/>
    <mergeCell ref="A7:A8"/>
    <mergeCell ref="B7:B8"/>
    <mergeCell ref="B15:B16"/>
    <mergeCell ref="C7:C8"/>
    <mergeCell ref="C15:C16"/>
    <mergeCell ref="D6:D9"/>
    <mergeCell ref="D15:D16"/>
    <mergeCell ref="E7:E8"/>
    <mergeCell ref="E9:E10"/>
    <mergeCell ref="E14:E17"/>
    <mergeCell ref="I6:I1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Microsoft® Excel® 2016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local items</vt:lpstr>
      <vt:lpstr>expert items</vt:lpstr>
      <vt:lpstr>Sheet1</vt:lpstr>
      <vt:lpstr>销售需求表</vt:lpstr>
      <vt:lpstr>7月排产计划</vt:lpstr>
      <vt:lpstr>排产对比表对比</vt:lpstr>
      <vt:lpstr>生产吨位汇总</vt:lpstr>
      <vt:lpstr>生产问题点说明</vt:lpstr>
      <vt:lpstr>成型机分布</vt:lpstr>
      <vt:lpstr>轮胎重量</vt:lpstr>
      <vt:lpstr>硫化工艺</vt:lpstr>
      <vt:lpstr>投产规格</vt:lpstr>
      <vt:lpstr>集装箱CONTAINER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极星.+</cp:lastModifiedBy>
  <dcterms:created xsi:type="dcterms:W3CDTF">2025-03-31T06:42:00Z</dcterms:created>
  <dcterms:modified xsi:type="dcterms:W3CDTF">2026-07-06T15:02:51Z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wqlLaW5nc29mdCBQREYgdG8gV1BTIDExMA</vt:lpwstr>
  </property>
  <property fmtid="{D5CDD505-2E9C-101B-9397-08002B2CF9AE}" pid="3" name="Created">
    <vt:filetime>2025-03-31T07:59:43Z</vt:filetime>
  </property>
  <property fmtid="{D5CDD505-2E9C-101B-9397-08002B2CF9AE}" pid="4" name="KSOProductBuildVer">
    <vt:lpwstr>2052-12.1.22553.22553</vt:lpwstr>
  </property>
  <property fmtid="{D5CDD505-2E9C-101B-9397-08002B2CF9AE}" pid="5" name="ICV">
    <vt:lpwstr>8DC2FBB8E4A2E1072B614B6A4C4AE786_43</vt:lpwstr>
  </property>
  <property fmtid="{D5CDD505-2E9C-101B-9397-08002B2CF9AE}" pid="6" name="KSOReadingLayout">
    <vt:bool>true</vt:bool>
  </property>
  <property fmtid="{D5CDD505-2E9C-101B-9397-08002B2CF9AE}" pid="7" name="CalculationRule">
    <vt:i4>0</vt:i4>
  </property>
</Properties>
</file>