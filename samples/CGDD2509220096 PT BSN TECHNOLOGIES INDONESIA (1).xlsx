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lilan\OneDrive\Documents\0000. PT MTI\0. Procurement\Purchase Contract\000000. SEPTEMBER\220925\"/>
    </mc:Choice>
  </mc:AlternateContent>
  <xr:revisionPtr revIDLastSave="0" documentId="13_ncr:1_{ECAA3EB1-D693-4CEE-8451-73E98E28CF28}" xr6:coauthVersionLast="47" xr6:coauthVersionMax="47" xr10:uidLastSave="{00000000-0000-0000-0000-000000000000}"/>
  <bookViews>
    <workbookView xWindow="30" yWindow="750" windowWidth="20460" windowHeight="10770" xr2:uid="{00000000-000D-0000-FFFF-FFFF00000000}"/>
  </bookViews>
  <sheets>
    <sheet name="Table 1" sheetId="1" r:id="rId1"/>
  </sheets>
  <definedNames>
    <definedName name="_xlnm.Print_Area" localSheetId="0">'Table 1'!$A$1:$H$32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 i="1" l="1"/>
  <c r="G8" i="1" s="1"/>
  <c r="G10" i="1" s="1"/>
  <c r="G9" i="1" l="1"/>
</calcChain>
</file>

<file path=xl/sharedStrings.xml><?xml version="1.0" encoding="utf-8"?>
<sst xmlns="http://schemas.openxmlformats.org/spreadsheetml/2006/main" count="30" uniqueCount="30">
  <si>
    <t xml:space="preserve">  The warranty starts from the day when customer receive the merchandise. If there is any quality problem, the customer can change 
  and return cargos within the warranty. </t>
    <phoneticPr fontId="8" type="noConversion"/>
  </si>
  <si>
    <t>5.如无法按时送货提前通知采购，因晚送货造成的损失，每天按合同额2%处以罚金，在订单款中扣除。
  If the delivery cannot be made on time, the procurement department should be notified in advance.</t>
    <phoneticPr fontId="8" type="noConversion"/>
  </si>
  <si>
    <t>PT. MATAHARI TIRE INDONESIA</t>
  </si>
  <si>
    <t>货物如下/Goods as follows:</t>
  </si>
  <si>
    <t>ERP Code</t>
  </si>
  <si>
    <t>Description</t>
  </si>
  <si>
    <t>Quantity</t>
  </si>
  <si>
    <t>Unit</t>
  </si>
  <si>
    <t>Price</t>
  </si>
  <si>
    <t>Amount</t>
  </si>
  <si>
    <t xml:space="preserve">共计(不含税）/In total(exclude PPN)：                                                                                </t>
    <phoneticPr fontId="8" type="noConversion"/>
  </si>
  <si>
    <t xml:space="preserve">费用总计/Amount：                                                                                                     </t>
    <phoneticPr fontId="8" type="noConversion"/>
  </si>
  <si>
    <t>卖方确认</t>
    <phoneticPr fontId="8" type="noConversion"/>
  </si>
  <si>
    <t>买方确认</t>
    <phoneticPr fontId="8" type="noConversion"/>
  </si>
  <si>
    <t>SELLER CONFIRMATION</t>
    <phoneticPr fontId="8" type="noConversion"/>
  </si>
  <si>
    <t>BUYER CONFIRMATION</t>
    <phoneticPr fontId="8" type="noConversion"/>
  </si>
  <si>
    <t>采购合同/Purchase Contract</t>
    <phoneticPr fontId="8" type="noConversion"/>
  </si>
  <si>
    <t xml:space="preserve">  This contract should abide by the regulations of the supplier Quality Guarantee Agreement and the other Agreement whichsigned and sealed 
  by both parties.</t>
    <phoneticPr fontId="8" type="noConversion"/>
  </si>
  <si>
    <t xml:space="preserve">  Chemical need to provide the test report for every shipment. 
3.付款条件：收到发票后30天。</t>
    <phoneticPr fontId="8" type="noConversion"/>
  </si>
  <si>
    <t xml:space="preserve">   Payment Terms: 30 days after Invoice. 
4.质保期从收货日计起，质保期内如货物有质量问题可退换货物。</t>
  </si>
  <si>
    <t xml:space="preserve">  Delivery time and place: 9:00-17:00 from Monday to Saturday，MTI company warehouse.
7.该合同遵循双方签订并盖章的供方产品质量保证协议书和其他协议的所有条款。</t>
  </si>
  <si>
    <t xml:space="preserve">  Any losses caused by late delivery will be fined 2% of the contract amount per day, which will be deducted from the order payment.
6.送货时间和地点：周一到周六 9:00-17:00 MTI公司仓库。</t>
  </si>
  <si>
    <t>The seller/卖方: PT BSN TECHNOLOGIES INDONESIA
Contact Name/联系人：Ms. Mandy
Address/地址 Jl. Parang Garuda, Kawasan Industri Kendal, 12, Wonorejo, Kaliwungu, Kab. Kendal, Prov. Jawa Tengah 51371
Tel/电话： +62 811-2696-088                       
The Buyer/买方:PT.MATAHARI TIRE INDONESIA
Add/地址;Jalan Pareanom Nomor 17, Desa/Kelurahan Wonorejo, Kec. Kaliwungu,
Kab. Kendal, Provinsi Jawa Tengah
Tel/电话:85172070316</t>
  </si>
  <si>
    <t>张/PC</t>
  </si>
  <si>
    <t xml:space="preserve">增值税/PPN 11%：                                                                                                     </t>
  </si>
  <si>
    <t xml:space="preserve">No/号码:CGDD2509220096 
Contract No/合同号:CGDD2509220096
Date/日期： 2025-09-22
</t>
  </si>
  <si>
    <t>1.送货单据：送货单，账单，发票原件，收据原件(单据需注明订单编号: CGDD2509220096  ）</t>
  </si>
  <si>
    <t xml:space="preserve">  Delivery documents：Delivery Note、bill、Original invoice、Original receipt（Must with the PO No.:CGDD2509220096）
2.化学品送货需携带检测报告。</t>
  </si>
  <si>
    <t>010504505ID</t>
  </si>
  <si>
    <t>(ID-JG-TBR-BX)ID295/80R22.5-18PR(152/149M)[AD156A]GOLDEN CROWN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</si>
</sst>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Rp-421]#,##0.00;\-[$Rp-421]#,##0.00"/>
    <numFmt numFmtId="165" formatCode="_-[$$-409]* #,##0.000_ ;_-[$$-409]* \-#,##0.000\ ;_-[$$-409]* &quot;-&quot;??_ ;_-@_ "/>
    <numFmt numFmtId="166" formatCode="_-[$Rp-3809]* #,##0.00_-;\-[$Rp-3809]* #,##0.00_-;_-[$Rp-3809]* &quot;-&quot;??_-;_-@_-"/>
  </numFmts>
  <fonts count="19">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8"/>
      <name val="����"/>
    </font>
    <font>
      <sz val="12"/>
      <name val="宋体"/>
      <family val="3"/>
      <charset val="134"/>
    </font>
    <font>
      <sz val="8"/>
      <name val="宋体"/>
      <family val="3"/>
      <charset val="134"/>
    </font>
    <font>
      <sz val="10"/>
      <name val="宋体"/>
      <family val="3"/>
      <charset val="134"/>
    </font>
    <font>
      <sz val="9"/>
      <name val="宋体"/>
      <family val="3"/>
      <charset val="134"/>
    </font>
    <font>
      <sz val="10"/>
      <color rgb="FF000000"/>
      <name val="宋体"/>
      <family val="3"/>
      <charset val="134"/>
    </font>
    <font>
      <sz val="18"/>
      <name val="宋体"/>
      <family val="3"/>
      <charset val="134"/>
    </font>
    <font>
      <sz val="8"/>
      <name val="宋体"/>
    </font>
    <font>
      <sz val="8"/>
      <color rgb="FF000000"/>
      <name val="宋体"/>
    </font>
    <font>
      <sz val="10"/>
      <color rgb="FF000000"/>
      <name val="Calibri"/>
      <family val="2"/>
      <scheme val="minor"/>
    </font>
    <font>
      <b/>
      <sz val="8"/>
      <color rgb="FF000000"/>
      <name val="宋体"/>
    </font>
    <font>
      <sz val="8"/>
      <color theme="1"/>
      <name val="宋体"/>
    </font>
    <font>
      <sz val="12"/>
      <color theme="1"/>
      <name val="Calibri"/>
      <family val="2"/>
      <scheme val="minor"/>
    </font>
    <font>
      <sz val="12"/>
      <color theme="1"/>
      <name val="Calibri"/>
      <family val="2"/>
      <charset val="134"/>
      <scheme val="minor"/>
    </font>
    <font>
      <sz val="8"/>
      <color rgb="FF0F1115"/>
      <name val="宋体"/>
    </font>
  </fonts>
  <fills count="2">
    <fill>
      <patternFill patternType="none"/>
    </fill>
    <fill>
      <patternFill patternType="gray125"/>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s>
  <cellStyleXfs count="7">
    <xf numFmtId="0" fontId="0" fillId="0" borderId="0"/>
    <xf numFmtId="0" fontId="13" fillId="0" borderId="0"/>
    <xf numFmtId="0" fontId="3" fillId="0" borderId="0"/>
    <xf numFmtId="0" fontId="2" fillId="0" borderId="0"/>
    <xf numFmtId="0" fontId="1" fillId="0" borderId="0"/>
    <xf numFmtId="0" fontId="16" fillId="0" borderId="0">
      <alignment vertical="center"/>
    </xf>
    <xf numFmtId="0" fontId="17" fillId="0" borderId="0">
      <alignment vertical="center"/>
    </xf>
  </cellStyleXfs>
  <cellXfs count="41">
    <xf numFmtId="0" fontId="0" fillId="0" borderId="0" xfId="0" applyAlignment="1">
      <alignment horizontal="left" vertical="top"/>
    </xf>
    <xf numFmtId="0" fontId="4" fillId="0" borderId="0" xfId="0" applyFont="1" applyAlignment="1">
      <alignment horizontal="left" vertical="top"/>
    </xf>
    <xf numFmtId="0" fontId="6" fillId="0" borderId="0" xfId="0" applyFont="1" applyAlignment="1">
      <alignment horizontal="left" vertical="top"/>
    </xf>
    <xf numFmtId="0" fontId="6" fillId="0" borderId="2" xfId="0" applyFont="1" applyBorder="1" applyAlignment="1">
      <alignment horizontal="left" vertical="top" wrapText="1"/>
    </xf>
    <xf numFmtId="0" fontId="5" fillId="0" borderId="0" xfId="0" applyFont="1" applyAlignment="1">
      <alignment horizontal="center" vertical="top"/>
    </xf>
    <xf numFmtId="0" fontId="7" fillId="0" borderId="0" xfId="0" applyFont="1" applyAlignment="1">
      <alignment horizontal="left" vertical="top"/>
    </xf>
    <xf numFmtId="0" fontId="9" fillId="0" borderId="0" xfId="0" applyFont="1" applyAlignment="1">
      <alignment horizontal="left" vertical="top"/>
    </xf>
    <xf numFmtId="0" fontId="9" fillId="0" borderId="0" xfId="0" applyFont="1" applyAlignment="1">
      <alignment horizontal="center" vertical="top"/>
    </xf>
    <xf numFmtId="0" fontId="9" fillId="0" borderId="0" xfId="0" applyFont="1" applyAlignment="1">
      <alignment vertical="top"/>
    </xf>
    <xf numFmtId="164" fontId="6" fillId="0" borderId="4" xfId="0" applyNumberFormat="1" applyFont="1" applyBorder="1" applyAlignment="1">
      <alignment horizontal="left" vertical="top" wrapText="1"/>
    </xf>
    <xf numFmtId="165" fontId="6" fillId="0" borderId="4" xfId="0" applyNumberFormat="1" applyFont="1" applyBorder="1" applyAlignment="1">
      <alignment horizontal="left" vertical="top" wrapText="1"/>
    </xf>
    <xf numFmtId="165" fontId="6" fillId="0" borderId="2" xfId="0" applyNumberFormat="1" applyFont="1" applyBorder="1" applyAlignment="1">
      <alignment horizontal="left" vertical="top" wrapText="1"/>
    </xf>
    <xf numFmtId="0" fontId="11" fillId="0" borderId="0" xfId="0" applyFont="1" applyAlignment="1">
      <alignment horizontal="left" vertical="top"/>
    </xf>
    <xf numFmtId="0" fontId="12" fillId="0" borderId="0" xfId="0" applyFont="1" applyAlignment="1">
      <alignment horizontal="left" vertical="top"/>
    </xf>
    <xf numFmtId="166" fontId="6" fillId="0" borderId="7" xfId="0" applyNumberFormat="1" applyFont="1" applyBorder="1" applyAlignment="1">
      <alignment horizontal="left" vertical="top" wrapText="1"/>
    </xf>
    <xf numFmtId="166" fontId="6" fillId="0" borderId="3" xfId="0" applyNumberFormat="1" applyFont="1" applyBorder="1" applyAlignment="1">
      <alignment horizontal="left" vertical="top" wrapText="1"/>
    </xf>
    <xf numFmtId="0" fontId="6" fillId="0" borderId="8" xfId="0" applyFont="1" applyBorder="1" applyAlignment="1">
      <alignment horizontal="center" vertical="center" wrapText="1"/>
    </xf>
    <xf numFmtId="0" fontId="6" fillId="0" borderId="8" xfId="0" applyFont="1" applyBorder="1" applyAlignment="1">
      <alignment horizontal="left" vertical="center" wrapText="1"/>
    </xf>
    <xf numFmtId="0" fontId="11" fillId="0" borderId="5" xfId="0" applyFont="1" applyBorder="1" applyAlignment="1">
      <alignment horizontal="center" vertical="center" wrapText="1"/>
    </xf>
    <xf numFmtId="166" fontId="12" fillId="0" borderId="5" xfId="0" applyNumberFormat="1" applyFont="1" applyBorder="1" applyAlignment="1">
      <alignment horizontal="left" vertical="center" wrapText="1"/>
    </xf>
    <xf numFmtId="166" fontId="11" fillId="0" borderId="5" xfId="0" applyNumberFormat="1" applyFont="1" applyBorder="1" applyAlignment="1">
      <alignment horizontal="left" vertical="center" wrapText="1"/>
    </xf>
    <xf numFmtId="0" fontId="14" fillId="0" borderId="0" xfId="0" applyFont="1" applyAlignment="1">
      <alignment horizontal="left" vertical="top"/>
    </xf>
    <xf numFmtId="0" fontId="15" fillId="0" borderId="5" xfId="0" applyFont="1" applyBorder="1" applyAlignment="1">
      <alignment vertical="center"/>
    </xf>
    <xf numFmtId="0" fontId="6" fillId="0" borderId="5" xfId="0" applyFont="1" applyBorder="1" applyAlignment="1">
      <alignment horizontal="center" vertical="center" wrapText="1"/>
    </xf>
    <xf numFmtId="0" fontId="12" fillId="0" borderId="5" xfId="5" applyFont="1" applyBorder="1" applyAlignment="1">
      <alignment horizontal="center" vertical="center"/>
    </xf>
    <xf numFmtId="0" fontId="9" fillId="0" borderId="0" xfId="0" applyFont="1" applyAlignment="1">
      <alignment horizontal="center" vertical="top"/>
    </xf>
    <xf numFmtId="0" fontId="6" fillId="0" borderId="0" xfId="0" applyFont="1" applyAlignment="1">
      <alignment horizontal="left" vertical="top" wrapText="1"/>
    </xf>
    <xf numFmtId="0" fontId="6" fillId="0" borderId="0" xfId="0" applyFont="1" applyAlignment="1">
      <alignment horizontal="left" vertical="top"/>
    </xf>
    <xf numFmtId="164" fontId="6" fillId="0" borderId="6" xfId="0" applyNumberFormat="1" applyFont="1" applyBorder="1" applyAlignment="1">
      <alignment horizontal="left" vertical="top" wrapText="1"/>
    </xf>
    <xf numFmtId="164" fontId="6" fillId="0" borderId="4" xfId="0" applyNumberFormat="1" applyFont="1"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top"/>
    </xf>
    <xf numFmtId="0" fontId="18" fillId="0" borderId="5" xfId="5" applyFont="1" applyBorder="1" applyAlignment="1">
      <alignment horizontal="left" vertical="center" wrapText="1"/>
    </xf>
    <xf numFmtId="0" fontId="10" fillId="0" borderId="0" xfId="0" applyFont="1" applyAlignment="1">
      <alignment horizontal="center" vertical="top"/>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11" fillId="0" borderId="1" xfId="0" applyFont="1" applyBorder="1" applyAlignment="1">
      <alignment horizontal="left" vertical="top" wrapText="1"/>
    </xf>
    <xf numFmtId="0" fontId="6" fillId="0" borderId="5" xfId="0" applyFont="1" applyBorder="1" applyAlignment="1">
      <alignment horizontal="center" vertical="center" wrapText="1"/>
    </xf>
    <xf numFmtId="0" fontId="5" fillId="0" borderId="4" xfId="0" applyFont="1" applyBorder="1" applyAlignment="1">
      <alignment horizontal="center" vertical="top"/>
    </xf>
  </cellXfs>
  <cellStyles count="7">
    <cellStyle name="Normal" xfId="0" builtinId="0"/>
    <cellStyle name="Normal 2" xfId="1" xr:uid="{D4CEC8FF-9E64-4070-BF46-90A879FF39C3}"/>
    <cellStyle name="Normal 2 2" xfId="6" xr:uid="{287C765D-E9A3-41A0-A5DB-D11211F3C4CB}"/>
    <cellStyle name="Normal 3" xfId="2" xr:uid="{D4F90AA3-DD92-4DE9-8C8C-FFC06E1526A3}"/>
    <cellStyle name="Normal 4" xfId="3" xr:uid="{59563D3E-215C-4CB9-99B4-D5B65542BC51}"/>
    <cellStyle name="Normal 5" xfId="4" xr:uid="{D0889681-DFA8-4951-BBBD-7B399D7ECE4D}"/>
    <cellStyle name="Normal 6" xfId="5" xr:uid="{5F3FBA0A-F7DF-4125-97E7-6670CE1F153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38101</xdr:colOff>
      <xdr:row>0</xdr:row>
      <xdr:rowOff>7621</xdr:rowOff>
    </xdr:from>
    <xdr:to>
      <xdr:col>1</xdr:col>
      <xdr:colOff>123921</xdr:colOff>
      <xdr:row>1</xdr:row>
      <xdr:rowOff>48334</xdr:rowOff>
    </xdr:to>
    <xdr:pic>
      <xdr:nvPicPr>
        <xdr:cNvPr id="2" name="图片 1">
          <a:extLst>
            <a:ext uri="{FF2B5EF4-FFF2-40B4-BE49-F238E27FC236}">
              <a16:creationId xmlns:a16="http://schemas.microsoft.com/office/drawing/2014/main" id="{FB100E1D-DFCA-20EA-40E8-1B290332A300}"/>
            </a:ext>
          </a:extLst>
        </xdr:cNvPr>
        <xdr:cNvPicPr>
          <a:picLocks noChangeAspect="1"/>
        </xdr:cNvPicPr>
      </xdr:nvPicPr>
      <xdr:blipFill>
        <a:blip xmlns:r="http://schemas.openxmlformats.org/officeDocument/2006/relationships" r:embed="rId1"/>
        <a:srcRect l="7898" r="7898"/>
        <a:stretch>
          <a:fillRect/>
        </a:stretch>
      </xdr:blipFill>
      <xdr:spPr>
        <a:xfrm>
          <a:off x="38101" y="7621"/>
          <a:ext cx="982979" cy="459813"/>
        </a:xfrm>
        <a:prstGeom prst="rect">
          <a:avLst/>
        </a:prstGeom>
        <a:noFill/>
        <a:ln>
          <a:noFill/>
        </a:ln>
      </xdr:spPr>
    </xdr:pic>
    <xdr:clientData/>
  </xdr:twoCellAnchor>
  <xdr:twoCellAnchor editAs="oneCell">
    <xdr:from>
      <xdr:col>3</xdr:col>
      <xdr:colOff>322119</xdr:colOff>
      <xdr:row>22</xdr:row>
      <xdr:rowOff>223917</xdr:rowOff>
    </xdr:from>
    <xdr:to>
      <xdr:col>6</xdr:col>
      <xdr:colOff>464024</xdr:colOff>
      <xdr:row>32</xdr:row>
      <xdr:rowOff>152849</xdr:rowOff>
    </xdr:to>
    <xdr:pic>
      <xdr:nvPicPr>
        <xdr:cNvPr id="4" name="Picture 3">
          <a:extLst>
            <a:ext uri="{FF2B5EF4-FFF2-40B4-BE49-F238E27FC236}">
              <a16:creationId xmlns:a16="http://schemas.microsoft.com/office/drawing/2014/main" id="{4CFF10BD-7D90-88B7-59E6-9DBEAA6D5B15}"/>
            </a:ext>
          </a:extLst>
        </xdr:cNvPr>
        <xdr:cNvPicPr>
          <a:picLocks noChangeAspect="1"/>
        </xdr:cNvPicPr>
      </xdr:nvPicPr>
      <xdr:blipFill>
        <a:blip xmlns:r="http://schemas.openxmlformats.org/officeDocument/2006/relationships" r:embed="rId2"/>
        <a:stretch>
          <a:fillRect/>
        </a:stretch>
      </xdr:blipFill>
      <xdr:spPr>
        <a:xfrm>
          <a:off x="4672196" y="6871778"/>
          <a:ext cx="1762137" cy="158844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topLeftCell="A18" zoomScale="97" zoomScaleNormal="102" workbookViewId="0">
      <selection activeCell="J28" sqref="J28"/>
    </sheetView>
  </sheetViews>
  <sheetFormatPr defaultRowHeight="12.75"/>
  <cols>
    <col min="1" max="1" width="13.1640625" customWidth="1"/>
    <col min="2" max="2" width="39.5" customWidth="1"/>
    <col min="3" max="3" width="23.33203125" customWidth="1"/>
    <col min="4" max="4" width="9.1640625" customWidth="1"/>
    <col min="5" max="5" width="6" customWidth="1"/>
    <col min="6" max="6" width="13.1640625" customWidth="1"/>
    <col min="7" max="7" width="19.5" bestFit="1" customWidth="1"/>
    <col min="8" max="8" width="2.1640625" customWidth="1"/>
  </cols>
  <sheetData>
    <row r="1" spans="1:10" ht="33" customHeight="1">
      <c r="A1" s="4"/>
      <c r="B1" s="35" t="s">
        <v>2</v>
      </c>
      <c r="C1" s="35"/>
      <c r="D1" s="35"/>
      <c r="E1" s="35"/>
      <c r="F1" s="35"/>
      <c r="G1" s="35"/>
    </row>
    <row r="2" spans="1:10" ht="19.149999999999999" customHeight="1">
      <c r="A2" s="4"/>
      <c r="B2" s="4"/>
      <c r="C2" s="4"/>
      <c r="D2" s="4"/>
      <c r="E2" s="4"/>
      <c r="F2" s="4"/>
      <c r="G2" s="4"/>
    </row>
    <row r="3" spans="1:10" ht="19.149999999999999" customHeight="1">
      <c r="A3" s="40" t="s">
        <v>16</v>
      </c>
      <c r="B3" s="40"/>
      <c r="C3" s="40"/>
      <c r="D3" s="40"/>
      <c r="E3" s="40"/>
      <c r="F3" s="40"/>
      <c r="G3" s="40"/>
    </row>
    <row r="4" spans="1:10" ht="96" customHeight="1">
      <c r="A4" s="30" t="s">
        <v>22</v>
      </c>
      <c r="B4" s="36"/>
      <c r="C4" s="37"/>
      <c r="D4" s="38" t="s">
        <v>25</v>
      </c>
      <c r="E4" s="36"/>
      <c r="F4" s="36"/>
      <c r="G4" s="37"/>
    </row>
    <row r="5" spans="1:10" ht="16.149999999999999" customHeight="1">
      <c r="A5" s="5" t="s">
        <v>3</v>
      </c>
      <c r="B5" s="6"/>
      <c r="C5" s="6"/>
      <c r="D5" s="6"/>
      <c r="E5" s="6"/>
      <c r="F5" s="6"/>
      <c r="G5" s="6"/>
    </row>
    <row r="6" spans="1:10" ht="19.899999999999999" customHeight="1">
      <c r="A6" s="16" t="s">
        <v>4</v>
      </c>
      <c r="B6" s="39" t="s">
        <v>5</v>
      </c>
      <c r="C6" s="39"/>
      <c r="D6" s="23" t="s">
        <v>6</v>
      </c>
      <c r="E6" s="16" t="s">
        <v>7</v>
      </c>
      <c r="F6" s="16" t="s">
        <v>8</v>
      </c>
      <c r="G6" s="17" t="s">
        <v>9</v>
      </c>
    </row>
    <row r="7" spans="1:10" ht="17.25" customHeight="1">
      <c r="A7" s="22" t="s">
        <v>28</v>
      </c>
      <c r="B7" s="34" t="s">
        <v>29</v>
      </c>
      <c r="C7" s="34"/>
      <c r="D7" s="24">
        <v>1400</v>
      </c>
      <c r="E7" s="18" t="s">
        <v>23</v>
      </c>
      <c r="F7" s="19">
        <v>1200</v>
      </c>
      <c r="G7" s="20">
        <f t="shared" ref="G7" si="0">D7*F7</f>
        <v>1680000</v>
      </c>
    </row>
    <row r="8" spans="1:10">
      <c r="A8" s="28" t="s">
        <v>10</v>
      </c>
      <c r="B8" s="29"/>
      <c r="C8" s="9"/>
      <c r="D8" s="9"/>
      <c r="E8" s="9"/>
      <c r="F8" s="10"/>
      <c r="G8" s="14">
        <f>SUM(G7:G7)</f>
        <v>1680000</v>
      </c>
    </row>
    <row r="9" spans="1:10">
      <c r="A9" s="30" t="s">
        <v>24</v>
      </c>
      <c r="B9" s="31"/>
      <c r="C9" s="3"/>
      <c r="D9" s="3"/>
      <c r="E9" s="3"/>
      <c r="F9" s="11"/>
      <c r="G9" s="15">
        <f>G10-G8</f>
        <v>0</v>
      </c>
    </row>
    <row r="10" spans="1:10">
      <c r="A10" s="30" t="s">
        <v>11</v>
      </c>
      <c r="B10" s="31"/>
      <c r="C10" s="3"/>
      <c r="D10" s="3"/>
      <c r="E10" s="3"/>
      <c r="F10" s="11"/>
      <c r="G10" s="15">
        <f>G8</f>
        <v>1680000</v>
      </c>
    </row>
    <row r="11" spans="1:10">
      <c r="A11" s="12" t="s">
        <v>26</v>
      </c>
      <c r="B11" s="13"/>
      <c r="C11" s="21"/>
      <c r="D11" s="13"/>
      <c r="E11" s="13"/>
      <c r="F11" s="13"/>
      <c r="G11" s="13"/>
    </row>
    <row r="12" spans="1:10" ht="21.6" customHeight="1">
      <c r="A12" s="32" t="s">
        <v>27</v>
      </c>
      <c r="B12" s="33"/>
      <c r="C12" s="33"/>
      <c r="D12" s="33"/>
      <c r="E12" s="33"/>
      <c r="F12" s="33"/>
      <c r="G12" s="33"/>
    </row>
    <row r="13" spans="1:10" ht="22.5" customHeight="1">
      <c r="A13" s="32" t="s">
        <v>18</v>
      </c>
      <c r="B13" s="33"/>
      <c r="C13" s="33"/>
      <c r="D13" s="33"/>
      <c r="E13" s="33"/>
      <c r="F13" s="33"/>
      <c r="G13" s="33"/>
      <c r="I13" s="13"/>
      <c r="J13" s="13"/>
    </row>
    <row r="14" spans="1:10" ht="24.6" customHeight="1">
      <c r="A14" s="32" t="s">
        <v>19</v>
      </c>
      <c r="B14" s="33"/>
      <c r="C14" s="33"/>
      <c r="D14" s="33"/>
      <c r="E14" s="33"/>
      <c r="F14" s="33"/>
      <c r="G14" s="33"/>
      <c r="I14" s="13"/>
      <c r="J14" s="13"/>
    </row>
    <row r="15" spans="1:10" s="13" customFormat="1" ht="23.1" customHeight="1">
      <c r="A15" s="26" t="s">
        <v>0</v>
      </c>
      <c r="B15" s="27"/>
      <c r="C15" s="27"/>
      <c r="D15" s="27"/>
      <c r="E15" s="27"/>
      <c r="F15" s="27"/>
      <c r="G15" s="27"/>
    </row>
    <row r="16" spans="1:10" s="13" customFormat="1" ht="24.6" customHeight="1">
      <c r="A16" s="26" t="s">
        <v>1</v>
      </c>
      <c r="B16" s="27"/>
      <c r="C16" s="27"/>
      <c r="D16" s="27"/>
      <c r="E16" s="27"/>
      <c r="F16" s="27"/>
      <c r="G16" s="27"/>
    </row>
    <row r="17" spans="1:10" s="13" customFormat="1" ht="30" customHeight="1">
      <c r="A17" s="26" t="s">
        <v>21</v>
      </c>
      <c r="B17" s="27"/>
      <c r="C17" s="27"/>
      <c r="D17" s="27"/>
      <c r="E17" s="27"/>
      <c r="F17" s="27"/>
      <c r="G17" s="27"/>
      <c r="I17"/>
      <c r="J17"/>
    </row>
    <row r="18" spans="1:10" s="13" customFormat="1" ht="24" customHeight="1">
      <c r="A18" s="26" t="s">
        <v>20</v>
      </c>
      <c r="B18" s="27"/>
      <c r="C18" s="27"/>
      <c r="D18" s="27"/>
      <c r="E18" s="27"/>
      <c r="F18" s="27"/>
      <c r="G18" s="27"/>
      <c r="I18"/>
      <c r="J18"/>
    </row>
    <row r="19" spans="1:10" ht="19.899999999999999" customHeight="1">
      <c r="A19" s="26" t="s">
        <v>17</v>
      </c>
      <c r="B19" s="27"/>
      <c r="C19" s="27"/>
      <c r="D19" s="27"/>
      <c r="E19" s="27"/>
      <c r="F19" s="27"/>
      <c r="G19" s="27"/>
    </row>
    <row r="20" spans="1:10" ht="19.899999999999999" customHeight="1">
      <c r="A20" s="2"/>
      <c r="B20" s="6"/>
      <c r="C20" s="2"/>
      <c r="D20" s="6"/>
      <c r="E20" s="6"/>
      <c r="F20" s="2"/>
      <c r="G20" s="6"/>
    </row>
    <row r="21" spans="1:10" ht="19.899999999999999" customHeight="1">
      <c r="A21" s="2"/>
      <c r="B21" s="6"/>
      <c r="C21" s="2"/>
      <c r="D21" s="6"/>
      <c r="E21" s="6"/>
      <c r="F21" s="2"/>
      <c r="G21" s="6"/>
    </row>
    <row r="22" spans="1:10" ht="30.6" customHeight="1">
      <c r="A22" s="2"/>
      <c r="B22" s="7" t="s">
        <v>12</v>
      </c>
      <c r="C22" s="2"/>
      <c r="D22" s="6"/>
      <c r="E22" s="25" t="s">
        <v>13</v>
      </c>
      <c r="F22" s="25"/>
      <c r="G22" s="6"/>
    </row>
    <row r="23" spans="1:10" ht="19.899999999999999" customHeight="1">
      <c r="A23" s="2"/>
      <c r="B23" s="7" t="s">
        <v>14</v>
      </c>
      <c r="C23" s="2"/>
      <c r="D23" s="6"/>
      <c r="E23" s="8" t="s">
        <v>15</v>
      </c>
      <c r="F23" s="8"/>
      <c r="G23" s="2"/>
    </row>
    <row r="24" spans="1:10" ht="13.15" customHeight="1">
      <c r="A24" s="1"/>
    </row>
    <row r="25" spans="1:10" ht="13.15" customHeight="1">
      <c r="A25" s="1"/>
    </row>
    <row r="26" spans="1:10" ht="13.15" customHeight="1">
      <c r="A26" s="1"/>
    </row>
    <row r="27" spans="1:10" ht="13.15" customHeight="1">
      <c r="A27" s="1"/>
    </row>
    <row r="28" spans="1:10" ht="13.15" customHeight="1">
      <c r="A28" s="1"/>
    </row>
    <row r="29" spans="1:10" ht="13.15" customHeight="1">
      <c r="A29" s="1"/>
    </row>
    <row r="30" spans="1:10" ht="13.15" customHeight="1">
      <c r="A30" s="1"/>
    </row>
    <row r="31" spans="1:10" ht="13.15" customHeight="1"/>
    <row r="32" spans="1:10" ht="13.15" customHeight="1"/>
    <row r="33" ht="13.15" customHeight="1"/>
    <row r="34" ht="13.15" customHeight="1"/>
  </sheetData>
  <mergeCells count="18">
    <mergeCell ref="B7:C7"/>
    <mergeCell ref="B1:G1"/>
    <mergeCell ref="A4:C4"/>
    <mergeCell ref="D4:G4"/>
    <mergeCell ref="B6:C6"/>
    <mergeCell ref="A3:G3"/>
    <mergeCell ref="E22:F22"/>
    <mergeCell ref="A19:G19"/>
    <mergeCell ref="A8:B8"/>
    <mergeCell ref="A9:B9"/>
    <mergeCell ref="A10:B10"/>
    <mergeCell ref="A15:G15"/>
    <mergeCell ref="A16:G16"/>
    <mergeCell ref="A17:G17"/>
    <mergeCell ref="A18:G18"/>
    <mergeCell ref="A12:G12"/>
    <mergeCell ref="A13:G13"/>
    <mergeCell ref="A14:G14"/>
  </mergeCells>
  <phoneticPr fontId="8" type="noConversion"/>
  <pageMargins left="0.25" right="0.25" top="0.75" bottom="0.75" header="0.3" footer="0.3"/>
  <pageSetup paperSize="9" scale="87"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Reneezhang</dc:creator>
  <cp:lastModifiedBy>Lila Novita Dara Nirwana</cp:lastModifiedBy>
  <cp:lastPrinted>2025-09-22T07:19:52Z</cp:lastPrinted>
  <dcterms:created xsi:type="dcterms:W3CDTF">2025-01-08T12:09:01Z</dcterms:created>
  <dcterms:modified xsi:type="dcterms:W3CDTF">2025-09-22T07:19:55Z</dcterms:modified>
</cp:coreProperties>
</file>